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tabRatio="599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7" i="6" l="1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AP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J8" i="6"/>
  <c r="I8" i="6"/>
  <c r="BG7" i="6"/>
  <c r="AV7" i="6"/>
  <c r="AP7" i="6"/>
  <c r="J7" i="6"/>
  <c r="I7" i="6"/>
  <c r="BG6" i="6" l="1"/>
  <c r="AV6" i="6"/>
  <c r="J6" i="6"/>
  <c r="I6" i="6"/>
  <c r="BG5" i="6"/>
  <c r="AV5" i="6"/>
  <c r="J5" i="6"/>
  <c r="I5" i="6"/>
  <c r="BG4" i="6" l="1"/>
  <c r="AV4" i="6"/>
  <c r="J4" i="6"/>
  <c r="I4" i="6"/>
  <c r="BG3" i="6" l="1"/>
  <c r="AV3" i="6"/>
  <c r="J3" i="6"/>
  <c r="I3" i="6"/>
  <c r="AH1" i="6"/>
  <c r="AH1" i="5"/>
  <c r="AH1" i="4"/>
</calcChain>
</file>

<file path=xl/sharedStrings.xml><?xml version="1.0" encoding="utf-8"?>
<sst xmlns="http://schemas.openxmlformats.org/spreadsheetml/2006/main" count="439" uniqueCount="119">
  <si>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</si>
  <si>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</si>
  <si>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</si>
  <si>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</si>
  <si>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</si>
  <si>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</si>
  <si>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</si>
  <si>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</si>
  <si>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</si>
  <si>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</si>
  <si>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</si>
  <si>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</si>
  <si>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</si>
  <si>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</si>
  <si>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</si>
  <si>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</si>
  <si>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</si>
  <si>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</si>
  <si>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</si>
  <si>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</si>
  <si>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</si>
  <si>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</si>
  <si>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</si>
  <si>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</si>
  <si>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</si>
  <si>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</si>
  <si>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</si>
  <si>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</si>
  <si>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</si>
  <si>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</si>
  <si>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</si>
  <si>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</si>
  <si>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</si>
  <si>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</si>
  <si>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</si>
  <si>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</si>
  <si>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</si>
  <si>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</si>
  <si>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</si>
  <si>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</si>
  <si>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</si>
  <si>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</si>
  <si>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</si>
  <si>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</si>
  <si>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</si>
  <si>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</si>
  <si>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</si>
  <si>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</si>
  <si>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</si>
  <si>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</si>
  <si>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</si>
  <si>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</si>
  <si>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</si>
  <si>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</si>
  <si>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</si>
  <si>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</si>
  <si>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</si>
  <si>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</si>
  <si>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</si>
  <si>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</si>
  <si>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</si>
  <si>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</si>
  <si>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</si>
  <si>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</si>
  <si>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</si>
  <si>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</si>
  <si>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</si>
  <si>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</si>
  <si>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</si>
  <si>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</si>
  <si>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</si>
  <si>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</si>
  <si>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</si>
  <si>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</si>
  <si>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</si>
  <si>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Logger</t>
  </si>
  <si>
    <t>Disturber</t>
  </si>
  <si>
    <t>StartDisturber</t>
  </si>
  <si>
    <t>Синхр</t>
  </si>
  <si>
    <t>Синхронизация времени</t>
  </si>
  <si>
    <t>Функция</t>
  </si>
  <si>
    <t>Общие уставки</t>
  </si>
  <si>
    <t>Источник точного времени 1 (основной)</t>
  </si>
  <si>
    <t>Источник времени 1</t>
  </si>
  <si>
    <t>Источник времени 2</t>
  </si>
  <si>
    <t>0 - Отсутствует, 1 - SNTP, 2 - PNP, 3- SNTP+1PPS, 4 - Протокол, 5 - Протокол+1PPS</t>
  </si>
  <si>
    <t>INT8</t>
  </si>
  <si>
    <t>Адрес сервера синхронизации времени 1</t>
  </si>
  <si>
    <t>SNTP / PTP сервер 1</t>
  </si>
  <si>
    <t>INT32</t>
  </si>
  <si>
    <t>Источник точного времени 2</t>
  </si>
  <si>
    <t>Адрес сервера синхронизации времени 2</t>
  </si>
  <si>
    <t>SNTP / PTP сервер 2</t>
  </si>
  <si>
    <t>GENRBRF1_Top</t>
  </si>
  <si>
    <t>TimeSettingScaleCoefficient</t>
  </si>
  <si>
    <t>мс</t>
  </si>
  <si>
    <t>TPRBRF</t>
  </si>
  <si>
    <t>GENRBRF1.FailTmms</t>
  </si>
  <si>
    <t>ING</t>
  </si>
  <si>
    <t>setVal</t>
  </si>
  <si>
    <t>SG</t>
  </si>
  <si>
    <t>Смещение локального времени от UTC+0</t>
  </si>
  <si>
    <t>Смещение времени от UTC+0</t>
  </si>
  <si>
    <t>мин</t>
  </si>
  <si>
    <t>0 - Не активен, 1 - Активен</t>
  </si>
  <si>
    <t>Флаг использования летнего времени</t>
  </si>
  <si>
    <t>Авт. переход на летнее время</t>
  </si>
  <si>
    <t>Время задержки импульса 1PPS</t>
  </si>
  <si>
    <t>Параметры летнего времени</t>
  </si>
  <si>
    <t>Лето. Месяц</t>
  </si>
  <si>
    <t>Лето. Неделя месяца</t>
  </si>
  <si>
    <t>Лето. День недели</t>
  </si>
  <si>
    <t>Лето. Час начала действия</t>
  </si>
  <si>
    <t>Параметры зимнего времени</t>
  </si>
  <si>
    <t>Зима. Месяц</t>
  </si>
  <si>
    <t>Зима. Неделя месяца</t>
  </si>
  <si>
    <t>Зима. День недели</t>
  </si>
  <si>
    <t>Зима. Час начала действия</t>
  </si>
  <si>
    <t>Символ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</si>
</sst>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E6" sqref="E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6" hidden="1" customWidth="1" outlineLevel="1"/>
    <col min="55" max="55" width="13.28515625" style="4" hidden="1" customWidth="1" outlineLevel="1"/>
    <col min="56" max="56" width="13" style="2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3" t="s">
        <v>0</v>
      </c>
      <c r="BA1" s="44"/>
      <c r="BB1" s="44"/>
      <c r="BC1" s="44"/>
      <c r="BD1" s="44"/>
      <c r="BE1" s="44"/>
      <c r="BF1" s="4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69</v>
      </c>
      <c r="G2" s="10" t="s">
        <v>6</v>
      </c>
      <c r="H2" s="10" t="s">
        <v>7</v>
      </c>
      <c r="I2" s="10" t="s">
        <v>8</v>
      </c>
      <c r="J2" s="10" t="s">
        <v>70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68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64</v>
      </c>
      <c r="AC2" s="15" t="s">
        <v>65</v>
      </c>
      <c r="AD2" s="15" t="s">
        <v>66</v>
      </c>
      <c r="AE2" s="15" t="s">
        <v>67</v>
      </c>
      <c r="AF2" s="15" t="s">
        <v>25</v>
      </c>
      <c r="AG2" s="15" t="s">
        <v>26</v>
      </c>
      <c r="AH2" s="14" t="s">
        <v>27</v>
      </c>
      <c r="AI2" s="34" t="s">
        <v>63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39" t="s">
        <v>75</v>
      </c>
      <c r="AW2" s="39" t="s">
        <v>76</v>
      </c>
      <c r="AX2" s="39" t="s">
        <v>77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6"/>
      <c r="BC3" s="4"/>
      <c r="BD3" s="26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6"/>
      <c r="BC4" s="4"/>
      <c r="BD4" s="26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6"/>
      <c r="BC5" s="4"/>
      <c r="BD5" s="26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6"/>
      <c r="BC6" s="4"/>
      <c r="BD6" s="26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6"/>
      <c r="BC7" s="4"/>
      <c r="BD7" s="26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6"/>
      <c r="BC8" s="4"/>
      <c r="BD8" s="26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6"/>
      <c r="BC9" s="4"/>
      <c r="BD9" s="26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6"/>
      <c r="BC10" s="4"/>
      <c r="BD10" s="26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6"/>
      <c r="BC11" s="4"/>
      <c r="BD11" s="26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6"/>
      <c r="BC12" s="4"/>
      <c r="BD12" s="26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6"/>
      <c r="BC13" s="4"/>
      <c r="BD13" s="2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6"/>
      <c r="BC14" s="4"/>
      <c r="BD14" s="2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6"/>
      <c r="BC15" s="4"/>
      <c r="BD15" s="2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6"/>
      <c r="BC16" s="4"/>
      <c r="BD16" s="2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6"/>
      <c r="BC17" s="4"/>
      <c r="BD17" s="2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6"/>
      <c r="BC18" s="4"/>
      <c r="BD18" s="2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6"/>
      <c r="BC19" s="4"/>
      <c r="BD19" s="2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6"/>
      <c r="BC20" s="4"/>
      <c r="BD20" s="2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6"/>
      <c r="BC21" s="4"/>
      <c r="BD21" s="2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6"/>
      <c r="BC22" s="4"/>
      <c r="BD22" s="2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6"/>
      <c r="BC23" s="4"/>
      <c r="BD23" s="2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6"/>
      <c r="BC24" s="4"/>
      <c r="BD24" s="2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6"/>
      <c r="BC25" s="4"/>
      <c r="BD25" s="2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6"/>
      <c r="BC26" s="4"/>
      <c r="BD26" s="2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6"/>
      <c r="BC27" s="4"/>
      <c r="BD27" s="2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6"/>
      <c r="BC28" s="4"/>
      <c r="BD28" s="2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6"/>
      <c r="BC29" s="4"/>
      <c r="BD29" s="2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6"/>
      <c r="BC30" s="4"/>
      <c r="BD30" s="2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6"/>
      <c r="BC31" s="4"/>
      <c r="BD31" s="2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6"/>
      <c r="BC32" s="4"/>
      <c r="BD32" s="2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6"/>
      <c r="BC33" s="4"/>
      <c r="BD33" s="2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6"/>
      <c r="BC34" s="4"/>
      <c r="BD34" s="2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6"/>
      <c r="BC35" s="4"/>
      <c r="BD35" s="2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6"/>
      <c r="BC36" s="4"/>
      <c r="BD36" s="2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6"/>
      <c r="BC37" s="4"/>
      <c r="BD37" s="2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6"/>
      <c r="BC38" s="4"/>
      <c r="BD38" s="2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6"/>
      <c r="BC39" s="4"/>
      <c r="BD39" s="2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6"/>
      <c r="BC40" s="4"/>
      <c r="BD40" s="2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6"/>
      <c r="BC41" s="4"/>
      <c r="BD41" s="2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6"/>
      <c r="BC42" s="4"/>
      <c r="BD42" s="2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6"/>
      <c r="BC43" s="4"/>
      <c r="BD43" s="2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6"/>
      <c r="BC44" s="4"/>
      <c r="BD44" s="2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6"/>
      <c r="BC45" s="4"/>
      <c r="BD45" s="2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6"/>
      <c r="BC46" s="4"/>
      <c r="BD46" s="2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6"/>
      <c r="BC47" s="4"/>
      <c r="BD47" s="2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6"/>
      <c r="BC48" s="4"/>
      <c r="BD48" s="2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6"/>
      <c r="BC49" s="4"/>
      <c r="BD49" s="2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6"/>
      <c r="BC50" s="4"/>
      <c r="BD50" s="2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6"/>
      <c r="BC51" s="4"/>
      <c r="BD51" s="2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6"/>
      <c r="BC52" s="4"/>
      <c r="BD52" s="2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6"/>
      <c r="BC53" s="4"/>
      <c r="BD53" s="2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6"/>
      <c r="BC54" s="4"/>
      <c r="BD54" s="2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6"/>
      <c r="BC55" s="4"/>
      <c r="BD55" s="2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6"/>
      <c r="BC56" s="4"/>
      <c r="BD56" s="2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6"/>
      <c r="BC57" s="4"/>
      <c r="BD57" s="2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6"/>
      <c r="BC58" s="4"/>
      <c r="BD58" s="2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6"/>
      <c r="BC59" s="4"/>
      <c r="BD59" s="2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6"/>
      <c r="BC60" s="4"/>
      <c r="BD60" s="2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6"/>
      <c r="BC61" s="4"/>
      <c r="BD61" s="2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6"/>
      <c r="BC62" s="4"/>
      <c r="BD62" s="2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6"/>
      <c r="BC63" s="4"/>
      <c r="BD63" s="2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6"/>
      <c r="BC64" s="4"/>
      <c r="BD64" s="2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6"/>
      <c r="BC65" s="4"/>
      <c r="BD65" s="2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6"/>
      <c r="BC66" s="4"/>
      <c r="BD66" s="2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6"/>
      <c r="BC67" s="4"/>
      <c r="BD67" s="2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6"/>
      <c r="BC68" s="4"/>
      <c r="BD68" s="2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6"/>
      <c r="BC69" s="4"/>
      <c r="BD69" s="2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6"/>
      <c r="BC70" s="4"/>
      <c r="BD70" s="2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6"/>
      <c r="BC71" s="4"/>
      <c r="BD71" s="2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6"/>
      <c r="BC72" s="4"/>
      <c r="BD72" s="2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6"/>
      <c r="BC73" s="4"/>
      <c r="BD73" s="2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6"/>
      <c r="BC74" s="4"/>
      <c r="BD74" s="2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6"/>
      <c r="BC75" s="4"/>
      <c r="BD75" s="2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6"/>
      <c r="BC76" s="4"/>
      <c r="BD76" s="2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6"/>
      <c r="BC77" s="4"/>
      <c r="BD77" s="2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6"/>
      <c r="BC78" s="4"/>
      <c r="BD78" s="2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6"/>
      <c r="BC79" s="4"/>
      <c r="BD79" s="2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6"/>
      <c r="BC80" s="4"/>
      <c r="BD80" s="2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6"/>
      <c r="BC81" s="4"/>
      <c r="BD81" s="2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6"/>
      <c r="BC82" s="4"/>
      <c r="BD82" s="2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6"/>
      <c r="BC83" s="4"/>
      <c r="BD83" s="2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6"/>
      <c r="BC84" s="4"/>
      <c r="BD84" s="2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6"/>
      <c r="BC85" s="4"/>
      <c r="BD85" s="2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6"/>
      <c r="BC86" s="4"/>
      <c r="BD86" s="2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6"/>
      <c r="BC87" s="4"/>
      <c r="BD87" s="2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6"/>
      <c r="BC88" s="4"/>
      <c r="BD88" s="2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6"/>
      <c r="BC89" s="4"/>
      <c r="BD89" s="2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6"/>
      <c r="BC90" s="4"/>
      <c r="BD90" s="2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6"/>
      <c r="BC91" s="4"/>
      <c r="BD91" s="2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6"/>
      <c r="BC92" s="4"/>
      <c r="BD92" s="2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6"/>
      <c r="BC93" s="4"/>
      <c r="BD93" s="2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6"/>
      <c r="BC94" s="4"/>
      <c r="BD94" s="2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6"/>
      <c r="BC95" s="4"/>
      <c r="BD95" s="2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6"/>
      <c r="BC96" s="4"/>
      <c r="BD96" s="2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6"/>
      <c r="BC97" s="4"/>
      <c r="BD97" s="2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6"/>
      <c r="BC98" s="4"/>
      <c r="BD98" s="2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6"/>
      <c r="BC99" s="4"/>
      <c r="BD99" s="2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6"/>
      <c r="BC100" s="4"/>
      <c r="BD100" s="2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6"/>
      <c r="BC101" s="4"/>
      <c r="BD101" s="2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6"/>
      <c r="BC102" s="4"/>
      <c r="BD102" s="2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6"/>
      <c r="BC103" s="4"/>
      <c r="BD103" s="2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6"/>
      <c r="BC104" s="4"/>
      <c r="BD104" s="2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6"/>
      <c r="BC105" s="4"/>
      <c r="BD105" s="2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6"/>
      <c r="BC106" s="4"/>
      <c r="BD106" s="2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6"/>
      <c r="BC107" s="4"/>
      <c r="BD107" s="2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6"/>
      <c r="BC108" s="4"/>
      <c r="BD108" s="2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6"/>
      <c r="BC109" s="4"/>
      <c r="BD109" s="2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6"/>
      <c r="BC110" s="4"/>
      <c r="BD110" s="2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6"/>
      <c r="BC111" s="4"/>
      <c r="BD111" s="2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6"/>
      <c r="BC112" s="4"/>
      <c r="BD112" s="2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6"/>
      <c r="BC113" s="4"/>
      <c r="BD113" s="2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6"/>
      <c r="BC114" s="4"/>
      <c r="BD114" s="2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6"/>
      <c r="BC115" s="4"/>
      <c r="BD115" s="2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6"/>
      <c r="BC116" s="4"/>
      <c r="BD116" s="2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6"/>
      <c r="BC117" s="4"/>
      <c r="BD117" s="2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6"/>
      <c r="BC118" s="4"/>
      <c r="BD118" s="2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6"/>
      <c r="BC119" s="4"/>
      <c r="BD119" s="2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6"/>
      <c r="BC120" s="4"/>
      <c r="BD120" s="2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6"/>
      <c r="BC121" s="4"/>
      <c r="BD121" s="2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6"/>
      <c r="BC122" s="4"/>
      <c r="BD122" s="2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6"/>
      <c r="BC123" s="4"/>
      <c r="BD123" s="2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6"/>
      <c r="BC124" s="4"/>
      <c r="BD124" s="2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6"/>
      <c r="BC125" s="4"/>
      <c r="BD125" s="2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6"/>
      <c r="BC126" s="4"/>
      <c r="BD126" s="2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6"/>
      <c r="BC127" s="4"/>
      <c r="BD127" s="2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6"/>
      <c r="BC128" s="4"/>
      <c r="BD128" s="2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6"/>
      <c r="BC129" s="4"/>
      <c r="BD129" s="2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6"/>
      <c r="BC130" s="4"/>
      <c r="BD130" s="2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6"/>
      <c r="BC131" s="4"/>
      <c r="BD131" s="2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6"/>
      <c r="BC132" s="4"/>
      <c r="BD132" s="2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6"/>
      <c r="BC133" s="4"/>
      <c r="BD133" s="2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6"/>
      <c r="BC134" s="4"/>
      <c r="BD134" s="2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6"/>
      <c r="BC135" s="4"/>
      <c r="BD135" s="2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6"/>
      <c r="BC136" s="4"/>
      <c r="BD136" s="2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6"/>
      <c r="BC137" s="4"/>
      <c r="BD137" s="2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6"/>
      <c r="BC138" s="4"/>
      <c r="BD138" s="2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6"/>
      <c r="BC139" s="4"/>
      <c r="BD139" s="2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6"/>
      <c r="BC140" s="4"/>
      <c r="BD140" s="2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6"/>
      <c r="BC141" s="4"/>
      <c r="BD141" s="2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6"/>
      <c r="BC142" s="4"/>
      <c r="BD142" s="2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6"/>
      <c r="BC143" s="4"/>
      <c r="BD143" s="2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6"/>
      <c r="BC144" s="4"/>
      <c r="BD144" s="2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6"/>
      <c r="BC145" s="4"/>
      <c r="BD145" s="2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6"/>
      <c r="BC146" s="4"/>
      <c r="BD146" s="2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6"/>
      <c r="BC147" s="4"/>
      <c r="BD147" s="2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6"/>
      <c r="BC148" s="4"/>
      <c r="BD148" s="2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6"/>
      <c r="BC149" s="4"/>
      <c r="BD149" s="2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6"/>
      <c r="BC150" s="4"/>
      <c r="BD150" s="2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6"/>
      <c r="BC151" s="4"/>
      <c r="BD151" s="2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6"/>
      <c r="BC152" s="4"/>
      <c r="BD152" s="2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6"/>
      <c r="BC153" s="4"/>
      <c r="BD153" s="2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6"/>
      <c r="BC154" s="4"/>
      <c r="BD154" s="2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6"/>
      <c r="BC155" s="4"/>
      <c r="BD155" s="2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6"/>
      <c r="BC156" s="4"/>
      <c r="BD156" s="2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6"/>
      <c r="BC157" s="4"/>
      <c r="BD157" s="2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6"/>
      <c r="BC158" s="4"/>
      <c r="BD158" s="2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6"/>
      <c r="BC159" s="4"/>
      <c r="BD159" s="2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6"/>
      <c r="BC160" s="4"/>
      <c r="BD160" s="2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6"/>
      <c r="BC161" s="4"/>
      <c r="BD161" s="2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6"/>
      <c r="BC162" s="4"/>
      <c r="BD162" s="2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6"/>
      <c r="BC163" s="4"/>
      <c r="BD163" s="2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6"/>
      <c r="BC164" s="4"/>
      <c r="BD164" s="2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6"/>
      <c r="BC165" s="4"/>
      <c r="BD165" s="2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6"/>
      <c r="BC166" s="4"/>
      <c r="BD166" s="2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6"/>
      <c r="BC167" s="4"/>
      <c r="BD167" s="2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6"/>
      <c r="BC168" s="4"/>
      <c r="BD168" s="2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6"/>
      <c r="BC169" s="4"/>
      <c r="BD169" s="2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6"/>
      <c r="BC170" s="4"/>
      <c r="BD170" s="2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6"/>
      <c r="BC171" s="4"/>
      <c r="BD171" s="2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6"/>
      <c r="BC172" s="4"/>
      <c r="BD172" s="2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6"/>
      <c r="BC173" s="4"/>
      <c r="BD173" s="2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6"/>
      <c r="BC174" s="4"/>
      <c r="BD174" s="2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6"/>
      <c r="BC175" s="4"/>
      <c r="BD175" s="2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6"/>
      <c r="BC176" s="4"/>
      <c r="BD176" s="2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6"/>
      <c r="BC177" s="4"/>
      <c r="BD177" s="2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6"/>
      <c r="BC178" s="4"/>
      <c r="BD178" s="2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6"/>
      <c r="BC179" s="4"/>
      <c r="BD179" s="2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6"/>
      <c r="BC180" s="4"/>
      <c r="BD180" s="2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6"/>
      <c r="BC181" s="4"/>
      <c r="BD181" s="2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6"/>
      <c r="BC182" s="4"/>
      <c r="BD182" s="2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6"/>
      <c r="BC183" s="4"/>
      <c r="BD183" s="2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6"/>
      <c r="BC184" s="4"/>
      <c r="BD184" s="2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6"/>
      <c r="BC185" s="4"/>
      <c r="BD185" s="2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6"/>
      <c r="BC186" s="4"/>
      <c r="BD186" s="2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6"/>
      <c r="BC187" s="4"/>
      <c r="BD187" s="2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6"/>
      <c r="BC188" s="4"/>
      <c r="BD188" s="2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6"/>
      <c r="BC189" s="4"/>
      <c r="BD189" s="2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6"/>
      <c r="BC190" s="4"/>
      <c r="BD190" s="2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6"/>
      <c r="BC191" s="4"/>
      <c r="BD191" s="2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6"/>
      <c r="BC192" s="4"/>
      <c r="BD192" s="2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6"/>
      <c r="BC193" s="4"/>
      <c r="BD193" s="2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6"/>
      <c r="BC194" s="4"/>
      <c r="BD194" s="2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6"/>
      <c r="BC195" s="4"/>
      <c r="BD195" s="2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6"/>
      <c r="BC196" s="4"/>
      <c r="BD196" s="2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6"/>
      <c r="BC197" s="4"/>
      <c r="BD197" s="26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="80" zoomScaleNormal="80" workbookViewId="0">
      <selection activeCell="E22" sqref="E2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17" style="1" bestFit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6" hidden="1" customWidth="1" outlineLevel="1"/>
    <col min="55" max="55" width="13.28515625" style="4" hidden="1" customWidth="1" outlineLevel="1"/>
    <col min="56" max="56" width="13" style="2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SUM(AA3:AA49)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3" t="s">
        <v>0</v>
      </c>
      <c r="BA1" s="44"/>
      <c r="BB1" s="44"/>
      <c r="BC1" s="44"/>
      <c r="BD1" s="44"/>
      <c r="BE1" s="44"/>
      <c r="BF1" s="4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69</v>
      </c>
      <c r="G2" s="10" t="s">
        <v>6</v>
      </c>
      <c r="H2" s="10" t="s">
        <v>7</v>
      </c>
      <c r="I2" s="10" t="s">
        <v>8</v>
      </c>
      <c r="J2" s="10" t="s">
        <v>70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68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64</v>
      </c>
      <c r="AC2" s="15" t="s">
        <v>65</v>
      </c>
      <c r="AD2" s="15" t="s">
        <v>66</v>
      </c>
      <c r="AE2" s="15" t="s">
        <v>67</v>
      </c>
      <c r="AF2" s="15" t="s">
        <v>25</v>
      </c>
      <c r="AG2" s="15" t="s">
        <v>26</v>
      </c>
      <c r="AH2" s="14" t="s">
        <v>27</v>
      </c>
      <c r="AI2" s="34" t="s">
        <v>63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39" t="s">
        <v>75</v>
      </c>
      <c r="AW2" s="39" t="s">
        <v>76</v>
      </c>
      <c r="AX2" s="39" t="s">
        <v>77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6"/>
      <c r="BC3" s="4"/>
      <c r="BD3" s="26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6"/>
      <c r="BC4" s="4"/>
      <c r="BD4" s="26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6"/>
      <c r="BC5" s="4"/>
      <c r="BD5" s="26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6"/>
      <c r="BC6" s="4"/>
      <c r="BD6" s="26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6"/>
      <c r="BC7" s="4"/>
      <c r="BD7" s="26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6"/>
      <c r="BC8" s="4"/>
      <c r="BD8" s="26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6"/>
      <c r="BC9" s="4"/>
      <c r="BD9" s="26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6"/>
      <c r="BC10" s="4"/>
      <c r="BD10" s="26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6"/>
      <c r="BC11" s="4"/>
      <c r="BD11" s="26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6"/>
      <c r="BC12" s="4"/>
      <c r="BD12" s="26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6"/>
      <c r="BC13" s="4"/>
      <c r="BD13" s="2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6"/>
      <c r="BC14" s="4"/>
      <c r="BD14" s="2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6"/>
      <c r="BC15" s="4"/>
      <c r="BD15" s="2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6"/>
      <c r="BC16" s="4"/>
      <c r="BD16" s="2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6"/>
      <c r="BC17" s="4"/>
      <c r="BD17" s="2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6"/>
      <c r="BC18" s="4"/>
      <c r="BD18" s="2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6"/>
      <c r="BC19" s="4"/>
      <c r="BD19" s="2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6"/>
      <c r="BC20" s="4"/>
      <c r="BD20" s="2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6"/>
      <c r="BC21" s="4"/>
      <c r="BD21" s="2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6"/>
      <c r="BC22" s="4"/>
      <c r="BD22" s="2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6"/>
      <c r="BC23" s="4"/>
      <c r="BD23" s="2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6"/>
      <c r="BC24" s="4"/>
      <c r="BD24" s="2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6"/>
      <c r="BC25" s="4"/>
      <c r="BD25" s="2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6"/>
      <c r="BC26" s="4"/>
      <c r="BD26" s="2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6"/>
      <c r="BC27" s="4"/>
      <c r="BD27" s="2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6"/>
      <c r="BC28" s="4"/>
      <c r="BD28" s="2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6"/>
      <c r="BC29" s="4"/>
      <c r="BD29" s="2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6"/>
      <c r="BC30" s="4"/>
      <c r="BD30" s="2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6"/>
      <c r="BC31" s="4"/>
      <c r="BD31" s="2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6"/>
      <c r="BC32" s="4"/>
      <c r="BD32" s="2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6"/>
      <c r="BC33" s="4"/>
      <c r="BD33" s="2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6"/>
      <c r="BC34" s="4"/>
      <c r="BD34" s="2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6"/>
      <c r="BC35" s="4"/>
      <c r="BD35" s="2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6"/>
      <c r="BC36" s="4"/>
      <c r="BD36" s="2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6"/>
      <c r="BC37" s="4"/>
      <c r="BD37" s="2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6"/>
      <c r="BC38" s="4"/>
      <c r="BD38" s="2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6"/>
      <c r="BC39" s="4"/>
      <c r="BD39" s="2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6"/>
      <c r="BC40" s="4"/>
      <c r="BD40" s="2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6"/>
      <c r="BC41" s="4"/>
      <c r="BD41" s="2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6"/>
      <c r="BC42" s="4"/>
      <c r="BD42" s="2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6"/>
      <c r="BC43" s="4"/>
      <c r="BD43" s="2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6"/>
      <c r="BC44" s="4"/>
      <c r="BD44" s="2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6"/>
      <c r="BC45" s="4"/>
      <c r="BD45" s="2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6"/>
      <c r="BC46" s="4"/>
      <c r="BD46" s="2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6"/>
      <c r="BC47" s="4"/>
      <c r="BD47" s="2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6"/>
      <c r="BC48" s="4"/>
      <c r="BD48" s="2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6"/>
      <c r="BC49" s="4"/>
      <c r="BD49" s="2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6"/>
      <c r="BC50" s="4"/>
      <c r="BD50" s="2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6"/>
      <c r="BC51" s="4"/>
      <c r="BD51" s="2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6"/>
      <c r="BC52" s="4"/>
      <c r="BD52" s="2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6"/>
      <c r="BC53" s="4"/>
      <c r="BD53" s="2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6"/>
      <c r="BC54" s="4"/>
      <c r="BD54" s="2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6"/>
      <c r="BC55" s="4"/>
      <c r="BD55" s="2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6"/>
      <c r="BC56" s="4"/>
      <c r="BD56" s="2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6"/>
      <c r="BC57" s="4"/>
      <c r="BD57" s="2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6"/>
      <c r="BC58" s="4"/>
      <c r="BD58" s="2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6"/>
      <c r="BC59" s="4"/>
      <c r="BD59" s="2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6"/>
      <c r="BC60" s="4"/>
      <c r="BD60" s="2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6"/>
      <c r="BC61" s="4"/>
      <c r="BD61" s="2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6"/>
      <c r="BC62" s="4"/>
      <c r="BD62" s="2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6"/>
      <c r="BC63" s="4"/>
      <c r="BD63" s="2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6"/>
      <c r="BC64" s="4"/>
      <c r="BD64" s="2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6"/>
      <c r="BC65" s="4"/>
      <c r="BD65" s="2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6"/>
      <c r="BC66" s="4"/>
      <c r="BD66" s="2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6"/>
      <c r="BC67" s="4"/>
      <c r="BD67" s="2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6"/>
      <c r="BC68" s="4"/>
      <c r="BD68" s="2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6"/>
      <c r="BC69" s="4"/>
      <c r="BD69" s="2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6"/>
      <c r="BC70" s="4"/>
      <c r="BD70" s="2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6"/>
      <c r="BC71" s="4"/>
      <c r="BD71" s="2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6"/>
      <c r="BC72" s="4"/>
      <c r="BD72" s="2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6"/>
      <c r="BC73" s="4"/>
      <c r="BD73" s="2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6"/>
      <c r="BC74" s="4"/>
      <c r="BD74" s="2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6"/>
      <c r="BC75" s="4"/>
      <c r="BD75" s="2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6"/>
      <c r="BC76" s="4"/>
      <c r="BD76" s="2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6"/>
      <c r="BC77" s="4"/>
      <c r="BD77" s="2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6"/>
      <c r="BC78" s="4"/>
      <c r="BD78" s="2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6"/>
      <c r="BC79" s="4"/>
      <c r="BD79" s="2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6"/>
      <c r="BC80" s="4"/>
      <c r="BD80" s="2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6"/>
      <c r="BC81" s="4"/>
      <c r="BD81" s="2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6"/>
      <c r="BC82" s="4"/>
      <c r="BD82" s="2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6"/>
      <c r="BC83" s="4"/>
      <c r="BD83" s="2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6"/>
      <c r="BC84" s="4"/>
      <c r="BD84" s="2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6"/>
      <c r="BC85" s="4"/>
      <c r="BD85" s="2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6"/>
      <c r="BC86" s="4"/>
      <c r="BD86" s="2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6"/>
      <c r="BC87" s="4"/>
      <c r="BD87" s="2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6"/>
      <c r="BC88" s="4"/>
      <c r="BD88" s="2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6"/>
      <c r="BC89" s="4"/>
      <c r="BD89" s="2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6"/>
      <c r="BC90" s="4"/>
      <c r="BD90" s="2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6"/>
      <c r="BC91" s="4"/>
      <c r="BD91" s="2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6"/>
      <c r="BC92" s="4"/>
      <c r="BD92" s="2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6"/>
      <c r="BC93" s="4"/>
      <c r="BD93" s="2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6"/>
      <c r="BC94" s="4"/>
      <c r="BD94" s="2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6"/>
      <c r="BC95" s="4"/>
      <c r="BD95" s="2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6"/>
      <c r="BC96" s="4"/>
      <c r="BD96" s="2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6"/>
      <c r="BC97" s="4"/>
      <c r="BD97" s="2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6"/>
      <c r="BC98" s="4"/>
      <c r="BD98" s="2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6"/>
      <c r="BC99" s="4"/>
      <c r="BD99" s="2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6"/>
      <c r="BC100" s="4"/>
      <c r="BD100" s="2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6"/>
      <c r="BC101" s="4"/>
      <c r="BD101" s="2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6"/>
      <c r="BC102" s="4"/>
      <c r="BD102" s="2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6"/>
      <c r="BC103" s="4"/>
      <c r="BD103" s="2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6"/>
      <c r="BC104" s="4"/>
      <c r="BD104" s="2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6"/>
      <c r="BC105" s="4"/>
      <c r="BD105" s="2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6"/>
      <c r="BC106" s="4"/>
      <c r="BD106" s="2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6"/>
      <c r="BC107" s="4"/>
      <c r="BD107" s="2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6"/>
      <c r="BC108" s="4"/>
      <c r="BD108" s="2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6"/>
      <c r="BC109" s="4"/>
      <c r="BD109" s="2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6"/>
      <c r="BC110" s="4"/>
      <c r="BD110" s="2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6"/>
      <c r="BC111" s="4"/>
      <c r="BD111" s="2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6"/>
      <c r="BC112" s="4"/>
      <c r="BD112" s="2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6"/>
      <c r="BC113" s="4"/>
      <c r="BD113" s="2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6"/>
      <c r="BC114" s="4"/>
      <c r="BD114" s="2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6"/>
      <c r="BC115" s="4"/>
      <c r="BD115" s="2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6"/>
      <c r="BC116" s="4"/>
      <c r="BD116" s="2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6"/>
      <c r="BC117" s="4"/>
      <c r="BD117" s="2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6"/>
      <c r="BC118" s="4"/>
      <c r="BD118" s="2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6"/>
      <c r="BC119" s="4"/>
      <c r="BD119" s="2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6"/>
      <c r="BC120" s="4"/>
      <c r="BD120" s="2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6"/>
      <c r="BC121" s="4"/>
      <c r="BD121" s="2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6"/>
      <c r="BC122" s="4"/>
      <c r="BD122" s="2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6"/>
      <c r="BC123" s="4"/>
      <c r="BD123" s="2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6"/>
      <c r="BC124" s="4"/>
      <c r="BD124" s="2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6"/>
      <c r="BC125" s="4"/>
      <c r="BD125" s="2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6"/>
      <c r="BC126" s="4"/>
      <c r="BD126" s="2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6"/>
      <c r="BC127" s="4"/>
      <c r="BD127" s="2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6"/>
      <c r="BC128" s="4"/>
      <c r="BD128" s="2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6"/>
      <c r="BC129" s="4"/>
      <c r="BD129" s="2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6"/>
      <c r="BC130" s="4"/>
      <c r="BD130" s="2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6"/>
      <c r="BC131" s="4"/>
      <c r="BD131" s="2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6"/>
      <c r="BC132" s="4"/>
      <c r="BD132" s="2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6"/>
      <c r="BC133" s="4"/>
      <c r="BD133" s="2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6"/>
      <c r="BC134" s="4"/>
      <c r="BD134" s="2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6"/>
      <c r="BC135" s="4"/>
      <c r="BD135" s="2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6"/>
      <c r="BC136" s="4"/>
      <c r="BD136" s="2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6"/>
      <c r="BC137" s="4"/>
      <c r="BD137" s="2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6"/>
      <c r="BC138" s="4"/>
      <c r="BD138" s="2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6"/>
      <c r="BC139" s="4"/>
      <c r="BD139" s="2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6"/>
      <c r="BC140" s="4"/>
      <c r="BD140" s="2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6"/>
      <c r="BC141" s="4"/>
      <c r="BD141" s="2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6"/>
      <c r="BC142" s="4"/>
      <c r="BD142" s="2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6"/>
      <c r="BC143" s="4"/>
      <c r="BD143" s="2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6"/>
      <c r="BC144" s="4"/>
      <c r="BD144" s="2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6"/>
      <c r="BC145" s="4"/>
      <c r="BD145" s="2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6"/>
      <c r="BC146" s="4"/>
      <c r="BD146" s="2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6"/>
      <c r="BC147" s="4"/>
      <c r="BD147" s="2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6"/>
      <c r="BC148" s="4"/>
      <c r="BD148" s="2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6"/>
      <c r="BC149" s="4"/>
      <c r="BD149" s="2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6"/>
      <c r="BC150" s="4"/>
      <c r="BD150" s="2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6"/>
      <c r="BC151" s="4"/>
      <c r="BD151" s="2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6"/>
      <c r="BC152" s="4"/>
      <c r="BD152" s="2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6"/>
      <c r="BC153" s="4"/>
      <c r="BD153" s="2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6"/>
      <c r="BC154" s="4"/>
      <c r="BD154" s="2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6"/>
      <c r="BC155" s="4"/>
      <c r="BD155" s="2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6"/>
      <c r="BC156" s="4"/>
      <c r="BD156" s="2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6"/>
      <c r="BC157" s="4"/>
      <c r="BD157" s="2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6"/>
      <c r="BC158" s="4"/>
      <c r="BD158" s="2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6"/>
      <c r="BC159" s="4"/>
      <c r="BD159" s="2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6"/>
      <c r="BC160" s="4"/>
      <c r="BD160" s="2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6"/>
      <c r="BC161" s="4"/>
      <c r="BD161" s="2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6"/>
      <c r="BC162" s="4"/>
      <c r="BD162" s="2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6"/>
      <c r="BC163" s="4"/>
      <c r="BD163" s="2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6"/>
      <c r="BC164" s="4"/>
      <c r="BD164" s="2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6"/>
      <c r="BC165" s="4"/>
      <c r="BD165" s="2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6"/>
      <c r="BC166" s="4"/>
      <c r="BD166" s="2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6"/>
      <c r="BC167" s="4"/>
      <c r="BD167" s="2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6"/>
      <c r="BC168" s="4"/>
      <c r="BD168" s="2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6"/>
      <c r="BC169" s="4"/>
      <c r="BD169" s="2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6"/>
      <c r="BC170" s="4"/>
      <c r="BD170" s="2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6"/>
      <c r="BC171" s="4"/>
      <c r="BD171" s="2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6"/>
      <c r="BC172" s="4"/>
      <c r="BD172" s="2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6"/>
      <c r="BC173" s="4"/>
      <c r="BD173" s="2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6"/>
      <c r="BC174" s="4"/>
      <c r="BD174" s="2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6"/>
      <c r="BC175" s="4"/>
      <c r="BD175" s="2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6"/>
      <c r="BC176" s="4"/>
      <c r="BD176" s="2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6"/>
      <c r="BC177" s="4"/>
      <c r="BD177" s="2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6"/>
      <c r="BC178" s="4"/>
      <c r="BD178" s="2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6"/>
      <c r="BC179" s="4"/>
      <c r="BD179" s="2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6"/>
      <c r="BC180" s="4"/>
      <c r="BD180" s="2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6"/>
      <c r="BC181" s="4"/>
      <c r="BD181" s="2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6"/>
      <c r="BC182" s="4"/>
      <c r="BD182" s="2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6"/>
      <c r="BC183" s="4"/>
      <c r="BD183" s="2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6"/>
      <c r="BC184" s="4"/>
      <c r="BD184" s="2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6"/>
      <c r="BC185" s="4"/>
      <c r="BD185" s="2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6"/>
      <c r="BC186" s="4"/>
      <c r="BD186" s="2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6"/>
      <c r="BC187" s="4"/>
      <c r="BD187" s="2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6"/>
      <c r="BC188" s="4"/>
      <c r="BD188" s="2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6"/>
      <c r="BC189" s="4"/>
      <c r="BD189" s="2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6"/>
      <c r="BC190" s="4"/>
      <c r="BD190" s="2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6"/>
      <c r="BC191" s="4"/>
      <c r="BD191" s="2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6"/>
      <c r="BC192" s="4"/>
      <c r="BD192" s="26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0"/>
  <sheetViews>
    <sheetView tabSelected="1" topLeftCell="I1" zoomScale="80" zoomScaleNormal="80" workbookViewId="0">
      <selection activeCell="T8" sqref="T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8.7109375" style="1" customWidth="1"/>
    <col min="3" max="3" width="6.28515625" style="1" customWidth="1"/>
    <col min="4" max="4" width="39.7109375" style="1" customWidth="1"/>
    <col min="5" max="5" width="42.85546875" style="2" customWidth="1"/>
    <col min="6" max="6" width="26.85546875" style="2" customWidth="1" outlineLevel="1"/>
    <col min="7" max="7" width="25" style="2" customWidth="1" outlineLevel="1"/>
    <col min="8" max="8" width="70.5703125" style="2" customWidth="1" outlineLevel="1"/>
    <col min="9" max="9" width="10" style="2" customWidth="1"/>
    <col min="10" max="10" width="22.42578125" style="2" customWidth="1"/>
    <col min="11" max="11" width="29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6" hidden="1" customWidth="1" outlineLevel="1"/>
    <col min="55" max="55" width="13.28515625" style="4" hidden="1" customWidth="1" outlineLevel="1"/>
    <col min="56" max="56" width="13" style="2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SUM(AA3:AA47)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43" t="s">
        <v>0</v>
      </c>
      <c r="BA1" s="44"/>
      <c r="BB1" s="44"/>
      <c r="BC1" s="44"/>
      <c r="BD1" s="44"/>
      <c r="BE1" s="44"/>
      <c r="BF1" s="4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69</v>
      </c>
      <c r="G2" s="10" t="s">
        <v>6</v>
      </c>
      <c r="H2" s="10" t="s">
        <v>7</v>
      </c>
      <c r="I2" s="10" t="s">
        <v>8</v>
      </c>
      <c r="J2" s="10" t="s">
        <v>70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68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64</v>
      </c>
      <c r="AC2" s="15" t="s">
        <v>65</v>
      </c>
      <c r="AD2" s="15" t="s">
        <v>66</v>
      </c>
      <c r="AE2" s="15" t="s">
        <v>67</v>
      </c>
      <c r="AF2" s="15" t="s">
        <v>25</v>
      </c>
      <c r="AG2" s="15" t="s">
        <v>26</v>
      </c>
      <c r="AH2" s="14" t="s">
        <v>27</v>
      </c>
      <c r="AI2" s="34" t="s">
        <v>63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31.5" x14ac:dyDescent="0.25">
      <c r="A3" s="21"/>
      <c r="B3" s="21" t="s">
        <v>55</v>
      </c>
      <c r="C3" s="24"/>
      <c r="D3" s="28" t="s">
        <v>81</v>
      </c>
      <c r="E3" s="19" t="s">
        <v>82</v>
      </c>
      <c r="F3" s="19" t="s">
        <v>83</v>
      </c>
      <c r="G3" s="19" t="s">
        <v>83</v>
      </c>
      <c r="H3" s="19" t="s">
        <v>85</v>
      </c>
      <c r="I3" s="19">
        <f>LEN(F3)</f>
        <v>18</v>
      </c>
      <c r="J3" s="19" t="str">
        <f>IF(LEN(F3)&lt;=$J$1,F3,"")</f>
        <v>Источник времени 1</v>
      </c>
      <c r="K3" s="21" t="s">
        <v>62</v>
      </c>
      <c r="L3" s="35" t="s">
        <v>86</v>
      </c>
      <c r="M3" s="24" t="s">
        <v>51</v>
      </c>
      <c r="N3" s="24" t="s">
        <v>51</v>
      </c>
      <c r="O3" s="24"/>
      <c r="P3" s="33">
        <v>0</v>
      </c>
      <c r="Q3" s="33"/>
      <c r="R3" s="24" t="s">
        <v>52</v>
      </c>
      <c r="S3" s="24">
        <v>0</v>
      </c>
      <c r="T3" s="24">
        <v>5</v>
      </c>
      <c r="U3" s="24">
        <v>1</v>
      </c>
      <c r="V3" s="24"/>
      <c r="W3" s="24"/>
      <c r="X3" s="24">
        <v>0</v>
      </c>
      <c r="Y3" s="24">
        <v>0</v>
      </c>
      <c r="Z3" s="23"/>
      <c r="AA3" s="18">
        <v>0</v>
      </c>
      <c r="AB3" s="18"/>
      <c r="AC3" s="18"/>
      <c r="AD3" s="18"/>
      <c r="AE3" s="18"/>
      <c r="AF3" s="18">
        <v>0</v>
      </c>
      <c r="AG3" s="18">
        <v>0</v>
      </c>
      <c r="AH3" s="18">
        <v>0</v>
      </c>
      <c r="AI3" s="18"/>
      <c r="AJ3" s="22"/>
      <c r="AK3" s="22"/>
      <c r="AL3" s="22"/>
      <c r="AM3" s="22"/>
      <c r="AN3" s="22"/>
      <c r="AO3" s="22"/>
      <c r="AP3" s="22"/>
      <c r="AQ3" s="22"/>
      <c r="AR3" s="22">
        <v>0</v>
      </c>
      <c r="AS3" s="22">
        <v>0</v>
      </c>
      <c r="AT3" s="22">
        <v>0</v>
      </c>
      <c r="AU3" s="22">
        <v>0</v>
      </c>
      <c r="AV3" s="22">
        <f t="shared" ref="AV3" si="0">BIN2DEC(CONCATENATE(0,0,0,0,AR3,AS3,AT3,AU3))</f>
        <v>0</v>
      </c>
      <c r="AW3" s="22" t="s">
        <v>71</v>
      </c>
      <c r="AX3" s="22"/>
      <c r="AY3" s="33"/>
      <c r="AZ3" s="22"/>
      <c r="BA3" s="22"/>
      <c r="BB3" s="22"/>
      <c r="BC3" s="22"/>
      <c r="BD3" s="22"/>
      <c r="BE3" s="22"/>
      <c r="BF3" s="22"/>
      <c r="BG3" s="2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"Источник времени 1", note: "Источник точного времени 1 (основной)", group: "setting", minValue: 0, maxValue: 5, step: 1, units: "null", defaultValue: 0, eventRegistration: 0</v>
      </c>
    </row>
    <row r="4" spans="1:16379" s="36" customFormat="1" ht="31.5" x14ac:dyDescent="0.25">
      <c r="A4" s="21"/>
      <c r="B4" s="21" t="s">
        <v>55</v>
      </c>
      <c r="C4" s="24"/>
      <c r="D4" s="28" t="s">
        <v>81</v>
      </c>
      <c r="E4" s="19" t="s">
        <v>87</v>
      </c>
      <c r="F4" s="19" t="s">
        <v>88</v>
      </c>
      <c r="G4" s="19" t="s">
        <v>88</v>
      </c>
      <c r="H4" s="40"/>
      <c r="I4" s="19">
        <f>LEN(F4)</f>
        <v>19</v>
      </c>
      <c r="J4" s="19" t="str">
        <f>IF(LEN(F4)&lt;=$J$1,F4,"")</f>
        <v>SNTP / PTP сервер 1</v>
      </c>
      <c r="K4" s="21" t="s">
        <v>62</v>
      </c>
      <c r="L4" s="41" t="s">
        <v>89</v>
      </c>
      <c r="M4" s="24" t="s">
        <v>51</v>
      </c>
      <c r="N4" s="24" t="s">
        <v>51</v>
      </c>
      <c r="O4" s="24"/>
      <c r="P4" s="33">
        <v>0</v>
      </c>
      <c r="Q4" s="33"/>
      <c r="R4" s="24" t="s">
        <v>118</v>
      </c>
      <c r="S4" s="24">
        <v>1</v>
      </c>
      <c r="T4" s="24">
        <v>14</v>
      </c>
      <c r="U4" s="24">
        <v>1</v>
      </c>
      <c r="V4" s="24"/>
      <c r="W4" s="24"/>
      <c r="X4" s="24" t="s">
        <v>52</v>
      </c>
      <c r="Y4" s="24">
        <v>0</v>
      </c>
      <c r="Z4" s="23"/>
      <c r="AA4" s="18">
        <v>0</v>
      </c>
      <c r="AB4" s="18"/>
      <c r="AC4" s="18"/>
      <c r="AD4" s="18"/>
      <c r="AE4" s="18"/>
      <c r="AF4" s="18">
        <v>0</v>
      </c>
      <c r="AG4" s="18">
        <v>0</v>
      </c>
      <c r="AH4" s="18">
        <v>0</v>
      </c>
      <c r="AI4" s="18"/>
      <c r="AJ4" s="22"/>
      <c r="AK4" s="22"/>
      <c r="AL4" s="22"/>
      <c r="AM4" s="22"/>
      <c r="AN4" s="22"/>
      <c r="AO4" s="22"/>
      <c r="AP4" s="22"/>
      <c r="AQ4" s="22"/>
      <c r="AR4" s="22">
        <v>0</v>
      </c>
      <c r="AS4" s="22">
        <v>0</v>
      </c>
      <c r="AT4" s="22">
        <v>0</v>
      </c>
      <c r="AU4" s="22">
        <v>0</v>
      </c>
      <c r="AV4" s="22">
        <f t="shared" ref="AV4:AV5" si="1">BIN2DEC(CONCATENATE(0,0,0,0,AR4,AS4,AT4,AU4))</f>
        <v>0</v>
      </c>
      <c r="AW4" s="22" t="s">
        <v>71</v>
      </c>
      <c r="AX4" s="22"/>
      <c r="AY4" s="33"/>
      <c r="AZ4" s="22"/>
      <c r="BA4" s="22"/>
      <c r="BB4" s="22"/>
      <c r="BC4" s="22"/>
      <c r="BD4" s="22"/>
      <c r="BE4" s="22"/>
      <c r="BF4" s="22"/>
      <c r="BG4" s="20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"SNTP / PTP сервер 1", note: "Адрес сервера синхронизации времени 1", group: "setting", minValue: 1, maxValue: 14, step: 1, units: "Символ", defaultValue: null, eventRegistration: 0</v>
      </c>
    </row>
    <row r="5" spans="1:16379" s="36" customFormat="1" ht="31.5" x14ac:dyDescent="0.25">
      <c r="A5" s="21"/>
      <c r="B5" s="21" t="s">
        <v>55</v>
      </c>
      <c r="C5" s="24"/>
      <c r="D5" s="28" t="s">
        <v>81</v>
      </c>
      <c r="E5" s="19" t="s">
        <v>90</v>
      </c>
      <c r="F5" s="19" t="s">
        <v>84</v>
      </c>
      <c r="G5" s="19" t="s">
        <v>84</v>
      </c>
      <c r="H5" s="19" t="s">
        <v>85</v>
      </c>
      <c r="I5" s="19">
        <f>LEN(F5)</f>
        <v>18</v>
      </c>
      <c r="J5" s="19" t="str">
        <f>IF(LEN(F5)&lt;=$J$1,F5,"")</f>
        <v>Источник времени 2</v>
      </c>
      <c r="K5" s="21" t="s">
        <v>62</v>
      </c>
      <c r="L5" s="35" t="s">
        <v>86</v>
      </c>
      <c r="M5" s="24" t="s">
        <v>51</v>
      </c>
      <c r="N5" s="24" t="s">
        <v>51</v>
      </c>
      <c r="O5" s="24"/>
      <c r="P5" s="33">
        <v>0</v>
      </c>
      <c r="Q5" s="33"/>
      <c r="R5" s="24" t="s">
        <v>52</v>
      </c>
      <c r="S5" s="24">
        <v>0</v>
      </c>
      <c r="T5" s="24">
        <v>5</v>
      </c>
      <c r="U5" s="24">
        <v>1</v>
      </c>
      <c r="V5" s="24"/>
      <c r="W5" s="24"/>
      <c r="X5" s="24">
        <v>0</v>
      </c>
      <c r="Y5" s="24">
        <v>0</v>
      </c>
      <c r="Z5" s="23"/>
      <c r="AA5" s="18">
        <v>0</v>
      </c>
      <c r="AB5" s="18"/>
      <c r="AC5" s="18"/>
      <c r="AD5" s="18"/>
      <c r="AE5" s="18"/>
      <c r="AF5" s="18">
        <v>0</v>
      </c>
      <c r="AG5" s="18">
        <v>0</v>
      </c>
      <c r="AH5" s="18">
        <v>0</v>
      </c>
      <c r="AI5" s="18"/>
      <c r="AJ5" s="22"/>
      <c r="AK5" s="22"/>
      <c r="AL5" s="22"/>
      <c r="AM5" s="22"/>
      <c r="AN5" s="22"/>
      <c r="AO5" s="22"/>
      <c r="AP5" s="22"/>
      <c r="AQ5" s="22"/>
      <c r="AR5" s="22">
        <v>0</v>
      </c>
      <c r="AS5" s="22">
        <v>0</v>
      </c>
      <c r="AT5" s="22">
        <v>0</v>
      </c>
      <c r="AU5" s="22">
        <v>0</v>
      </c>
      <c r="AV5" s="22">
        <f t="shared" si="1"/>
        <v>0</v>
      </c>
      <c r="AW5" s="22" t="s">
        <v>71</v>
      </c>
      <c r="AX5" s="22"/>
      <c r="AY5" s="33"/>
      <c r="AZ5" s="22"/>
      <c r="BA5" s="22"/>
      <c r="BB5" s="22"/>
      <c r="BC5" s="22"/>
      <c r="BD5" s="22"/>
      <c r="BE5" s="22"/>
      <c r="BF5" s="22"/>
      <c r="BG5" s="2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"Источник времени 2", note: "Источник точного времени 2", group: "setting", minValue: 0, maxValue: 5, step: 1, units: "null", defaultValue: 0, eventRegistration: 0</v>
      </c>
    </row>
    <row r="6" spans="1:16379" s="36" customFormat="1" ht="31.5" x14ac:dyDescent="0.25">
      <c r="A6" s="21"/>
      <c r="B6" s="21" t="s">
        <v>55</v>
      </c>
      <c r="C6" s="24"/>
      <c r="D6" s="28" t="s">
        <v>81</v>
      </c>
      <c r="E6" s="19" t="s">
        <v>91</v>
      </c>
      <c r="F6" s="19" t="s">
        <v>92</v>
      </c>
      <c r="G6" s="19" t="s">
        <v>92</v>
      </c>
      <c r="H6" s="40"/>
      <c r="I6" s="19">
        <f>LEN(F6)</f>
        <v>19</v>
      </c>
      <c r="J6" s="19" t="str">
        <f>IF(LEN(F6)&lt;=$J$1,F6,"")</f>
        <v>SNTP / PTP сервер 2</v>
      </c>
      <c r="K6" s="21" t="s">
        <v>62</v>
      </c>
      <c r="L6" s="41" t="s">
        <v>89</v>
      </c>
      <c r="M6" s="24" t="s">
        <v>51</v>
      </c>
      <c r="N6" s="24" t="s">
        <v>51</v>
      </c>
      <c r="O6" s="24"/>
      <c r="P6" s="33">
        <v>0</v>
      </c>
      <c r="Q6" s="33"/>
      <c r="R6" s="24" t="s">
        <v>118</v>
      </c>
      <c r="S6" s="24">
        <v>1</v>
      </c>
      <c r="T6" s="24">
        <v>14</v>
      </c>
      <c r="U6" s="24">
        <v>1</v>
      </c>
      <c r="V6" s="24"/>
      <c r="W6" s="24"/>
      <c r="X6" s="24" t="s">
        <v>52</v>
      </c>
      <c r="Y6" s="24">
        <v>0</v>
      </c>
      <c r="Z6" s="23"/>
      <c r="AA6" s="18">
        <v>0</v>
      </c>
      <c r="AB6" s="18"/>
      <c r="AC6" s="18"/>
      <c r="AD6" s="18"/>
      <c r="AE6" s="18"/>
      <c r="AF6" s="18">
        <v>0</v>
      </c>
      <c r="AG6" s="18">
        <v>0</v>
      </c>
      <c r="AH6" s="18">
        <v>0</v>
      </c>
      <c r="AI6" s="18"/>
      <c r="AJ6" s="22"/>
      <c r="AK6" s="22"/>
      <c r="AL6" s="22"/>
      <c r="AM6" s="22"/>
      <c r="AN6" s="22"/>
      <c r="AO6" s="22"/>
      <c r="AP6" s="22"/>
      <c r="AQ6" s="22"/>
      <c r="AR6" s="22">
        <v>0</v>
      </c>
      <c r="AS6" s="22">
        <v>0</v>
      </c>
      <c r="AT6" s="22">
        <v>0</v>
      </c>
      <c r="AU6" s="22">
        <v>0</v>
      </c>
      <c r="AV6" s="22">
        <f t="shared" ref="AV6:AV8" si="2">BIN2DEC(CONCATENATE(0,0,0,0,AR6,AS6,AT6,AU6))</f>
        <v>0</v>
      </c>
      <c r="AW6" s="22" t="s">
        <v>71</v>
      </c>
      <c r="AX6" s="22"/>
      <c r="AY6" s="33"/>
      <c r="AZ6" s="22"/>
      <c r="BA6" s="22"/>
      <c r="BB6" s="22"/>
      <c r="BC6" s="22"/>
      <c r="BD6" s="22"/>
      <c r="BE6" s="22"/>
      <c r="BF6" s="22"/>
      <c r="BG6" s="20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"SNTP / PTP сервер 2", note: "Адрес сервера синхронизации времени 2", group: "setting", minValue: 1, maxValue: 14, step: 1, units: "Символ", defaultValue: null, eventRegistration: 0</v>
      </c>
    </row>
    <row r="7" spans="1:16379" s="36" customFormat="1" ht="36.75" customHeight="1" x14ac:dyDescent="0.25">
      <c r="A7" s="21"/>
      <c r="B7" s="21" t="s">
        <v>55</v>
      </c>
      <c r="C7" s="24"/>
      <c r="D7" s="28" t="s">
        <v>81</v>
      </c>
      <c r="E7" s="19" t="s">
        <v>101</v>
      </c>
      <c r="F7" s="19" t="s">
        <v>102</v>
      </c>
      <c r="G7" s="19" t="s">
        <v>102</v>
      </c>
      <c r="H7" s="19"/>
      <c r="I7" s="19">
        <f t="shared" ref="I7:I8" si="3">LEN(F7)</f>
        <v>25</v>
      </c>
      <c r="J7" s="19" t="str">
        <f t="shared" ref="J7:J8" si="4">IF(LEN(F7)&lt;=$J$1,F7,"")</f>
        <v/>
      </c>
      <c r="K7" s="21" t="s">
        <v>93</v>
      </c>
      <c r="L7" s="35" t="s">
        <v>89</v>
      </c>
      <c r="M7" s="24" t="s">
        <v>51</v>
      </c>
      <c r="N7" s="24" t="s">
        <v>51</v>
      </c>
      <c r="O7" s="24"/>
      <c r="P7" s="33">
        <v>2</v>
      </c>
      <c r="Q7" s="33" t="s">
        <v>94</v>
      </c>
      <c r="R7" s="24" t="s">
        <v>103</v>
      </c>
      <c r="S7" s="24">
        <v>-720</v>
      </c>
      <c r="T7" s="24">
        <v>720</v>
      </c>
      <c r="U7" s="24">
        <v>30</v>
      </c>
      <c r="V7" s="24"/>
      <c r="W7" s="24"/>
      <c r="X7" s="24">
        <v>180</v>
      </c>
      <c r="Y7" s="24">
        <v>0</v>
      </c>
      <c r="Z7" s="23"/>
      <c r="AA7" s="18">
        <v>0</v>
      </c>
      <c r="AB7" s="18"/>
      <c r="AC7" s="18"/>
      <c r="AD7" s="18"/>
      <c r="AE7" s="18"/>
      <c r="AF7" s="18">
        <v>0</v>
      </c>
      <c r="AG7" s="18">
        <v>0</v>
      </c>
      <c r="AH7" s="18">
        <v>0</v>
      </c>
      <c r="AI7" s="18" t="s">
        <v>96</v>
      </c>
      <c r="AJ7" s="22" t="s">
        <v>97</v>
      </c>
      <c r="AK7" s="22" t="s">
        <v>98</v>
      </c>
      <c r="AL7" s="22" t="s">
        <v>99</v>
      </c>
      <c r="AM7" s="22" t="s">
        <v>89</v>
      </c>
      <c r="AN7" s="22"/>
      <c r="AO7" s="22" t="s">
        <v>100</v>
      </c>
      <c r="AP7" s="25" t="str">
        <f t="shared" ref="AP7" si="5">CONCATENATE(AJ7, ".", AL7)</f>
        <v>GENRBRF1.FailTmms.setVal</v>
      </c>
      <c r="AQ7" s="22" t="s">
        <v>54</v>
      </c>
      <c r="AR7" s="22">
        <v>0</v>
      </c>
      <c r="AS7" s="22">
        <v>0</v>
      </c>
      <c r="AT7" s="22">
        <v>0</v>
      </c>
      <c r="AU7" s="22">
        <v>0</v>
      </c>
      <c r="AV7" s="22">
        <f t="shared" si="2"/>
        <v>0</v>
      </c>
      <c r="AW7" s="22"/>
      <c r="AX7" s="22"/>
      <c r="AY7" s="33"/>
      <c r="AZ7" s="22"/>
      <c r="BA7" s="22"/>
      <c r="BB7" s="22"/>
      <c r="BC7" s="22"/>
      <c r="BD7" s="22"/>
      <c r="BE7" s="22"/>
      <c r="BF7" s="22"/>
      <c r="BG7" s="20" t="str">
        <f t="shared" ref="BG7:BG8" si="6">CONCATENATE("description: """,F7,"""", ", ", "note: """,E7,"""",", ","group: """, B7, """",", ","minValue: ", S7,", ","maxValue: ", T7,", ","step: ", U7,", ","units: """, R7, """",", ","defaultValue: ", X7,", ","eventRegistration: ", Y7,)</f>
        <v>description: "Смещение времени от UTC+0", note: "Смещение локального времени от UTC+0", group: "setting", minValue: -720, maxValue: 720, step: 30, units: "мин", defaultValue: 180, eventRegistration: 0</v>
      </c>
    </row>
    <row r="8" spans="1:16379" s="36" customFormat="1" ht="31.5" x14ac:dyDescent="0.25">
      <c r="A8" s="21"/>
      <c r="B8" s="21" t="s">
        <v>55</v>
      </c>
      <c r="C8" s="24"/>
      <c r="D8" s="28" t="s">
        <v>81</v>
      </c>
      <c r="E8" s="19" t="s">
        <v>105</v>
      </c>
      <c r="F8" s="19" t="s">
        <v>106</v>
      </c>
      <c r="G8" s="19" t="s">
        <v>106</v>
      </c>
      <c r="H8" s="40" t="s">
        <v>104</v>
      </c>
      <c r="I8" s="19">
        <f t="shared" si="3"/>
        <v>28</v>
      </c>
      <c r="J8" s="19" t="str">
        <f t="shared" si="4"/>
        <v/>
      </c>
      <c r="K8" s="21" t="s">
        <v>62</v>
      </c>
      <c r="L8" s="41" t="s">
        <v>53</v>
      </c>
      <c r="M8" s="24" t="s">
        <v>51</v>
      </c>
      <c r="N8" s="24" t="s">
        <v>51</v>
      </c>
      <c r="O8" s="24"/>
      <c r="P8" s="33">
        <v>0</v>
      </c>
      <c r="Q8" s="33"/>
      <c r="R8" s="24" t="s">
        <v>52</v>
      </c>
      <c r="S8" s="24">
        <v>0</v>
      </c>
      <c r="T8" s="24">
        <v>1</v>
      </c>
      <c r="U8" s="24">
        <v>1</v>
      </c>
      <c r="V8" s="24"/>
      <c r="W8" s="24"/>
      <c r="X8" s="24">
        <v>0</v>
      </c>
      <c r="Y8" s="24">
        <v>0</v>
      </c>
      <c r="Z8" s="23"/>
      <c r="AA8" s="18">
        <v>0</v>
      </c>
      <c r="AB8" s="18"/>
      <c r="AC8" s="18"/>
      <c r="AD8" s="18"/>
      <c r="AE8" s="18"/>
      <c r="AF8" s="18">
        <v>0</v>
      </c>
      <c r="AG8" s="18">
        <v>0</v>
      </c>
      <c r="AH8" s="18">
        <v>0</v>
      </c>
      <c r="AI8" s="18"/>
      <c r="AJ8" s="22"/>
      <c r="AK8" s="22"/>
      <c r="AL8" s="22"/>
      <c r="AM8" s="22"/>
      <c r="AN8" s="22"/>
      <c r="AO8" s="22"/>
      <c r="AP8" s="22"/>
      <c r="AQ8" s="22"/>
      <c r="AR8" s="22">
        <v>0</v>
      </c>
      <c r="AS8" s="22">
        <v>0</v>
      </c>
      <c r="AT8" s="22">
        <v>0</v>
      </c>
      <c r="AU8" s="22">
        <v>0</v>
      </c>
      <c r="AV8" s="22">
        <f t="shared" si="2"/>
        <v>0</v>
      </c>
      <c r="AW8" s="22" t="s">
        <v>71</v>
      </c>
      <c r="AX8" s="22"/>
      <c r="AY8" s="33"/>
      <c r="AZ8" s="22"/>
      <c r="BA8" s="22"/>
      <c r="BB8" s="22"/>
      <c r="BC8" s="22"/>
      <c r="BD8" s="22"/>
      <c r="BE8" s="22"/>
      <c r="BF8" s="22"/>
      <c r="BG8" s="20" t="str">
        <f t="shared" si="6"/>
        <v>description: "Авт. переход на летнее время", note: "Флаг использования летнего времени", group: "setting", minValue: 0, maxValue: 1, step: 1, units: "null", defaultValue: 0, eventRegistration: 0</v>
      </c>
    </row>
    <row r="9" spans="1:16379" s="36" customFormat="1" ht="36.75" customHeight="1" x14ac:dyDescent="0.25">
      <c r="A9" s="21"/>
      <c r="B9" s="21" t="s">
        <v>55</v>
      </c>
      <c r="C9" s="24"/>
      <c r="D9" s="28" t="s">
        <v>81</v>
      </c>
      <c r="E9" s="19" t="s">
        <v>107</v>
      </c>
      <c r="F9" s="19" t="s">
        <v>107</v>
      </c>
      <c r="G9" s="19" t="s">
        <v>107</v>
      </c>
      <c r="H9" s="19"/>
      <c r="I9" s="19">
        <f t="shared" ref="I9:I10" si="7">LEN(F9)</f>
        <v>28</v>
      </c>
      <c r="J9" s="19" t="str">
        <f t="shared" ref="J9:J10" si="8">IF(LEN(F9)&lt;=$J$1,F9,"")</f>
        <v/>
      </c>
      <c r="K9" s="21" t="s">
        <v>93</v>
      </c>
      <c r="L9" s="35" t="s">
        <v>89</v>
      </c>
      <c r="M9" s="24" t="s">
        <v>51</v>
      </c>
      <c r="N9" s="24" t="s">
        <v>51</v>
      </c>
      <c r="O9" s="24"/>
      <c r="P9" s="33">
        <v>2</v>
      </c>
      <c r="Q9" s="33" t="s">
        <v>94</v>
      </c>
      <c r="R9" s="24" t="s">
        <v>95</v>
      </c>
      <c r="S9" s="24">
        <v>0</v>
      </c>
      <c r="T9" s="24">
        <v>10</v>
      </c>
      <c r="U9" s="24">
        <v>1</v>
      </c>
      <c r="V9" s="24"/>
      <c r="W9" s="24"/>
      <c r="X9" s="24">
        <v>0</v>
      </c>
      <c r="Y9" s="24">
        <v>0</v>
      </c>
      <c r="Z9" s="23"/>
      <c r="AA9" s="18">
        <v>0</v>
      </c>
      <c r="AB9" s="18"/>
      <c r="AC9" s="18"/>
      <c r="AD9" s="18"/>
      <c r="AE9" s="18"/>
      <c r="AF9" s="18">
        <v>0</v>
      </c>
      <c r="AG9" s="18">
        <v>0</v>
      </c>
      <c r="AH9" s="18">
        <v>0</v>
      </c>
      <c r="AI9" s="18" t="s">
        <v>96</v>
      </c>
      <c r="AJ9" s="22" t="s">
        <v>97</v>
      </c>
      <c r="AK9" s="22" t="s">
        <v>98</v>
      </c>
      <c r="AL9" s="22" t="s">
        <v>99</v>
      </c>
      <c r="AM9" s="22" t="s">
        <v>89</v>
      </c>
      <c r="AN9" s="22"/>
      <c r="AO9" s="22" t="s">
        <v>100</v>
      </c>
      <c r="AP9" s="25" t="str">
        <f t="shared" ref="AP9:AP10" si="9">CONCATENATE(AJ9, ".", AL9)</f>
        <v>GENRBRF1.FailTmms.setVal</v>
      </c>
      <c r="AQ9" s="22" t="s">
        <v>54</v>
      </c>
      <c r="AR9" s="22">
        <v>0</v>
      </c>
      <c r="AS9" s="22">
        <v>0</v>
      </c>
      <c r="AT9" s="22">
        <v>0</v>
      </c>
      <c r="AU9" s="22">
        <v>0</v>
      </c>
      <c r="AV9" s="22">
        <f t="shared" ref="AV9:AV10" si="10">BIN2DEC(CONCATENATE(0,0,0,0,AR9,AS9,AT9,AU9))</f>
        <v>0</v>
      </c>
      <c r="AW9" s="22"/>
      <c r="AX9" s="22"/>
      <c r="AY9" s="33"/>
      <c r="AZ9" s="22"/>
      <c r="BA9" s="22"/>
      <c r="BB9" s="22"/>
      <c r="BC9" s="22"/>
      <c r="BD9" s="22"/>
      <c r="BE9" s="22"/>
      <c r="BF9" s="22"/>
      <c r="BG9" s="20" t="str">
        <f t="shared" ref="BG9:BG10" si="11">CONCATENATE("description: """,F9,"""", ", ", "note: """,E9,"""",", ","group: """, B9, """",", ","minValue: ", S9,", ","maxValue: ", T9,", ","step: ", U9,", ","units: """, R9, """",", ","defaultValue: ", X9,", ","eventRegistration: ", Y9,)</f>
        <v>description: "Время задержки импульса 1PPS", note: "Время задержки импульса 1PPS", group: "setting", minValue: 0, maxValue: 10, step: 1, units: "мс", defaultValue: 0, eventRegistration: 0</v>
      </c>
    </row>
    <row r="10" spans="1:16379" s="36" customFormat="1" ht="36.75" customHeight="1" x14ac:dyDescent="0.25">
      <c r="A10" s="21"/>
      <c r="B10" s="21" t="s">
        <v>55</v>
      </c>
      <c r="C10" s="24"/>
      <c r="D10" s="28" t="s">
        <v>108</v>
      </c>
      <c r="E10" s="19" t="s">
        <v>109</v>
      </c>
      <c r="F10" s="19" t="s">
        <v>109</v>
      </c>
      <c r="G10" s="19" t="s">
        <v>109</v>
      </c>
      <c r="H10" s="19"/>
      <c r="I10" s="19">
        <f t="shared" si="7"/>
        <v>11</v>
      </c>
      <c r="J10" s="19" t="str">
        <f t="shared" si="8"/>
        <v>Лето. Месяц</v>
      </c>
      <c r="K10" s="21" t="s">
        <v>93</v>
      </c>
      <c r="L10" s="35" t="s">
        <v>86</v>
      </c>
      <c r="M10" s="24" t="s">
        <v>51</v>
      </c>
      <c r="N10" s="24" t="s">
        <v>51</v>
      </c>
      <c r="O10" s="24"/>
      <c r="P10" s="33">
        <v>2</v>
      </c>
      <c r="Q10" s="33" t="s">
        <v>94</v>
      </c>
      <c r="R10" s="24" t="s">
        <v>52</v>
      </c>
      <c r="S10" s="24">
        <v>1</v>
      </c>
      <c r="T10" s="24">
        <v>12</v>
      </c>
      <c r="U10" s="24">
        <v>1</v>
      </c>
      <c r="V10" s="24"/>
      <c r="W10" s="24"/>
      <c r="X10" s="24">
        <v>3</v>
      </c>
      <c r="Y10" s="24">
        <v>0</v>
      </c>
      <c r="Z10" s="23"/>
      <c r="AA10" s="18">
        <v>0</v>
      </c>
      <c r="AB10" s="18"/>
      <c r="AC10" s="18"/>
      <c r="AD10" s="18"/>
      <c r="AE10" s="18"/>
      <c r="AF10" s="18">
        <v>0</v>
      </c>
      <c r="AG10" s="18">
        <v>0</v>
      </c>
      <c r="AH10" s="18">
        <v>0</v>
      </c>
      <c r="AI10" s="18" t="s">
        <v>96</v>
      </c>
      <c r="AJ10" s="22" t="s">
        <v>97</v>
      </c>
      <c r="AK10" s="22" t="s">
        <v>98</v>
      </c>
      <c r="AL10" s="22" t="s">
        <v>99</v>
      </c>
      <c r="AM10" s="22" t="s">
        <v>89</v>
      </c>
      <c r="AN10" s="22"/>
      <c r="AO10" s="22" t="s">
        <v>100</v>
      </c>
      <c r="AP10" s="25" t="str">
        <f t="shared" si="9"/>
        <v>GENRBRF1.FailTmms.setVal</v>
      </c>
      <c r="AQ10" s="22" t="s">
        <v>54</v>
      </c>
      <c r="AR10" s="22">
        <v>0</v>
      </c>
      <c r="AS10" s="22">
        <v>0</v>
      </c>
      <c r="AT10" s="22">
        <v>0</v>
      </c>
      <c r="AU10" s="22">
        <v>0</v>
      </c>
      <c r="AV10" s="22">
        <f t="shared" si="10"/>
        <v>0</v>
      </c>
      <c r="AW10" s="22"/>
      <c r="AX10" s="22"/>
      <c r="AY10" s="33"/>
      <c r="AZ10" s="22"/>
      <c r="BA10" s="22"/>
      <c r="BB10" s="22"/>
      <c r="BC10" s="22"/>
      <c r="BD10" s="22"/>
      <c r="BE10" s="22"/>
      <c r="BF10" s="22"/>
      <c r="BG10" s="20" t="str">
        <f t="shared" si="11"/>
        <v>description: "Лето. Месяц", note: "Лето. Месяц", group: "setting", minValue: 1, maxValue: 12, step: 1, units: "null", defaultValue: 3, eventRegistration: 0</v>
      </c>
    </row>
    <row r="11" spans="1:16379" s="36" customFormat="1" ht="36.75" customHeight="1" x14ac:dyDescent="0.25">
      <c r="A11" s="21"/>
      <c r="B11" s="21" t="s">
        <v>55</v>
      </c>
      <c r="C11" s="24"/>
      <c r="D11" s="28" t="s">
        <v>108</v>
      </c>
      <c r="E11" s="19" t="s">
        <v>110</v>
      </c>
      <c r="F11" s="19" t="s">
        <v>110</v>
      </c>
      <c r="G11" s="19" t="s">
        <v>110</v>
      </c>
      <c r="H11" s="19"/>
      <c r="I11" s="19">
        <f t="shared" ref="I11:I14" si="12">LEN(F11)</f>
        <v>19</v>
      </c>
      <c r="J11" s="19" t="str">
        <f t="shared" ref="J11:J14" si="13">IF(LEN(F11)&lt;=$J$1,F11,"")</f>
        <v>Лето. Неделя месяца</v>
      </c>
      <c r="K11" s="21" t="s">
        <v>93</v>
      </c>
      <c r="L11" s="35" t="s">
        <v>86</v>
      </c>
      <c r="M11" s="24" t="s">
        <v>51</v>
      </c>
      <c r="N11" s="24" t="s">
        <v>51</v>
      </c>
      <c r="O11" s="24"/>
      <c r="P11" s="33">
        <v>2</v>
      </c>
      <c r="Q11" s="33" t="s">
        <v>94</v>
      </c>
      <c r="R11" s="24" t="s">
        <v>52</v>
      </c>
      <c r="S11" s="24">
        <v>1</v>
      </c>
      <c r="T11" s="24">
        <v>5</v>
      </c>
      <c r="U11" s="24">
        <v>1</v>
      </c>
      <c r="V11" s="24"/>
      <c r="W11" s="24"/>
      <c r="X11" s="24">
        <v>5</v>
      </c>
      <c r="Y11" s="24">
        <v>0</v>
      </c>
      <c r="Z11" s="23"/>
      <c r="AA11" s="18">
        <v>0</v>
      </c>
      <c r="AB11" s="18"/>
      <c r="AC11" s="18"/>
      <c r="AD11" s="18"/>
      <c r="AE11" s="18"/>
      <c r="AF11" s="18">
        <v>0</v>
      </c>
      <c r="AG11" s="18">
        <v>0</v>
      </c>
      <c r="AH11" s="18">
        <v>0</v>
      </c>
      <c r="AI11" s="18" t="s">
        <v>96</v>
      </c>
      <c r="AJ11" s="22" t="s">
        <v>97</v>
      </c>
      <c r="AK11" s="22" t="s">
        <v>98</v>
      </c>
      <c r="AL11" s="22" t="s">
        <v>99</v>
      </c>
      <c r="AM11" s="22" t="s">
        <v>89</v>
      </c>
      <c r="AN11" s="22"/>
      <c r="AO11" s="22" t="s">
        <v>100</v>
      </c>
      <c r="AP11" s="25" t="str">
        <f t="shared" ref="AP11:AP14" si="14">CONCATENATE(AJ11, ".", AL11)</f>
        <v>GENRBRF1.FailTmms.setVal</v>
      </c>
      <c r="AQ11" s="22" t="s">
        <v>54</v>
      </c>
      <c r="AR11" s="22">
        <v>0</v>
      </c>
      <c r="AS11" s="22">
        <v>0</v>
      </c>
      <c r="AT11" s="22">
        <v>0</v>
      </c>
      <c r="AU11" s="22">
        <v>0</v>
      </c>
      <c r="AV11" s="22">
        <f t="shared" ref="AV11:AV14" si="15">BIN2DEC(CONCATENATE(0,0,0,0,AR11,AS11,AT11,AU11))</f>
        <v>0</v>
      </c>
      <c r="AW11" s="22"/>
      <c r="AX11" s="22"/>
      <c r="AY11" s="33"/>
      <c r="AZ11" s="22"/>
      <c r="BA11" s="22"/>
      <c r="BB11" s="22"/>
      <c r="BC11" s="22"/>
      <c r="BD11" s="22"/>
      <c r="BE11" s="22"/>
      <c r="BF11" s="22"/>
      <c r="BG11" s="20" t="str">
        <f t="shared" ref="BG11:BG14" si="16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"Лето. Неделя месяца", note: "Лето. Неделя месяца", group: "setting", minValue: 1, maxValue: 5, step: 1, units: "null", defaultValue: 5, eventRegistration: 0</v>
      </c>
    </row>
    <row r="12" spans="1:16379" s="36" customFormat="1" ht="36.75" customHeight="1" x14ac:dyDescent="0.25">
      <c r="A12" s="21"/>
      <c r="B12" s="21" t="s">
        <v>55</v>
      </c>
      <c r="C12" s="24"/>
      <c r="D12" s="28" t="s">
        <v>108</v>
      </c>
      <c r="E12" s="19" t="s">
        <v>111</v>
      </c>
      <c r="F12" s="19" t="s">
        <v>111</v>
      </c>
      <c r="G12" s="19" t="s">
        <v>111</v>
      </c>
      <c r="H12" s="19"/>
      <c r="I12" s="19">
        <f t="shared" si="12"/>
        <v>17</v>
      </c>
      <c r="J12" s="19" t="str">
        <f t="shared" si="13"/>
        <v>Лето. День недели</v>
      </c>
      <c r="K12" s="21" t="s">
        <v>93</v>
      </c>
      <c r="L12" s="35" t="s">
        <v>86</v>
      </c>
      <c r="M12" s="24" t="s">
        <v>51</v>
      </c>
      <c r="N12" s="24" t="s">
        <v>51</v>
      </c>
      <c r="O12" s="24"/>
      <c r="P12" s="33">
        <v>2</v>
      </c>
      <c r="Q12" s="33" t="s">
        <v>94</v>
      </c>
      <c r="R12" s="24" t="s">
        <v>52</v>
      </c>
      <c r="S12" s="24">
        <v>1</v>
      </c>
      <c r="T12" s="24">
        <v>7</v>
      </c>
      <c r="U12" s="24">
        <v>1</v>
      </c>
      <c r="V12" s="24"/>
      <c r="W12" s="24"/>
      <c r="X12" s="24">
        <v>7</v>
      </c>
      <c r="Y12" s="24">
        <v>0</v>
      </c>
      <c r="Z12" s="23"/>
      <c r="AA12" s="18">
        <v>0</v>
      </c>
      <c r="AB12" s="18"/>
      <c r="AC12" s="18"/>
      <c r="AD12" s="18"/>
      <c r="AE12" s="18"/>
      <c r="AF12" s="18">
        <v>0</v>
      </c>
      <c r="AG12" s="18">
        <v>0</v>
      </c>
      <c r="AH12" s="18">
        <v>0</v>
      </c>
      <c r="AI12" s="18" t="s">
        <v>96</v>
      </c>
      <c r="AJ12" s="22" t="s">
        <v>97</v>
      </c>
      <c r="AK12" s="22" t="s">
        <v>98</v>
      </c>
      <c r="AL12" s="22" t="s">
        <v>99</v>
      </c>
      <c r="AM12" s="22" t="s">
        <v>89</v>
      </c>
      <c r="AN12" s="22"/>
      <c r="AO12" s="22" t="s">
        <v>100</v>
      </c>
      <c r="AP12" s="25" t="str">
        <f t="shared" si="14"/>
        <v>GENRBRF1.FailTmms.setVal</v>
      </c>
      <c r="AQ12" s="22" t="s">
        <v>54</v>
      </c>
      <c r="AR12" s="22">
        <v>0</v>
      </c>
      <c r="AS12" s="22">
        <v>0</v>
      </c>
      <c r="AT12" s="22">
        <v>0</v>
      </c>
      <c r="AU12" s="22">
        <v>0</v>
      </c>
      <c r="AV12" s="22">
        <f t="shared" si="15"/>
        <v>0</v>
      </c>
      <c r="AW12" s="22"/>
      <c r="AX12" s="22"/>
      <c r="AY12" s="33"/>
      <c r="AZ12" s="22"/>
      <c r="BA12" s="22"/>
      <c r="BB12" s="22"/>
      <c r="BC12" s="22"/>
      <c r="BD12" s="22"/>
      <c r="BE12" s="22"/>
      <c r="BF12" s="22"/>
      <c r="BG12" s="20" t="str">
        <f t="shared" si="16"/>
        <v>description: "Лето. День недели", note: "Лето. День недели", group: "setting", minValue: 1, maxValue: 7, step: 1, units: "null", defaultValue: 7, eventRegistration: 0</v>
      </c>
    </row>
    <row r="13" spans="1:16379" s="36" customFormat="1" ht="36.75" customHeight="1" x14ac:dyDescent="0.25">
      <c r="A13" s="21"/>
      <c r="B13" s="21" t="s">
        <v>55</v>
      </c>
      <c r="C13" s="24"/>
      <c r="D13" s="28" t="s">
        <v>108</v>
      </c>
      <c r="E13" s="19" t="s">
        <v>112</v>
      </c>
      <c r="F13" s="19" t="s">
        <v>112</v>
      </c>
      <c r="G13" s="19" t="s">
        <v>112</v>
      </c>
      <c r="H13" s="19"/>
      <c r="I13" s="19">
        <f t="shared" si="12"/>
        <v>25</v>
      </c>
      <c r="J13" s="19" t="str">
        <f t="shared" si="13"/>
        <v/>
      </c>
      <c r="K13" s="21" t="s">
        <v>93</v>
      </c>
      <c r="L13" s="35" t="s">
        <v>86</v>
      </c>
      <c r="M13" s="24" t="s">
        <v>51</v>
      </c>
      <c r="N13" s="24" t="s">
        <v>51</v>
      </c>
      <c r="O13" s="24"/>
      <c r="P13" s="33">
        <v>2</v>
      </c>
      <c r="Q13" s="33" t="s">
        <v>94</v>
      </c>
      <c r="R13" s="24" t="s">
        <v>52</v>
      </c>
      <c r="S13" s="24">
        <v>0</v>
      </c>
      <c r="T13" s="24">
        <v>23</v>
      </c>
      <c r="U13" s="24">
        <v>1</v>
      </c>
      <c r="V13" s="24"/>
      <c r="W13" s="24"/>
      <c r="X13" s="24">
        <v>2</v>
      </c>
      <c r="Y13" s="24">
        <v>0</v>
      </c>
      <c r="Z13" s="23"/>
      <c r="AA13" s="18">
        <v>0</v>
      </c>
      <c r="AB13" s="18"/>
      <c r="AC13" s="18"/>
      <c r="AD13" s="18"/>
      <c r="AE13" s="18"/>
      <c r="AF13" s="18">
        <v>0</v>
      </c>
      <c r="AG13" s="18">
        <v>0</v>
      </c>
      <c r="AH13" s="18">
        <v>0</v>
      </c>
      <c r="AI13" s="18" t="s">
        <v>96</v>
      </c>
      <c r="AJ13" s="22" t="s">
        <v>97</v>
      </c>
      <c r="AK13" s="22" t="s">
        <v>98</v>
      </c>
      <c r="AL13" s="22" t="s">
        <v>99</v>
      </c>
      <c r="AM13" s="22" t="s">
        <v>89</v>
      </c>
      <c r="AN13" s="22"/>
      <c r="AO13" s="22" t="s">
        <v>100</v>
      </c>
      <c r="AP13" s="25" t="str">
        <f t="shared" si="14"/>
        <v>GENRBRF1.FailTmms.setVal</v>
      </c>
      <c r="AQ13" s="22" t="s">
        <v>54</v>
      </c>
      <c r="AR13" s="22">
        <v>0</v>
      </c>
      <c r="AS13" s="22">
        <v>0</v>
      </c>
      <c r="AT13" s="22">
        <v>0</v>
      </c>
      <c r="AU13" s="22">
        <v>0</v>
      </c>
      <c r="AV13" s="22">
        <f t="shared" si="15"/>
        <v>0</v>
      </c>
      <c r="AW13" s="22"/>
      <c r="AX13" s="22"/>
      <c r="AY13" s="33"/>
      <c r="AZ13" s="22"/>
      <c r="BA13" s="22"/>
      <c r="BB13" s="22"/>
      <c r="BC13" s="22"/>
      <c r="BD13" s="22"/>
      <c r="BE13" s="22"/>
      <c r="BF13" s="22"/>
      <c r="BG13" s="20" t="str">
        <f t="shared" si="16"/>
        <v>description: "Лето. Час начала действия", note: "Лето. Час начала действия", group: "setting", minValue: 0, maxValue: 23, step: 1, units: "null", defaultValue: 2, eventRegistration: 0</v>
      </c>
    </row>
    <row r="14" spans="1:16379" s="36" customFormat="1" ht="36.75" customHeight="1" x14ac:dyDescent="0.25">
      <c r="A14" s="21"/>
      <c r="B14" s="21" t="s">
        <v>55</v>
      </c>
      <c r="C14" s="24"/>
      <c r="D14" s="28" t="s">
        <v>113</v>
      </c>
      <c r="E14" s="19" t="s">
        <v>114</v>
      </c>
      <c r="F14" s="19" t="s">
        <v>114</v>
      </c>
      <c r="G14" s="19" t="s">
        <v>114</v>
      </c>
      <c r="H14" s="19"/>
      <c r="I14" s="19">
        <f t="shared" si="12"/>
        <v>11</v>
      </c>
      <c r="J14" s="19" t="str">
        <f t="shared" si="13"/>
        <v>Зима. Месяц</v>
      </c>
      <c r="K14" s="21" t="s">
        <v>93</v>
      </c>
      <c r="L14" s="35" t="s">
        <v>86</v>
      </c>
      <c r="M14" s="24" t="s">
        <v>51</v>
      </c>
      <c r="N14" s="24" t="s">
        <v>51</v>
      </c>
      <c r="O14" s="24"/>
      <c r="P14" s="33">
        <v>2</v>
      </c>
      <c r="Q14" s="33" t="s">
        <v>94</v>
      </c>
      <c r="R14" s="24" t="s">
        <v>52</v>
      </c>
      <c r="S14" s="24">
        <v>1</v>
      </c>
      <c r="T14" s="24">
        <v>12</v>
      </c>
      <c r="U14" s="24">
        <v>1</v>
      </c>
      <c r="V14" s="24"/>
      <c r="W14" s="24"/>
      <c r="X14" s="24">
        <v>10</v>
      </c>
      <c r="Y14" s="24">
        <v>0</v>
      </c>
      <c r="Z14" s="23"/>
      <c r="AA14" s="18">
        <v>0</v>
      </c>
      <c r="AB14" s="18"/>
      <c r="AC14" s="18"/>
      <c r="AD14" s="18"/>
      <c r="AE14" s="18"/>
      <c r="AF14" s="18">
        <v>0</v>
      </c>
      <c r="AG14" s="18">
        <v>0</v>
      </c>
      <c r="AH14" s="18">
        <v>0</v>
      </c>
      <c r="AI14" s="18" t="s">
        <v>96</v>
      </c>
      <c r="AJ14" s="22" t="s">
        <v>97</v>
      </c>
      <c r="AK14" s="22" t="s">
        <v>98</v>
      </c>
      <c r="AL14" s="22" t="s">
        <v>99</v>
      </c>
      <c r="AM14" s="22" t="s">
        <v>89</v>
      </c>
      <c r="AN14" s="22"/>
      <c r="AO14" s="22" t="s">
        <v>100</v>
      </c>
      <c r="AP14" s="25" t="str">
        <f t="shared" si="14"/>
        <v>GENRBRF1.FailTmms.setVal</v>
      </c>
      <c r="AQ14" s="22" t="s">
        <v>54</v>
      </c>
      <c r="AR14" s="22">
        <v>0</v>
      </c>
      <c r="AS14" s="22">
        <v>0</v>
      </c>
      <c r="AT14" s="22">
        <v>0</v>
      </c>
      <c r="AU14" s="22">
        <v>0</v>
      </c>
      <c r="AV14" s="22">
        <f t="shared" si="15"/>
        <v>0</v>
      </c>
      <c r="AW14" s="22"/>
      <c r="AX14" s="22"/>
      <c r="AY14" s="33"/>
      <c r="AZ14" s="22"/>
      <c r="BA14" s="22"/>
      <c r="BB14" s="22"/>
      <c r="BC14" s="22"/>
      <c r="BD14" s="22"/>
      <c r="BE14" s="22"/>
      <c r="BF14" s="22"/>
      <c r="BG14" s="20" t="str">
        <f t="shared" si="16"/>
        <v>description: "Зима. Месяц", note: "Зима. Месяц", group: "setting", minValue: 1, maxValue: 12, step: 1, units: "null", defaultValue: 10, eventRegistration: 0</v>
      </c>
    </row>
    <row r="15" spans="1:16379" s="36" customFormat="1" ht="36.75" customHeight="1" x14ac:dyDescent="0.25">
      <c r="A15" s="21"/>
      <c r="B15" s="21" t="s">
        <v>55</v>
      </c>
      <c r="C15" s="24"/>
      <c r="D15" s="28" t="s">
        <v>113</v>
      </c>
      <c r="E15" s="19" t="s">
        <v>115</v>
      </c>
      <c r="F15" s="19" t="s">
        <v>115</v>
      </c>
      <c r="G15" s="19" t="s">
        <v>115</v>
      </c>
      <c r="H15" s="19"/>
      <c r="I15" s="19">
        <f t="shared" ref="I15:I17" si="17">LEN(F15)</f>
        <v>19</v>
      </c>
      <c r="J15" s="19" t="str">
        <f t="shared" ref="J15:J17" si="18">IF(LEN(F15)&lt;=$J$1,F15,"")</f>
        <v>Зима. Неделя месяца</v>
      </c>
      <c r="K15" s="21" t="s">
        <v>93</v>
      </c>
      <c r="L15" s="35" t="s">
        <v>86</v>
      </c>
      <c r="M15" s="24" t="s">
        <v>51</v>
      </c>
      <c r="N15" s="24" t="s">
        <v>51</v>
      </c>
      <c r="O15" s="24"/>
      <c r="P15" s="33">
        <v>2</v>
      </c>
      <c r="Q15" s="33" t="s">
        <v>94</v>
      </c>
      <c r="R15" s="24" t="s">
        <v>52</v>
      </c>
      <c r="S15" s="24">
        <v>1</v>
      </c>
      <c r="T15" s="24">
        <v>5</v>
      </c>
      <c r="U15" s="24">
        <v>1</v>
      </c>
      <c r="V15" s="24"/>
      <c r="W15" s="24"/>
      <c r="X15" s="24">
        <v>5</v>
      </c>
      <c r="Y15" s="24">
        <v>0</v>
      </c>
      <c r="Z15" s="23"/>
      <c r="AA15" s="18">
        <v>0</v>
      </c>
      <c r="AB15" s="18"/>
      <c r="AC15" s="18"/>
      <c r="AD15" s="18"/>
      <c r="AE15" s="18"/>
      <c r="AF15" s="18">
        <v>0</v>
      </c>
      <c r="AG15" s="18">
        <v>0</v>
      </c>
      <c r="AH15" s="18">
        <v>0</v>
      </c>
      <c r="AI15" s="18" t="s">
        <v>96</v>
      </c>
      <c r="AJ15" s="22" t="s">
        <v>97</v>
      </c>
      <c r="AK15" s="22" t="s">
        <v>98</v>
      </c>
      <c r="AL15" s="22" t="s">
        <v>99</v>
      </c>
      <c r="AM15" s="22" t="s">
        <v>89</v>
      </c>
      <c r="AN15" s="22"/>
      <c r="AO15" s="22" t="s">
        <v>100</v>
      </c>
      <c r="AP15" s="25" t="str">
        <f t="shared" ref="AP15:AP17" si="19">CONCATENATE(AJ15, ".", AL15)</f>
        <v>GENRBRF1.FailTmms.setVal</v>
      </c>
      <c r="AQ15" s="22" t="s">
        <v>54</v>
      </c>
      <c r="AR15" s="22">
        <v>0</v>
      </c>
      <c r="AS15" s="22">
        <v>0</v>
      </c>
      <c r="AT15" s="22">
        <v>0</v>
      </c>
      <c r="AU15" s="22">
        <v>0</v>
      </c>
      <c r="AV15" s="22">
        <f t="shared" ref="AV15:AV17" si="20">BIN2DEC(CONCATENATE(0,0,0,0,AR15,AS15,AT15,AU15))</f>
        <v>0</v>
      </c>
      <c r="AW15" s="22"/>
      <c r="AX15" s="22"/>
      <c r="AY15" s="33"/>
      <c r="AZ15" s="22"/>
      <c r="BA15" s="22"/>
      <c r="BB15" s="22"/>
      <c r="BC15" s="22"/>
      <c r="BD15" s="22"/>
      <c r="BE15" s="22"/>
      <c r="BF15" s="22"/>
      <c r="BG15" s="20" t="str">
        <f t="shared" ref="BG15:BG17" si="21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"Зима. Неделя месяца", note: "Зима. Неделя месяца", group: "setting", minValue: 1, maxValue: 5, step: 1, units: "null", defaultValue: 5, eventRegistration: 0</v>
      </c>
    </row>
    <row r="16" spans="1:16379" s="36" customFormat="1" ht="36.75" customHeight="1" x14ac:dyDescent="0.25">
      <c r="A16" s="21"/>
      <c r="B16" s="21" t="s">
        <v>55</v>
      </c>
      <c r="C16" s="24"/>
      <c r="D16" s="28" t="s">
        <v>113</v>
      </c>
      <c r="E16" s="19" t="s">
        <v>116</v>
      </c>
      <c r="F16" s="19" t="s">
        <v>116</v>
      </c>
      <c r="G16" s="19" t="s">
        <v>116</v>
      </c>
      <c r="H16" s="19"/>
      <c r="I16" s="19">
        <f t="shared" si="17"/>
        <v>17</v>
      </c>
      <c r="J16" s="19" t="str">
        <f t="shared" si="18"/>
        <v>Зима. День недели</v>
      </c>
      <c r="K16" s="21" t="s">
        <v>93</v>
      </c>
      <c r="L16" s="35" t="s">
        <v>86</v>
      </c>
      <c r="M16" s="24" t="s">
        <v>51</v>
      </c>
      <c r="N16" s="24" t="s">
        <v>51</v>
      </c>
      <c r="O16" s="24"/>
      <c r="P16" s="33">
        <v>2</v>
      </c>
      <c r="Q16" s="33" t="s">
        <v>94</v>
      </c>
      <c r="R16" s="24" t="s">
        <v>52</v>
      </c>
      <c r="S16" s="24">
        <v>1</v>
      </c>
      <c r="T16" s="24">
        <v>7</v>
      </c>
      <c r="U16" s="24">
        <v>1</v>
      </c>
      <c r="V16" s="24"/>
      <c r="W16" s="24"/>
      <c r="X16" s="24">
        <v>7</v>
      </c>
      <c r="Y16" s="24">
        <v>0</v>
      </c>
      <c r="Z16" s="23"/>
      <c r="AA16" s="18">
        <v>0</v>
      </c>
      <c r="AB16" s="18"/>
      <c r="AC16" s="18"/>
      <c r="AD16" s="18"/>
      <c r="AE16" s="18"/>
      <c r="AF16" s="18">
        <v>0</v>
      </c>
      <c r="AG16" s="18">
        <v>0</v>
      </c>
      <c r="AH16" s="18">
        <v>0</v>
      </c>
      <c r="AI16" s="18" t="s">
        <v>96</v>
      </c>
      <c r="AJ16" s="22" t="s">
        <v>97</v>
      </c>
      <c r="AK16" s="22" t="s">
        <v>98</v>
      </c>
      <c r="AL16" s="22" t="s">
        <v>99</v>
      </c>
      <c r="AM16" s="22" t="s">
        <v>89</v>
      </c>
      <c r="AN16" s="22"/>
      <c r="AO16" s="22" t="s">
        <v>100</v>
      </c>
      <c r="AP16" s="25" t="str">
        <f t="shared" si="19"/>
        <v>GENRBRF1.FailTmms.setVal</v>
      </c>
      <c r="AQ16" s="22" t="s">
        <v>54</v>
      </c>
      <c r="AR16" s="22">
        <v>0</v>
      </c>
      <c r="AS16" s="22">
        <v>0</v>
      </c>
      <c r="AT16" s="22">
        <v>0</v>
      </c>
      <c r="AU16" s="22">
        <v>0</v>
      </c>
      <c r="AV16" s="22">
        <f t="shared" si="20"/>
        <v>0</v>
      </c>
      <c r="AW16" s="22"/>
      <c r="AX16" s="22"/>
      <c r="AY16" s="33"/>
      <c r="AZ16" s="22"/>
      <c r="BA16" s="22"/>
      <c r="BB16" s="22"/>
      <c r="BC16" s="22"/>
      <c r="BD16" s="22"/>
      <c r="BE16" s="22"/>
      <c r="BF16" s="22"/>
      <c r="BG16" s="20" t="str">
        <f t="shared" si="21"/>
        <v>description: "Зима. День недели", note: "Зима. День недели", group: "setting", minValue: 1, maxValue: 7, step: 1, units: "null", defaultValue: 7, eventRegistration: 0</v>
      </c>
    </row>
    <row r="17" spans="1:60" s="36" customFormat="1" ht="36.75" customHeight="1" x14ac:dyDescent="0.25">
      <c r="A17" s="21"/>
      <c r="B17" s="21" t="s">
        <v>55</v>
      </c>
      <c r="C17" s="24"/>
      <c r="D17" s="28" t="s">
        <v>113</v>
      </c>
      <c r="E17" s="19" t="s">
        <v>117</v>
      </c>
      <c r="F17" s="19" t="s">
        <v>117</v>
      </c>
      <c r="G17" s="19" t="s">
        <v>117</v>
      </c>
      <c r="H17" s="19"/>
      <c r="I17" s="19">
        <f t="shared" si="17"/>
        <v>25</v>
      </c>
      <c r="J17" s="19" t="str">
        <f t="shared" si="18"/>
        <v/>
      </c>
      <c r="K17" s="21" t="s">
        <v>93</v>
      </c>
      <c r="L17" s="35" t="s">
        <v>86</v>
      </c>
      <c r="M17" s="24" t="s">
        <v>51</v>
      </c>
      <c r="N17" s="24" t="s">
        <v>51</v>
      </c>
      <c r="O17" s="24"/>
      <c r="P17" s="33">
        <v>2</v>
      </c>
      <c r="Q17" s="33" t="s">
        <v>94</v>
      </c>
      <c r="R17" s="24" t="s">
        <v>52</v>
      </c>
      <c r="S17" s="24">
        <v>0</v>
      </c>
      <c r="T17" s="24">
        <v>23</v>
      </c>
      <c r="U17" s="24">
        <v>1</v>
      </c>
      <c r="V17" s="24"/>
      <c r="W17" s="24"/>
      <c r="X17" s="24">
        <v>3</v>
      </c>
      <c r="Y17" s="24">
        <v>0</v>
      </c>
      <c r="Z17" s="23"/>
      <c r="AA17" s="18">
        <v>0</v>
      </c>
      <c r="AB17" s="18"/>
      <c r="AC17" s="18"/>
      <c r="AD17" s="18"/>
      <c r="AE17" s="18"/>
      <c r="AF17" s="18">
        <v>0</v>
      </c>
      <c r="AG17" s="18">
        <v>0</v>
      </c>
      <c r="AH17" s="18">
        <v>0</v>
      </c>
      <c r="AI17" s="18" t="s">
        <v>96</v>
      </c>
      <c r="AJ17" s="22" t="s">
        <v>97</v>
      </c>
      <c r="AK17" s="22" t="s">
        <v>98</v>
      </c>
      <c r="AL17" s="22" t="s">
        <v>99</v>
      </c>
      <c r="AM17" s="22" t="s">
        <v>89</v>
      </c>
      <c r="AN17" s="22"/>
      <c r="AO17" s="22" t="s">
        <v>100</v>
      </c>
      <c r="AP17" s="25" t="str">
        <f t="shared" si="19"/>
        <v>GENRBRF1.FailTmms.setVal</v>
      </c>
      <c r="AQ17" s="22" t="s">
        <v>54</v>
      </c>
      <c r="AR17" s="22">
        <v>0</v>
      </c>
      <c r="AS17" s="22">
        <v>0</v>
      </c>
      <c r="AT17" s="22">
        <v>0</v>
      </c>
      <c r="AU17" s="22">
        <v>0</v>
      </c>
      <c r="AV17" s="22">
        <f t="shared" si="20"/>
        <v>0</v>
      </c>
      <c r="AW17" s="22"/>
      <c r="AX17" s="22"/>
      <c r="AY17" s="33"/>
      <c r="AZ17" s="22"/>
      <c r="BA17" s="22"/>
      <c r="BB17" s="22"/>
      <c r="BC17" s="22"/>
      <c r="BD17" s="22"/>
      <c r="BE17" s="22"/>
      <c r="BF17" s="22"/>
      <c r="BG17" s="20" t="str">
        <f t="shared" si="21"/>
        <v>description: "Зима. Час начала действия", note: "Зима. Час начала действия", group: "setting", minValue: 0, maxValue: 23, step: 1, units: "null", defaultValue: 3, eventRegistration: 0</v>
      </c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6"/>
      <c r="BC18" s="4"/>
      <c r="BD18" s="2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6"/>
      <c r="BC19" s="4"/>
      <c r="BD19" s="2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6"/>
      <c r="BC20" s="4"/>
      <c r="BD20" s="2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6"/>
      <c r="BC21" s="4"/>
      <c r="BD21" s="2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6"/>
      <c r="BC22" s="4"/>
      <c r="BD22" s="2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6"/>
      <c r="BC23" s="4"/>
      <c r="BD23" s="2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6"/>
      <c r="BC24" s="4"/>
      <c r="BD24" s="2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6"/>
      <c r="BC25" s="4"/>
      <c r="BD25" s="2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6"/>
      <c r="BC26" s="4"/>
      <c r="BD26" s="2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6"/>
      <c r="BC27" s="4"/>
      <c r="BD27" s="2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6"/>
      <c r="BC28" s="4"/>
      <c r="BD28" s="2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6"/>
      <c r="BC29" s="4"/>
      <c r="BD29" s="2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6"/>
      <c r="BC30" s="4"/>
      <c r="BD30" s="2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6"/>
      <c r="BC31" s="4"/>
      <c r="BD31" s="2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6"/>
      <c r="BC32" s="4"/>
      <c r="BD32" s="2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6"/>
      <c r="BC33" s="4"/>
      <c r="BD33" s="2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6"/>
      <c r="BC34" s="4"/>
      <c r="BD34" s="2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6"/>
      <c r="BC35" s="4"/>
      <c r="BD35" s="2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6"/>
      <c r="BC36" s="4"/>
      <c r="BD36" s="2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6"/>
      <c r="BC37" s="4"/>
      <c r="BD37" s="2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6"/>
      <c r="BC38" s="4"/>
      <c r="BD38" s="2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6"/>
      <c r="BC39" s="4"/>
      <c r="BD39" s="2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6"/>
      <c r="BC40" s="4"/>
      <c r="BD40" s="2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6"/>
      <c r="BC41" s="4"/>
      <c r="BD41" s="2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6"/>
      <c r="BC42" s="4"/>
      <c r="BD42" s="2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6"/>
      <c r="BC43" s="4"/>
      <c r="BD43" s="2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6"/>
      <c r="BC44" s="4"/>
      <c r="BD44" s="2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6"/>
      <c r="BC45" s="4"/>
      <c r="BD45" s="2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6"/>
      <c r="BC46" s="4"/>
      <c r="BD46" s="2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6"/>
      <c r="BC47" s="4"/>
      <c r="BD47" s="2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6"/>
      <c r="BC48" s="4"/>
      <c r="BD48" s="2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6"/>
      <c r="BC49" s="4"/>
      <c r="BD49" s="2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6"/>
      <c r="BC50" s="4"/>
      <c r="BD50" s="2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6"/>
      <c r="BC51" s="4"/>
      <c r="BD51" s="2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6"/>
      <c r="BC52" s="4"/>
      <c r="BD52" s="2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6"/>
      <c r="BC53" s="4"/>
      <c r="BD53" s="2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6"/>
      <c r="BC54" s="4"/>
      <c r="BD54" s="2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6"/>
      <c r="BC55" s="4"/>
      <c r="BD55" s="2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6"/>
      <c r="BC56" s="4"/>
      <c r="BD56" s="2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6"/>
      <c r="BC57" s="4"/>
      <c r="BD57" s="2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6"/>
      <c r="BC58" s="4"/>
      <c r="BD58" s="2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6"/>
      <c r="BC59" s="4"/>
      <c r="BD59" s="2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6"/>
      <c r="BC60" s="4"/>
      <c r="BD60" s="2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6"/>
      <c r="BC61" s="4"/>
      <c r="BD61" s="2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6"/>
      <c r="BC62" s="4"/>
      <c r="BD62" s="2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6"/>
      <c r="BC63" s="4"/>
      <c r="BD63" s="2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6"/>
      <c r="BC64" s="4"/>
      <c r="BD64" s="2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6"/>
      <c r="BC65" s="4"/>
      <c r="BD65" s="2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6"/>
      <c r="BC66" s="4"/>
      <c r="BD66" s="2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6"/>
      <c r="BC67" s="4"/>
      <c r="BD67" s="2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6"/>
      <c r="BC68" s="4"/>
      <c r="BD68" s="2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6"/>
      <c r="BC69" s="4"/>
      <c r="BD69" s="2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6"/>
      <c r="BC70" s="4"/>
      <c r="BD70" s="2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6"/>
      <c r="BC71" s="4"/>
      <c r="BD71" s="2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6"/>
      <c r="BC72" s="4"/>
      <c r="BD72" s="2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6"/>
      <c r="BC73" s="4"/>
      <c r="BD73" s="2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6"/>
      <c r="BC74" s="4"/>
      <c r="BD74" s="2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6"/>
      <c r="BC75" s="4"/>
      <c r="BD75" s="2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6"/>
      <c r="BC76" s="4"/>
      <c r="BD76" s="2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6"/>
      <c r="BC77" s="4"/>
      <c r="BD77" s="2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6"/>
      <c r="BC78" s="4"/>
      <c r="BD78" s="2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6"/>
      <c r="BC79" s="4"/>
      <c r="BD79" s="2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6"/>
      <c r="BC80" s="4"/>
      <c r="BD80" s="2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6"/>
      <c r="BC81" s="4"/>
      <c r="BD81" s="2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6"/>
      <c r="BC82" s="4"/>
      <c r="BD82" s="2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6"/>
      <c r="BC83" s="4"/>
      <c r="BD83" s="2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6"/>
      <c r="BC84" s="4"/>
      <c r="BD84" s="2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6"/>
      <c r="BC85" s="4"/>
      <c r="BD85" s="2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6"/>
      <c r="BC86" s="4"/>
      <c r="BD86" s="2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6"/>
      <c r="BC87" s="4"/>
      <c r="BD87" s="2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6"/>
      <c r="BC88" s="4"/>
      <c r="BD88" s="2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6"/>
      <c r="BC89" s="4"/>
      <c r="BD89" s="2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6"/>
      <c r="BC90" s="4"/>
      <c r="BD90" s="2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6"/>
      <c r="BC91" s="4"/>
      <c r="BD91" s="2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6"/>
      <c r="BC92" s="4"/>
      <c r="BD92" s="2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6"/>
      <c r="BC93" s="4"/>
      <c r="BD93" s="2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6"/>
      <c r="BC94" s="4"/>
      <c r="BD94" s="2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6"/>
      <c r="BC95" s="4"/>
      <c r="BD95" s="2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6"/>
      <c r="BC96" s="4"/>
      <c r="BD96" s="2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6"/>
      <c r="BC97" s="4"/>
      <c r="BD97" s="2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6"/>
      <c r="BC98" s="4"/>
      <c r="BD98" s="2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6"/>
      <c r="BC99" s="4"/>
      <c r="BD99" s="2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6"/>
      <c r="BC100" s="4"/>
      <c r="BD100" s="2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6"/>
      <c r="BC101" s="4"/>
      <c r="BD101" s="2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6"/>
      <c r="BC102" s="4"/>
      <c r="BD102" s="2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6"/>
      <c r="BC103" s="4"/>
      <c r="BD103" s="2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6"/>
      <c r="BC104" s="4"/>
      <c r="BD104" s="2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6"/>
      <c r="BC105" s="4"/>
      <c r="BD105" s="2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6"/>
      <c r="BC106" s="4"/>
      <c r="BD106" s="2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6"/>
      <c r="BC107" s="4"/>
      <c r="BD107" s="2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6"/>
      <c r="BC108" s="4"/>
      <c r="BD108" s="2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6"/>
      <c r="BC109" s="4"/>
      <c r="BD109" s="2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6"/>
      <c r="BC110" s="4"/>
      <c r="BD110" s="2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6"/>
      <c r="BC111" s="4"/>
      <c r="BD111" s="2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6"/>
      <c r="BC112" s="4"/>
      <c r="BD112" s="2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6"/>
      <c r="BC113" s="4"/>
      <c r="BD113" s="2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6"/>
      <c r="BC114" s="4"/>
      <c r="BD114" s="2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6"/>
      <c r="BC115" s="4"/>
      <c r="BD115" s="2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6"/>
      <c r="BC116" s="4"/>
      <c r="BD116" s="2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6"/>
      <c r="BC117" s="4"/>
      <c r="BD117" s="2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6"/>
      <c r="BC118" s="4"/>
      <c r="BD118" s="2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6"/>
      <c r="BC119" s="4"/>
      <c r="BD119" s="2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6"/>
      <c r="BC120" s="4"/>
      <c r="BD120" s="2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6"/>
      <c r="BC121" s="4"/>
      <c r="BD121" s="2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6"/>
      <c r="BC122" s="4"/>
      <c r="BD122" s="2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6"/>
      <c r="BC123" s="4"/>
      <c r="BD123" s="2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6"/>
      <c r="BC124" s="4"/>
      <c r="BD124" s="2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6"/>
      <c r="BC125" s="4"/>
      <c r="BD125" s="2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6"/>
      <c r="BC126" s="4"/>
      <c r="BD126" s="2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6"/>
      <c r="BC127" s="4"/>
      <c r="BD127" s="2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6"/>
      <c r="BC128" s="4"/>
      <c r="BD128" s="2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6"/>
      <c r="BC129" s="4"/>
      <c r="BD129" s="2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6"/>
      <c r="BC130" s="4"/>
      <c r="BD130" s="2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6"/>
      <c r="BC131" s="4"/>
      <c r="BD131" s="2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6"/>
      <c r="BC132" s="4"/>
      <c r="BD132" s="2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6"/>
      <c r="BC133" s="4"/>
      <c r="BD133" s="2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6"/>
      <c r="BC134" s="4"/>
      <c r="BD134" s="2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6"/>
      <c r="BC135" s="4"/>
      <c r="BD135" s="2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6"/>
      <c r="BC136" s="4"/>
      <c r="BD136" s="2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6"/>
      <c r="BC137" s="4"/>
      <c r="BD137" s="2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6"/>
      <c r="BC138" s="4"/>
      <c r="BD138" s="2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6"/>
      <c r="BC139" s="4"/>
      <c r="BD139" s="2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6"/>
      <c r="BC140" s="4"/>
      <c r="BD140" s="2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6"/>
      <c r="BC141" s="4"/>
      <c r="BD141" s="2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6"/>
      <c r="BC142" s="4"/>
      <c r="BD142" s="2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6"/>
      <c r="BC143" s="4"/>
      <c r="BD143" s="2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6"/>
      <c r="BC144" s="4"/>
      <c r="BD144" s="2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6"/>
      <c r="BC145" s="4"/>
      <c r="BD145" s="2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6"/>
      <c r="BC146" s="4"/>
      <c r="BD146" s="2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6"/>
      <c r="BC147" s="4"/>
      <c r="BD147" s="2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6"/>
      <c r="BC148" s="4"/>
      <c r="BD148" s="2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6"/>
      <c r="BC149" s="4"/>
      <c r="BD149" s="2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6"/>
      <c r="BC150" s="4"/>
      <c r="BD150" s="2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6"/>
      <c r="BC151" s="4"/>
      <c r="BD151" s="2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6"/>
      <c r="BC152" s="4"/>
      <c r="BD152" s="2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6"/>
      <c r="BC153" s="4"/>
      <c r="BD153" s="2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6"/>
      <c r="BC154" s="4"/>
      <c r="BD154" s="2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6"/>
      <c r="BC155" s="4"/>
      <c r="BD155" s="2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6"/>
      <c r="BC156" s="4"/>
      <c r="BD156" s="2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6"/>
      <c r="BC157" s="4"/>
      <c r="BD157" s="2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6"/>
      <c r="BC158" s="4"/>
      <c r="BD158" s="2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6"/>
      <c r="BC159" s="4"/>
      <c r="BD159" s="2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6"/>
      <c r="BC160" s="4"/>
      <c r="BD160" s="2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6"/>
      <c r="BC161" s="4"/>
      <c r="BD161" s="2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6"/>
      <c r="BC162" s="4"/>
      <c r="BD162" s="2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6"/>
      <c r="BC163" s="4"/>
      <c r="BD163" s="2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6"/>
      <c r="BC164" s="4"/>
      <c r="BD164" s="2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6"/>
      <c r="BC165" s="4"/>
      <c r="BD165" s="2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6"/>
      <c r="BC166" s="4"/>
      <c r="BD166" s="2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6"/>
      <c r="BC167" s="4"/>
      <c r="BD167" s="2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6"/>
      <c r="BC168" s="4"/>
      <c r="BD168" s="2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6"/>
      <c r="BC169" s="4"/>
      <c r="BD169" s="2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6"/>
      <c r="BC170" s="4"/>
      <c r="BD170" s="2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6"/>
      <c r="BC171" s="4"/>
      <c r="BD171" s="2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6"/>
      <c r="BC172" s="4"/>
      <c r="BD172" s="2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6"/>
      <c r="BC173" s="4"/>
      <c r="BD173" s="2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6"/>
      <c r="BC174" s="4"/>
      <c r="BD174" s="2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6"/>
      <c r="BC175" s="4"/>
      <c r="BD175" s="2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6"/>
      <c r="BC176" s="4"/>
      <c r="BD176" s="2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6"/>
      <c r="BC177" s="4"/>
      <c r="BD177" s="2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6"/>
      <c r="BC178" s="4"/>
      <c r="BD178" s="2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6"/>
      <c r="BC179" s="4"/>
      <c r="BD179" s="2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6"/>
      <c r="BC180" s="4"/>
      <c r="BD180" s="2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6"/>
      <c r="BC181" s="4"/>
      <c r="BD181" s="2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6"/>
      <c r="BC182" s="4"/>
      <c r="BD182" s="2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6"/>
      <c r="BC183" s="4"/>
      <c r="BD183" s="2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6"/>
      <c r="BC184" s="4"/>
      <c r="BD184" s="2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6"/>
      <c r="BC185" s="4"/>
      <c r="BD185" s="2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6"/>
      <c r="BC186" s="4"/>
      <c r="BD186" s="2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6"/>
      <c r="BC187" s="4"/>
      <c r="BD187" s="2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6"/>
      <c r="BC188" s="4"/>
      <c r="BD188" s="2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6"/>
      <c r="BC189" s="4"/>
      <c r="BD189" s="2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6"/>
      <c r="BC190" s="4"/>
      <c r="BD190" s="26"/>
      <c r="BE190" s="4"/>
      <c r="BF190" s="4"/>
      <c r="BG190" s="1"/>
      <c r="BH19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B20" sqref="B20"/>
    </sheetView>
  </sheetViews>
  <sheetFormatPr defaultRowHeight="15.75" x14ac:dyDescent="0.25"/>
  <cols>
    <col min="1" max="1" width="33.42578125" style="37" customWidth="1"/>
    <col min="2" max="2" width="67.140625" style="37" customWidth="1"/>
    <col min="3" max="16384" width="9.140625" style="37"/>
  </cols>
  <sheetData>
    <row r="2" spans="1:2" x14ac:dyDescent="0.25">
      <c r="A2" s="10" t="s">
        <v>56</v>
      </c>
      <c r="B2" s="10" t="s">
        <v>57</v>
      </c>
    </row>
    <row r="3" spans="1:2" x14ac:dyDescent="0.25">
      <c r="A3" s="29" t="s">
        <v>58</v>
      </c>
      <c r="B3" s="30" t="s">
        <v>78</v>
      </c>
    </row>
    <row r="4" spans="1:2" x14ac:dyDescent="0.25">
      <c r="A4" s="29" t="s">
        <v>59</v>
      </c>
      <c r="B4" s="31">
        <v>130</v>
      </c>
    </row>
    <row r="5" spans="1:2" x14ac:dyDescent="0.25">
      <c r="A5" s="29" t="s">
        <v>60</v>
      </c>
      <c r="B5" s="30" t="s">
        <v>51</v>
      </c>
    </row>
    <row r="6" spans="1:2" x14ac:dyDescent="0.25">
      <c r="A6" s="32" t="s">
        <v>61</v>
      </c>
      <c r="B6" s="30" t="s">
        <v>78</v>
      </c>
    </row>
    <row r="7" spans="1:2" x14ac:dyDescent="0.25">
      <c r="A7" s="32" t="s">
        <v>72</v>
      </c>
      <c r="B7" s="30">
        <v>1</v>
      </c>
    </row>
    <row r="8" spans="1:2" x14ac:dyDescent="0.25">
      <c r="A8" s="38" t="s">
        <v>73</v>
      </c>
      <c r="B8" s="38" t="s">
        <v>79</v>
      </c>
    </row>
    <row r="9" spans="1:2" x14ac:dyDescent="0.25">
      <c r="A9" s="38" t="s">
        <v>74</v>
      </c>
      <c r="B9" s="38"/>
    </row>
    <row r="10" spans="1:2" x14ac:dyDescent="0.25">
      <c r="A10" s="27" t="s">
        <v>80</v>
      </c>
      <c r="B10" s="38" t="s">
        <v>79</v>
      </c>
    </row>
    <row r="11" spans="1:2" x14ac:dyDescent="0.25">
      <c r="A11" s="42" t="s">
        <v>81</v>
      </c>
      <c r="B11" s="42" t="s">
        <v>81</v>
      </c>
    </row>
    <row r="12" spans="1:2" x14ac:dyDescent="0.25">
      <c r="A12" s="42" t="s">
        <v>108</v>
      </c>
      <c r="B12" s="42" t="s">
        <v>108</v>
      </c>
    </row>
    <row r="13" spans="1:2" x14ac:dyDescent="0.25">
      <c r="A13" s="42" t="s">
        <v>113</v>
      </c>
      <c r="B13" s="42" t="s">
        <v>113</v>
      </c>
    </row>
    <row r="14" spans="1:2" x14ac:dyDescent="0.25">
      <c r="A14" s="38" t="s">
        <v>74</v>
      </c>
      <c r="B14" s="3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2025-10-07T12:07:54Z</dcterms:modified>
</cp:coreProperties>
</file>