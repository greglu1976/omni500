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2" i="5" l="1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34" i="6" l="1"/>
  <c r="AV34" i="6"/>
  <c r="J34" i="6"/>
  <c r="I34" i="6"/>
  <c r="BG33" i="6"/>
  <c r="AV33" i="6"/>
  <c r="J33" i="6"/>
  <c r="I33" i="6"/>
  <c r="BG32" i="6"/>
  <c r="AV32" i="6"/>
  <c r="AP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AP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AP24" i="6"/>
  <c r="J24" i="6"/>
  <c r="I24" i="6"/>
  <c r="BG23" i="6"/>
  <c r="AV23" i="6"/>
  <c r="J23" i="6"/>
  <c r="I23" i="6"/>
  <c r="BG22" i="6"/>
  <c r="AV22" i="6"/>
  <c r="J22" i="6"/>
  <c r="I22" i="6"/>
  <c r="BG21" i="6"/>
  <c r="AV21" i="6"/>
  <c r="J21" i="6"/>
  <c r="I21" i="6"/>
  <c r="BG20" i="6"/>
  <c r="AV20" i="6"/>
  <c r="AP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AP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AP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<sst xmlns="http://schemas.openxmlformats.org/spreadsheetml/2006/main" count="785" uniqueCount="127">
  <si>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</si>
  <si>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</si>
  <si>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</si>
  <si>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</si>
  <si>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</si>
  <si>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</si>
  <si>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</si>
  <si>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</si>
  <si>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</si>
  <si>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</si>
  <si>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</si>
  <si>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</si>
  <si>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</si>
  <si>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</si>
  <si>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</si>
  <si>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</si>
  <si>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</si>
  <si>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</si>
  <si>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</si>
  <si>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</si>
  <si>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</si>
  <si>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</si>
  <si>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</si>
  <si>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</si>
  <si>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</si>
  <si>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</si>
  <si>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</si>
  <si>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</si>
  <si>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</si>
  <si>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</si>
  <si>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</si>
  <si>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</si>
  <si>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</si>
  <si>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</si>
  <si>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</si>
  <si>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</si>
  <si>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</si>
  <si>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</si>
  <si>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</si>
  <si>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</si>
  <si>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</si>
  <si>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</si>
  <si>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</si>
  <si>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</si>
  <si>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</si>
  <si>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</si>
  <si>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</si>
  <si>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</si>
  <si>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</si>
  <si>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</si>
  <si>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</si>
  <si>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</si>
  <si>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</si>
  <si>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</si>
  <si>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</si>
  <si>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</si>
  <si>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</si>
  <si>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</si>
  <si>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</si>
  <si>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</si>
  <si>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</si>
  <si>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</si>
  <si>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</si>
  <si>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</si>
  <si>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</si>
  <si>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</si>
  <si>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</si>
  <si>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</si>
  <si>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</si>
  <si>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</si>
  <si>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</si>
  <si>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</si>
  <si>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</si>
  <si>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</si>
  <si>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</si>
  <si>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</si>
  <si>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</si>
  <si>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</si>
  <si>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</si>
  <si>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</si>
  <si>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</si>
  <si>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</si>
  <si>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</si>
  <si>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Модуль дискретных входов</t>
  </si>
  <si>
    <t>Отказ модуля</t>
  </si>
  <si>
    <t>Модуль не определен</t>
  </si>
  <si>
    <t>Дискретный вход 1</t>
  </si>
  <si>
    <t>Режим работы входа</t>
  </si>
  <si>
    <t>Режим</t>
  </si>
  <si>
    <t>0 - Не активен, 1 - Активен</t>
  </si>
  <si>
    <t>Задержка срабатывания входа</t>
  </si>
  <si>
    <t>Задержка сраб.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</si>
  <si>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</si>
  <si>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</si>
  <si>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</si>
  <si>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</si>
  <si>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</si>
  <si>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</si>
  <si>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</si>
  <si>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</si>
  <si>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</si>
  <si>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Режим инверсии входа</t>
  </si>
  <si>
    <t>Инверсия</t>
  </si>
  <si>
    <t>0 - Не предусмотрено, 1 - Предусмотрено</t>
  </si>
  <si>
    <t>Назначение входа</t>
  </si>
  <si>
    <t>Описание</t>
  </si>
  <si>
    <t>символ</t>
  </si>
  <si>
    <t>Дискретный вход 2</t>
  </si>
  <si>
    <t>Дискретный вход 3</t>
  </si>
  <si>
    <t>Дискретный вход 4</t>
  </si>
  <si>
    <t>Дискретный вход 5</t>
  </si>
  <si>
    <t>Дискретный вход 6</t>
  </si>
  <si>
    <t>Дискретный вход 7</t>
  </si>
  <si>
    <t>Дискретный вход 8</t>
  </si>
  <si>
    <t>Статус</t>
  </si>
  <si>
    <t>Входы</t>
  </si>
  <si>
    <t>Выходы</t>
  </si>
  <si>
    <t>ДВ1</t>
  </si>
  <si>
    <t>ДВ2</t>
  </si>
  <si>
    <t>ДВ3</t>
  </si>
  <si>
    <t>ДВ4</t>
  </si>
  <si>
    <t>ДВ5</t>
  </si>
  <si>
    <t>ДВ6</t>
  </si>
  <si>
    <t>ДВ7</t>
  </si>
  <si>
    <t>ДВ8</t>
  </si>
  <si>
    <t>Общие настройки конфигурации</t>
  </si>
  <si>
    <t>В001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</si>
</sst>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zoomScale="80" zoomScaleNormal="80" workbookViewId="0">
      <selection activeCell="E25" sqref="E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84</v>
      </c>
      <c r="F3" s="20" t="s">
        <v>84</v>
      </c>
      <c r="G3" s="20" t="s">
        <v>84</v>
      </c>
      <c r="H3" s="9"/>
      <c r="I3" s="20">
        <f t="shared" ref="I3:I5" si="0">LEN(F3)</f>
        <v>12</v>
      </c>
      <c r="J3" s="20" t="str">
        <f t="shared" ref="J3:J5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85</v>
      </c>
      <c r="F4" s="20" t="s">
        <v>85</v>
      </c>
      <c r="G4" s="20" t="s">
        <v>85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"Модуль не определен", group: "status", minValue: null, maxValue: null, step: null, units: "null", defaultValue: null, eventRegistration: 2</v>
      </c>
    </row>
    <row r="5" spans="1:16379" s="27" customFormat="1" ht="15.75" customHeight="1" x14ac:dyDescent="0.25">
      <c r="A5" s="22"/>
      <c r="B5" s="42" t="s">
        <v>78</v>
      </c>
      <c r="C5" s="23"/>
      <c r="D5" s="30" t="s">
        <v>117</v>
      </c>
      <c r="E5" s="2" t="s">
        <v>114</v>
      </c>
      <c r="F5" s="2" t="s">
        <v>114</v>
      </c>
      <c r="G5" s="2" t="s">
        <v>114</v>
      </c>
      <c r="H5" s="9"/>
      <c r="I5" s="20">
        <f t="shared" si="0"/>
        <v>6</v>
      </c>
      <c r="J5" s="20" t="str">
        <f t="shared" si="1"/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si="2"/>
        <v>description: "Статус", note: "Статус", group: "status", minValue: null, maxValue: null, step: null, units: "null", defaultValue: null, eventRegistration: 2</v>
      </c>
    </row>
    <row r="6" spans="1:16379" s="27" customFormat="1" ht="15.75" customHeight="1" x14ac:dyDescent="0.25">
      <c r="A6" s="22"/>
      <c r="B6" s="42" t="s">
        <v>78</v>
      </c>
      <c r="C6" s="23"/>
      <c r="D6" s="30" t="s">
        <v>118</v>
      </c>
      <c r="E6" s="2" t="s">
        <v>114</v>
      </c>
      <c r="F6" s="2" t="s">
        <v>114</v>
      </c>
      <c r="G6" s="2" t="s">
        <v>114</v>
      </c>
      <c r="H6" s="9"/>
      <c r="I6" s="20">
        <f t="shared" ref="I6:I12" si="3">LEN(F6)</f>
        <v>6</v>
      </c>
      <c r="J6" s="20" t="str">
        <f t="shared" ref="J6:J12" si="4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12" si="5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customHeight="1" x14ac:dyDescent="0.25">
      <c r="A7" s="22"/>
      <c r="B7" s="42" t="s">
        <v>78</v>
      </c>
      <c r="C7" s="23"/>
      <c r="D7" s="30" t="s">
        <v>119</v>
      </c>
      <c r="E7" s="2" t="s">
        <v>114</v>
      </c>
      <c r="F7" s="2" t="s">
        <v>114</v>
      </c>
      <c r="G7" s="2" t="s">
        <v>114</v>
      </c>
      <c r="H7" s="9"/>
      <c r="I7" s="20">
        <f t="shared" si="3"/>
        <v>6</v>
      </c>
      <c r="J7" s="20" t="str">
        <f t="shared" si="4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5"/>
        <v>description: "Статус", note: "Статус", group: "status", minValue: null, maxValue: null, step: null, units: "null", defaultValue: null, eventRegistration: 2</v>
      </c>
    </row>
    <row r="8" spans="1:16379" s="27" customFormat="1" ht="15.75" customHeight="1" x14ac:dyDescent="0.25">
      <c r="A8" s="22"/>
      <c r="B8" s="42" t="s">
        <v>78</v>
      </c>
      <c r="C8" s="23"/>
      <c r="D8" s="30" t="s">
        <v>120</v>
      </c>
      <c r="E8" s="2" t="s">
        <v>114</v>
      </c>
      <c r="F8" s="2" t="s">
        <v>114</v>
      </c>
      <c r="G8" s="2" t="s">
        <v>114</v>
      </c>
      <c r="H8" s="9"/>
      <c r="I8" s="20">
        <f t="shared" si="3"/>
        <v>6</v>
      </c>
      <c r="J8" s="20" t="str">
        <f t="shared" si="4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5"/>
        <v>description: "Статус", note: "Статус", group: "status", minValue: null, maxValue: null, step: null, units: "null", defaultValue: null, eventRegistration: 2</v>
      </c>
    </row>
    <row r="9" spans="1:16379" s="27" customFormat="1" ht="15.75" customHeight="1" x14ac:dyDescent="0.25">
      <c r="A9" s="22"/>
      <c r="B9" s="42" t="s">
        <v>78</v>
      </c>
      <c r="C9" s="23"/>
      <c r="D9" s="30" t="s">
        <v>121</v>
      </c>
      <c r="E9" s="2" t="s">
        <v>114</v>
      </c>
      <c r="F9" s="2" t="s">
        <v>114</v>
      </c>
      <c r="G9" s="2" t="s">
        <v>114</v>
      </c>
      <c r="H9" s="9"/>
      <c r="I9" s="20">
        <f t="shared" si="3"/>
        <v>6</v>
      </c>
      <c r="J9" s="20" t="str">
        <f t="shared" si="4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5"/>
        <v>description: "Статус", note: "Статус", group: "status", minValue: null, maxValue: null, step: null, units: "null", defaultValue: null, eventRegistration: 2</v>
      </c>
    </row>
    <row r="10" spans="1:16379" s="27" customFormat="1" ht="15.75" customHeight="1" x14ac:dyDescent="0.25">
      <c r="A10" s="22"/>
      <c r="B10" s="42" t="s">
        <v>78</v>
      </c>
      <c r="C10" s="23"/>
      <c r="D10" s="30" t="s">
        <v>122</v>
      </c>
      <c r="E10" s="2" t="s">
        <v>114</v>
      </c>
      <c r="F10" s="2" t="s">
        <v>114</v>
      </c>
      <c r="G10" s="2" t="s">
        <v>114</v>
      </c>
      <c r="H10" s="9"/>
      <c r="I10" s="20">
        <f t="shared" si="3"/>
        <v>6</v>
      </c>
      <c r="J10" s="20" t="str">
        <f t="shared" si="4"/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si="5"/>
        <v>description: "Статус", note: "Статус", group: "status", minValue: null, maxValue: null, step: null, units: "null", defaultValue: null, eventRegistration: 2</v>
      </c>
    </row>
    <row r="11" spans="1:16379" s="27" customFormat="1" ht="15.75" customHeight="1" x14ac:dyDescent="0.25">
      <c r="A11" s="22"/>
      <c r="B11" s="42" t="s">
        <v>78</v>
      </c>
      <c r="C11" s="23"/>
      <c r="D11" s="30" t="s">
        <v>123</v>
      </c>
      <c r="E11" s="2" t="s">
        <v>114</v>
      </c>
      <c r="F11" s="2" t="s">
        <v>114</v>
      </c>
      <c r="G11" s="2" t="s">
        <v>114</v>
      </c>
      <c r="H11" s="9"/>
      <c r="I11" s="20">
        <f t="shared" si="3"/>
        <v>6</v>
      </c>
      <c r="J11" s="20" t="str">
        <f t="shared" si="4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5"/>
        <v>description: "Статус", note: "Статус", group: "status", minValue: null, maxValue: null, step: null, units: "null", defaultValue: null, eventRegistration: 2</v>
      </c>
    </row>
    <row r="12" spans="1:16379" s="27" customFormat="1" ht="15.75" customHeight="1" x14ac:dyDescent="0.25">
      <c r="A12" s="22"/>
      <c r="B12" s="42" t="s">
        <v>78</v>
      </c>
      <c r="C12" s="23"/>
      <c r="D12" s="30" t="s">
        <v>124</v>
      </c>
      <c r="E12" s="2" t="s">
        <v>114</v>
      </c>
      <c r="F12" s="2" t="s">
        <v>114</v>
      </c>
      <c r="G12" s="2" t="s">
        <v>114</v>
      </c>
      <c r="H12" s="9"/>
      <c r="I12" s="20">
        <f t="shared" si="3"/>
        <v>6</v>
      </c>
      <c r="J12" s="20" t="str">
        <f t="shared" si="4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5"/>
        <v>description: "Статус", note: "Статус", group: "status", minValue: null, maxValue: null, step: null, units: "null", defaultValue: null, eventRegistration: 2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65"/>
  <sheetViews>
    <sheetView tabSelected="1" topLeftCell="N7" zoomScale="80" zoomScaleNormal="80" workbookViewId="0">
      <selection activeCell="AC22" sqref="AC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74.28515625" style="2" bestFit="1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SUM(AA3:AA34)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117</v>
      </c>
      <c r="E3" s="20" t="s">
        <v>87</v>
      </c>
      <c r="F3" s="20" t="s">
        <v>88</v>
      </c>
      <c r="G3" s="20" t="s">
        <v>88</v>
      </c>
      <c r="H3" s="44" t="s">
        <v>89</v>
      </c>
      <c r="I3" s="20">
        <f t="shared" ref="I3:I34" si="0">LEN(F3)</f>
        <v>5</v>
      </c>
      <c r="J3" s="20" t="str">
        <f t="shared" ref="J3:J34" si="1">IF(LEN(F3)&lt;=$J$1,F3,"")</f>
        <v>Режим</v>
      </c>
      <c r="K3" s="22" t="s">
        <v>63</v>
      </c>
      <c r="L3" s="45" t="s">
        <v>54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1</v>
      </c>
      <c r="U3" s="25">
        <v>1</v>
      </c>
      <c r="V3" s="25"/>
      <c r="W3" s="25"/>
      <c r="X3" s="25">
        <v>0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34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входа", group: "setting", minValue: 0, maxValue: 1, step: 1, units: "null", defaultValue: 0,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117</v>
      </c>
      <c r="E4" s="20" t="s">
        <v>90</v>
      </c>
      <c r="F4" s="20" t="s">
        <v>91</v>
      </c>
      <c r="G4" s="20" t="s">
        <v>91</v>
      </c>
      <c r="H4" s="20"/>
      <c r="I4" s="20">
        <f t="shared" si="0"/>
        <v>14</v>
      </c>
      <c r="J4" s="20" t="str">
        <f t="shared" si="1"/>
        <v>Задержка сраб.</v>
      </c>
      <c r="K4" s="22" t="s">
        <v>92</v>
      </c>
      <c r="L4" s="38" t="s">
        <v>93</v>
      </c>
      <c r="M4" s="25" t="s">
        <v>52</v>
      </c>
      <c r="N4" s="25" t="s">
        <v>52</v>
      </c>
      <c r="O4" s="25"/>
      <c r="P4" s="35">
        <v>2</v>
      </c>
      <c r="Q4" s="35" t="s">
        <v>94</v>
      </c>
      <c r="R4" s="25" t="s">
        <v>95</v>
      </c>
      <c r="S4" s="25">
        <v>0</v>
      </c>
      <c r="T4" s="25">
        <v>100</v>
      </c>
      <c r="U4" s="25">
        <v>1</v>
      </c>
      <c r="V4" s="25"/>
      <c r="W4" s="25"/>
      <c r="X4" s="25">
        <v>20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96</v>
      </c>
      <c r="AJ4" s="23" t="s">
        <v>97</v>
      </c>
      <c r="AK4" s="23" t="s">
        <v>98</v>
      </c>
      <c r="AL4" s="23" t="s">
        <v>99</v>
      </c>
      <c r="AM4" s="23" t="s">
        <v>93</v>
      </c>
      <c r="AN4" s="23"/>
      <c r="AO4" s="23" t="s">
        <v>100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:AV5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117</v>
      </c>
      <c r="E5" s="20" t="s">
        <v>101</v>
      </c>
      <c r="F5" s="20" t="s">
        <v>102</v>
      </c>
      <c r="G5" s="20" t="s">
        <v>102</v>
      </c>
      <c r="H5" s="44" t="s">
        <v>103</v>
      </c>
      <c r="I5" s="20">
        <f t="shared" si="0"/>
        <v>8</v>
      </c>
      <c r="J5" s="20" t="str">
        <f t="shared" si="1"/>
        <v>Инверсия</v>
      </c>
      <c r="K5" s="22" t="s">
        <v>63</v>
      </c>
      <c r="L5" s="45" t="s">
        <v>54</v>
      </c>
      <c r="M5" s="25" t="s">
        <v>52</v>
      </c>
      <c r="N5" s="25" t="s">
        <v>52</v>
      </c>
      <c r="O5" s="25"/>
      <c r="P5" s="35">
        <v>0</v>
      </c>
      <c r="Q5" s="35"/>
      <c r="R5" s="25" t="s">
        <v>53</v>
      </c>
      <c r="S5" s="25">
        <v>0</v>
      </c>
      <c r="T5" s="25">
        <v>1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si="5"/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117</v>
      </c>
      <c r="E6" s="20" t="s">
        <v>104</v>
      </c>
      <c r="F6" s="20" t="s">
        <v>105</v>
      </c>
      <c r="G6" s="20" t="s">
        <v>105</v>
      </c>
      <c r="H6" s="44"/>
      <c r="I6" s="20">
        <f t="shared" si="0"/>
        <v>8</v>
      </c>
      <c r="J6" s="20" t="str">
        <f t="shared" si="1"/>
        <v>Описание</v>
      </c>
      <c r="K6" s="22" t="s">
        <v>63</v>
      </c>
      <c r="L6" s="46" t="s">
        <v>93</v>
      </c>
      <c r="M6" s="25" t="s">
        <v>52</v>
      </c>
      <c r="N6" s="25" t="s">
        <v>52</v>
      </c>
      <c r="O6" s="25"/>
      <c r="P6" s="35">
        <v>0</v>
      </c>
      <c r="Q6" s="35"/>
      <c r="R6" s="25" t="s">
        <v>106</v>
      </c>
      <c r="S6" s="25">
        <v>0</v>
      </c>
      <c r="T6" s="25">
        <v>31</v>
      </c>
      <c r="U6" s="25">
        <v>1</v>
      </c>
      <c r="V6" s="25"/>
      <c r="W6" s="25"/>
      <c r="X6" s="63" t="s">
        <v>53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ref="AV6:AV9" si="6">BIN2DEC(CONCATENATE(0,0,0,0,AR6,AS6,AT6,AU6))</f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7" spans="1:16379" s="39" customFormat="1" ht="15.75" x14ac:dyDescent="0.25">
      <c r="A7" s="22"/>
      <c r="B7" s="22" t="s">
        <v>56</v>
      </c>
      <c r="C7" s="25"/>
      <c r="D7" s="30" t="s">
        <v>118</v>
      </c>
      <c r="E7" s="20" t="s">
        <v>87</v>
      </c>
      <c r="F7" s="20" t="s">
        <v>88</v>
      </c>
      <c r="G7" s="20" t="s">
        <v>88</v>
      </c>
      <c r="H7" s="44" t="s">
        <v>89</v>
      </c>
      <c r="I7" s="20">
        <f t="shared" si="0"/>
        <v>5</v>
      </c>
      <c r="J7" s="20" t="str">
        <f t="shared" si="1"/>
        <v>Режим</v>
      </c>
      <c r="K7" s="22" t="s">
        <v>63</v>
      </c>
      <c r="L7" s="45" t="s">
        <v>54</v>
      </c>
      <c r="M7" s="25" t="s">
        <v>52</v>
      </c>
      <c r="N7" s="25" t="s">
        <v>52</v>
      </c>
      <c r="O7" s="25"/>
      <c r="P7" s="35">
        <v>0</v>
      </c>
      <c r="Q7" s="35"/>
      <c r="R7" s="25" t="s">
        <v>53</v>
      </c>
      <c r="S7" s="25">
        <v>0</v>
      </c>
      <c r="T7" s="25">
        <v>1</v>
      </c>
      <c r="U7" s="25">
        <v>1</v>
      </c>
      <c r="V7" s="25"/>
      <c r="W7" s="25"/>
      <c r="X7" s="25">
        <v>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/>
      <c r="AJ7" s="23"/>
      <c r="AK7" s="23"/>
      <c r="AL7" s="23"/>
      <c r="AM7" s="23"/>
      <c r="AN7" s="23"/>
      <c r="AO7" s="23"/>
      <c r="AP7" s="23"/>
      <c r="AQ7" s="23"/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 t="s">
        <v>74</v>
      </c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3"/>
        <v>description: "Режим", note: "Режим работы входа", group: "setting", minValue: 0, maxValue: 1, step: 1, units: "null", defaultValue: 0, eventRegistration: 0</v>
      </c>
    </row>
    <row r="8" spans="1:16379" s="39" customFormat="1" ht="15.75" customHeight="1" x14ac:dyDescent="0.25">
      <c r="A8" s="22"/>
      <c r="B8" s="22" t="s">
        <v>56</v>
      </c>
      <c r="C8" s="25"/>
      <c r="D8" s="30" t="s">
        <v>118</v>
      </c>
      <c r="E8" s="20" t="s">
        <v>90</v>
      </c>
      <c r="F8" s="20" t="s">
        <v>91</v>
      </c>
      <c r="G8" s="20" t="s">
        <v>91</v>
      </c>
      <c r="H8" s="20"/>
      <c r="I8" s="20">
        <f t="shared" si="0"/>
        <v>14</v>
      </c>
      <c r="J8" s="20" t="str">
        <f t="shared" si="1"/>
        <v>Задержка сраб.</v>
      </c>
      <c r="K8" s="22" t="s">
        <v>92</v>
      </c>
      <c r="L8" s="38" t="s">
        <v>93</v>
      </c>
      <c r="M8" s="25" t="s">
        <v>52</v>
      </c>
      <c r="N8" s="25" t="s">
        <v>52</v>
      </c>
      <c r="O8" s="25"/>
      <c r="P8" s="35">
        <v>2</v>
      </c>
      <c r="Q8" s="35" t="s">
        <v>94</v>
      </c>
      <c r="R8" s="25" t="s">
        <v>95</v>
      </c>
      <c r="S8" s="25">
        <v>0</v>
      </c>
      <c r="T8" s="25">
        <v>100</v>
      </c>
      <c r="U8" s="25">
        <v>1</v>
      </c>
      <c r="V8" s="25"/>
      <c r="W8" s="25"/>
      <c r="X8" s="25">
        <v>20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 t="s">
        <v>96</v>
      </c>
      <c r="AJ8" s="23" t="s">
        <v>97</v>
      </c>
      <c r="AK8" s="23" t="s">
        <v>98</v>
      </c>
      <c r="AL8" s="23" t="s">
        <v>99</v>
      </c>
      <c r="AM8" s="23" t="s">
        <v>93</v>
      </c>
      <c r="AN8" s="23"/>
      <c r="AO8" s="23" t="s">
        <v>100</v>
      </c>
      <c r="AP8" s="26" t="str">
        <f t="shared" ref="AP8" si="7">CONCATENATE(AJ8, ".", AL8)</f>
        <v>GENRBRF1.FailTmms.setVal</v>
      </c>
      <c r="AQ8" s="23" t="s">
        <v>55</v>
      </c>
      <c r="AR8" s="23">
        <v>0</v>
      </c>
      <c r="AS8" s="23">
        <v>0</v>
      </c>
      <c r="AT8" s="23">
        <v>0</v>
      </c>
      <c r="AU8" s="23">
        <v>0</v>
      </c>
      <c r="AV8" s="23">
        <f t="shared" si="6"/>
        <v>0</v>
      </c>
      <c r="AW8" s="23"/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118</v>
      </c>
      <c r="E9" s="20" t="s">
        <v>101</v>
      </c>
      <c r="F9" s="20" t="s">
        <v>102</v>
      </c>
      <c r="G9" s="20" t="s">
        <v>102</v>
      </c>
      <c r="H9" s="44" t="s">
        <v>103</v>
      </c>
      <c r="I9" s="20">
        <f t="shared" si="0"/>
        <v>8</v>
      </c>
      <c r="J9" s="20" t="str">
        <f t="shared" si="1"/>
        <v>Инверсия</v>
      </c>
      <c r="K9" s="22" t="s">
        <v>63</v>
      </c>
      <c r="L9" s="45" t="s">
        <v>54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6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0" spans="1:16379" s="39" customFormat="1" ht="15.75" x14ac:dyDescent="0.25">
      <c r="A10" s="22"/>
      <c r="B10" s="22" t="s">
        <v>56</v>
      </c>
      <c r="C10" s="25"/>
      <c r="D10" s="30" t="s">
        <v>118</v>
      </c>
      <c r="E10" s="20" t="s">
        <v>104</v>
      </c>
      <c r="F10" s="20" t="s">
        <v>105</v>
      </c>
      <c r="G10" s="20" t="s">
        <v>105</v>
      </c>
      <c r="H10" s="44"/>
      <c r="I10" s="20">
        <f t="shared" si="0"/>
        <v>8</v>
      </c>
      <c r="J10" s="20" t="str">
        <f t="shared" si="1"/>
        <v>Описание</v>
      </c>
      <c r="K10" s="22" t="s">
        <v>63</v>
      </c>
      <c r="L10" s="46" t="s">
        <v>93</v>
      </c>
      <c r="M10" s="25" t="s">
        <v>52</v>
      </c>
      <c r="N10" s="25" t="s">
        <v>52</v>
      </c>
      <c r="O10" s="25"/>
      <c r="P10" s="35">
        <v>0</v>
      </c>
      <c r="Q10" s="35"/>
      <c r="R10" s="25" t="s">
        <v>106</v>
      </c>
      <c r="S10" s="25">
        <v>0</v>
      </c>
      <c r="T10" s="25">
        <v>31</v>
      </c>
      <c r="U10" s="25">
        <v>1</v>
      </c>
      <c r="V10" s="25"/>
      <c r="W10" s="25"/>
      <c r="X10" s="63" t="s">
        <v>53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/>
      <c r="AJ10" s="23"/>
      <c r="AK10" s="23"/>
      <c r="AL10" s="23"/>
      <c r="AM10" s="23"/>
      <c r="AN10" s="23"/>
      <c r="AO10" s="23"/>
      <c r="AP10" s="23"/>
      <c r="AQ10" s="23"/>
      <c r="AR10" s="23">
        <v>0</v>
      </c>
      <c r="AS10" s="23">
        <v>0</v>
      </c>
      <c r="AT10" s="23">
        <v>0</v>
      </c>
      <c r="AU10" s="23">
        <v>0</v>
      </c>
      <c r="AV10" s="23">
        <f t="shared" ref="AV10:AV13" si="8">BIN2DEC(CONCATENATE(0,0,0,0,AR10,AS10,AT10,AU10))</f>
        <v>0</v>
      </c>
      <c r="AW10" s="23" t="s">
        <v>74</v>
      </c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119</v>
      </c>
      <c r="E11" s="20" t="s">
        <v>87</v>
      </c>
      <c r="F11" s="20" t="s">
        <v>88</v>
      </c>
      <c r="G11" s="20" t="s">
        <v>88</v>
      </c>
      <c r="H11" s="44" t="s">
        <v>89</v>
      </c>
      <c r="I11" s="20">
        <f t="shared" si="0"/>
        <v>5</v>
      </c>
      <c r="J11" s="20" t="str">
        <f t="shared" si="1"/>
        <v>Режим</v>
      </c>
      <c r="K11" s="22" t="s">
        <v>63</v>
      </c>
      <c r="L11" s="45" t="s">
        <v>54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53</v>
      </c>
      <c r="S11" s="25">
        <v>0</v>
      </c>
      <c r="T11" s="25">
        <v>1</v>
      </c>
      <c r="U11" s="25">
        <v>1</v>
      </c>
      <c r="V11" s="25"/>
      <c r="W11" s="25"/>
      <c r="X11" s="25">
        <v>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si="8"/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3"/>
        <v>description: "Режим", note: "Режим работы входа", group: "setting", minValue: 0, maxValue: 1, step: 1, units: "null", defaultValue: 0, eventRegistration: 0</v>
      </c>
    </row>
    <row r="12" spans="1:16379" s="39" customFormat="1" ht="15.75" customHeight="1" x14ac:dyDescent="0.25">
      <c r="A12" s="22"/>
      <c r="B12" s="22" t="s">
        <v>56</v>
      </c>
      <c r="C12" s="25"/>
      <c r="D12" s="30" t="s">
        <v>119</v>
      </c>
      <c r="E12" s="20" t="s">
        <v>90</v>
      </c>
      <c r="F12" s="20" t="s">
        <v>91</v>
      </c>
      <c r="G12" s="20" t="s">
        <v>91</v>
      </c>
      <c r="H12" s="20"/>
      <c r="I12" s="20">
        <f t="shared" si="0"/>
        <v>14</v>
      </c>
      <c r="J12" s="20" t="str">
        <f t="shared" si="1"/>
        <v>Задержка сраб.</v>
      </c>
      <c r="K12" s="22" t="s">
        <v>92</v>
      </c>
      <c r="L12" s="38" t="s">
        <v>93</v>
      </c>
      <c r="M12" s="25" t="s">
        <v>52</v>
      </c>
      <c r="N12" s="25" t="s">
        <v>52</v>
      </c>
      <c r="O12" s="25"/>
      <c r="P12" s="35">
        <v>2</v>
      </c>
      <c r="Q12" s="35" t="s">
        <v>94</v>
      </c>
      <c r="R12" s="25" t="s">
        <v>95</v>
      </c>
      <c r="S12" s="25">
        <v>0</v>
      </c>
      <c r="T12" s="25">
        <v>100</v>
      </c>
      <c r="U12" s="25">
        <v>1</v>
      </c>
      <c r="V12" s="25"/>
      <c r="W12" s="25"/>
      <c r="X12" s="25">
        <v>20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 t="s">
        <v>96</v>
      </c>
      <c r="AJ12" s="23" t="s">
        <v>97</v>
      </c>
      <c r="AK12" s="23" t="s">
        <v>98</v>
      </c>
      <c r="AL12" s="23" t="s">
        <v>99</v>
      </c>
      <c r="AM12" s="23" t="s">
        <v>93</v>
      </c>
      <c r="AN12" s="23"/>
      <c r="AO12" s="23" t="s">
        <v>100</v>
      </c>
      <c r="AP12" s="26" t="str">
        <f t="shared" ref="AP12" si="9">CONCATENATE(AJ12, ".", AL12)</f>
        <v>GENRBRF1.FailTmms.setVal</v>
      </c>
      <c r="AQ12" s="23" t="s">
        <v>55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8"/>
        <v>0</v>
      </c>
      <c r="AW12" s="23"/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3" spans="1:16379" s="39" customFormat="1" ht="15.75" x14ac:dyDescent="0.25">
      <c r="A13" s="22"/>
      <c r="B13" s="22" t="s">
        <v>56</v>
      </c>
      <c r="C13" s="25"/>
      <c r="D13" s="30" t="s">
        <v>119</v>
      </c>
      <c r="E13" s="20" t="s">
        <v>101</v>
      </c>
      <c r="F13" s="20" t="s">
        <v>102</v>
      </c>
      <c r="G13" s="20" t="s">
        <v>102</v>
      </c>
      <c r="H13" s="44" t="s">
        <v>103</v>
      </c>
      <c r="I13" s="20">
        <f t="shared" si="0"/>
        <v>8</v>
      </c>
      <c r="J13" s="20" t="str">
        <f t="shared" si="1"/>
        <v>Инверсия</v>
      </c>
      <c r="K13" s="22" t="s">
        <v>63</v>
      </c>
      <c r="L13" s="45" t="s">
        <v>54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53</v>
      </c>
      <c r="S13" s="25">
        <v>0</v>
      </c>
      <c r="T13" s="25">
        <v>1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si="8"/>
        <v>0</v>
      </c>
      <c r="AW13" s="23" t="s">
        <v>74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119</v>
      </c>
      <c r="E14" s="20" t="s">
        <v>104</v>
      </c>
      <c r="F14" s="20" t="s">
        <v>105</v>
      </c>
      <c r="G14" s="20" t="s">
        <v>105</v>
      </c>
      <c r="H14" s="44"/>
      <c r="I14" s="20">
        <f t="shared" si="0"/>
        <v>8</v>
      </c>
      <c r="J14" s="20" t="str">
        <f t="shared" si="1"/>
        <v>Описание</v>
      </c>
      <c r="K14" s="22" t="s">
        <v>63</v>
      </c>
      <c r="L14" s="46" t="s">
        <v>93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106</v>
      </c>
      <c r="S14" s="25">
        <v>0</v>
      </c>
      <c r="T14" s="25">
        <v>31</v>
      </c>
      <c r="U14" s="25">
        <v>1</v>
      </c>
      <c r="V14" s="25"/>
      <c r="W14" s="25"/>
      <c r="X14" s="63" t="s">
        <v>53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7" si="10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5" spans="1:16379" s="57" customFormat="1" ht="15.75" x14ac:dyDescent="0.25">
      <c r="A15" s="47"/>
      <c r="B15" s="47" t="s">
        <v>56</v>
      </c>
      <c r="C15" s="48"/>
      <c r="D15" s="30" t="s">
        <v>120</v>
      </c>
      <c r="E15" s="49" t="s">
        <v>87</v>
      </c>
      <c r="F15" s="49" t="s">
        <v>88</v>
      </c>
      <c r="G15" s="49" t="s">
        <v>88</v>
      </c>
      <c r="H15" s="50" t="s">
        <v>89</v>
      </c>
      <c r="I15" s="49">
        <f t="shared" si="0"/>
        <v>5</v>
      </c>
      <c r="J15" s="49" t="str">
        <f t="shared" si="1"/>
        <v>Режим</v>
      </c>
      <c r="K15" s="47" t="s">
        <v>63</v>
      </c>
      <c r="L15" s="51" t="s">
        <v>54</v>
      </c>
      <c r="M15" s="48" t="s">
        <v>52</v>
      </c>
      <c r="N15" s="48" t="s">
        <v>52</v>
      </c>
      <c r="O15" s="48"/>
      <c r="P15" s="52">
        <v>0</v>
      </c>
      <c r="Q15" s="52"/>
      <c r="R15" s="48" t="s">
        <v>53</v>
      </c>
      <c r="S15" s="48">
        <v>0</v>
      </c>
      <c r="T15" s="48">
        <v>1</v>
      </c>
      <c r="U15" s="48">
        <v>1</v>
      </c>
      <c r="V15" s="48"/>
      <c r="W15" s="48"/>
      <c r="X15" s="48">
        <v>0</v>
      </c>
      <c r="Y15" s="48">
        <v>0</v>
      </c>
      <c r="Z15" s="53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4"/>
      <c r="AJ15" s="55"/>
      <c r="AK15" s="55"/>
      <c r="AL15" s="55"/>
      <c r="AM15" s="55"/>
      <c r="AN15" s="55"/>
      <c r="AO15" s="55"/>
      <c r="AP15" s="55"/>
      <c r="AQ15" s="55"/>
      <c r="AR15" s="55">
        <v>0</v>
      </c>
      <c r="AS15" s="55">
        <v>0</v>
      </c>
      <c r="AT15" s="55">
        <v>0</v>
      </c>
      <c r="AU15" s="55">
        <v>0</v>
      </c>
      <c r="AV15" s="55">
        <f t="shared" si="10"/>
        <v>0</v>
      </c>
      <c r="AW15" s="55" t="s">
        <v>74</v>
      </c>
      <c r="AX15" s="55"/>
      <c r="AY15" s="52"/>
      <c r="AZ15" s="55"/>
      <c r="BA15" s="55"/>
      <c r="BB15" s="55"/>
      <c r="BC15" s="55"/>
      <c r="BD15" s="55"/>
      <c r="BE15" s="55"/>
      <c r="BF15" s="55"/>
      <c r="BG15" s="56" t="str">
        <f t="shared" si="3"/>
        <v>description: "Режим", note: "Режим работы входа", group: "setting", minValue: 0, maxValue: 1, step: 1, units: "null", defaultValue: 0, eventRegistration: 0</v>
      </c>
    </row>
    <row r="16" spans="1:16379" s="57" customFormat="1" ht="15.75" customHeight="1" x14ac:dyDescent="0.25">
      <c r="A16" s="47"/>
      <c r="B16" s="47" t="s">
        <v>56</v>
      </c>
      <c r="C16" s="48"/>
      <c r="D16" s="30" t="s">
        <v>120</v>
      </c>
      <c r="E16" s="49" t="s">
        <v>90</v>
      </c>
      <c r="F16" s="49" t="s">
        <v>91</v>
      </c>
      <c r="G16" s="49" t="s">
        <v>91</v>
      </c>
      <c r="H16" s="49"/>
      <c r="I16" s="49">
        <f t="shared" si="0"/>
        <v>14</v>
      </c>
      <c r="J16" s="49" t="str">
        <f t="shared" si="1"/>
        <v>Задержка сраб.</v>
      </c>
      <c r="K16" s="47" t="s">
        <v>92</v>
      </c>
      <c r="L16" s="58" t="s">
        <v>93</v>
      </c>
      <c r="M16" s="48" t="s">
        <v>52</v>
      </c>
      <c r="N16" s="48" t="s">
        <v>52</v>
      </c>
      <c r="O16" s="48"/>
      <c r="P16" s="52">
        <v>2</v>
      </c>
      <c r="Q16" s="52" t="s">
        <v>94</v>
      </c>
      <c r="R16" s="48" t="s">
        <v>95</v>
      </c>
      <c r="S16" s="48">
        <v>0</v>
      </c>
      <c r="T16" s="48">
        <v>100</v>
      </c>
      <c r="U16" s="48">
        <v>1</v>
      </c>
      <c r="V16" s="48"/>
      <c r="W16" s="48"/>
      <c r="X16" s="48">
        <v>20</v>
      </c>
      <c r="Y16" s="48">
        <v>0</v>
      </c>
      <c r="Z16" s="53"/>
      <c r="AA16" s="54">
        <v>0</v>
      </c>
      <c r="AB16" s="54"/>
      <c r="AC16" s="54"/>
      <c r="AD16" s="54"/>
      <c r="AE16" s="54"/>
      <c r="AF16" s="54">
        <v>0</v>
      </c>
      <c r="AG16" s="54">
        <v>0</v>
      </c>
      <c r="AH16" s="54">
        <v>0</v>
      </c>
      <c r="AI16" s="54" t="s">
        <v>96</v>
      </c>
      <c r="AJ16" s="55" t="s">
        <v>97</v>
      </c>
      <c r="AK16" s="55" t="s">
        <v>98</v>
      </c>
      <c r="AL16" s="55" t="s">
        <v>99</v>
      </c>
      <c r="AM16" s="55" t="s">
        <v>93</v>
      </c>
      <c r="AN16" s="55"/>
      <c r="AO16" s="55" t="s">
        <v>100</v>
      </c>
      <c r="AP16" s="59" t="str">
        <f t="shared" ref="AP16" si="11">CONCATENATE(AJ16, ".", AL16)</f>
        <v>GENRBRF1.FailTmms.setVal</v>
      </c>
      <c r="AQ16" s="55" t="s">
        <v>55</v>
      </c>
      <c r="AR16" s="55">
        <v>0</v>
      </c>
      <c r="AS16" s="55">
        <v>0</v>
      </c>
      <c r="AT16" s="55">
        <v>0</v>
      </c>
      <c r="AU16" s="55">
        <v>0</v>
      </c>
      <c r="AV16" s="55">
        <f t="shared" si="10"/>
        <v>0</v>
      </c>
      <c r="AW16" s="55"/>
      <c r="AX16" s="55"/>
      <c r="AY16" s="52"/>
      <c r="AZ16" s="55"/>
      <c r="BA16" s="55"/>
      <c r="BB16" s="55"/>
      <c r="BC16" s="55"/>
      <c r="BD16" s="55"/>
      <c r="BE16" s="55"/>
      <c r="BF16" s="55"/>
      <c r="BG16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17" spans="1:59" s="57" customFormat="1" ht="15.75" x14ac:dyDescent="0.25">
      <c r="A17" s="47"/>
      <c r="B17" s="47" t="s">
        <v>56</v>
      </c>
      <c r="C17" s="48"/>
      <c r="D17" s="30" t="s">
        <v>120</v>
      </c>
      <c r="E17" s="49" t="s">
        <v>101</v>
      </c>
      <c r="F17" s="49" t="s">
        <v>102</v>
      </c>
      <c r="G17" s="49" t="s">
        <v>102</v>
      </c>
      <c r="H17" s="50" t="s">
        <v>103</v>
      </c>
      <c r="I17" s="49">
        <f t="shared" si="0"/>
        <v>8</v>
      </c>
      <c r="J17" s="49" t="str">
        <f t="shared" si="1"/>
        <v>Инверсия</v>
      </c>
      <c r="K17" s="47" t="s">
        <v>63</v>
      </c>
      <c r="L17" s="51" t="s">
        <v>54</v>
      </c>
      <c r="M17" s="48" t="s">
        <v>52</v>
      </c>
      <c r="N17" s="48" t="s">
        <v>52</v>
      </c>
      <c r="O17" s="48"/>
      <c r="P17" s="52">
        <v>0</v>
      </c>
      <c r="Q17" s="52"/>
      <c r="R17" s="48" t="s">
        <v>53</v>
      </c>
      <c r="S17" s="48">
        <v>0</v>
      </c>
      <c r="T17" s="48">
        <v>1</v>
      </c>
      <c r="U17" s="48">
        <v>1</v>
      </c>
      <c r="V17" s="48"/>
      <c r="W17" s="48"/>
      <c r="X17" s="48">
        <v>0</v>
      </c>
      <c r="Y17" s="48">
        <v>0</v>
      </c>
      <c r="Z17" s="53"/>
      <c r="AA17" s="54">
        <v>0</v>
      </c>
      <c r="AB17" s="54"/>
      <c r="AC17" s="54"/>
      <c r="AD17" s="54"/>
      <c r="AE17" s="54"/>
      <c r="AF17" s="54">
        <v>0</v>
      </c>
      <c r="AG17" s="54">
        <v>0</v>
      </c>
      <c r="AH17" s="54">
        <v>0</v>
      </c>
      <c r="AI17" s="54"/>
      <c r="AJ17" s="55"/>
      <c r="AK17" s="55"/>
      <c r="AL17" s="55"/>
      <c r="AM17" s="55"/>
      <c r="AN17" s="55"/>
      <c r="AO17" s="55"/>
      <c r="AP17" s="55"/>
      <c r="AQ17" s="55"/>
      <c r="AR17" s="55">
        <v>0</v>
      </c>
      <c r="AS17" s="55">
        <v>0</v>
      </c>
      <c r="AT17" s="55">
        <v>0</v>
      </c>
      <c r="AU17" s="55">
        <v>0</v>
      </c>
      <c r="AV17" s="55">
        <f t="shared" si="10"/>
        <v>0</v>
      </c>
      <c r="AW17" s="55" t="s">
        <v>74</v>
      </c>
      <c r="AX17" s="55"/>
      <c r="AY17" s="52"/>
      <c r="AZ17" s="55"/>
      <c r="BA17" s="55"/>
      <c r="BB17" s="55"/>
      <c r="BC17" s="55"/>
      <c r="BD17" s="55"/>
      <c r="BE17" s="55"/>
      <c r="BF17" s="55"/>
      <c r="BG17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18" spans="1:59" s="57" customFormat="1" ht="15.75" x14ac:dyDescent="0.25">
      <c r="A18" s="47"/>
      <c r="B18" s="47" t="s">
        <v>56</v>
      </c>
      <c r="C18" s="48"/>
      <c r="D18" s="30" t="s">
        <v>120</v>
      </c>
      <c r="E18" s="49" t="s">
        <v>104</v>
      </c>
      <c r="F18" s="49" t="s">
        <v>105</v>
      </c>
      <c r="G18" s="49" t="s">
        <v>105</v>
      </c>
      <c r="H18" s="50"/>
      <c r="I18" s="49">
        <f t="shared" si="0"/>
        <v>8</v>
      </c>
      <c r="J18" s="49" t="str">
        <f t="shared" si="1"/>
        <v>Описание</v>
      </c>
      <c r="K18" s="47" t="s">
        <v>63</v>
      </c>
      <c r="L18" s="58" t="s">
        <v>93</v>
      </c>
      <c r="M18" s="48" t="s">
        <v>52</v>
      </c>
      <c r="N18" s="48" t="s">
        <v>52</v>
      </c>
      <c r="O18" s="48"/>
      <c r="P18" s="52">
        <v>0</v>
      </c>
      <c r="Q18" s="52"/>
      <c r="R18" s="48" t="s">
        <v>106</v>
      </c>
      <c r="S18" s="48">
        <v>0</v>
      </c>
      <c r="T18" s="48">
        <v>31</v>
      </c>
      <c r="U18" s="48">
        <v>1</v>
      </c>
      <c r="V18" s="48"/>
      <c r="W18" s="48"/>
      <c r="X18" s="63" t="s">
        <v>53</v>
      </c>
      <c r="Y18" s="48">
        <v>0</v>
      </c>
      <c r="Z18" s="53"/>
      <c r="AA18" s="54">
        <v>0</v>
      </c>
      <c r="AB18" s="54"/>
      <c r="AC18" s="54"/>
      <c r="AD18" s="54"/>
      <c r="AE18" s="54"/>
      <c r="AF18" s="54">
        <v>0</v>
      </c>
      <c r="AG18" s="54">
        <v>0</v>
      </c>
      <c r="AH18" s="54">
        <v>0</v>
      </c>
      <c r="AI18" s="54"/>
      <c r="AJ18" s="55"/>
      <c r="AK18" s="55"/>
      <c r="AL18" s="55"/>
      <c r="AM18" s="55"/>
      <c r="AN18" s="55"/>
      <c r="AO18" s="55"/>
      <c r="AP18" s="55"/>
      <c r="AQ18" s="55"/>
      <c r="AR18" s="55">
        <v>0</v>
      </c>
      <c r="AS18" s="55">
        <v>0</v>
      </c>
      <c r="AT18" s="55">
        <v>0</v>
      </c>
      <c r="AU18" s="55">
        <v>0</v>
      </c>
      <c r="AV18" s="55">
        <f t="shared" ref="AV18:AV21" si="12">BIN2DEC(CONCATENATE(0,0,0,0,AR18,AS18,AT18,AU18))</f>
        <v>0</v>
      </c>
      <c r="AW18" s="55" t="s">
        <v>74</v>
      </c>
      <c r="AX18" s="55"/>
      <c r="AY18" s="52"/>
      <c r="AZ18" s="55"/>
      <c r="BA18" s="55"/>
      <c r="BB18" s="55"/>
      <c r="BC18" s="55"/>
      <c r="BD18" s="55"/>
      <c r="BE18" s="55"/>
      <c r="BF18" s="55"/>
      <c r="BG18" s="56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19" spans="1:59" s="39" customFormat="1" ht="15.75" x14ac:dyDescent="0.25">
      <c r="A19" s="22"/>
      <c r="B19" s="22" t="s">
        <v>56</v>
      </c>
      <c r="C19" s="25"/>
      <c r="D19" s="30" t="s">
        <v>121</v>
      </c>
      <c r="E19" s="20" t="s">
        <v>87</v>
      </c>
      <c r="F19" s="20" t="s">
        <v>88</v>
      </c>
      <c r="G19" s="20" t="s">
        <v>88</v>
      </c>
      <c r="H19" s="44" t="s">
        <v>89</v>
      </c>
      <c r="I19" s="20">
        <f t="shared" si="0"/>
        <v>5</v>
      </c>
      <c r="J19" s="20" t="str">
        <f t="shared" si="1"/>
        <v>Режим</v>
      </c>
      <c r="K19" s="22" t="s">
        <v>63</v>
      </c>
      <c r="L19" s="45" t="s">
        <v>54</v>
      </c>
      <c r="M19" s="25" t="s">
        <v>52</v>
      </c>
      <c r="N19" s="25" t="s">
        <v>52</v>
      </c>
      <c r="O19" s="25"/>
      <c r="P19" s="35">
        <v>0</v>
      </c>
      <c r="Q19" s="35"/>
      <c r="R19" s="25" t="s">
        <v>53</v>
      </c>
      <c r="S19" s="25">
        <v>0</v>
      </c>
      <c r="T19" s="25">
        <v>1</v>
      </c>
      <c r="U19" s="25">
        <v>1</v>
      </c>
      <c r="V19" s="25"/>
      <c r="W19" s="25"/>
      <c r="X19" s="25">
        <v>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/>
      <c r="AJ19" s="23"/>
      <c r="AK19" s="23"/>
      <c r="AL19" s="23"/>
      <c r="AM19" s="23"/>
      <c r="AN19" s="23"/>
      <c r="AO19" s="23"/>
      <c r="AP19" s="23"/>
      <c r="AQ19" s="23"/>
      <c r="AR19" s="23">
        <v>0</v>
      </c>
      <c r="AS19" s="23">
        <v>0</v>
      </c>
      <c r="AT19" s="23">
        <v>0</v>
      </c>
      <c r="AU19" s="23">
        <v>0</v>
      </c>
      <c r="AV19" s="23">
        <f t="shared" si="12"/>
        <v>0</v>
      </c>
      <c r="AW19" s="23" t="s">
        <v>74</v>
      </c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3"/>
        <v>description: "Режим", note: "Режим работы входа", group: "setting", minValue: 0, maxValue: 1, step: 1, units: "null", defaultValue: 0, eventRegistration: 0</v>
      </c>
    </row>
    <row r="20" spans="1:59" s="39" customFormat="1" ht="15.75" customHeight="1" x14ac:dyDescent="0.25">
      <c r="A20" s="22"/>
      <c r="B20" s="22" t="s">
        <v>56</v>
      </c>
      <c r="C20" s="25"/>
      <c r="D20" s="30" t="s">
        <v>121</v>
      </c>
      <c r="E20" s="20" t="s">
        <v>90</v>
      </c>
      <c r="F20" s="20" t="s">
        <v>91</v>
      </c>
      <c r="G20" s="20" t="s">
        <v>91</v>
      </c>
      <c r="H20" s="20"/>
      <c r="I20" s="20">
        <f t="shared" si="0"/>
        <v>14</v>
      </c>
      <c r="J20" s="20" t="str">
        <f t="shared" si="1"/>
        <v>Задержка сраб.</v>
      </c>
      <c r="K20" s="22" t="s">
        <v>92</v>
      </c>
      <c r="L20" s="38" t="s">
        <v>93</v>
      </c>
      <c r="M20" s="25" t="s">
        <v>52</v>
      </c>
      <c r="N20" s="25" t="s">
        <v>52</v>
      </c>
      <c r="O20" s="25"/>
      <c r="P20" s="35">
        <v>2</v>
      </c>
      <c r="Q20" s="35" t="s">
        <v>94</v>
      </c>
      <c r="R20" s="25" t="s">
        <v>95</v>
      </c>
      <c r="S20" s="25">
        <v>0</v>
      </c>
      <c r="T20" s="25">
        <v>100</v>
      </c>
      <c r="U20" s="25">
        <v>1</v>
      </c>
      <c r="V20" s="25"/>
      <c r="W20" s="25"/>
      <c r="X20" s="25">
        <v>20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96</v>
      </c>
      <c r="AJ20" s="23" t="s">
        <v>97</v>
      </c>
      <c r="AK20" s="23" t="s">
        <v>98</v>
      </c>
      <c r="AL20" s="23" t="s">
        <v>99</v>
      </c>
      <c r="AM20" s="23" t="s">
        <v>93</v>
      </c>
      <c r="AN20" s="23"/>
      <c r="AO20" s="23" t="s">
        <v>100</v>
      </c>
      <c r="AP20" s="26" t="str">
        <f t="shared" ref="AP20" si="13">CONCATENATE(AJ20, ".", AL20)</f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12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121</v>
      </c>
      <c r="E21" s="20" t="s">
        <v>101</v>
      </c>
      <c r="F21" s="20" t="s">
        <v>102</v>
      </c>
      <c r="G21" s="20" t="s">
        <v>102</v>
      </c>
      <c r="H21" s="44" t="s">
        <v>103</v>
      </c>
      <c r="I21" s="20">
        <f t="shared" si="0"/>
        <v>8</v>
      </c>
      <c r="J21" s="20" t="str">
        <f t="shared" si="1"/>
        <v>Инверсия</v>
      </c>
      <c r="K21" s="22" t="s">
        <v>63</v>
      </c>
      <c r="L21" s="45" t="s">
        <v>54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1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12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22" spans="1:59" s="39" customFormat="1" ht="15.75" x14ac:dyDescent="0.25">
      <c r="A22" s="22"/>
      <c r="B22" s="22" t="s">
        <v>56</v>
      </c>
      <c r="C22" s="25"/>
      <c r="D22" s="30" t="s">
        <v>121</v>
      </c>
      <c r="E22" s="20" t="s">
        <v>104</v>
      </c>
      <c r="F22" s="20" t="s">
        <v>105</v>
      </c>
      <c r="G22" s="20" t="s">
        <v>105</v>
      </c>
      <c r="H22" s="44"/>
      <c r="I22" s="20">
        <f t="shared" si="0"/>
        <v>8</v>
      </c>
      <c r="J22" s="20" t="str">
        <f t="shared" si="1"/>
        <v>Описание</v>
      </c>
      <c r="K22" s="22" t="s">
        <v>63</v>
      </c>
      <c r="L22" s="46" t="s">
        <v>93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106</v>
      </c>
      <c r="S22" s="25">
        <v>0</v>
      </c>
      <c r="T22" s="25">
        <v>31</v>
      </c>
      <c r="U22" s="25">
        <v>1</v>
      </c>
      <c r="V22" s="25"/>
      <c r="W22" s="25"/>
      <c r="X22" s="63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ref="AV22:AV29" si="14">BIN2DEC(CONCATENATE(0,0,0,0,AR22,AS22,AT22,AU22))</f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23" spans="1:59" s="57" customFormat="1" ht="15.75" x14ac:dyDescent="0.25">
      <c r="A23" s="47"/>
      <c r="B23" s="47" t="s">
        <v>56</v>
      </c>
      <c r="C23" s="48"/>
      <c r="D23" s="30" t="s">
        <v>122</v>
      </c>
      <c r="E23" s="49" t="s">
        <v>87</v>
      </c>
      <c r="F23" s="49" t="s">
        <v>88</v>
      </c>
      <c r="G23" s="49" t="s">
        <v>88</v>
      </c>
      <c r="H23" s="50" t="s">
        <v>89</v>
      </c>
      <c r="I23" s="49">
        <f t="shared" si="0"/>
        <v>5</v>
      </c>
      <c r="J23" s="49" t="str">
        <f t="shared" si="1"/>
        <v>Режим</v>
      </c>
      <c r="K23" s="47" t="s">
        <v>63</v>
      </c>
      <c r="L23" s="51" t="s">
        <v>54</v>
      </c>
      <c r="M23" s="48" t="s">
        <v>52</v>
      </c>
      <c r="N23" s="48" t="s">
        <v>52</v>
      </c>
      <c r="O23" s="48"/>
      <c r="P23" s="52">
        <v>0</v>
      </c>
      <c r="Q23" s="52"/>
      <c r="R23" s="48" t="s">
        <v>53</v>
      </c>
      <c r="S23" s="48">
        <v>0</v>
      </c>
      <c r="T23" s="48">
        <v>1</v>
      </c>
      <c r="U23" s="48">
        <v>1</v>
      </c>
      <c r="V23" s="48"/>
      <c r="W23" s="48"/>
      <c r="X23" s="48">
        <v>0</v>
      </c>
      <c r="Y23" s="48">
        <v>0</v>
      </c>
      <c r="Z23" s="53"/>
      <c r="AA23" s="54">
        <v>0</v>
      </c>
      <c r="AB23" s="54"/>
      <c r="AC23" s="54"/>
      <c r="AD23" s="54"/>
      <c r="AE23" s="54"/>
      <c r="AF23" s="54">
        <v>0</v>
      </c>
      <c r="AG23" s="54">
        <v>0</v>
      </c>
      <c r="AH23" s="54">
        <v>0</v>
      </c>
      <c r="AI23" s="54"/>
      <c r="AJ23" s="55"/>
      <c r="AK23" s="55"/>
      <c r="AL23" s="55"/>
      <c r="AM23" s="55"/>
      <c r="AN23" s="55"/>
      <c r="AO23" s="55"/>
      <c r="AP23" s="55"/>
      <c r="AQ23" s="55"/>
      <c r="AR23" s="55">
        <v>0</v>
      </c>
      <c r="AS23" s="55">
        <v>0</v>
      </c>
      <c r="AT23" s="55">
        <v>0</v>
      </c>
      <c r="AU23" s="55">
        <v>0</v>
      </c>
      <c r="AV23" s="55">
        <f t="shared" si="14"/>
        <v>0</v>
      </c>
      <c r="AW23" s="55" t="s">
        <v>74</v>
      </c>
      <c r="AX23" s="55"/>
      <c r="AY23" s="52"/>
      <c r="AZ23" s="55"/>
      <c r="BA23" s="55"/>
      <c r="BB23" s="55"/>
      <c r="BC23" s="55"/>
      <c r="BD23" s="55"/>
      <c r="BE23" s="55"/>
      <c r="BF23" s="55"/>
      <c r="BG23" s="56" t="str">
        <f t="shared" si="3"/>
        <v>description: "Режим", note: "Режим работы входа", group: "setting", minValue: 0, maxValue: 1, step: 1, units: "null", defaultValue: 0, eventRegistration: 0</v>
      </c>
    </row>
    <row r="24" spans="1:59" s="57" customFormat="1" ht="15.75" customHeight="1" x14ac:dyDescent="0.25">
      <c r="A24" s="47"/>
      <c r="B24" s="47" t="s">
        <v>56</v>
      </c>
      <c r="C24" s="48"/>
      <c r="D24" s="30" t="s">
        <v>122</v>
      </c>
      <c r="E24" s="49" t="s">
        <v>90</v>
      </c>
      <c r="F24" s="49" t="s">
        <v>91</v>
      </c>
      <c r="G24" s="49" t="s">
        <v>91</v>
      </c>
      <c r="H24" s="49"/>
      <c r="I24" s="49">
        <f t="shared" si="0"/>
        <v>14</v>
      </c>
      <c r="J24" s="49" t="str">
        <f t="shared" si="1"/>
        <v>Задержка сраб.</v>
      </c>
      <c r="K24" s="47" t="s">
        <v>92</v>
      </c>
      <c r="L24" s="58" t="s">
        <v>93</v>
      </c>
      <c r="M24" s="48" t="s">
        <v>52</v>
      </c>
      <c r="N24" s="48" t="s">
        <v>52</v>
      </c>
      <c r="O24" s="48"/>
      <c r="P24" s="52">
        <v>2</v>
      </c>
      <c r="Q24" s="52" t="s">
        <v>94</v>
      </c>
      <c r="R24" s="48" t="s">
        <v>95</v>
      </c>
      <c r="S24" s="48">
        <v>0</v>
      </c>
      <c r="T24" s="48">
        <v>100</v>
      </c>
      <c r="U24" s="48">
        <v>1</v>
      </c>
      <c r="V24" s="48"/>
      <c r="W24" s="48"/>
      <c r="X24" s="48">
        <v>20</v>
      </c>
      <c r="Y24" s="48">
        <v>0</v>
      </c>
      <c r="Z24" s="53"/>
      <c r="AA24" s="54">
        <v>0</v>
      </c>
      <c r="AB24" s="54"/>
      <c r="AC24" s="54"/>
      <c r="AD24" s="54"/>
      <c r="AE24" s="54"/>
      <c r="AF24" s="54">
        <v>0</v>
      </c>
      <c r="AG24" s="54">
        <v>0</v>
      </c>
      <c r="AH24" s="54">
        <v>0</v>
      </c>
      <c r="AI24" s="54" t="s">
        <v>96</v>
      </c>
      <c r="AJ24" s="55" t="s">
        <v>97</v>
      </c>
      <c r="AK24" s="55" t="s">
        <v>98</v>
      </c>
      <c r="AL24" s="55" t="s">
        <v>99</v>
      </c>
      <c r="AM24" s="55" t="s">
        <v>93</v>
      </c>
      <c r="AN24" s="55"/>
      <c r="AO24" s="55" t="s">
        <v>100</v>
      </c>
      <c r="AP24" s="59" t="str">
        <f t="shared" ref="AP24" si="15">CONCATENATE(AJ24, ".", AL24)</f>
        <v>GENRBRF1.FailTmms.setVal</v>
      </c>
      <c r="AQ24" s="55" t="s">
        <v>55</v>
      </c>
      <c r="AR24" s="55">
        <v>0</v>
      </c>
      <c r="AS24" s="55">
        <v>0</v>
      </c>
      <c r="AT24" s="55">
        <v>0</v>
      </c>
      <c r="AU24" s="55">
        <v>0</v>
      </c>
      <c r="AV24" s="55">
        <f t="shared" si="14"/>
        <v>0</v>
      </c>
      <c r="AW24" s="55"/>
      <c r="AX24" s="55"/>
      <c r="AY24" s="52"/>
      <c r="AZ24" s="55"/>
      <c r="BA24" s="55"/>
      <c r="BB24" s="55"/>
      <c r="BC24" s="55"/>
      <c r="BD24" s="55"/>
      <c r="BE24" s="55"/>
      <c r="BF24" s="55"/>
      <c r="BG24" s="56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5" spans="1:59" s="57" customFormat="1" ht="15.75" x14ac:dyDescent="0.25">
      <c r="A25" s="47"/>
      <c r="B25" s="47" t="s">
        <v>56</v>
      </c>
      <c r="C25" s="48"/>
      <c r="D25" s="30" t="s">
        <v>122</v>
      </c>
      <c r="E25" s="49" t="s">
        <v>101</v>
      </c>
      <c r="F25" s="49" t="s">
        <v>102</v>
      </c>
      <c r="G25" s="49" t="s">
        <v>102</v>
      </c>
      <c r="H25" s="50" t="s">
        <v>103</v>
      </c>
      <c r="I25" s="49">
        <f t="shared" si="0"/>
        <v>8</v>
      </c>
      <c r="J25" s="49" t="str">
        <f t="shared" si="1"/>
        <v>Инверсия</v>
      </c>
      <c r="K25" s="47" t="s">
        <v>63</v>
      </c>
      <c r="L25" s="51" t="s">
        <v>54</v>
      </c>
      <c r="M25" s="48" t="s">
        <v>52</v>
      </c>
      <c r="N25" s="48" t="s">
        <v>52</v>
      </c>
      <c r="O25" s="48"/>
      <c r="P25" s="52">
        <v>0</v>
      </c>
      <c r="Q25" s="52"/>
      <c r="R25" s="48" t="s">
        <v>53</v>
      </c>
      <c r="S25" s="48">
        <v>0</v>
      </c>
      <c r="T25" s="48">
        <v>1</v>
      </c>
      <c r="U25" s="48">
        <v>1</v>
      </c>
      <c r="V25" s="48"/>
      <c r="W25" s="48"/>
      <c r="X25" s="48">
        <v>0</v>
      </c>
      <c r="Y25" s="48">
        <v>0</v>
      </c>
      <c r="Z25" s="53"/>
      <c r="AA25" s="54">
        <v>0</v>
      </c>
      <c r="AB25" s="54"/>
      <c r="AC25" s="54"/>
      <c r="AD25" s="54"/>
      <c r="AE25" s="54"/>
      <c r="AF25" s="54">
        <v>0</v>
      </c>
      <c r="AG25" s="54">
        <v>0</v>
      </c>
      <c r="AH25" s="54">
        <v>0</v>
      </c>
      <c r="AI25" s="54"/>
      <c r="AJ25" s="55"/>
      <c r="AK25" s="55"/>
      <c r="AL25" s="55"/>
      <c r="AM25" s="55"/>
      <c r="AN25" s="55"/>
      <c r="AO25" s="55"/>
      <c r="AP25" s="55"/>
      <c r="AQ25" s="55"/>
      <c r="AR25" s="55">
        <v>0</v>
      </c>
      <c r="AS25" s="55">
        <v>0</v>
      </c>
      <c r="AT25" s="55">
        <v>0</v>
      </c>
      <c r="AU25" s="55">
        <v>0</v>
      </c>
      <c r="AV25" s="55">
        <f t="shared" si="14"/>
        <v>0</v>
      </c>
      <c r="AW25" s="55" t="s">
        <v>74</v>
      </c>
      <c r="AX25" s="55"/>
      <c r="AY25" s="52"/>
      <c r="AZ25" s="55"/>
      <c r="BA25" s="55"/>
      <c r="BB25" s="55"/>
      <c r="BC25" s="55"/>
      <c r="BD25" s="55"/>
      <c r="BE25" s="55"/>
      <c r="BF25" s="55"/>
      <c r="BG25" s="56" t="str">
        <f t="shared" si="3"/>
        <v>description: "Инверсия", note: "Режим инверсии входа", group: "setting", minValue: 0, maxValue: 1, step: 1, units: "null", defaultValue: 0, eventRegistration: 0</v>
      </c>
    </row>
    <row r="26" spans="1:59" s="57" customFormat="1" ht="15.75" x14ac:dyDescent="0.25">
      <c r="A26" s="47"/>
      <c r="B26" s="47" t="s">
        <v>56</v>
      </c>
      <c r="C26" s="48"/>
      <c r="D26" s="30" t="s">
        <v>122</v>
      </c>
      <c r="E26" s="49" t="s">
        <v>104</v>
      </c>
      <c r="F26" s="49" t="s">
        <v>105</v>
      </c>
      <c r="G26" s="49" t="s">
        <v>105</v>
      </c>
      <c r="H26" s="50"/>
      <c r="I26" s="49">
        <f t="shared" si="0"/>
        <v>8</v>
      </c>
      <c r="J26" s="49" t="str">
        <f t="shared" si="1"/>
        <v>Описание</v>
      </c>
      <c r="K26" s="47" t="s">
        <v>63</v>
      </c>
      <c r="L26" s="58" t="s">
        <v>93</v>
      </c>
      <c r="M26" s="48" t="s">
        <v>52</v>
      </c>
      <c r="N26" s="48" t="s">
        <v>52</v>
      </c>
      <c r="O26" s="48"/>
      <c r="P26" s="52">
        <v>0</v>
      </c>
      <c r="Q26" s="52"/>
      <c r="R26" s="48" t="s">
        <v>106</v>
      </c>
      <c r="S26" s="48">
        <v>0</v>
      </c>
      <c r="T26" s="48">
        <v>31</v>
      </c>
      <c r="U26" s="48">
        <v>1</v>
      </c>
      <c r="V26" s="48"/>
      <c r="W26" s="48"/>
      <c r="X26" s="63" t="s">
        <v>53</v>
      </c>
      <c r="Y26" s="48">
        <v>0</v>
      </c>
      <c r="Z26" s="53"/>
      <c r="AA26" s="54">
        <v>0</v>
      </c>
      <c r="AB26" s="54"/>
      <c r="AC26" s="54"/>
      <c r="AD26" s="54"/>
      <c r="AE26" s="54"/>
      <c r="AF26" s="54">
        <v>0</v>
      </c>
      <c r="AG26" s="54">
        <v>0</v>
      </c>
      <c r="AH26" s="54">
        <v>0</v>
      </c>
      <c r="AI26" s="54"/>
      <c r="AJ26" s="55"/>
      <c r="AK26" s="55"/>
      <c r="AL26" s="55"/>
      <c r="AM26" s="55"/>
      <c r="AN26" s="55"/>
      <c r="AO26" s="55"/>
      <c r="AP26" s="55"/>
      <c r="AQ26" s="55"/>
      <c r="AR26" s="55">
        <v>0</v>
      </c>
      <c r="AS26" s="55">
        <v>0</v>
      </c>
      <c r="AT26" s="55">
        <v>0</v>
      </c>
      <c r="AU26" s="55">
        <v>0</v>
      </c>
      <c r="AV26" s="55">
        <f t="shared" si="14"/>
        <v>0</v>
      </c>
      <c r="AW26" s="55" t="s">
        <v>74</v>
      </c>
      <c r="AX26" s="55"/>
      <c r="AY26" s="52"/>
      <c r="AZ26" s="55"/>
      <c r="BA26" s="55"/>
      <c r="BB26" s="55"/>
      <c r="BC26" s="55"/>
      <c r="BD26" s="55"/>
      <c r="BE26" s="55"/>
      <c r="BF26" s="55"/>
      <c r="BG26" s="56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27" spans="1:59" s="39" customFormat="1" ht="15.75" x14ac:dyDescent="0.25">
      <c r="A27" s="22"/>
      <c r="B27" s="22" t="s">
        <v>56</v>
      </c>
      <c r="C27" s="25"/>
      <c r="D27" s="30" t="s">
        <v>123</v>
      </c>
      <c r="E27" s="20" t="s">
        <v>87</v>
      </c>
      <c r="F27" s="20" t="s">
        <v>88</v>
      </c>
      <c r="G27" s="20" t="s">
        <v>88</v>
      </c>
      <c r="H27" s="44" t="s">
        <v>89</v>
      </c>
      <c r="I27" s="20">
        <f t="shared" si="0"/>
        <v>5</v>
      </c>
      <c r="J27" s="20" t="str">
        <f t="shared" si="1"/>
        <v>Режим</v>
      </c>
      <c r="K27" s="22" t="s">
        <v>63</v>
      </c>
      <c r="L27" s="45" t="s">
        <v>54</v>
      </c>
      <c r="M27" s="25" t="s">
        <v>52</v>
      </c>
      <c r="N27" s="25" t="s">
        <v>52</v>
      </c>
      <c r="O27" s="25"/>
      <c r="P27" s="35">
        <v>0</v>
      </c>
      <c r="Q27" s="35"/>
      <c r="R27" s="25" t="s">
        <v>53</v>
      </c>
      <c r="S27" s="25">
        <v>0</v>
      </c>
      <c r="T27" s="25">
        <v>1</v>
      </c>
      <c r="U27" s="25">
        <v>1</v>
      </c>
      <c r="V27" s="25"/>
      <c r="W27" s="25"/>
      <c r="X27" s="25">
        <v>0</v>
      </c>
      <c r="Y27" s="25">
        <v>0</v>
      </c>
      <c r="Z27" s="24"/>
      <c r="AA27" s="19">
        <v>0</v>
      </c>
      <c r="AB27" s="19"/>
      <c r="AC27" s="19"/>
      <c r="AD27" s="19"/>
      <c r="AE27" s="19"/>
      <c r="AF27" s="19">
        <v>0</v>
      </c>
      <c r="AG27" s="19">
        <v>0</v>
      </c>
      <c r="AH27" s="19">
        <v>0</v>
      </c>
      <c r="AI27" s="19"/>
      <c r="AJ27" s="23"/>
      <c r="AK27" s="23"/>
      <c r="AL27" s="23"/>
      <c r="AM27" s="23"/>
      <c r="AN27" s="23"/>
      <c r="AO27" s="23"/>
      <c r="AP27" s="23"/>
      <c r="AQ27" s="23"/>
      <c r="AR27" s="23">
        <v>0</v>
      </c>
      <c r="AS27" s="23">
        <v>0</v>
      </c>
      <c r="AT27" s="23">
        <v>0</v>
      </c>
      <c r="AU27" s="23">
        <v>0</v>
      </c>
      <c r="AV27" s="23">
        <f t="shared" si="14"/>
        <v>0</v>
      </c>
      <c r="AW27" s="23" t="s">
        <v>74</v>
      </c>
      <c r="AX27" s="23"/>
      <c r="AY27" s="35"/>
      <c r="AZ27" s="23"/>
      <c r="BA27" s="23"/>
      <c r="BB27" s="23"/>
      <c r="BC27" s="23"/>
      <c r="BD27" s="23"/>
      <c r="BE27" s="23"/>
      <c r="BF27" s="23"/>
      <c r="BG27" s="21" t="str">
        <f t="shared" si="3"/>
        <v>description: "Режим", note: "Режим работы входа", group: "setting", minValue: 0, maxValue: 1, step: 1, units: "null", defaultValue: 0, eventRegistration: 0</v>
      </c>
    </row>
    <row r="28" spans="1:59" s="39" customFormat="1" ht="15.75" customHeight="1" x14ac:dyDescent="0.25">
      <c r="A28" s="22"/>
      <c r="B28" s="22" t="s">
        <v>56</v>
      </c>
      <c r="C28" s="25"/>
      <c r="D28" s="30" t="s">
        <v>123</v>
      </c>
      <c r="E28" s="20" t="s">
        <v>90</v>
      </c>
      <c r="F28" s="20" t="s">
        <v>91</v>
      </c>
      <c r="G28" s="20" t="s">
        <v>91</v>
      </c>
      <c r="H28" s="20"/>
      <c r="I28" s="20">
        <f t="shared" si="0"/>
        <v>14</v>
      </c>
      <c r="J28" s="20" t="str">
        <f t="shared" si="1"/>
        <v>Задержка сраб.</v>
      </c>
      <c r="K28" s="22" t="s">
        <v>92</v>
      </c>
      <c r="L28" s="38" t="s">
        <v>93</v>
      </c>
      <c r="M28" s="25" t="s">
        <v>52</v>
      </c>
      <c r="N28" s="25" t="s">
        <v>52</v>
      </c>
      <c r="O28" s="25"/>
      <c r="P28" s="35">
        <v>2</v>
      </c>
      <c r="Q28" s="35" t="s">
        <v>94</v>
      </c>
      <c r="R28" s="25" t="s">
        <v>95</v>
      </c>
      <c r="S28" s="25">
        <v>0</v>
      </c>
      <c r="T28" s="25">
        <v>100</v>
      </c>
      <c r="U28" s="25">
        <v>1</v>
      </c>
      <c r="V28" s="25"/>
      <c r="W28" s="25"/>
      <c r="X28" s="25">
        <v>20</v>
      </c>
      <c r="Y28" s="25">
        <v>0</v>
      </c>
      <c r="Z28" s="24"/>
      <c r="AA28" s="19">
        <v>0</v>
      </c>
      <c r="AB28" s="19"/>
      <c r="AC28" s="19"/>
      <c r="AD28" s="19"/>
      <c r="AE28" s="19"/>
      <c r="AF28" s="19">
        <v>0</v>
      </c>
      <c r="AG28" s="19">
        <v>0</v>
      </c>
      <c r="AH28" s="19">
        <v>0</v>
      </c>
      <c r="AI28" s="19" t="s">
        <v>96</v>
      </c>
      <c r="AJ28" s="23" t="s">
        <v>97</v>
      </c>
      <c r="AK28" s="23" t="s">
        <v>98</v>
      </c>
      <c r="AL28" s="23" t="s">
        <v>99</v>
      </c>
      <c r="AM28" s="23" t="s">
        <v>93</v>
      </c>
      <c r="AN28" s="23"/>
      <c r="AO28" s="23" t="s">
        <v>100</v>
      </c>
      <c r="AP28" s="26" t="str">
        <f t="shared" ref="AP28" si="16">CONCATENATE(AJ28, ".", AL28)</f>
        <v>GENRBRF1.FailTmms.setVal</v>
      </c>
      <c r="AQ28" s="23" t="s">
        <v>55</v>
      </c>
      <c r="AR28" s="23">
        <v>0</v>
      </c>
      <c r="AS28" s="23">
        <v>0</v>
      </c>
      <c r="AT28" s="23">
        <v>0</v>
      </c>
      <c r="AU28" s="23">
        <v>0</v>
      </c>
      <c r="AV28" s="23">
        <f t="shared" si="14"/>
        <v>0</v>
      </c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29" spans="1:59" s="39" customFormat="1" ht="15.75" x14ac:dyDescent="0.25">
      <c r="A29" s="22"/>
      <c r="B29" s="22" t="s">
        <v>56</v>
      </c>
      <c r="C29" s="25"/>
      <c r="D29" s="30" t="s">
        <v>123</v>
      </c>
      <c r="E29" s="20" t="s">
        <v>101</v>
      </c>
      <c r="F29" s="20" t="s">
        <v>102</v>
      </c>
      <c r="G29" s="20" t="s">
        <v>102</v>
      </c>
      <c r="H29" s="44" t="s">
        <v>103</v>
      </c>
      <c r="I29" s="20">
        <f t="shared" si="0"/>
        <v>8</v>
      </c>
      <c r="J29" s="20" t="str">
        <f t="shared" si="1"/>
        <v>Инверсия</v>
      </c>
      <c r="K29" s="22" t="s">
        <v>63</v>
      </c>
      <c r="L29" s="45" t="s">
        <v>54</v>
      </c>
      <c r="M29" s="25" t="s">
        <v>52</v>
      </c>
      <c r="N29" s="25" t="s">
        <v>52</v>
      </c>
      <c r="O29" s="25"/>
      <c r="P29" s="35">
        <v>0</v>
      </c>
      <c r="Q29" s="35"/>
      <c r="R29" s="25" t="s">
        <v>53</v>
      </c>
      <c r="S29" s="25">
        <v>0</v>
      </c>
      <c r="T29" s="25">
        <v>1</v>
      </c>
      <c r="U29" s="25">
        <v>1</v>
      </c>
      <c r="V29" s="25"/>
      <c r="W29" s="25"/>
      <c r="X29" s="25">
        <v>0</v>
      </c>
      <c r="Y29" s="25">
        <v>0</v>
      </c>
      <c r="Z29" s="24"/>
      <c r="AA29" s="19">
        <v>0</v>
      </c>
      <c r="AB29" s="19"/>
      <c r="AC29" s="19"/>
      <c r="AD29" s="19"/>
      <c r="AE29" s="19"/>
      <c r="AF29" s="19">
        <v>0</v>
      </c>
      <c r="AG29" s="19">
        <v>0</v>
      </c>
      <c r="AH29" s="19">
        <v>0</v>
      </c>
      <c r="AI29" s="19"/>
      <c r="AJ29" s="23"/>
      <c r="AK29" s="23"/>
      <c r="AL29" s="23"/>
      <c r="AM29" s="23"/>
      <c r="AN29" s="23"/>
      <c r="AO29" s="23"/>
      <c r="AP29" s="23"/>
      <c r="AQ29" s="23"/>
      <c r="AR29" s="23">
        <v>0</v>
      </c>
      <c r="AS29" s="23">
        <v>0</v>
      </c>
      <c r="AT29" s="23">
        <v>0</v>
      </c>
      <c r="AU29" s="23">
        <v>0</v>
      </c>
      <c r="AV29" s="23">
        <f t="shared" si="14"/>
        <v>0</v>
      </c>
      <c r="AW29" s="23" t="s">
        <v>74</v>
      </c>
      <c r="AX29" s="23"/>
      <c r="AY29" s="35"/>
      <c r="AZ29" s="23"/>
      <c r="BA29" s="23"/>
      <c r="BB29" s="23"/>
      <c r="BC29" s="23"/>
      <c r="BD29" s="23"/>
      <c r="BE29" s="23"/>
      <c r="BF29" s="23"/>
      <c r="BG29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0" spans="1:59" s="39" customFormat="1" ht="15.75" x14ac:dyDescent="0.25">
      <c r="A30" s="22"/>
      <c r="B30" s="22" t="s">
        <v>56</v>
      </c>
      <c r="C30" s="25"/>
      <c r="D30" s="30" t="s">
        <v>123</v>
      </c>
      <c r="E30" s="20" t="s">
        <v>104</v>
      </c>
      <c r="F30" s="20" t="s">
        <v>105</v>
      </c>
      <c r="G30" s="20" t="s">
        <v>105</v>
      </c>
      <c r="H30" s="44"/>
      <c r="I30" s="20">
        <f t="shared" si="0"/>
        <v>8</v>
      </c>
      <c r="J30" s="20" t="str">
        <f t="shared" si="1"/>
        <v>Описание</v>
      </c>
      <c r="K30" s="22" t="s">
        <v>63</v>
      </c>
      <c r="L30" s="46" t="s">
        <v>93</v>
      </c>
      <c r="M30" s="25" t="s">
        <v>52</v>
      </c>
      <c r="N30" s="25" t="s">
        <v>52</v>
      </c>
      <c r="O30" s="25"/>
      <c r="P30" s="35">
        <v>0</v>
      </c>
      <c r="Q30" s="35"/>
      <c r="R30" s="25" t="s">
        <v>106</v>
      </c>
      <c r="S30" s="25">
        <v>0</v>
      </c>
      <c r="T30" s="25">
        <v>31</v>
      </c>
      <c r="U30" s="25">
        <v>1</v>
      </c>
      <c r="V30" s="25"/>
      <c r="W30" s="25"/>
      <c r="X30" s="63" t="s">
        <v>53</v>
      </c>
      <c r="Y30" s="25">
        <v>0</v>
      </c>
      <c r="Z30" s="24"/>
      <c r="AA30" s="19">
        <v>0</v>
      </c>
      <c r="AB30" s="19"/>
      <c r="AC30" s="19"/>
      <c r="AD30" s="19"/>
      <c r="AE30" s="19"/>
      <c r="AF30" s="19">
        <v>0</v>
      </c>
      <c r="AG30" s="19">
        <v>0</v>
      </c>
      <c r="AH30" s="19">
        <v>0</v>
      </c>
      <c r="AI30" s="19"/>
      <c r="AJ30" s="23"/>
      <c r="AK30" s="23"/>
      <c r="AL30" s="23"/>
      <c r="AM30" s="23"/>
      <c r="AN30" s="23"/>
      <c r="AO30" s="23"/>
      <c r="AP30" s="23"/>
      <c r="AQ30" s="23"/>
      <c r="AR30" s="23">
        <v>0</v>
      </c>
      <c r="AS30" s="23">
        <v>0</v>
      </c>
      <c r="AT30" s="23">
        <v>0</v>
      </c>
      <c r="AU30" s="23">
        <v>0</v>
      </c>
      <c r="AV30" s="23">
        <f t="shared" ref="AV30" si="17">BIN2DEC(CONCATENATE(0,0,0,0,AR30,AS30,AT30,AU30))</f>
        <v>0</v>
      </c>
      <c r="AW30" s="23" t="s">
        <v>74</v>
      </c>
      <c r="AX30" s="23"/>
      <c r="AY30" s="35"/>
      <c r="AZ30" s="23"/>
      <c r="BA30" s="23"/>
      <c r="BB30" s="23"/>
      <c r="BC30" s="23"/>
      <c r="BD30" s="23"/>
      <c r="BE30" s="23"/>
      <c r="BF30" s="23"/>
      <c r="BG30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31" spans="1:59" s="39" customFormat="1" ht="15.75" x14ac:dyDescent="0.25">
      <c r="A31" s="22"/>
      <c r="B31" s="22" t="s">
        <v>56</v>
      </c>
      <c r="C31" s="25"/>
      <c r="D31" s="30" t="s">
        <v>124</v>
      </c>
      <c r="E31" s="20" t="s">
        <v>87</v>
      </c>
      <c r="F31" s="20" t="s">
        <v>88</v>
      </c>
      <c r="G31" s="20" t="s">
        <v>88</v>
      </c>
      <c r="H31" s="44" t="s">
        <v>89</v>
      </c>
      <c r="I31" s="20">
        <f t="shared" si="0"/>
        <v>5</v>
      </c>
      <c r="J31" s="20" t="str">
        <f t="shared" si="1"/>
        <v>Режим</v>
      </c>
      <c r="K31" s="22" t="s">
        <v>63</v>
      </c>
      <c r="L31" s="45" t="s">
        <v>54</v>
      </c>
      <c r="M31" s="25" t="s">
        <v>52</v>
      </c>
      <c r="N31" s="25" t="s">
        <v>52</v>
      </c>
      <c r="O31" s="25"/>
      <c r="P31" s="35">
        <v>0</v>
      </c>
      <c r="Q31" s="35"/>
      <c r="R31" s="25" t="s">
        <v>53</v>
      </c>
      <c r="S31" s="25">
        <v>0</v>
      </c>
      <c r="T31" s="25">
        <v>1</v>
      </c>
      <c r="U31" s="25">
        <v>1</v>
      </c>
      <c r="V31" s="25"/>
      <c r="W31" s="25"/>
      <c r="X31" s="25">
        <v>0</v>
      </c>
      <c r="Y31" s="25">
        <v>0</v>
      </c>
      <c r="Z31" s="24"/>
      <c r="AA31" s="19">
        <v>0</v>
      </c>
      <c r="AB31" s="19"/>
      <c r="AC31" s="19"/>
      <c r="AD31" s="19"/>
      <c r="AE31" s="19"/>
      <c r="AF31" s="19">
        <v>0</v>
      </c>
      <c r="AG31" s="19">
        <v>0</v>
      </c>
      <c r="AH31" s="19">
        <v>0</v>
      </c>
      <c r="AI31" s="19"/>
      <c r="AJ31" s="23"/>
      <c r="AK31" s="23"/>
      <c r="AL31" s="23"/>
      <c r="AM31" s="23"/>
      <c r="AN31" s="23"/>
      <c r="AO31" s="23"/>
      <c r="AP31" s="23"/>
      <c r="AQ31" s="23"/>
      <c r="AR31" s="23">
        <v>0</v>
      </c>
      <c r="AS31" s="23">
        <v>0</v>
      </c>
      <c r="AT31" s="23">
        <v>0</v>
      </c>
      <c r="AU31" s="23">
        <v>0</v>
      </c>
      <c r="AV31" s="23">
        <f t="shared" ref="AV31:AV34" si="18">BIN2DEC(CONCATENATE(0,0,0,0,AR31,AS31,AT31,AU31))</f>
        <v>0</v>
      </c>
      <c r="AW31" s="23" t="s">
        <v>74</v>
      </c>
      <c r="AX31" s="23"/>
      <c r="AY31" s="35"/>
      <c r="AZ31" s="23"/>
      <c r="BA31" s="23"/>
      <c r="BB31" s="23"/>
      <c r="BC31" s="23"/>
      <c r="BD31" s="23"/>
      <c r="BE31" s="23"/>
      <c r="BF31" s="23"/>
      <c r="BG31" s="21" t="str">
        <f t="shared" si="3"/>
        <v>description: "Режим", note: "Режим работы входа", group: "setting", minValue: 0, maxValue: 1, step: 1, units: "null", defaultValue: 0, eventRegistration: 0</v>
      </c>
    </row>
    <row r="32" spans="1:59" s="39" customFormat="1" ht="15.75" customHeight="1" x14ac:dyDescent="0.25">
      <c r="A32" s="22"/>
      <c r="B32" s="22" t="s">
        <v>56</v>
      </c>
      <c r="C32" s="25"/>
      <c r="D32" s="30" t="s">
        <v>124</v>
      </c>
      <c r="E32" s="20" t="s">
        <v>90</v>
      </c>
      <c r="F32" s="20" t="s">
        <v>91</v>
      </c>
      <c r="G32" s="20" t="s">
        <v>91</v>
      </c>
      <c r="H32" s="20"/>
      <c r="I32" s="20">
        <f t="shared" si="0"/>
        <v>14</v>
      </c>
      <c r="J32" s="20" t="str">
        <f t="shared" si="1"/>
        <v>Задержка сраб.</v>
      </c>
      <c r="K32" s="22" t="s">
        <v>92</v>
      </c>
      <c r="L32" s="38" t="s">
        <v>93</v>
      </c>
      <c r="M32" s="25" t="s">
        <v>52</v>
      </c>
      <c r="N32" s="25" t="s">
        <v>52</v>
      </c>
      <c r="O32" s="25"/>
      <c r="P32" s="35">
        <v>2</v>
      </c>
      <c r="Q32" s="35" t="s">
        <v>94</v>
      </c>
      <c r="R32" s="25" t="s">
        <v>95</v>
      </c>
      <c r="S32" s="25">
        <v>0</v>
      </c>
      <c r="T32" s="25">
        <v>100</v>
      </c>
      <c r="U32" s="25">
        <v>1</v>
      </c>
      <c r="V32" s="25"/>
      <c r="W32" s="25"/>
      <c r="X32" s="25">
        <v>20</v>
      </c>
      <c r="Y32" s="25">
        <v>0</v>
      </c>
      <c r="Z32" s="24"/>
      <c r="AA32" s="19">
        <v>0</v>
      </c>
      <c r="AB32" s="19"/>
      <c r="AC32" s="19"/>
      <c r="AD32" s="19"/>
      <c r="AE32" s="19"/>
      <c r="AF32" s="19">
        <v>0</v>
      </c>
      <c r="AG32" s="19">
        <v>0</v>
      </c>
      <c r="AH32" s="19">
        <v>0</v>
      </c>
      <c r="AI32" s="19" t="s">
        <v>96</v>
      </c>
      <c r="AJ32" s="23" t="s">
        <v>97</v>
      </c>
      <c r="AK32" s="23" t="s">
        <v>98</v>
      </c>
      <c r="AL32" s="23" t="s">
        <v>99</v>
      </c>
      <c r="AM32" s="23" t="s">
        <v>93</v>
      </c>
      <c r="AN32" s="23"/>
      <c r="AO32" s="23" t="s">
        <v>100</v>
      </c>
      <c r="AP32" s="26" t="str">
        <f t="shared" ref="AP32" si="19">CONCATENATE(AJ32, ".", AL32)</f>
        <v>GENRBRF1.FailTmms.setVal</v>
      </c>
      <c r="AQ32" s="23" t="s">
        <v>55</v>
      </c>
      <c r="AR32" s="23">
        <v>0</v>
      </c>
      <c r="AS32" s="23">
        <v>0</v>
      </c>
      <c r="AT32" s="23">
        <v>0</v>
      </c>
      <c r="AU32" s="23">
        <v>0</v>
      </c>
      <c r="AV32" s="23">
        <f t="shared" si="18"/>
        <v>0</v>
      </c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 t="str">
        <f t="shared" si="3"/>
        <v>description: "Задержка сраб.", note: "Задержка срабатывания входа", group: "setting", minValue: 0, maxValue: 100, step: 1, units: "мс", defaultValue: 20, eventRegistration: 0</v>
      </c>
    </row>
    <row r="33" spans="1:60" s="39" customFormat="1" ht="15.75" x14ac:dyDescent="0.25">
      <c r="A33" s="22"/>
      <c r="B33" s="22" t="s">
        <v>56</v>
      </c>
      <c r="C33" s="25"/>
      <c r="D33" s="30" t="s">
        <v>124</v>
      </c>
      <c r="E33" s="20" t="s">
        <v>101</v>
      </c>
      <c r="F33" s="20" t="s">
        <v>102</v>
      </c>
      <c r="G33" s="20" t="s">
        <v>102</v>
      </c>
      <c r="H33" s="44" t="s">
        <v>103</v>
      </c>
      <c r="I33" s="20">
        <f t="shared" si="0"/>
        <v>8</v>
      </c>
      <c r="J33" s="20" t="str">
        <f t="shared" si="1"/>
        <v>Инверсия</v>
      </c>
      <c r="K33" s="22" t="s">
        <v>63</v>
      </c>
      <c r="L33" s="45" t="s">
        <v>54</v>
      </c>
      <c r="M33" s="25" t="s">
        <v>52</v>
      </c>
      <c r="N33" s="25" t="s">
        <v>52</v>
      </c>
      <c r="O33" s="25"/>
      <c r="P33" s="35">
        <v>0</v>
      </c>
      <c r="Q33" s="35"/>
      <c r="R33" s="25" t="s">
        <v>53</v>
      </c>
      <c r="S33" s="25">
        <v>0</v>
      </c>
      <c r="T33" s="25">
        <v>1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/>
      <c r="AJ33" s="23"/>
      <c r="AK33" s="23"/>
      <c r="AL33" s="23"/>
      <c r="AM33" s="23"/>
      <c r="AN33" s="23"/>
      <c r="AO33" s="23"/>
      <c r="AP33" s="23"/>
      <c r="AQ33" s="23"/>
      <c r="AR33" s="23">
        <v>0</v>
      </c>
      <c r="AS33" s="23">
        <v>0</v>
      </c>
      <c r="AT33" s="23">
        <v>0</v>
      </c>
      <c r="AU33" s="23">
        <v>0</v>
      </c>
      <c r="AV33" s="23">
        <f t="shared" si="18"/>
        <v>0</v>
      </c>
      <c r="AW33" s="23" t="s">
        <v>74</v>
      </c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si="3"/>
        <v>description: "Инверсия", note: "Режим инверсии входа", group: "setting", minValue: 0, maxValue: 1, step: 1, units: "null", defaultValue: 0, eventRegistration: 0</v>
      </c>
    </row>
    <row r="34" spans="1:60" s="39" customFormat="1" ht="15.75" x14ac:dyDescent="0.25">
      <c r="A34" s="22"/>
      <c r="B34" s="22" t="s">
        <v>56</v>
      </c>
      <c r="C34" s="25"/>
      <c r="D34" s="30" t="s">
        <v>124</v>
      </c>
      <c r="E34" s="20" t="s">
        <v>104</v>
      </c>
      <c r="F34" s="20" t="s">
        <v>105</v>
      </c>
      <c r="G34" s="20" t="s">
        <v>105</v>
      </c>
      <c r="H34" s="44"/>
      <c r="I34" s="20">
        <f t="shared" si="0"/>
        <v>8</v>
      </c>
      <c r="J34" s="20" t="str">
        <f t="shared" si="1"/>
        <v>Описание</v>
      </c>
      <c r="K34" s="22" t="s">
        <v>63</v>
      </c>
      <c r="L34" s="46" t="s">
        <v>93</v>
      </c>
      <c r="M34" s="25" t="s">
        <v>52</v>
      </c>
      <c r="N34" s="25" t="s">
        <v>52</v>
      </c>
      <c r="O34" s="25"/>
      <c r="P34" s="35">
        <v>0</v>
      </c>
      <c r="Q34" s="35"/>
      <c r="R34" s="25" t="s">
        <v>106</v>
      </c>
      <c r="S34" s="25">
        <v>0</v>
      </c>
      <c r="T34" s="25">
        <v>31</v>
      </c>
      <c r="U34" s="25">
        <v>1</v>
      </c>
      <c r="V34" s="25"/>
      <c r="W34" s="25"/>
      <c r="X34" s="63" t="s">
        <v>53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/>
      <c r="AJ34" s="23"/>
      <c r="AK34" s="23"/>
      <c r="AL34" s="23"/>
      <c r="AM34" s="23"/>
      <c r="AN34" s="23"/>
      <c r="AO34" s="23"/>
      <c r="AP34" s="23"/>
      <c r="AQ34" s="23"/>
      <c r="AR34" s="23">
        <v>0</v>
      </c>
      <c r="AS34" s="23">
        <v>0</v>
      </c>
      <c r="AT34" s="23">
        <v>0</v>
      </c>
      <c r="AU34" s="23">
        <v>0</v>
      </c>
      <c r="AV34" s="23">
        <f t="shared" si="18"/>
        <v>0</v>
      </c>
      <c r="AW34" s="23" t="s">
        <v>74</v>
      </c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3"/>
        <v>description: "Описание", note: "Назначение входа", group: "setting", minValue: 0, maxValue: 31, step: 1, units: "символ", defaultValue: null, eventRegistration: 0</v>
      </c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F15" sqref="F15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126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126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83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83</v>
      </c>
    </row>
    <row r="11" spans="1:2" x14ac:dyDescent="0.25">
      <c r="A11" s="60" t="s">
        <v>125</v>
      </c>
      <c r="B11" s="60" t="s">
        <v>125</v>
      </c>
    </row>
    <row r="12" spans="1:2" x14ac:dyDescent="0.25">
      <c r="A12" s="29" t="s">
        <v>115</v>
      </c>
      <c r="B12" s="40">
        <v>8</v>
      </c>
    </row>
    <row r="13" spans="1:2" x14ac:dyDescent="0.25">
      <c r="A13" s="60" t="s">
        <v>116</v>
      </c>
      <c r="B13" s="40">
        <v>0</v>
      </c>
    </row>
    <row r="14" spans="1:2" x14ac:dyDescent="0.25">
      <c r="A14" s="60" t="s">
        <v>117</v>
      </c>
      <c r="B14" s="40" t="s">
        <v>86</v>
      </c>
    </row>
    <row r="15" spans="1:2" x14ac:dyDescent="0.25">
      <c r="A15" s="60" t="s">
        <v>118</v>
      </c>
      <c r="B15" s="40" t="s">
        <v>107</v>
      </c>
    </row>
    <row r="16" spans="1:2" x14ac:dyDescent="0.25">
      <c r="A16" s="60" t="s">
        <v>119</v>
      </c>
      <c r="B16" s="40" t="s">
        <v>108</v>
      </c>
    </row>
    <row r="17" spans="1:2" x14ac:dyDescent="0.25">
      <c r="A17" s="60" t="s">
        <v>120</v>
      </c>
      <c r="B17" s="40" t="s">
        <v>109</v>
      </c>
    </row>
    <row r="18" spans="1:2" x14ac:dyDescent="0.25">
      <c r="A18" s="60" t="s">
        <v>121</v>
      </c>
      <c r="B18" s="40" t="s">
        <v>110</v>
      </c>
    </row>
    <row r="19" spans="1:2" x14ac:dyDescent="0.25">
      <c r="A19" s="60" t="s">
        <v>122</v>
      </c>
      <c r="B19" s="40" t="s">
        <v>111</v>
      </c>
    </row>
    <row r="20" spans="1:2" x14ac:dyDescent="0.25">
      <c r="A20" s="60" t="s">
        <v>123</v>
      </c>
      <c r="B20" s="40" t="s">
        <v>112</v>
      </c>
    </row>
    <row r="21" spans="1:2" x14ac:dyDescent="0.25">
      <c r="A21" s="60" t="s">
        <v>124</v>
      </c>
      <c r="B21" s="40" t="s">
        <v>113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2025-10-21T05:00:08Z</dcterms:modified>
</cp:coreProperties>
</file>