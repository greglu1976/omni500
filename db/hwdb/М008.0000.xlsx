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8" i="5" l="1"/>
  <c r="J8" i="5"/>
  <c r="I8" i="5"/>
  <c r="BG7" i="5"/>
  <c r="J7" i="5"/>
  <c r="I7" i="5"/>
  <c r="BG6" i="5"/>
  <c r="J6" i="5"/>
  <c r="I6" i="5"/>
  <c r="BG5" i="5"/>
  <c r="J5" i="5"/>
  <c r="I5" i="5"/>
  <c r="BG62" i="6" l="1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<sst xmlns="http://schemas.openxmlformats.org/spreadsheetml/2006/main" count="1753" uniqueCount="194">
  <si>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</si>
  <si>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</si>
  <si>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</si>
  <si>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</si>
  <si>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</si>
  <si>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</si>
  <si>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</si>
  <si>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</si>
  <si>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</si>
  <si>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</si>
  <si>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</si>
  <si>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</si>
  <si>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</si>
  <si>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</si>
  <si>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</si>
  <si>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</si>
  <si>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</si>
  <si>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</si>
  <si>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</si>
  <si>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</si>
  <si>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</si>
  <si>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</si>
  <si>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</si>
  <si>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</si>
  <si>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</si>
  <si>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</si>
  <si>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</si>
  <si>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</si>
  <si>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</si>
  <si>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</si>
  <si>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</si>
  <si>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</si>
  <si>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</si>
  <si>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</si>
  <si>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</si>
  <si>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</si>
  <si>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</si>
  <si>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</si>
  <si>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</si>
  <si>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</si>
  <si>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</si>
  <si>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</si>
  <si>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</si>
  <si>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</si>
  <si>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</si>
  <si>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</si>
  <si>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</si>
  <si>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</si>
  <si>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</si>
  <si>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</si>
  <si>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</si>
  <si>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</si>
  <si>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</si>
  <si>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</si>
  <si>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</si>
  <si>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</si>
  <si>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</si>
  <si>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</si>
  <si>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</si>
  <si>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</si>
  <si>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</si>
  <si>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</si>
  <si>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</si>
  <si>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</si>
  <si>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</si>
  <si>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</si>
  <si>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</si>
  <si>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</si>
  <si>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</si>
  <si>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</si>
  <si>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</si>
  <si>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</si>
  <si>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</si>
  <si>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</si>
  <si>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</si>
  <si>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</si>
  <si>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</si>
  <si>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</si>
  <si>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</si>
  <si>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</si>
  <si>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</si>
  <si>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</si>
  <si>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</si>
  <si>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</si>
  <si>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</si>
  <si>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</si>
  <si>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</si>
  <si>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</si>
  <si>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</si>
  <si>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</si>
  <si>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</si>
  <si>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</si>
  <si>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</si>
  <si>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</si>
  <si>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</si>
  <si>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</si>
  <si>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</si>
  <si>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</si>
  <si>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</si>
  <si>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</si>
  <si>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</si>
  <si>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</si>
  <si>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</si>
  <si>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</si>
  <si>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</si>
  <si>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</si>
  <si>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</si>
  <si>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</si>
  <si>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</si>
  <si>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</si>
  <si>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</si>
  <si>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</si>
  <si>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</si>
  <si>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</si>
  <si>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</si>
  <si>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</si>
  <si>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</si>
  <si>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</si>
  <si>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</si>
  <si>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</si>
  <si>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</si>
  <si>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</si>
  <si>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</si>
  <si>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</si>
  <si>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</si>
  <si>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</si>
  <si>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</si>
  <si>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</si>
  <si>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</si>
  <si>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</si>
  <si>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</si>
  <si>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</si>
  <si>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</si>
  <si>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</si>
  <si>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</si>
  <si>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</si>
  <si>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</si>
  <si>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</si>
  <si>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</si>
  <si>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</si>
  <si>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</si>
  <si>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</si>
  <si>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</si>
  <si>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</si>
  <si>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</si>
  <si>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</si>
  <si>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</si>
  <si>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</si>
  <si>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</si>
  <si>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</si>
  <si>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</si>
  <si>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</si>
  <si>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</si>
  <si>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</si>
  <si>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</si>
  <si>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</si>
  <si>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</si>
  <si>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</si>
  <si>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</si>
  <si>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</si>
  <si>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</si>
  <si>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</si>
  <si>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</si>
  <si>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</si>
  <si>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</si>
  <si>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</si>
  <si>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</si>
  <si>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</si>
  <si>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</si>
  <si>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</si>
  <si>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</si>
  <si>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</si>
  <si>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</si>
  <si>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</si>
  <si>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</si>
  <si>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</si>
  <si>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</si>
  <si>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</si>
  <si>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</si>
  <si>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</si>
  <si>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</si>
  <si>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</si>
  <si>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</si>
  <si>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</si>
  <si>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</si>
  <si>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</si>
  <si>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</si>
  <si>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</si>
  <si>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</si>
  <si>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М008.0000</t>
  </si>
  <si>
    <t>НапрВ7</t>
  </si>
  <si>
    <t>Измерительный вход напряжения 7</t>
  </si>
  <si>
    <t>НапрВ8</t>
  </si>
  <si>
    <t>Измерительный вход напряжения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</si>
</sst>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D13" sqref="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170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171</v>
      </c>
      <c r="F5" s="20" t="s">
        <v>171</v>
      </c>
      <c r="G5" s="20" t="s">
        <v>171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172</v>
      </c>
      <c r="F6" s="20" t="s">
        <v>173</v>
      </c>
      <c r="G6" s="20" t="s">
        <v>173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174</v>
      </c>
      <c r="F7" s="20" t="s">
        <v>174</v>
      </c>
      <c r="G7" s="20" t="s">
        <v>174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175</v>
      </c>
      <c r="F8" s="20" t="s">
        <v>176</v>
      </c>
      <c r="G8" s="20" t="s">
        <v>176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3"/>
  <sheetViews>
    <sheetView tabSelected="1" topLeftCell="P73" zoomScale="80" zoomScaleNormal="80" workbookViewId="0">
      <selection activeCell="X82" sqref="X8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179</v>
      </c>
      <c r="E3" s="48" t="s">
        <v>97</v>
      </c>
      <c r="F3" s="48" t="s">
        <v>98</v>
      </c>
      <c r="G3" s="48" t="s">
        <v>98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179</v>
      </c>
      <c r="E4" s="48" t="s">
        <v>99</v>
      </c>
      <c r="F4" s="48" t="s">
        <v>100</v>
      </c>
      <c r="G4" s="48" t="s">
        <v>100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179</v>
      </c>
      <c r="E5" s="48" t="s">
        <v>101</v>
      </c>
      <c r="F5" s="48" t="s">
        <v>102</v>
      </c>
      <c r="G5" s="48" t="s">
        <v>102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179</v>
      </c>
      <c r="E6" s="48" t="s">
        <v>103</v>
      </c>
      <c r="F6" s="48" t="s">
        <v>104</v>
      </c>
      <c r="G6" s="48" t="s">
        <v>104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179</v>
      </c>
      <c r="E7" s="48" t="s">
        <v>105</v>
      </c>
      <c r="F7" s="48" t="s">
        <v>106</v>
      </c>
      <c r="G7" s="48" t="s">
        <v>106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107</v>
      </c>
      <c r="T7" s="47">
        <v>1000000</v>
      </c>
      <c r="U7" s="47" t="s">
        <v>108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179</v>
      </c>
      <c r="E8" s="48" t="s">
        <v>109</v>
      </c>
      <c r="F8" s="48" t="s">
        <v>110</v>
      </c>
      <c r="G8" s="48" t="s">
        <v>110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107</v>
      </c>
      <c r="T8" s="47">
        <v>1000000</v>
      </c>
      <c r="U8" s="47" t="s">
        <v>108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179</v>
      </c>
      <c r="E9" s="48" t="s">
        <v>111</v>
      </c>
      <c r="F9" s="48" t="s">
        <v>112</v>
      </c>
      <c r="G9" s="48" t="s">
        <v>112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107</v>
      </c>
      <c r="T9" s="47">
        <v>1000000</v>
      </c>
      <c r="U9" s="47" t="s">
        <v>108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179</v>
      </c>
      <c r="E10" s="48" t="s">
        <v>113</v>
      </c>
      <c r="F10" s="48" t="s">
        <v>114</v>
      </c>
      <c r="G10" s="48" t="s">
        <v>114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107</v>
      </c>
      <c r="T10" s="47">
        <v>1000000</v>
      </c>
      <c r="U10" s="47" t="s">
        <v>108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179</v>
      </c>
      <c r="E11" s="48" t="s">
        <v>115</v>
      </c>
      <c r="F11" s="48" t="s">
        <v>116</v>
      </c>
      <c r="G11" s="48" t="s">
        <v>116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179</v>
      </c>
      <c r="E12" s="48" t="s">
        <v>117</v>
      </c>
      <c r="F12" s="48" t="s">
        <v>118</v>
      </c>
      <c r="G12" s="48" t="s">
        <v>118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119</v>
      </c>
      <c r="S12" s="47">
        <v>0</v>
      </c>
      <c r="T12" s="47">
        <v>99</v>
      </c>
      <c r="U12" s="47">
        <v>1</v>
      </c>
      <c r="V12" s="47"/>
      <c r="W12" s="47"/>
      <c r="X12" s="62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181</v>
      </c>
      <c r="E13" s="20" t="s">
        <v>97</v>
      </c>
      <c r="F13" s="20" t="s">
        <v>120</v>
      </c>
      <c r="G13" s="20" t="s">
        <v>120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181</v>
      </c>
      <c r="E14" s="20" t="s">
        <v>99</v>
      </c>
      <c r="F14" s="20" t="s">
        <v>123</v>
      </c>
      <c r="G14" s="20" t="s">
        <v>123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181</v>
      </c>
      <c r="E15" s="20" t="s">
        <v>101</v>
      </c>
      <c r="F15" s="20" t="s">
        <v>121</v>
      </c>
      <c r="G15" s="20" t="s">
        <v>121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181</v>
      </c>
      <c r="E16" s="20" t="s">
        <v>103</v>
      </c>
      <c r="F16" s="20" t="s">
        <v>124</v>
      </c>
      <c r="G16" s="20" t="s">
        <v>124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181</v>
      </c>
      <c r="E17" s="20" t="s">
        <v>105</v>
      </c>
      <c r="F17" s="20" t="s">
        <v>122</v>
      </c>
      <c r="G17" s="20" t="s">
        <v>122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107</v>
      </c>
      <c r="T17" s="25">
        <v>1000000</v>
      </c>
      <c r="U17" s="25" t="s">
        <v>108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181</v>
      </c>
      <c r="E18" s="20" t="s">
        <v>109</v>
      </c>
      <c r="F18" s="20" t="s">
        <v>125</v>
      </c>
      <c r="G18" s="20" t="s">
        <v>125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107</v>
      </c>
      <c r="T18" s="25">
        <v>1000000</v>
      </c>
      <c r="U18" s="25" t="s">
        <v>108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181</v>
      </c>
      <c r="E19" s="20" t="s">
        <v>111</v>
      </c>
      <c r="F19" s="20" t="s">
        <v>129</v>
      </c>
      <c r="G19" s="20" t="s">
        <v>129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107</v>
      </c>
      <c r="T19" s="25">
        <v>1000000</v>
      </c>
      <c r="U19" s="25" t="s">
        <v>108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181</v>
      </c>
      <c r="E20" s="20" t="s">
        <v>113</v>
      </c>
      <c r="F20" s="20" t="s">
        <v>126</v>
      </c>
      <c r="G20" s="20" t="s">
        <v>126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107</v>
      </c>
      <c r="T20" s="25">
        <v>1000000</v>
      </c>
      <c r="U20" s="25" t="s">
        <v>108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181</v>
      </c>
      <c r="E21" s="20" t="s">
        <v>115</v>
      </c>
      <c r="F21" s="20" t="s">
        <v>128</v>
      </c>
      <c r="G21" s="20" t="s">
        <v>128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181</v>
      </c>
      <c r="E22" s="20" t="s">
        <v>117</v>
      </c>
      <c r="F22" s="20" t="s">
        <v>127</v>
      </c>
      <c r="G22" s="20" t="s">
        <v>127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119</v>
      </c>
      <c r="S22" s="25">
        <v>0</v>
      </c>
      <c r="T22" s="25">
        <v>99</v>
      </c>
      <c r="U22" s="25">
        <v>1</v>
      </c>
      <c r="V22" s="25"/>
      <c r="W22" s="25"/>
      <c r="X22" s="62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183</v>
      </c>
      <c r="E23" s="48" t="s">
        <v>97</v>
      </c>
      <c r="F23" s="48" t="s">
        <v>130</v>
      </c>
      <c r="G23" s="48" t="s">
        <v>130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183</v>
      </c>
      <c r="E24" s="48" t="s">
        <v>99</v>
      </c>
      <c r="F24" s="48" t="s">
        <v>131</v>
      </c>
      <c r="G24" s="48" t="s">
        <v>131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183</v>
      </c>
      <c r="E25" s="48" t="s">
        <v>101</v>
      </c>
      <c r="F25" s="48" t="s">
        <v>132</v>
      </c>
      <c r="G25" s="48" t="s">
        <v>132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183</v>
      </c>
      <c r="E26" s="48" t="s">
        <v>103</v>
      </c>
      <c r="F26" s="48" t="s">
        <v>133</v>
      </c>
      <c r="G26" s="48" t="s">
        <v>133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183</v>
      </c>
      <c r="E27" s="48" t="s">
        <v>105</v>
      </c>
      <c r="F27" s="48" t="s">
        <v>134</v>
      </c>
      <c r="G27" s="48" t="s">
        <v>134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107</v>
      </c>
      <c r="T27" s="47">
        <v>1000000</v>
      </c>
      <c r="U27" s="47" t="s">
        <v>108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183</v>
      </c>
      <c r="E28" s="48" t="s">
        <v>109</v>
      </c>
      <c r="F28" s="48" t="s">
        <v>135</v>
      </c>
      <c r="G28" s="48" t="s">
        <v>135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107</v>
      </c>
      <c r="T28" s="47">
        <v>1000000</v>
      </c>
      <c r="U28" s="47" t="s">
        <v>108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183</v>
      </c>
      <c r="E29" s="48" t="s">
        <v>111</v>
      </c>
      <c r="F29" s="48" t="s">
        <v>136</v>
      </c>
      <c r="G29" s="48" t="s">
        <v>136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107</v>
      </c>
      <c r="T29" s="47">
        <v>1000000</v>
      </c>
      <c r="U29" s="47" t="s">
        <v>108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183</v>
      </c>
      <c r="E30" s="48" t="s">
        <v>113</v>
      </c>
      <c r="F30" s="48" t="s">
        <v>137</v>
      </c>
      <c r="G30" s="48" t="s">
        <v>137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107</v>
      </c>
      <c r="T30" s="47">
        <v>1000000</v>
      </c>
      <c r="U30" s="47" t="s">
        <v>108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183</v>
      </c>
      <c r="E31" s="48" t="s">
        <v>115</v>
      </c>
      <c r="F31" s="48" t="s">
        <v>138</v>
      </c>
      <c r="G31" s="48" t="s">
        <v>138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183</v>
      </c>
      <c r="E32" s="48" t="s">
        <v>117</v>
      </c>
      <c r="F32" s="48" t="s">
        <v>139</v>
      </c>
      <c r="G32" s="48" t="s">
        <v>139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119</v>
      </c>
      <c r="S32" s="47">
        <v>0</v>
      </c>
      <c r="T32" s="47">
        <v>99</v>
      </c>
      <c r="U32" s="47">
        <v>1</v>
      </c>
      <c r="V32" s="47"/>
      <c r="W32" s="47"/>
      <c r="X32" s="62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185</v>
      </c>
      <c r="E33" s="20" t="s">
        <v>97</v>
      </c>
      <c r="F33" s="20" t="s">
        <v>140</v>
      </c>
      <c r="G33" s="20" t="s">
        <v>140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185</v>
      </c>
      <c r="E34" s="20" t="s">
        <v>99</v>
      </c>
      <c r="F34" s="20" t="s">
        <v>141</v>
      </c>
      <c r="G34" s="20" t="s">
        <v>141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185</v>
      </c>
      <c r="E35" s="20" t="s">
        <v>101</v>
      </c>
      <c r="F35" s="20" t="s">
        <v>142</v>
      </c>
      <c r="G35" s="20" t="s">
        <v>142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185</v>
      </c>
      <c r="E36" s="20" t="s">
        <v>103</v>
      </c>
      <c r="F36" s="20" t="s">
        <v>143</v>
      </c>
      <c r="G36" s="20" t="s">
        <v>143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185</v>
      </c>
      <c r="E37" s="20" t="s">
        <v>105</v>
      </c>
      <c r="F37" s="20" t="s">
        <v>144</v>
      </c>
      <c r="G37" s="20" t="s">
        <v>144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107</v>
      </c>
      <c r="T37" s="25">
        <v>1000000</v>
      </c>
      <c r="U37" s="25" t="s">
        <v>108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185</v>
      </c>
      <c r="E38" s="20" t="s">
        <v>109</v>
      </c>
      <c r="F38" s="20" t="s">
        <v>145</v>
      </c>
      <c r="G38" s="20" t="s">
        <v>145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107</v>
      </c>
      <c r="T38" s="25">
        <v>1000000</v>
      </c>
      <c r="U38" s="25" t="s">
        <v>108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185</v>
      </c>
      <c r="E39" s="20" t="s">
        <v>111</v>
      </c>
      <c r="F39" s="20" t="s">
        <v>146</v>
      </c>
      <c r="G39" s="20" t="s">
        <v>146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107</v>
      </c>
      <c r="T39" s="25">
        <v>1000000</v>
      </c>
      <c r="U39" s="25" t="s">
        <v>108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185</v>
      </c>
      <c r="E40" s="20" t="s">
        <v>113</v>
      </c>
      <c r="F40" s="20" t="s">
        <v>147</v>
      </c>
      <c r="G40" s="20" t="s">
        <v>147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107</v>
      </c>
      <c r="T40" s="25">
        <v>1000000</v>
      </c>
      <c r="U40" s="25" t="s">
        <v>108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185</v>
      </c>
      <c r="E41" s="20" t="s">
        <v>115</v>
      </c>
      <c r="F41" s="20" t="s">
        <v>148</v>
      </c>
      <c r="G41" s="20" t="s">
        <v>148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185</v>
      </c>
      <c r="E42" s="20" t="s">
        <v>117</v>
      </c>
      <c r="F42" s="20" t="s">
        <v>149</v>
      </c>
      <c r="G42" s="20" t="s">
        <v>149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119</v>
      </c>
      <c r="S42" s="25">
        <v>0</v>
      </c>
      <c r="T42" s="25">
        <v>99</v>
      </c>
      <c r="U42" s="25">
        <v>1</v>
      </c>
      <c r="V42" s="25"/>
      <c r="W42" s="25"/>
      <c r="X42" s="62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177</v>
      </c>
      <c r="E43" s="48" t="s">
        <v>97</v>
      </c>
      <c r="F43" s="48" t="s">
        <v>150</v>
      </c>
      <c r="G43" s="48" t="s">
        <v>150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177</v>
      </c>
      <c r="E44" s="48" t="s">
        <v>99</v>
      </c>
      <c r="F44" s="48" t="s">
        <v>151</v>
      </c>
      <c r="G44" s="48" t="s">
        <v>151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177</v>
      </c>
      <c r="E45" s="48" t="s">
        <v>101</v>
      </c>
      <c r="F45" s="48" t="s">
        <v>152</v>
      </c>
      <c r="G45" s="48" t="s">
        <v>152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177</v>
      </c>
      <c r="E46" s="48" t="s">
        <v>103</v>
      </c>
      <c r="F46" s="48" t="s">
        <v>153</v>
      </c>
      <c r="G46" s="48" t="s">
        <v>153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177</v>
      </c>
      <c r="E47" s="48" t="s">
        <v>105</v>
      </c>
      <c r="F47" s="48" t="s">
        <v>154</v>
      </c>
      <c r="G47" s="48" t="s">
        <v>154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107</v>
      </c>
      <c r="T47" s="47">
        <v>1000000</v>
      </c>
      <c r="U47" s="47" t="s">
        <v>108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177</v>
      </c>
      <c r="E48" s="48" t="s">
        <v>109</v>
      </c>
      <c r="F48" s="48" t="s">
        <v>155</v>
      </c>
      <c r="G48" s="48" t="s">
        <v>155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107</v>
      </c>
      <c r="T48" s="47">
        <v>1000000</v>
      </c>
      <c r="U48" s="47" t="s">
        <v>108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177</v>
      </c>
      <c r="E49" s="48" t="s">
        <v>111</v>
      </c>
      <c r="F49" s="48" t="s">
        <v>156</v>
      </c>
      <c r="G49" s="48" t="s">
        <v>156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107</v>
      </c>
      <c r="T49" s="47">
        <v>1000000</v>
      </c>
      <c r="U49" s="47" t="s">
        <v>108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177</v>
      </c>
      <c r="E50" s="48" t="s">
        <v>113</v>
      </c>
      <c r="F50" s="48" t="s">
        <v>157</v>
      </c>
      <c r="G50" s="48" t="s">
        <v>157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107</v>
      </c>
      <c r="T50" s="47">
        <v>1000000</v>
      </c>
      <c r="U50" s="47" t="s">
        <v>108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177</v>
      </c>
      <c r="E51" s="48" t="s">
        <v>115</v>
      </c>
      <c r="F51" s="48" t="s">
        <v>158</v>
      </c>
      <c r="G51" s="48" t="s">
        <v>158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177</v>
      </c>
      <c r="E52" s="48" t="s">
        <v>117</v>
      </c>
      <c r="F52" s="48" t="s">
        <v>159</v>
      </c>
      <c r="G52" s="48" t="s">
        <v>159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119</v>
      </c>
      <c r="S52" s="47">
        <v>0</v>
      </c>
      <c r="T52" s="47">
        <v>99</v>
      </c>
      <c r="U52" s="47">
        <v>1</v>
      </c>
      <c r="V52" s="47"/>
      <c r="W52" s="47"/>
      <c r="X52" s="62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187</v>
      </c>
      <c r="E53" s="20" t="s">
        <v>97</v>
      </c>
      <c r="F53" s="20" t="s">
        <v>160</v>
      </c>
      <c r="G53" s="20" t="s">
        <v>160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187</v>
      </c>
      <c r="E54" s="20" t="s">
        <v>99</v>
      </c>
      <c r="F54" s="20" t="s">
        <v>161</v>
      </c>
      <c r="G54" s="20" t="s">
        <v>161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187</v>
      </c>
      <c r="E55" s="20" t="s">
        <v>101</v>
      </c>
      <c r="F55" s="20" t="s">
        <v>162</v>
      </c>
      <c r="G55" s="20" t="s">
        <v>162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187</v>
      </c>
      <c r="E56" s="20" t="s">
        <v>103</v>
      </c>
      <c r="F56" s="20" t="s">
        <v>163</v>
      </c>
      <c r="G56" s="20" t="s">
        <v>163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187</v>
      </c>
      <c r="E57" s="20" t="s">
        <v>105</v>
      </c>
      <c r="F57" s="20" t="s">
        <v>164</v>
      </c>
      <c r="G57" s="20" t="s">
        <v>164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107</v>
      </c>
      <c r="T57" s="25">
        <v>1000000</v>
      </c>
      <c r="U57" s="25" t="s">
        <v>108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187</v>
      </c>
      <c r="E58" s="20" t="s">
        <v>109</v>
      </c>
      <c r="F58" s="20" t="s">
        <v>165</v>
      </c>
      <c r="G58" s="20" t="s">
        <v>165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107</v>
      </c>
      <c r="T58" s="25">
        <v>1000000</v>
      </c>
      <c r="U58" s="25" t="s">
        <v>108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187</v>
      </c>
      <c r="E59" s="20" t="s">
        <v>111</v>
      </c>
      <c r="F59" s="20" t="s">
        <v>166</v>
      </c>
      <c r="G59" s="20" t="s">
        <v>166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107</v>
      </c>
      <c r="T59" s="25">
        <v>1000000</v>
      </c>
      <c r="U59" s="25" t="s">
        <v>108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187</v>
      </c>
      <c r="E60" s="20" t="s">
        <v>113</v>
      </c>
      <c r="F60" s="20" t="s">
        <v>167</v>
      </c>
      <c r="G60" s="20" t="s">
        <v>167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107</v>
      </c>
      <c r="T60" s="25">
        <v>1000000</v>
      </c>
      <c r="U60" s="25" t="s">
        <v>108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187</v>
      </c>
      <c r="E61" s="20" t="s">
        <v>115</v>
      </c>
      <c r="F61" s="20" t="s">
        <v>168</v>
      </c>
      <c r="G61" s="20" t="s">
        <v>168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187</v>
      </c>
      <c r="E62" s="20" t="s">
        <v>117</v>
      </c>
      <c r="F62" s="20" t="s">
        <v>169</v>
      </c>
      <c r="G62" s="20" t="s">
        <v>169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119</v>
      </c>
      <c r="S62" s="25">
        <v>0</v>
      </c>
      <c r="T62" s="25">
        <v>99</v>
      </c>
      <c r="U62" s="25">
        <v>1</v>
      </c>
      <c r="V62" s="25"/>
      <c r="W62" s="25"/>
      <c r="X62" s="62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190</v>
      </c>
      <c r="E63" s="48" t="s">
        <v>97</v>
      </c>
      <c r="F63" s="48" t="s">
        <v>150</v>
      </c>
      <c r="G63" s="48" t="s">
        <v>150</v>
      </c>
      <c r="H63" s="48"/>
      <c r="I63" s="48">
        <f t="shared" ref="I63:I82" si="65">LEN(F63)</f>
        <v>29</v>
      </c>
      <c r="J63" s="48" t="str">
        <f t="shared" ref="J63:J8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8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8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190</v>
      </c>
      <c r="E64" s="48" t="s">
        <v>99</v>
      </c>
      <c r="F64" s="48" t="s">
        <v>151</v>
      </c>
      <c r="G64" s="48" t="s">
        <v>151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190</v>
      </c>
      <c r="E65" s="48" t="s">
        <v>101</v>
      </c>
      <c r="F65" s="48" t="s">
        <v>152</v>
      </c>
      <c r="G65" s="48" t="s">
        <v>152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190</v>
      </c>
      <c r="E66" s="48" t="s">
        <v>103</v>
      </c>
      <c r="F66" s="48" t="s">
        <v>153</v>
      </c>
      <c r="G66" s="48" t="s">
        <v>153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190</v>
      </c>
      <c r="E67" s="48" t="s">
        <v>105</v>
      </c>
      <c r="F67" s="48" t="s">
        <v>154</v>
      </c>
      <c r="G67" s="48" t="s">
        <v>154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107</v>
      </c>
      <c r="T67" s="47">
        <v>1000000</v>
      </c>
      <c r="U67" s="47" t="s">
        <v>108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190</v>
      </c>
      <c r="E68" s="48" t="s">
        <v>109</v>
      </c>
      <c r="F68" s="48" t="s">
        <v>155</v>
      </c>
      <c r="G68" s="48" t="s">
        <v>155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107</v>
      </c>
      <c r="T68" s="47">
        <v>1000000</v>
      </c>
      <c r="U68" s="47" t="s">
        <v>108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190</v>
      </c>
      <c r="E69" s="48" t="s">
        <v>111</v>
      </c>
      <c r="F69" s="48" t="s">
        <v>156</v>
      </c>
      <c r="G69" s="48" t="s">
        <v>156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107</v>
      </c>
      <c r="T69" s="47">
        <v>1000000</v>
      </c>
      <c r="U69" s="47" t="s">
        <v>108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190</v>
      </c>
      <c r="E70" s="48" t="s">
        <v>113</v>
      </c>
      <c r="F70" s="48" t="s">
        <v>157</v>
      </c>
      <c r="G70" s="48" t="s">
        <v>157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107</v>
      </c>
      <c r="T70" s="47">
        <v>1000000</v>
      </c>
      <c r="U70" s="47" t="s">
        <v>108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190</v>
      </c>
      <c r="E71" s="48" t="s">
        <v>115</v>
      </c>
      <c r="F71" s="48" t="s">
        <v>158</v>
      </c>
      <c r="G71" s="48" t="s">
        <v>158</v>
      </c>
      <c r="H71" s="48"/>
      <c r="I71" s="48">
        <f t="shared" si="65"/>
        <v>15</v>
      </c>
      <c r="J71" s="48" t="str">
        <f t="shared" si="66"/>
        <v>Метод расчета 5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5",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190</v>
      </c>
      <c r="E72" s="48" t="s">
        <v>117</v>
      </c>
      <c r="F72" s="48" t="s">
        <v>159</v>
      </c>
      <c r="G72" s="48" t="s">
        <v>159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119</v>
      </c>
      <c r="S72" s="47">
        <v>0</v>
      </c>
      <c r="T72" s="47">
        <v>99</v>
      </c>
      <c r="U72" s="47">
        <v>1</v>
      </c>
      <c r="V72" s="47"/>
      <c r="W72" s="47"/>
      <c r="X72" s="62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192</v>
      </c>
      <c r="E73" s="20" t="s">
        <v>97</v>
      </c>
      <c r="F73" s="20" t="s">
        <v>160</v>
      </c>
      <c r="G73" s="20" t="s">
        <v>160</v>
      </c>
      <c r="H73" s="20"/>
      <c r="I73" s="20">
        <f t="shared" si="65"/>
        <v>29</v>
      </c>
      <c r="J73" s="20" t="str">
        <f t="shared" si="66"/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0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68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69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192</v>
      </c>
      <c r="E74" s="20" t="s">
        <v>99</v>
      </c>
      <c r="F74" s="20" t="s">
        <v>161</v>
      </c>
      <c r="G74" s="20" t="s">
        <v>161</v>
      </c>
      <c r="H74" s="20"/>
      <c r="I74" s="20">
        <f t="shared" si="65"/>
        <v>28</v>
      </c>
      <c r="J74" s="20" t="str">
        <f t="shared" si="66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0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68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69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192</v>
      </c>
      <c r="E75" s="20" t="s">
        <v>101</v>
      </c>
      <c r="F75" s="20" t="s">
        <v>162</v>
      </c>
      <c r="G75" s="20" t="s">
        <v>162</v>
      </c>
      <c r="H75" s="20"/>
      <c r="I75" s="20">
        <f t="shared" si="65"/>
        <v>30</v>
      </c>
      <c r="J75" s="20" t="str">
        <f t="shared" si="66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0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68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69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192</v>
      </c>
      <c r="E76" s="20" t="s">
        <v>103</v>
      </c>
      <c r="F76" s="20" t="s">
        <v>163</v>
      </c>
      <c r="G76" s="20" t="s">
        <v>163</v>
      </c>
      <c r="H76" s="20"/>
      <c r="I76" s="20">
        <f t="shared" si="65"/>
        <v>29</v>
      </c>
      <c r="J76" s="20" t="str">
        <f t="shared" si="66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0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68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69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192</v>
      </c>
      <c r="E77" s="20" t="s">
        <v>105</v>
      </c>
      <c r="F77" s="20" t="s">
        <v>164</v>
      </c>
      <c r="G77" s="20" t="s">
        <v>164</v>
      </c>
      <c r="H77" s="20"/>
      <c r="I77" s="20">
        <f t="shared" si="65"/>
        <v>34</v>
      </c>
      <c r="J77" s="20" t="str">
        <f t="shared" si="66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107</v>
      </c>
      <c r="T77" s="25">
        <v>1000000</v>
      </c>
      <c r="U77" s="25" t="s">
        <v>108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0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68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69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192</v>
      </c>
      <c r="E78" s="20" t="s">
        <v>109</v>
      </c>
      <c r="F78" s="20" t="s">
        <v>165</v>
      </c>
      <c r="G78" s="20" t="s">
        <v>165</v>
      </c>
      <c r="H78" s="20"/>
      <c r="I78" s="20">
        <f t="shared" si="65"/>
        <v>34</v>
      </c>
      <c r="J78" s="20" t="str">
        <f t="shared" si="66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107</v>
      </c>
      <c r="T78" s="25">
        <v>1000000</v>
      </c>
      <c r="U78" s="25" t="s">
        <v>108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0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68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69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192</v>
      </c>
      <c r="E79" s="20" t="s">
        <v>111</v>
      </c>
      <c r="F79" s="20" t="s">
        <v>166</v>
      </c>
      <c r="G79" s="20" t="s">
        <v>166</v>
      </c>
      <c r="H79" s="20"/>
      <c r="I79" s="20">
        <f t="shared" si="65"/>
        <v>27</v>
      </c>
      <c r="J79" s="20" t="str">
        <f t="shared" si="66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107</v>
      </c>
      <c r="T79" s="25">
        <v>1000000</v>
      </c>
      <c r="U79" s="25" t="s">
        <v>108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0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68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69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192</v>
      </c>
      <c r="E80" s="20" t="s">
        <v>113</v>
      </c>
      <c r="F80" s="20" t="s">
        <v>167</v>
      </c>
      <c r="G80" s="20" t="s">
        <v>167</v>
      </c>
      <c r="H80" s="20"/>
      <c r="I80" s="20">
        <f t="shared" si="65"/>
        <v>39</v>
      </c>
      <c r="J80" s="20" t="str">
        <f t="shared" si="66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107</v>
      </c>
      <c r="T80" s="25">
        <v>1000000</v>
      </c>
      <c r="U80" s="25" t="s">
        <v>108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0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68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69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192</v>
      </c>
      <c r="E81" s="20" t="s">
        <v>115</v>
      </c>
      <c r="F81" s="20" t="s">
        <v>168</v>
      </c>
      <c r="G81" s="20" t="s">
        <v>168</v>
      </c>
      <c r="H81" s="20"/>
      <c r="I81" s="20">
        <f t="shared" si="65"/>
        <v>15</v>
      </c>
      <c r="J81" s="20" t="str">
        <f t="shared" si="66"/>
        <v>Метод расчета 6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0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68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69"/>
        <v>description: "Метод расчета 6",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192</v>
      </c>
      <c r="E82" s="20" t="s">
        <v>117</v>
      </c>
      <c r="F82" s="20" t="s">
        <v>169</v>
      </c>
      <c r="G82" s="20" t="s">
        <v>169</v>
      </c>
      <c r="H82" s="44"/>
      <c r="I82" s="20">
        <f t="shared" si="65"/>
        <v>38</v>
      </c>
      <c r="J82" s="20" t="str">
        <f t="shared" si="66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119</v>
      </c>
      <c r="S82" s="25">
        <v>0</v>
      </c>
      <c r="T82" s="25">
        <v>99</v>
      </c>
      <c r="U82" s="25">
        <v>1</v>
      </c>
      <c r="V82" s="25"/>
      <c r="W82" s="25"/>
      <c r="X82" s="62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68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69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G14" sqref="G14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189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189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8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179</v>
      </c>
      <c r="B14" s="40" t="s">
        <v>180</v>
      </c>
    </row>
    <row r="15" spans="1:2" x14ac:dyDescent="0.25">
      <c r="A15" s="58" t="s">
        <v>181</v>
      </c>
      <c r="B15" s="40" t="s">
        <v>182</v>
      </c>
    </row>
    <row r="16" spans="1:2" x14ac:dyDescent="0.25">
      <c r="A16" s="58" t="s">
        <v>183</v>
      </c>
      <c r="B16" s="40" t="s">
        <v>184</v>
      </c>
    </row>
    <row r="17" spans="1:2" x14ac:dyDescent="0.25">
      <c r="A17" s="58" t="s">
        <v>185</v>
      </c>
      <c r="B17" s="40" t="s">
        <v>186</v>
      </c>
    </row>
    <row r="18" spans="1:2" x14ac:dyDescent="0.25">
      <c r="A18" s="58" t="s">
        <v>177</v>
      </c>
      <c r="B18" s="40" t="s">
        <v>178</v>
      </c>
    </row>
    <row r="19" spans="1:2" x14ac:dyDescent="0.25">
      <c r="A19" s="58" t="s">
        <v>187</v>
      </c>
      <c r="B19" s="40" t="s">
        <v>188</v>
      </c>
    </row>
    <row r="20" spans="1:2" x14ac:dyDescent="0.25">
      <c r="A20" s="58" t="s">
        <v>190</v>
      </c>
      <c r="B20" s="40" t="s">
        <v>191</v>
      </c>
    </row>
    <row r="21" spans="1:2" x14ac:dyDescent="0.25">
      <c r="A21" s="58" t="s">
        <v>192</v>
      </c>
      <c r="B21" s="40" t="s">
        <v>193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2025-10-21T05:03:05Z</dcterms:modified>
</cp:coreProperties>
</file>