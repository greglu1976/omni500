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6" i="5" l="1"/>
  <c r="J6" i="5"/>
  <c r="I6" i="5"/>
  <c r="BG12" i="6"/>
  <c r="AV12" i="6"/>
  <c r="J12" i="6"/>
  <c r="I12" i="6"/>
  <c r="BG11" i="6"/>
  <c r="AV11" i="6"/>
  <c r="J11" i="6"/>
  <c r="I11" i="6"/>
  <c r="BG10" i="6"/>
  <c r="AV10" i="6"/>
  <c r="AP10" i="6"/>
  <c r="J10" i="6"/>
  <c r="I10" i="6"/>
  <c r="BG9" i="6"/>
  <c r="AV9" i="6"/>
  <c r="J9" i="6"/>
  <c r="I9" i="6"/>
  <c r="BG4" i="6" l="1"/>
  <c r="AV4" i="6"/>
  <c r="J4" i="6"/>
  <c r="I4" i="6"/>
  <c r="BG3" i="6"/>
  <c r="AV3" i="6"/>
  <c r="J3" i="6"/>
  <c r="I3" i="6"/>
  <c r="BG7" i="5" l="1"/>
  <c r="J7" i="5"/>
  <c r="I7" i="5"/>
  <c r="BG15" i="6"/>
  <c r="AV15" i="6"/>
  <c r="J15" i="6"/>
  <c r="I15" i="6"/>
  <c r="BG14" i="6"/>
  <c r="AV14" i="6"/>
  <c r="AP14" i="6"/>
  <c r="J14" i="6"/>
  <c r="I14" i="6"/>
  <c r="BG13" i="6"/>
  <c r="AV13" i="6"/>
  <c r="J13" i="6"/>
  <c r="I13" i="6"/>
  <c r="BG5" i="5" l="1"/>
  <c r="J5" i="5"/>
  <c r="I5" i="5"/>
  <c r="BG8" i="6" l="1"/>
  <c r="AV8" i="6"/>
  <c r="J8" i="6"/>
  <c r="I8" i="6"/>
  <c r="BG7" i="6"/>
  <c r="AV7" i="6"/>
  <c r="J7" i="6"/>
  <c r="I7" i="6"/>
  <c r="BG6" i="6"/>
  <c r="AV6" i="6"/>
  <c r="AP6" i="6"/>
  <c r="J6" i="6"/>
  <c r="I6" i="6"/>
  <c r="I5" i="6" l="1"/>
  <c r="J5" i="6"/>
  <c r="BG3" i="5" l="1"/>
  <c r="BG4" i="5"/>
  <c r="I3" i="5"/>
  <c r="I4" i="5"/>
  <c r="J3" i="5" l="1"/>
  <c r="BG5" i="6"/>
  <c r="AV5" i="6"/>
  <c r="AH1" i="6"/>
  <c r="J4" i="5"/>
  <c r="AH1" i="5"/>
  <c r="AH1" i="4"/>
</calcChain>
</file>

<file path=xl/sharedStrings.xml><?xml version="1.0" encoding="utf-8"?>
<sst xmlns="http://schemas.openxmlformats.org/spreadsheetml/2006/main" count="443" uniqueCount="128">
  <si>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</si>
  <si>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</si>
  <si>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</si>
  <si>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</si>
  <si>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</si>
  <si>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</si>
  <si>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</si>
  <si>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</si>
  <si>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</si>
  <si>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</si>
  <si>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</si>
  <si>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</si>
  <si>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</si>
  <si>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</si>
  <si>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</si>
  <si>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</si>
  <si>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</si>
  <si>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</si>
  <si>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</si>
  <si>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</si>
  <si>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</si>
  <si>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</si>
  <si>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</si>
  <si>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</si>
  <si>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</si>
  <si>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</si>
  <si>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</si>
  <si>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</si>
  <si>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</si>
  <si>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</si>
  <si>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</si>
  <si>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</si>
  <si>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</si>
  <si>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</si>
  <si>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</si>
  <si>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</si>
  <si>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</si>
  <si>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</si>
  <si>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</si>
  <si>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</si>
  <si>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</si>
  <si>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</si>
  <si>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</si>
  <si>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</si>
  <si>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</si>
  <si>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</si>
  <si>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</si>
  <si>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</si>
  <si>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</si>
  <si>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</si>
  <si>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</si>
  <si>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</si>
  <si>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</si>
  <si>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</si>
  <si>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</si>
  <si>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</si>
  <si>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</si>
  <si>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</si>
  <si>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</si>
  <si>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</si>
  <si>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</si>
  <si>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</si>
  <si>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</si>
  <si>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</si>
  <si>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</si>
  <si>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</si>
  <si>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</si>
  <si>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</si>
  <si>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</si>
  <si>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</si>
  <si>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</si>
  <si>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</si>
  <si>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</si>
  <si>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</si>
  <si>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</si>
  <si>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</si>
  <si>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</si>
  <si>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</si>
  <si>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</si>
  <si>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</si>
  <si>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</si>
  <si>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</si>
  <si>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Модуль</t>
  </si>
  <si>
    <t>Модуль дискретных входов</t>
  </si>
  <si>
    <t>Отказ модуля</t>
  </si>
  <si>
    <t>Модуль не определен</t>
  </si>
  <si>
    <t>Дискретный вход 1</t>
  </si>
  <si>
    <t>Режим работы входа</t>
  </si>
  <si>
    <t>Режим</t>
  </si>
  <si>
    <t>0 - Не активен, 1 - Активен</t>
  </si>
  <si>
    <t>Задержка срабатывания входа</t>
  </si>
  <si>
    <t>Задержка сраб.</t>
  </si>
  <si>
    <t>GENRBRF1_Top</t>
  </si>
  <si>
    <t>INT32</t>
  </si>
  <si>
    <t>TimeSettingScaleCoefficient</t>
  </si>
  <si>
    <t>мс</t>
  </si>
  <si>
    <t>TPRBRF</t>
  </si>
  <si>
    <t>GENRBRF1.FailTmms</t>
  </si>
  <si>
    <t>ING</t>
  </si>
  <si>
    <t>setVal</t>
  </si>
  <si>
    <t>SG</t>
  </si>
  <si>
    <t>Режим инверсии входа</t>
  </si>
  <si>
    <t>Инверсия</t>
  </si>
  <si>
    <t>0 - Не предусмотрено, 1 - Предусмотрено</t>
  </si>
  <si>
    <t>Назначение входа</t>
  </si>
  <si>
    <t>Описание</t>
  </si>
  <si>
    <t>символ</t>
  </si>
  <si>
    <t>Статус</t>
  </si>
  <si>
    <t>Входы</t>
  </si>
  <si>
    <t>Выходы</t>
  </si>
  <si>
    <t>ДВ1</t>
  </si>
  <si>
    <t>Общие настройки конфигурации</t>
  </si>
  <si>
    <t>В000</t>
  </si>
  <si>
    <t>Реле1</t>
  </si>
  <si>
    <t>Выходное реле 1</t>
  </si>
  <si>
    <t>Режим работы реле</t>
  </si>
  <si>
    <t>0 - Выведено, 1 - Без фиксации, 2 - С фиксацией, 3 - Импульсный</t>
  </si>
  <si>
    <t>INT8</t>
  </si>
  <si>
    <t>Длительность импульса</t>
  </si>
  <si>
    <t>Дл. имп.</t>
  </si>
  <si>
    <t>Напряжение несимметрии</t>
  </si>
  <si>
    <t>U несимм. пит.</t>
  </si>
  <si>
    <t>FLOAT32</t>
  </si>
  <si>
    <t>В</t>
  </si>
  <si>
    <t>Формирование синхросигнала от PPS</t>
  </si>
  <si>
    <t>0 - Введено, 1 - Выведено</t>
  </si>
  <si>
    <t>ДВ2</t>
  </si>
  <si>
    <t>Дискретный вход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</si>
</sst>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8" t="s">
        <v>0</v>
      </c>
      <c r="BA1" s="49"/>
      <c r="BB1" s="49"/>
      <c r="BC1" s="49"/>
      <c r="BD1" s="49"/>
      <c r="BE1" s="49"/>
      <c r="BF1" s="49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9"/>
  <sheetViews>
    <sheetView tabSelected="1" zoomScale="80" zoomScaleNormal="80" workbookViewId="0">
      <selection activeCell="D14" sqref="D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SUM(AA3:AA36)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8" t="s">
        <v>0</v>
      </c>
      <c r="BA1" s="49"/>
      <c r="BB1" s="49"/>
      <c r="BC1" s="49"/>
      <c r="BD1" s="49"/>
      <c r="BE1" s="49"/>
      <c r="BF1" s="49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82</v>
      </c>
      <c r="E3" s="20" t="s">
        <v>84</v>
      </c>
      <c r="F3" s="20" t="s">
        <v>84</v>
      </c>
      <c r="G3" s="20" t="s">
        <v>84</v>
      </c>
      <c r="H3" s="9"/>
      <c r="I3" s="20">
        <f t="shared" ref="I3:I6" si="0">LEN(F3)</f>
        <v>12</v>
      </c>
      <c r="J3" s="20" t="str">
        <f t="shared" ref="J3:J6" si="1">IF(LEN(F3)&lt;=$J$1,F3,"")</f>
        <v>Отказ модуля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6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модуля", note: "Отказ модуля",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82</v>
      </c>
      <c r="E4" s="20" t="s">
        <v>85</v>
      </c>
      <c r="F4" s="20" t="s">
        <v>85</v>
      </c>
      <c r="G4" s="20" t="s">
        <v>85</v>
      </c>
      <c r="H4" s="9"/>
      <c r="I4" s="20">
        <f t="shared" si="0"/>
        <v>19</v>
      </c>
      <c r="J4" s="20" t="str">
        <f t="shared" si="1"/>
        <v>Модуль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"Модуль не определен", note: "Модуль не определен", group: "status", minValue: null, maxValue: null, step: null, units: "null", defaultValue: null, eventRegistration: 2</v>
      </c>
    </row>
    <row r="5" spans="1:16379" s="27" customFormat="1" ht="15.75" customHeight="1" x14ac:dyDescent="0.25">
      <c r="A5" s="22"/>
      <c r="B5" s="42" t="s">
        <v>78</v>
      </c>
      <c r="C5" s="23"/>
      <c r="D5" s="30" t="s">
        <v>110</v>
      </c>
      <c r="E5" s="2" t="s">
        <v>107</v>
      </c>
      <c r="F5" s="2" t="s">
        <v>107</v>
      </c>
      <c r="G5" s="2" t="s">
        <v>107</v>
      </c>
      <c r="H5" s="9"/>
      <c r="I5" s="20">
        <f t="shared" si="0"/>
        <v>6</v>
      </c>
      <c r="J5" s="20" t="str">
        <f t="shared" si="1"/>
        <v>Статус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si="2"/>
        <v>description: "Статус", note: "Статус", group: "status", minValue: null, maxValue: null, step: null, units: "null", defaultValue: null, eventRegistration: 2</v>
      </c>
    </row>
    <row r="6" spans="1:16379" s="27" customFormat="1" ht="15.75" customHeight="1" x14ac:dyDescent="0.25">
      <c r="A6" s="22"/>
      <c r="B6" s="42" t="s">
        <v>78</v>
      </c>
      <c r="C6" s="23"/>
      <c r="D6" s="30" t="s">
        <v>126</v>
      </c>
      <c r="E6" s="2" t="s">
        <v>107</v>
      </c>
      <c r="F6" s="2" t="s">
        <v>107</v>
      </c>
      <c r="G6" s="2" t="s">
        <v>107</v>
      </c>
      <c r="H6" s="9"/>
      <c r="I6" s="20">
        <f t="shared" si="0"/>
        <v>6</v>
      </c>
      <c r="J6" s="20" t="str">
        <f t="shared" si="1"/>
        <v>Статус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si="2"/>
        <v>description: "Статус", note: "Статус",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113</v>
      </c>
      <c r="E7" s="2" t="s">
        <v>107</v>
      </c>
      <c r="F7" s="2" t="s">
        <v>107</v>
      </c>
      <c r="G7" s="2" t="s">
        <v>107</v>
      </c>
      <c r="H7" s="9"/>
      <c r="I7" s="20">
        <f t="shared" ref="I7" si="3">LEN(F7)</f>
        <v>6</v>
      </c>
      <c r="J7" s="20" t="str">
        <f t="shared" ref="J7" si="4">IF(LEN(F7)&lt;=$J$1,F7,"")</f>
        <v>Статус</v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5">CONCATENATE("description: """,F7,"""", ", ", "note: """,E7,"""",", ","group: """, B7, """",", ","minValue: ", S7,", ","maxValue: ", T7,", ","step: ", U7,", ","units: """, R7, """",", ","defaultValue: ", X7,", ","eventRegistration: ", Y7,)</f>
        <v>description: "Статус", note: "Статус", group: "status", minValue: null, maxValue: null, step: null, units: "null", defaultValue: null, eventRegistration: 2</v>
      </c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1"/>
      <c r="AS141" s="1"/>
      <c r="AT141" s="1"/>
      <c r="AU141" s="1"/>
      <c r="AV141" s="1"/>
      <c r="AW141" s="1"/>
      <c r="AX141" s="1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1"/>
      <c r="AR142" s="1"/>
      <c r="AS142" s="1"/>
      <c r="AT142" s="1"/>
      <c r="AU142" s="1"/>
      <c r="AV142" s="1"/>
      <c r="AW142" s="1"/>
      <c r="AX142" s="1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1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34"/>
  <sheetViews>
    <sheetView zoomScale="80" zoomScaleNormal="80" workbookViewId="0">
      <selection activeCell="D10" sqref="D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9.28515625" style="1" customWidth="1"/>
    <col min="4" max="4" width="34" style="1" customWidth="1"/>
    <col min="5" max="5" width="74.28515625" style="2" bestFit="1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10" style="2" customWidth="1"/>
    <col min="10" max="10" width="19" style="2" customWidth="1"/>
    <col min="11" max="11" width="29.8554687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SUM(AA5:AA8)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48" t="s">
        <v>0</v>
      </c>
      <c r="BA1" s="49"/>
      <c r="BB1" s="49"/>
      <c r="BC1" s="49"/>
      <c r="BD1" s="49"/>
      <c r="BE1" s="49"/>
      <c r="BF1" s="49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9" customFormat="1" ht="15.75" x14ac:dyDescent="0.25">
      <c r="A3" s="22"/>
      <c r="B3" s="22" t="s">
        <v>56</v>
      </c>
      <c r="C3" s="25"/>
      <c r="D3" s="30" t="s">
        <v>111</v>
      </c>
      <c r="E3" s="20" t="s">
        <v>120</v>
      </c>
      <c r="F3" s="20" t="s">
        <v>121</v>
      </c>
      <c r="G3" s="20" t="s">
        <v>121</v>
      </c>
      <c r="H3" s="20"/>
      <c r="I3" s="20">
        <f>LEN(F3)</f>
        <v>14</v>
      </c>
      <c r="J3" s="20" t="str">
        <f>IF(LEN(F3)&lt;=$J$1,F3,"")</f>
        <v>U несимм. пит.</v>
      </c>
      <c r="K3" s="22" t="s">
        <v>63</v>
      </c>
      <c r="L3" s="38" t="s">
        <v>122</v>
      </c>
      <c r="M3" s="25" t="s">
        <v>52</v>
      </c>
      <c r="N3" s="25" t="s">
        <v>52</v>
      </c>
      <c r="O3" s="25"/>
      <c r="P3" s="35">
        <v>0</v>
      </c>
      <c r="Q3" s="35"/>
      <c r="R3" s="25" t="s">
        <v>123</v>
      </c>
      <c r="S3" s="25">
        <v>0</v>
      </c>
      <c r="T3" s="25">
        <v>220</v>
      </c>
      <c r="U3" s="25">
        <v>10</v>
      </c>
      <c r="V3" s="25"/>
      <c r="W3" s="25"/>
      <c r="X3" s="25">
        <v>0</v>
      </c>
      <c r="Y3" s="25">
        <v>0</v>
      </c>
      <c r="Z3" s="24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19"/>
      <c r="AJ3" s="23"/>
      <c r="AK3" s="23"/>
      <c r="AL3" s="23"/>
      <c r="AM3" s="23"/>
      <c r="AN3" s="23"/>
      <c r="AO3" s="23"/>
      <c r="AP3" s="23"/>
      <c r="AQ3" s="23"/>
      <c r="AR3" s="23">
        <v>0</v>
      </c>
      <c r="AS3" s="23">
        <v>0</v>
      </c>
      <c r="AT3" s="23">
        <v>0</v>
      </c>
      <c r="AU3" s="23">
        <v>0</v>
      </c>
      <c r="AV3" s="23">
        <f t="shared" ref="AV3:AV4" si="0">BIN2DEC(CONCATENATE(0,0,0,0,AR3,AS3,AT3,AU3))</f>
        <v>0</v>
      </c>
      <c r="AW3" s="23" t="s">
        <v>74</v>
      </c>
      <c r="AX3" s="23"/>
      <c r="AY3" s="35"/>
      <c r="AZ3" s="23"/>
      <c r="BA3" s="23"/>
      <c r="BB3" s="23"/>
      <c r="BC3" s="23"/>
      <c r="BD3" s="23"/>
      <c r="BE3" s="23"/>
      <c r="BF3" s="23"/>
      <c r="BG3" s="2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"U несимм. пит.", note: "Напряжение несимметрии", group: "setting", minValue: 0, maxValue: 220, step: 10, units: "В", defaultValue: 0, eventRegistration: 0</v>
      </c>
    </row>
    <row r="4" spans="1:16379" s="39" customFormat="1" ht="19.5" customHeight="1" x14ac:dyDescent="0.25">
      <c r="A4" s="22"/>
      <c r="B4" s="22" t="s">
        <v>56</v>
      </c>
      <c r="C4" s="25"/>
      <c r="D4" s="30" t="s">
        <v>111</v>
      </c>
      <c r="E4" s="20" t="s">
        <v>124</v>
      </c>
      <c r="F4" s="20" t="s">
        <v>124</v>
      </c>
      <c r="G4" s="20" t="s">
        <v>124</v>
      </c>
      <c r="H4" s="44" t="s">
        <v>125</v>
      </c>
      <c r="I4" s="20">
        <f>LEN(F4)</f>
        <v>33</v>
      </c>
      <c r="J4" s="20" t="str">
        <f>IF(LEN(F4)&lt;=$J$1,F4,"")</f>
        <v/>
      </c>
      <c r="K4" s="22" t="s">
        <v>63</v>
      </c>
      <c r="L4" s="45" t="s">
        <v>54</v>
      </c>
      <c r="M4" s="25" t="s">
        <v>52</v>
      </c>
      <c r="N4" s="25" t="s">
        <v>52</v>
      </c>
      <c r="O4" s="25"/>
      <c r="P4" s="35">
        <v>0</v>
      </c>
      <c r="Q4" s="35"/>
      <c r="R4" s="25" t="s">
        <v>53</v>
      </c>
      <c r="S4" s="25">
        <v>0</v>
      </c>
      <c r="T4" s="25">
        <v>1</v>
      </c>
      <c r="U4" s="25">
        <v>1</v>
      </c>
      <c r="V4" s="25"/>
      <c r="W4" s="25"/>
      <c r="X4" s="25">
        <v>1</v>
      </c>
      <c r="Y4" s="25">
        <v>0</v>
      </c>
      <c r="Z4" s="24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19"/>
      <c r="AJ4" s="23"/>
      <c r="AK4" s="23"/>
      <c r="AL4" s="23"/>
      <c r="AM4" s="23"/>
      <c r="AN4" s="23"/>
      <c r="AO4" s="23"/>
      <c r="AP4" s="23"/>
      <c r="AQ4" s="23"/>
      <c r="AR4" s="23">
        <v>0</v>
      </c>
      <c r="AS4" s="23">
        <v>0</v>
      </c>
      <c r="AT4" s="23">
        <v>0</v>
      </c>
      <c r="AU4" s="23">
        <v>0</v>
      </c>
      <c r="AV4" s="23">
        <f t="shared" si="0"/>
        <v>0</v>
      </c>
      <c r="AW4" s="23" t="s">
        <v>74</v>
      </c>
      <c r="AX4" s="23"/>
      <c r="AY4" s="35"/>
      <c r="AZ4" s="23"/>
      <c r="BA4" s="23"/>
      <c r="BB4" s="23"/>
      <c r="BC4" s="23"/>
      <c r="BD4" s="23"/>
      <c r="BE4" s="23"/>
      <c r="BF4" s="23"/>
      <c r="BG4" s="21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"Формирование синхросигнала от PPS", note: "Формирование синхросигнала от PPS", group: "setting", minValue: 0, maxValue: 1, step: 1, units: "null", defaultValue: 1, eventRegistration: 0</v>
      </c>
    </row>
    <row r="5" spans="1:16379" s="39" customFormat="1" ht="15.75" x14ac:dyDescent="0.25">
      <c r="A5" s="22"/>
      <c r="B5" s="22" t="s">
        <v>56</v>
      </c>
      <c r="C5" s="25"/>
      <c r="D5" s="30" t="s">
        <v>110</v>
      </c>
      <c r="E5" s="20" t="s">
        <v>87</v>
      </c>
      <c r="F5" s="20" t="s">
        <v>88</v>
      </c>
      <c r="G5" s="20" t="s">
        <v>88</v>
      </c>
      <c r="H5" s="44" t="s">
        <v>89</v>
      </c>
      <c r="I5" s="20">
        <f t="shared" ref="I5:I15" si="1">LEN(F5)</f>
        <v>5</v>
      </c>
      <c r="J5" s="20" t="str">
        <f t="shared" ref="J5:J15" si="2">IF(LEN(F5)&lt;=$J$1,F5,"")</f>
        <v>Режим</v>
      </c>
      <c r="K5" s="22" t="s">
        <v>63</v>
      </c>
      <c r="L5" s="45" t="s">
        <v>54</v>
      </c>
      <c r="M5" s="25" t="s">
        <v>52</v>
      </c>
      <c r="N5" s="25" t="s">
        <v>52</v>
      </c>
      <c r="O5" s="25"/>
      <c r="P5" s="35">
        <v>0</v>
      </c>
      <c r="Q5" s="35"/>
      <c r="R5" s="25" t="s">
        <v>53</v>
      </c>
      <c r="S5" s="25">
        <v>0</v>
      </c>
      <c r="T5" s="25">
        <v>1</v>
      </c>
      <c r="U5" s="25">
        <v>1</v>
      </c>
      <c r="V5" s="25"/>
      <c r="W5" s="25"/>
      <c r="X5" s="25">
        <v>0</v>
      </c>
      <c r="Y5" s="25">
        <v>0</v>
      </c>
      <c r="Z5" s="24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19"/>
      <c r="AJ5" s="23"/>
      <c r="AK5" s="23"/>
      <c r="AL5" s="23"/>
      <c r="AM5" s="23"/>
      <c r="AN5" s="23"/>
      <c r="AO5" s="23"/>
      <c r="AP5" s="23"/>
      <c r="AQ5" s="23"/>
      <c r="AR5" s="23">
        <v>0</v>
      </c>
      <c r="AS5" s="23">
        <v>0</v>
      </c>
      <c r="AT5" s="23">
        <v>0</v>
      </c>
      <c r="AU5" s="23">
        <v>0</v>
      </c>
      <c r="AV5" s="23">
        <f t="shared" ref="AV5" si="3">BIN2DEC(CONCATENATE(0,0,0,0,AR5,AS5,AT5,AU5))</f>
        <v>0</v>
      </c>
      <c r="AW5" s="23" t="s">
        <v>74</v>
      </c>
      <c r="AX5" s="23"/>
      <c r="AY5" s="35"/>
      <c r="AZ5" s="23"/>
      <c r="BA5" s="23"/>
      <c r="BB5" s="23"/>
      <c r="BC5" s="23"/>
      <c r="BD5" s="23"/>
      <c r="BE5" s="23"/>
      <c r="BF5" s="23"/>
      <c r="BG5" s="21" t="str">
        <f t="shared" ref="BG5:BG15" si="4">CONCATENATE("description: """,F5,"""", ", ", "note: """,E5,"""",", ","group: """, B5, """",", ","minValue: ", S5,", ","maxValue: ", T5,", ","step: ", U5,", ","units: """, R5, """",", ","defaultValue: ", X5,", ","eventRegistration: ", Y5,)</f>
        <v>description: "Режим", note: "Режим работы входа", group: "setting", minValue: 0, maxValue: 1, step: 1, units: "null", defaultValue: 0, eventRegistration: 0</v>
      </c>
    </row>
    <row r="6" spans="1:16379" s="39" customFormat="1" ht="15.75" customHeight="1" x14ac:dyDescent="0.25">
      <c r="A6" s="22"/>
      <c r="B6" s="22" t="s">
        <v>56</v>
      </c>
      <c r="C6" s="25"/>
      <c r="D6" s="30" t="s">
        <v>110</v>
      </c>
      <c r="E6" s="20" t="s">
        <v>90</v>
      </c>
      <c r="F6" s="20" t="s">
        <v>91</v>
      </c>
      <c r="G6" s="20" t="s">
        <v>91</v>
      </c>
      <c r="H6" s="20"/>
      <c r="I6" s="20">
        <f t="shared" si="1"/>
        <v>14</v>
      </c>
      <c r="J6" s="20" t="str">
        <f t="shared" si="2"/>
        <v>Задержка сраб.</v>
      </c>
      <c r="K6" s="22" t="s">
        <v>92</v>
      </c>
      <c r="L6" s="38" t="s">
        <v>93</v>
      </c>
      <c r="M6" s="25" t="s">
        <v>52</v>
      </c>
      <c r="N6" s="25" t="s">
        <v>52</v>
      </c>
      <c r="O6" s="25"/>
      <c r="P6" s="35">
        <v>2</v>
      </c>
      <c r="Q6" s="35" t="s">
        <v>94</v>
      </c>
      <c r="R6" s="25" t="s">
        <v>95</v>
      </c>
      <c r="S6" s="25">
        <v>0</v>
      </c>
      <c r="T6" s="25">
        <v>100</v>
      </c>
      <c r="U6" s="25">
        <v>1</v>
      </c>
      <c r="V6" s="25"/>
      <c r="W6" s="25"/>
      <c r="X6" s="25">
        <v>20</v>
      </c>
      <c r="Y6" s="25">
        <v>0</v>
      </c>
      <c r="Z6" s="24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19" t="s">
        <v>96</v>
      </c>
      <c r="AJ6" s="23" t="s">
        <v>97</v>
      </c>
      <c r="AK6" s="23" t="s">
        <v>98</v>
      </c>
      <c r="AL6" s="23" t="s">
        <v>99</v>
      </c>
      <c r="AM6" s="23" t="s">
        <v>93</v>
      </c>
      <c r="AN6" s="23"/>
      <c r="AO6" s="23" t="s">
        <v>100</v>
      </c>
      <c r="AP6" s="26" t="str">
        <f t="shared" ref="AP6" si="5">CONCATENATE(AJ6, ".", AL6)</f>
        <v>GENRBRF1.FailTmms.setVal</v>
      </c>
      <c r="AQ6" s="23" t="s">
        <v>55</v>
      </c>
      <c r="AR6" s="23">
        <v>0</v>
      </c>
      <c r="AS6" s="23">
        <v>0</v>
      </c>
      <c r="AT6" s="23">
        <v>0</v>
      </c>
      <c r="AU6" s="23">
        <v>0</v>
      </c>
      <c r="AV6" s="23">
        <f t="shared" ref="AV6:AV7" si="6">BIN2DEC(CONCATENATE(0,0,0,0,AR6,AS6,AT6,AU6))</f>
        <v>0</v>
      </c>
      <c r="AW6" s="23"/>
      <c r="AX6" s="23"/>
      <c r="AY6" s="35"/>
      <c r="AZ6" s="23"/>
      <c r="BA6" s="23"/>
      <c r="BB6" s="23"/>
      <c r="BC6" s="23"/>
      <c r="BD6" s="23"/>
      <c r="BE6" s="23"/>
      <c r="BF6" s="23"/>
      <c r="BG6" s="21" t="str">
        <f t="shared" si="4"/>
        <v>description: "Задержка сраб.", note: "Задержка срабатывания входа", group: "setting", minValue: 0, maxValue: 100, step: 1, units: "мс", defaultValue: 20, eventRegistration: 0</v>
      </c>
    </row>
    <row r="7" spans="1:16379" s="39" customFormat="1" ht="15.75" x14ac:dyDescent="0.25">
      <c r="A7" s="22"/>
      <c r="B7" s="22" t="s">
        <v>56</v>
      </c>
      <c r="C7" s="25"/>
      <c r="D7" s="30" t="s">
        <v>110</v>
      </c>
      <c r="E7" s="20" t="s">
        <v>101</v>
      </c>
      <c r="F7" s="20" t="s">
        <v>102</v>
      </c>
      <c r="G7" s="20" t="s">
        <v>102</v>
      </c>
      <c r="H7" s="44" t="s">
        <v>103</v>
      </c>
      <c r="I7" s="20">
        <f t="shared" si="1"/>
        <v>8</v>
      </c>
      <c r="J7" s="20" t="str">
        <f t="shared" si="2"/>
        <v>Инверсия</v>
      </c>
      <c r="K7" s="22" t="s">
        <v>63</v>
      </c>
      <c r="L7" s="45" t="s">
        <v>54</v>
      </c>
      <c r="M7" s="25" t="s">
        <v>52</v>
      </c>
      <c r="N7" s="25" t="s">
        <v>52</v>
      </c>
      <c r="O7" s="25"/>
      <c r="P7" s="35">
        <v>0</v>
      </c>
      <c r="Q7" s="35"/>
      <c r="R7" s="25" t="s">
        <v>53</v>
      </c>
      <c r="S7" s="25">
        <v>0</v>
      </c>
      <c r="T7" s="25">
        <v>1</v>
      </c>
      <c r="U7" s="25">
        <v>1</v>
      </c>
      <c r="V7" s="25"/>
      <c r="W7" s="25"/>
      <c r="X7" s="25">
        <v>0</v>
      </c>
      <c r="Y7" s="25">
        <v>0</v>
      </c>
      <c r="Z7" s="24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19"/>
      <c r="AJ7" s="23"/>
      <c r="AK7" s="23"/>
      <c r="AL7" s="23"/>
      <c r="AM7" s="23"/>
      <c r="AN7" s="23"/>
      <c r="AO7" s="23"/>
      <c r="AP7" s="23"/>
      <c r="AQ7" s="23"/>
      <c r="AR7" s="23">
        <v>0</v>
      </c>
      <c r="AS7" s="23">
        <v>0</v>
      </c>
      <c r="AT7" s="23">
        <v>0</v>
      </c>
      <c r="AU7" s="23">
        <v>0</v>
      </c>
      <c r="AV7" s="23">
        <f t="shared" si="6"/>
        <v>0</v>
      </c>
      <c r="AW7" s="23" t="s">
        <v>74</v>
      </c>
      <c r="AX7" s="23"/>
      <c r="AY7" s="35"/>
      <c r="AZ7" s="23"/>
      <c r="BA7" s="23"/>
      <c r="BB7" s="23"/>
      <c r="BC7" s="23"/>
      <c r="BD7" s="23"/>
      <c r="BE7" s="23"/>
      <c r="BF7" s="23"/>
      <c r="BG7" s="21" t="str">
        <f t="shared" si="4"/>
        <v>description: "Инверсия", note: "Режим инверсии входа", group: "setting", minValue: 0, maxValue: 1, step: 1, units: "null", defaultValue: 0, eventRegistration: 0</v>
      </c>
    </row>
    <row r="8" spans="1:16379" s="39" customFormat="1" ht="15.75" x14ac:dyDescent="0.25">
      <c r="A8" s="22"/>
      <c r="B8" s="22" t="s">
        <v>56</v>
      </c>
      <c r="C8" s="25"/>
      <c r="D8" s="30" t="s">
        <v>110</v>
      </c>
      <c r="E8" s="20" t="s">
        <v>104</v>
      </c>
      <c r="F8" s="20" t="s">
        <v>105</v>
      </c>
      <c r="G8" s="20" t="s">
        <v>105</v>
      </c>
      <c r="H8" s="44"/>
      <c r="I8" s="20">
        <f t="shared" si="1"/>
        <v>8</v>
      </c>
      <c r="J8" s="20" t="str">
        <f t="shared" si="2"/>
        <v>Описание</v>
      </c>
      <c r="K8" s="22" t="s">
        <v>63</v>
      </c>
      <c r="L8" s="46" t="s">
        <v>93</v>
      </c>
      <c r="M8" s="25" t="s">
        <v>52</v>
      </c>
      <c r="N8" s="25" t="s">
        <v>52</v>
      </c>
      <c r="O8" s="25"/>
      <c r="P8" s="35">
        <v>0</v>
      </c>
      <c r="Q8" s="35"/>
      <c r="R8" s="25" t="s">
        <v>106</v>
      </c>
      <c r="S8" s="25">
        <v>0</v>
      </c>
      <c r="T8" s="25">
        <v>31</v>
      </c>
      <c r="U8" s="25">
        <v>1</v>
      </c>
      <c r="V8" s="25"/>
      <c r="W8" s="25"/>
      <c r="X8" s="25">
        <v>0</v>
      </c>
      <c r="Y8" s="25">
        <v>0</v>
      </c>
      <c r="Z8" s="24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19"/>
      <c r="AJ8" s="23"/>
      <c r="AK8" s="23"/>
      <c r="AL8" s="23"/>
      <c r="AM8" s="23"/>
      <c r="AN8" s="23"/>
      <c r="AO8" s="23"/>
      <c r="AP8" s="23"/>
      <c r="AQ8" s="23"/>
      <c r="AR8" s="23">
        <v>0</v>
      </c>
      <c r="AS8" s="23">
        <v>0</v>
      </c>
      <c r="AT8" s="23">
        <v>0</v>
      </c>
      <c r="AU8" s="23">
        <v>0</v>
      </c>
      <c r="AV8" s="23">
        <f t="shared" ref="AV8:AV12" si="7">BIN2DEC(CONCATENATE(0,0,0,0,AR8,AS8,AT8,AU8))</f>
        <v>0</v>
      </c>
      <c r="AW8" s="23" t="s">
        <v>74</v>
      </c>
      <c r="AX8" s="23"/>
      <c r="AY8" s="35"/>
      <c r="AZ8" s="23"/>
      <c r="BA8" s="23"/>
      <c r="BB8" s="23"/>
      <c r="BC8" s="23"/>
      <c r="BD8" s="23"/>
      <c r="BE8" s="23"/>
      <c r="BF8" s="23"/>
      <c r="BG8" s="21" t="str">
        <f t="shared" si="4"/>
        <v>description: "Описание", note: "Назначение входа", group: "setting", minValue: 0, maxValue: 31, step: 1, units: "символ", defaultValue: 0, eventRegistration: 0</v>
      </c>
    </row>
    <row r="9" spans="1:16379" s="39" customFormat="1" ht="15.75" x14ac:dyDescent="0.25">
      <c r="A9" s="22"/>
      <c r="B9" s="22" t="s">
        <v>56</v>
      </c>
      <c r="C9" s="25"/>
      <c r="D9" s="30" t="s">
        <v>126</v>
      </c>
      <c r="E9" s="20" t="s">
        <v>87</v>
      </c>
      <c r="F9" s="20" t="s">
        <v>88</v>
      </c>
      <c r="G9" s="20" t="s">
        <v>88</v>
      </c>
      <c r="H9" s="44" t="s">
        <v>89</v>
      </c>
      <c r="I9" s="20">
        <f t="shared" si="1"/>
        <v>5</v>
      </c>
      <c r="J9" s="20" t="str">
        <f t="shared" si="2"/>
        <v>Режим</v>
      </c>
      <c r="K9" s="22" t="s">
        <v>63</v>
      </c>
      <c r="L9" s="45" t="s">
        <v>54</v>
      </c>
      <c r="M9" s="25" t="s">
        <v>52</v>
      </c>
      <c r="N9" s="25" t="s">
        <v>52</v>
      </c>
      <c r="O9" s="25"/>
      <c r="P9" s="35">
        <v>0</v>
      </c>
      <c r="Q9" s="35"/>
      <c r="R9" s="25" t="s">
        <v>53</v>
      </c>
      <c r="S9" s="25">
        <v>0</v>
      </c>
      <c r="T9" s="25">
        <v>1</v>
      </c>
      <c r="U9" s="25">
        <v>1</v>
      </c>
      <c r="V9" s="25"/>
      <c r="W9" s="25"/>
      <c r="X9" s="25">
        <v>0</v>
      </c>
      <c r="Y9" s="25">
        <v>0</v>
      </c>
      <c r="Z9" s="24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19"/>
      <c r="AJ9" s="23"/>
      <c r="AK9" s="23"/>
      <c r="AL9" s="23"/>
      <c r="AM9" s="23"/>
      <c r="AN9" s="23"/>
      <c r="AO9" s="23"/>
      <c r="AP9" s="23"/>
      <c r="AQ9" s="23"/>
      <c r="AR9" s="23">
        <v>0</v>
      </c>
      <c r="AS9" s="23">
        <v>0</v>
      </c>
      <c r="AT9" s="23">
        <v>0</v>
      </c>
      <c r="AU9" s="23">
        <v>0</v>
      </c>
      <c r="AV9" s="23">
        <f t="shared" si="7"/>
        <v>0</v>
      </c>
      <c r="AW9" s="23" t="s">
        <v>74</v>
      </c>
      <c r="AX9" s="23"/>
      <c r="AY9" s="35"/>
      <c r="AZ9" s="23"/>
      <c r="BA9" s="23"/>
      <c r="BB9" s="23"/>
      <c r="BC9" s="23"/>
      <c r="BD9" s="23"/>
      <c r="BE9" s="23"/>
      <c r="BF9" s="23"/>
      <c r="BG9" s="21" t="str">
        <f t="shared" si="4"/>
        <v>description: "Режим", note: "Режим работы входа", group: "setting", minValue: 0, maxValue: 1, step: 1, units: "null", defaultValue: 0, eventRegistration: 0</v>
      </c>
    </row>
    <row r="10" spans="1:16379" s="39" customFormat="1" ht="15.75" customHeight="1" x14ac:dyDescent="0.25">
      <c r="A10" s="22"/>
      <c r="B10" s="22" t="s">
        <v>56</v>
      </c>
      <c r="C10" s="25"/>
      <c r="D10" s="30" t="s">
        <v>126</v>
      </c>
      <c r="E10" s="20" t="s">
        <v>90</v>
      </c>
      <c r="F10" s="20" t="s">
        <v>91</v>
      </c>
      <c r="G10" s="20" t="s">
        <v>91</v>
      </c>
      <c r="H10" s="20"/>
      <c r="I10" s="20">
        <f t="shared" si="1"/>
        <v>14</v>
      </c>
      <c r="J10" s="20" t="str">
        <f t="shared" si="2"/>
        <v>Задержка сраб.</v>
      </c>
      <c r="K10" s="22" t="s">
        <v>92</v>
      </c>
      <c r="L10" s="38" t="s">
        <v>93</v>
      </c>
      <c r="M10" s="25" t="s">
        <v>52</v>
      </c>
      <c r="N10" s="25" t="s">
        <v>52</v>
      </c>
      <c r="O10" s="25"/>
      <c r="P10" s="35">
        <v>2</v>
      </c>
      <c r="Q10" s="35" t="s">
        <v>94</v>
      </c>
      <c r="R10" s="25" t="s">
        <v>95</v>
      </c>
      <c r="S10" s="25">
        <v>0</v>
      </c>
      <c r="T10" s="25">
        <v>100</v>
      </c>
      <c r="U10" s="25">
        <v>1</v>
      </c>
      <c r="V10" s="25"/>
      <c r="W10" s="25"/>
      <c r="X10" s="25">
        <v>20</v>
      </c>
      <c r="Y10" s="25">
        <v>0</v>
      </c>
      <c r="Z10" s="24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19" t="s">
        <v>96</v>
      </c>
      <c r="AJ10" s="23" t="s">
        <v>97</v>
      </c>
      <c r="AK10" s="23" t="s">
        <v>98</v>
      </c>
      <c r="AL10" s="23" t="s">
        <v>99</v>
      </c>
      <c r="AM10" s="23" t="s">
        <v>93</v>
      </c>
      <c r="AN10" s="23"/>
      <c r="AO10" s="23" t="s">
        <v>100</v>
      </c>
      <c r="AP10" s="26" t="str">
        <f t="shared" ref="AP10" si="8">CONCATENATE(AJ10, ".", AL10)</f>
        <v>GENRBRF1.FailTmms.setVal</v>
      </c>
      <c r="AQ10" s="23" t="s">
        <v>55</v>
      </c>
      <c r="AR10" s="23">
        <v>0</v>
      </c>
      <c r="AS10" s="23">
        <v>0</v>
      </c>
      <c r="AT10" s="23">
        <v>0</v>
      </c>
      <c r="AU10" s="23">
        <v>0</v>
      </c>
      <c r="AV10" s="23">
        <f t="shared" si="7"/>
        <v>0</v>
      </c>
      <c r="AW10" s="23"/>
      <c r="AX10" s="23"/>
      <c r="AY10" s="35"/>
      <c r="AZ10" s="23"/>
      <c r="BA10" s="23"/>
      <c r="BB10" s="23"/>
      <c r="BC10" s="23"/>
      <c r="BD10" s="23"/>
      <c r="BE10" s="23"/>
      <c r="BF10" s="23"/>
      <c r="BG10" s="21" t="str">
        <f t="shared" si="4"/>
        <v>description: "Задержка сраб.", note: "Задержка срабатывания входа", group: "setting", minValue: 0, maxValue: 100, step: 1, units: "мс", defaultValue: 20, eventRegistration: 0</v>
      </c>
    </row>
    <row r="11" spans="1:16379" s="39" customFormat="1" ht="15.75" x14ac:dyDescent="0.25">
      <c r="A11" s="22"/>
      <c r="B11" s="22" t="s">
        <v>56</v>
      </c>
      <c r="C11" s="25"/>
      <c r="D11" s="30" t="s">
        <v>126</v>
      </c>
      <c r="E11" s="20" t="s">
        <v>101</v>
      </c>
      <c r="F11" s="20" t="s">
        <v>102</v>
      </c>
      <c r="G11" s="20" t="s">
        <v>102</v>
      </c>
      <c r="H11" s="44" t="s">
        <v>103</v>
      </c>
      <c r="I11" s="20">
        <f t="shared" si="1"/>
        <v>8</v>
      </c>
      <c r="J11" s="20" t="str">
        <f t="shared" si="2"/>
        <v>Инверсия</v>
      </c>
      <c r="K11" s="22" t="s">
        <v>63</v>
      </c>
      <c r="L11" s="45" t="s">
        <v>54</v>
      </c>
      <c r="M11" s="25" t="s">
        <v>52</v>
      </c>
      <c r="N11" s="25" t="s">
        <v>52</v>
      </c>
      <c r="O11" s="25"/>
      <c r="P11" s="35">
        <v>0</v>
      </c>
      <c r="Q11" s="35"/>
      <c r="R11" s="25" t="s">
        <v>53</v>
      </c>
      <c r="S11" s="25">
        <v>0</v>
      </c>
      <c r="T11" s="25">
        <v>1</v>
      </c>
      <c r="U11" s="25">
        <v>1</v>
      </c>
      <c r="V11" s="25"/>
      <c r="W11" s="25"/>
      <c r="X11" s="25">
        <v>0</v>
      </c>
      <c r="Y11" s="25">
        <v>0</v>
      </c>
      <c r="Z11" s="24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19"/>
      <c r="AJ11" s="23"/>
      <c r="AK11" s="23"/>
      <c r="AL11" s="23"/>
      <c r="AM11" s="23"/>
      <c r="AN11" s="23"/>
      <c r="AO11" s="23"/>
      <c r="AP11" s="23"/>
      <c r="AQ11" s="23"/>
      <c r="AR11" s="23">
        <v>0</v>
      </c>
      <c r="AS11" s="23">
        <v>0</v>
      </c>
      <c r="AT11" s="23">
        <v>0</v>
      </c>
      <c r="AU11" s="23">
        <v>0</v>
      </c>
      <c r="AV11" s="23">
        <f t="shared" si="7"/>
        <v>0</v>
      </c>
      <c r="AW11" s="23" t="s">
        <v>74</v>
      </c>
      <c r="AX11" s="23"/>
      <c r="AY11" s="35"/>
      <c r="AZ11" s="23"/>
      <c r="BA11" s="23"/>
      <c r="BB11" s="23"/>
      <c r="BC11" s="23"/>
      <c r="BD11" s="23"/>
      <c r="BE11" s="23"/>
      <c r="BF11" s="23"/>
      <c r="BG11" s="21" t="str">
        <f t="shared" si="4"/>
        <v>description: "Инверсия", note: "Режим инверсии входа", group: "setting", minValue: 0, maxValue: 1, step: 1, units: "null", defaultValue: 0, eventRegistration: 0</v>
      </c>
    </row>
    <row r="12" spans="1:16379" s="39" customFormat="1" ht="15.75" x14ac:dyDescent="0.25">
      <c r="A12" s="22"/>
      <c r="B12" s="22" t="s">
        <v>56</v>
      </c>
      <c r="C12" s="25"/>
      <c r="D12" s="30" t="s">
        <v>126</v>
      </c>
      <c r="E12" s="20" t="s">
        <v>104</v>
      </c>
      <c r="F12" s="20" t="s">
        <v>105</v>
      </c>
      <c r="G12" s="20" t="s">
        <v>105</v>
      </c>
      <c r="H12" s="44"/>
      <c r="I12" s="20">
        <f t="shared" si="1"/>
        <v>8</v>
      </c>
      <c r="J12" s="20" t="str">
        <f t="shared" si="2"/>
        <v>Описание</v>
      </c>
      <c r="K12" s="22" t="s">
        <v>63</v>
      </c>
      <c r="L12" s="46" t="s">
        <v>93</v>
      </c>
      <c r="M12" s="25" t="s">
        <v>52</v>
      </c>
      <c r="N12" s="25" t="s">
        <v>52</v>
      </c>
      <c r="O12" s="25"/>
      <c r="P12" s="35">
        <v>0</v>
      </c>
      <c r="Q12" s="35"/>
      <c r="R12" s="25" t="s">
        <v>106</v>
      </c>
      <c r="S12" s="25">
        <v>0</v>
      </c>
      <c r="T12" s="25">
        <v>31</v>
      </c>
      <c r="U12" s="25">
        <v>1</v>
      </c>
      <c r="V12" s="25"/>
      <c r="W12" s="25"/>
      <c r="X12" s="25">
        <v>0</v>
      </c>
      <c r="Y12" s="25">
        <v>0</v>
      </c>
      <c r="Z12" s="24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19"/>
      <c r="AJ12" s="23"/>
      <c r="AK12" s="23"/>
      <c r="AL12" s="23"/>
      <c r="AM12" s="23"/>
      <c r="AN12" s="23"/>
      <c r="AO12" s="23"/>
      <c r="AP12" s="23"/>
      <c r="AQ12" s="23"/>
      <c r="AR12" s="23">
        <v>0</v>
      </c>
      <c r="AS12" s="23">
        <v>0</v>
      </c>
      <c r="AT12" s="23">
        <v>0</v>
      </c>
      <c r="AU12" s="23">
        <v>0</v>
      </c>
      <c r="AV12" s="23">
        <f t="shared" si="7"/>
        <v>0</v>
      </c>
      <c r="AW12" s="23" t="s">
        <v>74</v>
      </c>
      <c r="AX12" s="23"/>
      <c r="AY12" s="35"/>
      <c r="AZ12" s="23"/>
      <c r="BA12" s="23"/>
      <c r="BB12" s="23"/>
      <c r="BC12" s="23"/>
      <c r="BD12" s="23"/>
      <c r="BE12" s="23"/>
      <c r="BF12" s="23"/>
      <c r="BG12" s="21" t="str">
        <f t="shared" si="4"/>
        <v>description: "Описание", note: "Назначение входа", group: "setting", minValue: 0, maxValue: 31, step: 1, units: "символ", defaultValue: 0, eventRegistration: 0</v>
      </c>
    </row>
    <row r="13" spans="1:16379" s="39" customFormat="1" ht="15.75" x14ac:dyDescent="0.25">
      <c r="A13" s="22"/>
      <c r="B13" s="22" t="s">
        <v>56</v>
      </c>
      <c r="C13" s="25"/>
      <c r="D13" s="30" t="s">
        <v>113</v>
      </c>
      <c r="E13" s="20" t="s">
        <v>115</v>
      </c>
      <c r="F13" s="20" t="s">
        <v>88</v>
      </c>
      <c r="G13" s="20" t="s">
        <v>88</v>
      </c>
      <c r="H13" s="44" t="s">
        <v>116</v>
      </c>
      <c r="I13" s="20">
        <f t="shared" si="1"/>
        <v>5</v>
      </c>
      <c r="J13" s="20" t="str">
        <f t="shared" si="2"/>
        <v>Режим</v>
      </c>
      <c r="K13" s="22" t="s">
        <v>63</v>
      </c>
      <c r="L13" s="38" t="s">
        <v>117</v>
      </c>
      <c r="M13" s="25" t="s">
        <v>52</v>
      </c>
      <c r="N13" s="25" t="s">
        <v>52</v>
      </c>
      <c r="O13" s="25"/>
      <c r="P13" s="35">
        <v>0</v>
      </c>
      <c r="Q13" s="35"/>
      <c r="R13" s="25" t="s">
        <v>53</v>
      </c>
      <c r="S13" s="25">
        <v>0</v>
      </c>
      <c r="T13" s="25">
        <v>3</v>
      </c>
      <c r="U13" s="25">
        <v>1</v>
      </c>
      <c r="V13" s="25"/>
      <c r="W13" s="25"/>
      <c r="X13" s="25">
        <v>1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/>
      <c r="AJ13" s="23"/>
      <c r="AK13" s="23"/>
      <c r="AL13" s="23"/>
      <c r="AM13" s="23"/>
      <c r="AN13" s="23"/>
      <c r="AO13" s="23"/>
      <c r="AP13" s="23"/>
      <c r="AQ13" s="23"/>
      <c r="AR13" s="23">
        <v>0</v>
      </c>
      <c r="AS13" s="23">
        <v>0</v>
      </c>
      <c r="AT13" s="23">
        <v>0</v>
      </c>
      <c r="AU13" s="23">
        <v>0</v>
      </c>
      <c r="AV13" s="23">
        <f t="shared" ref="AV13:AV15" si="9">BIN2DEC(CONCATENATE(0,0,0,0,AR13,AS13,AT13,AU13))</f>
        <v>0</v>
      </c>
      <c r="AW13" s="23" t="s">
        <v>74</v>
      </c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si="4"/>
        <v>description: "Режим", note: "Режим работы реле", group: "setting", minValue: 0, maxValue: 3, step: 1, units: "null", defaultValue: 1, eventRegistration: 0</v>
      </c>
    </row>
    <row r="14" spans="1:16379" s="39" customFormat="1" ht="15.75" customHeight="1" x14ac:dyDescent="0.25">
      <c r="A14" s="22"/>
      <c r="B14" s="22" t="s">
        <v>56</v>
      </c>
      <c r="C14" s="25"/>
      <c r="D14" s="30" t="s">
        <v>113</v>
      </c>
      <c r="E14" s="20" t="s">
        <v>118</v>
      </c>
      <c r="F14" s="20" t="s">
        <v>119</v>
      </c>
      <c r="G14" s="20" t="s">
        <v>119</v>
      </c>
      <c r="H14" s="20"/>
      <c r="I14" s="20">
        <f t="shared" si="1"/>
        <v>8</v>
      </c>
      <c r="J14" s="20" t="str">
        <f t="shared" si="2"/>
        <v>Дл. имп.</v>
      </c>
      <c r="K14" s="22" t="s">
        <v>92</v>
      </c>
      <c r="L14" s="38" t="s">
        <v>93</v>
      </c>
      <c r="M14" s="25" t="s">
        <v>52</v>
      </c>
      <c r="N14" s="25" t="s">
        <v>52</v>
      </c>
      <c r="O14" s="25"/>
      <c r="P14" s="35">
        <v>2</v>
      </c>
      <c r="Q14" s="35" t="s">
        <v>94</v>
      </c>
      <c r="R14" s="25" t="s">
        <v>95</v>
      </c>
      <c r="S14" s="25">
        <v>10</v>
      </c>
      <c r="T14" s="25">
        <v>10000</v>
      </c>
      <c r="U14" s="25">
        <v>10</v>
      </c>
      <c r="V14" s="25"/>
      <c r="W14" s="25"/>
      <c r="X14" s="25">
        <v>1000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 t="s">
        <v>96</v>
      </c>
      <c r="AJ14" s="23" t="s">
        <v>97</v>
      </c>
      <c r="AK14" s="23" t="s">
        <v>98</v>
      </c>
      <c r="AL14" s="23" t="s">
        <v>99</v>
      </c>
      <c r="AM14" s="23" t="s">
        <v>93</v>
      </c>
      <c r="AN14" s="23"/>
      <c r="AO14" s="23" t="s">
        <v>100</v>
      </c>
      <c r="AP14" s="26" t="str">
        <f t="shared" ref="AP14" si="10">CONCATENATE(AJ14, ".", AL14)</f>
        <v>GENRBRF1.FailTmms.setVal</v>
      </c>
      <c r="AQ14" s="23" t="s">
        <v>55</v>
      </c>
      <c r="AR14" s="23">
        <v>0</v>
      </c>
      <c r="AS14" s="23">
        <v>0</v>
      </c>
      <c r="AT14" s="23">
        <v>0</v>
      </c>
      <c r="AU14" s="23">
        <v>0</v>
      </c>
      <c r="AV14" s="23">
        <f t="shared" si="9"/>
        <v>0</v>
      </c>
      <c r="AW14" s="23"/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4"/>
        <v>description: "Дл. имп.", note: "Длительность импульса", group: "setting", minValue: 10, maxValue: 10000, step: 10, units: "мс", defaultValue: 1000, eventRegistration: 0</v>
      </c>
    </row>
    <row r="15" spans="1:16379" s="39" customFormat="1" ht="15.75" x14ac:dyDescent="0.25">
      <c r="A15" s="22"/>
      <c r="B15" s="22" t="s">
        <v>56</v>
      </c>
      <c r="C15" s="25"/>
      <c r="D15" s="30" t="s">
        <v>113</v>
      </c>
      <c r="E15" s="20" t="s">
        <v>104</v>
      </c>
      <c r="F15" s="20" t="s">
        <v>105</v>
      </c>
      <c r="G15" s="20" t="s">
        <v>105</v>
      </c>
      <c r="H15" s="44"/>
      <c r="I15" s="20">
        <f t="shared" si="1"/>
        <v>8</v>
      </c>
      <c r="J15" s="20" t="str">
        <f t="shared" si="2"/>
        <v>Описание</v>
      </c>
      <c r="K15" s="22" t="s">
        <v>63</v>
      </c>
      <c r="L15" s="46" t="s">
        <v>93</v>
      </c>
      <c r="M15" s="25" t="s">
        <v>52</v>
      </c>
      <c r="N15" s="25" t="s">
        <v>52</v>
      </c>
      <c r="O15" s="25"/>
      <c r="P15" s="35">
        <v>0</v>
      </c>
      <c r="Q15" s="35"/>
      <c r="R15" s="25" t="s">
        <v>106</v>
      </c>
      <c r="S15" s="25">
        <v>0</v>
      </c>
      <c r="T15" s="25">
        <v>31</v>
      </c>
      <c r="U15" s="25">
        <v>1</v>
      </c>
      <c r="V15" s="25"/>
      <c r="W15" s="25"/>
      <c r="X15" s="25">
        <v>0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/>
      <c r="AJ15" s="23"/>
      <c r="AK15" s="23"/>
      <c r="AL15" s="23"/>
      <c r="AM15" s="23"/>
      <c r="AN15" s="23"/>
      <c r="AO15" s="23"/>
      <c r="AP15" s="23"/>
      <c r="AQ15" s="23"/>
      <c r="AR15" s="23">
        <v>0</v>
      </c>
      <c r="AS15" s="23">
        <v>0</v>
      </c>
      <c r="AT15" s="23">
        <v>0</v>
      </c>
      <c r="AU15" s="23">
        <v>0</v>
      </c>
      <c r="AV15" s="23">
        <f t="shared" si="9"/>
        <v>0</v>
      </c>
      <c r="AW15" s="23" t="s">
        <v>74</v>
      </c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si="4"/>
        <v>description: "Описание", note: "Назначение входа", group: "setting", minValue: 0, maxValue: 31, step: 1, units: "символ", defaultValue: 0,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1"/>
      <c r="AS96" s="1"/>
      <c r="AT96" s="1"/>
      <c r="AU96" s="1"/>
      <c r="AV96" s="1"/>
      <c r="AW96" s="1"/>
      <c r="AX96" s="1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1"/>
      <c r="AR97" s="1"/>
      <c r="AS97" s="1"/>
      <c r="AT97" s="1"/>
      <c r="AU97" s="1"/>
      <c r="AV97" s="1"/>
      <c r="AW97" s="1"/>
      <c r="AX97" s="1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1"/>
      <c r="AR98" s="1"/>
      <c r="AS98" s="1"/>
      <c r="AT98" s="1"/>
      <c r="AU98" s="1"/>
      <c r="AV98" s="1"/>
      <c r="AW98" s="1"/>
      <c r="AX98" s="1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1"/>
      <c r="AR99" s="1"/>
      <c r="AS99" s="1"/>
      <c r="AT99" s="1"/>
      <c r="AU99" s="1"/>
      <c r="AV99" s="1"/>
      <c r="AW99" s="1"/>
      <c r="AX99" s="1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1"/>
      <c r="AR100" s="1"/>
      <c r="AS100" s="1"/>
      <c r="AT100" s="1"/>
      <c r="AU100" s="1"/>
      <c r="AV100" s="1"/>
      <c r="AW100" s="1"/>
      <c r="AX100" s="1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1"/>
      <c r="AR101" s="1"/>
      <c r="AS101" s="1"/>
      <c r="AT101" s="1"/>
      <c r="AU101" s="1"/>
      <c r="AV101" s="1"/>
      <c r="AW101" s="1"/>
      <c r="AX101" s="1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1"/>
      <c r="AR102" s="1"/>
      <c r="AS102" s="1"/>
      <c r="AT102" s="1"/>
      <c r="AU102" s="1"/>
      <c r="AV102" s="1"/>
      <c r="AW102" s="1"/>
      <c r="AX102" s="1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1"/>
      <c r="AR103" s="1"/>
      <c r="AS103" s="1"/>
      <c r="AT103" s="1"/>
      <c r="AU103" s="1"/>
      <c r="AV103" s="1"/>
      <c r="AW103" s="1"/>
      <c r="AX103" s="1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1"/>
      <c r="AR104" s="1"/>
      <c r="AS104" s="1"/>
      <c r="AT104" s="1"/>
      <c r="AU104" s="1"/>
      <c r="AV104" s="1"/>
      <c r="AW104" s="1"/>
      <c r="AX104" s="1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1"/>
      <c r="AR105" s="1"/>
      <c r="AS105" s="1"/>
      <c r="AT105" s="1"/>
      <c r="AU105" s="1"/>
      <c r="AV105" s="1"/>
      <c r="AW105" s="1"/>
      <c r="AX105" s="1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1"/>
      <c r="AR106" s="1"/>
      <c r="AS106" s="1"/>
      <c r="AT106" s="1"/>
      <c r="AU106" s="1"/>
      <c r="AV106" s="1"/>
      <c r="AW106" s="1"/>
      <c r="AX106" s="1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1"/>
      <c r="AR107" s="1"/>
      <c r="AS107" s="1"/>
      <c r="AT107" s="1"/>
      <c r="AU107" s="1"/>
      <c r="AV107" s="1"/>
      <c r="AW107" s="1"/>
      <c r="AX107" s="1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R108" s="1"/>
      <c r="AS108" s="1"/>
      <c r="AT108" s="1"/>
      <c r="AU108" s="1"/>
      <c r="AV108" s="1"/>
      <c r="AW108" s="1"/>
      <c r="AX108" s="1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R109" s="1"/>
      <c r="AS109" s="1"/>
      <c r="AT109" s="1"/>
      <c r="AU109" s="1"/>
      <c r="AV109" s="1"/>
      <c r="AW109" s="1"/>
      <c r="AX109" s="1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R110" s="1"/>
      <c r="AS110" s="1"/>
      <c r="AT110" s="1"/>
      <c r="AU110" s="1"/>
      <c r="AV110" s="1"/>
      <c r="AW110" s="1"/>
      <c r="AX110" s="1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R111" s="1"/>
      <c r="AS111" s="1"/>
      <c r="AT111" s="1"/>
      <c r="AU111" s="1"/>
      <c r="AV111" s="1"/>
      <c r="AW111" s="1"/>
      <c r="AX111" s="1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R112" s="1"/>
      <c r="AS112" s="1"/>
      <c r="AT112" s="1"/>
      <c r="AU112" s="1"/>
      <c r="AV112" s="1"/>
      <c r="AW112" s="1"/>
      <c r="AX112" s="1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R113" s="1"/>
      <c r="AS113" s="1"/>
      <c r="AT113" s="1"/>
      <c r="AU113" s="1"/>
      <c r="AV113" s="1"/>
      <c r="AW113" s="1"/>
      <c r="AX113" s="1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R114" s="1"/>
      <c r="AS114" s="1"/>
      <c r="AT114" s="1"/>
      <c r="AU114" s="1"/>
      <c r="AV114" s="1"/>
      <c r="AW114" s="1"/>
      <c r="AX114" s="1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R115" s="1"/>
      <c r="AS115" s="1"/>
      <c r="AT115" s="1"/>
      <c r="AU115" s="1"/>
      <c r="AV115" s="1"/>
      <c r="AW115" s="1"/>
      <c r="AX115" s="1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R116" s="1"/>
      <c r="AS116" s="1"/>
      <c r="AT116" s="1"/>
      <c r="AU116" s="1"/>
      <c r="AV116" s="1"/>
      <c r="AW116" s="1"/>
      <c r="AX116" s="1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R117" s="1"/>
      <c r="AS117" s="1"/>
      <c r="AT117" s="1"/>
      <c r="AU117" s="1"/>
      <c r="AV117" s="1"/>
      <c r="AW117" s="1"/>
      <c r="AX117" s="1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R118" s="1"/>
      <c r="AS118" s="1"/>
      <c r="AT118" s="1"/>
      <c r="AU118" s="1"/>
      <c r="AV118" s="1"/>
      <c r="AW118" s="1"/>
      <c r="AX118" s="1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R119" s="1"/>
      <c r="AS119" s="1"/>
      <c r="AT119" s="1"/>
      <c r="AU119" s="1"/>
      <c r="AV119" s="1"/>
      <c r="AW119" s="1"/>
      <c r="AX119" s="1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R120" s="1"/>
      <c r="AS120" s="1"/>
      <c r="AT120" s="1"/>
      <c r="AU120" s="1"/>
      <c r="AV120" s="1"/>
      <c r="AW120" s="1"/>
      <c r="AX120" s="1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R121" s="1"/>
      <c r="AS121" s="1"/>
      <c r="AT121" s="1"/>
      <c r="AU121" s="1"/>
      <c r="AV121" s="1"/>
      <c r="AW121" s="1"/>
      <c r="AX121" s="1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R122" s="1"/>
      <c r="AS122" s="1"/>
      <c r="AT122" s="1"/>
      <c r="AU122" s="1"/>
      <c r="AV122" s="1"/>
      <c r="AW122" s="1"/>
      <c r="AX122" s="1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R123" s="1"/>
      <c r="AS123" s="1"/>
      <c r="AT123" s="1"/>
      <c r="AU123" s="1"/>
      <c r="AV123" s="1"/>
      <c r="AW123" s="1"/>
      <c r="AX123" s="1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R124" s="1"/>
      <c r="AS124" s="1"/>
      <c r="AT124" s="1"/>
      <c r="AU124" s="1"/>
      <c r="AV124" s="1"/>
      <c r="AW124" s="1"/>
      <c r="AX124" s="1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R125" s="1"/>
      <c r="AS125" s="1"/>
      <c r="AT125" s="1"/>
      <c r="AU125" s="1"/>
      <c r="AV125" s="1"/>
      <c r="AW125" s="1"/>
      <c r="AX125" s="1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R126" s="1"/>
      <c r="AS126" s="1"/>
      <c r="AT126" s="1"/>
      <c r="AU126" s="1"/>
      <c r="AV126" s="1"/>
      <c r="AW126" s="1"/>
      <c r="AX126" s="1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R127" s="1"/>
      <c r="AS127" s="1"/>
      <c r="AT127" s="1"/>
      <c r="AU127" s="1"/>
      <c r="AV127" s="1"/>
      <c r="AW127" s="1"/>
      <c r="AX127" s="1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R128" s="1"/>
      <c r="AS128" s="1"/>
      <c r="AT128" s="1"/>
      <c r="AU128" s="1"/>
      <c r="AV128" s="1"/>
      <c r="AW128" s="1"/>
      <c r="AX128" s="1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R129" s="1"/>
      <c r="AS129" s="1"/>
      <c r="AT129" s="1"/>
      <c r="AU129" s="1"/>
      <c r="AV129" s="1"/>
      <c r="AW129" s="1"/>
      <c r="AX129" s="1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R130" s="1"/>
      <c r="AS130" s="1"/>
      <c r="AT130" s="1"/>
      <c r="AU130" s="1"/>
      <c r="AV130" s="1"/>
      <c r="AW130" s="1"/>
      <c r="AX130" s="1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R131" s="1"/>
      <c r="AS131" s="1"/>
      <c r="AT131" s="1"/>
      <c r="AU131" s="1"/>
      <c r="AV131" s="1"/>
      <c r="AW131" s="1"/>
      <c r="AX131" s="1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R132" s="1"/>
      <c r="AS132" s="1"/>
      <c r="AT132" s="1"/>
      <c r="AU132" s="1"/>
      <c r="AV132" s="1"/>
      <c r="AW132" s="1"/>
      <c r="AX132" s="1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R133" s="1"/>
      <c r="AS133" s="1"/>
      <c r="AT133" s="1"/>
      <c r="AU133" s="1"/>
      <c r="AV133" s="1"/>
      <c r="AW133" s="1"/>
      <c r="AX133" s="1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R134" s="1"/>
      <c r="AS134" s="1"/>
      <c r="AT134" s="1"/>
      <c r="AU134" s="1"/>
      <c r="AV134" s="1"/>
      <c r="AW134" s="1"/>
      <c r="AX134" s="1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7"/>
  <sheetViews>
    <sheetView workbookViewId="0">
      <selection activeCell="A21" sqref="A21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112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112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83</v>
      </c>
    </row>
    <row r="9" spans="1:2" x14ac:dyDescent="0.25">
      <c r="A9" s="41" t="s">
        <v>77</v>
      </c>
      <c r="B9" s="41"/>
    </row>
    <row r="10" spans="1:2" x14ac:dyDescent="0.25">
      <c r="A10" s="29" t="s">
        <v>82</v>
      </c>
      <c r="B10" s="40" t="s">
        <v>83</v>
      </c>
    </row>
    <row r="11" spans="1:2" x14ac:dyDescent="0.25">
      <c r="A11" s="47" t="s">
        <v>111</v>
      </c>
      <c r="B11" s="47" t="s">
        <v>111</v>
      </c>
    </row>
    <row r="12" spans="1:2" x14ac:dyDescent="0.25">
      <c r="A12" s="29" t="s">
        <v>108</v>
      </c>
      <c r="B12" s="40">
        <v>2</v>
      </c>
    </row>
    <row r="13" spans="1:2" x14ac:dyDescent="0.25">
      <c r="A13" s="47" t="s">
        <v>109</v>
      </c>
      <c r="B13" s="40">
        <v>1</v>
      </c>
    </row>
    <row r="14" spans="1:2" x14ac:dyDescent="0.25">
      <c r="A14" s="47" t="s">
        <v>110</v>
      </c>
      <c r="B14" s="40" t="s">
        <v>86</v>
      </c>
    </row>
    <row r="15" spans="1:2" x14ac:dyDescent="0.25">
      <c r="A15" s="47" t="s">
        <v>126</v>
      </c>
      <c r="B15" s="40" t="s">
        <v>127</v>
      </c>
    </row>
    <row r="16" spans="1:2" x14ac:dyDescent="0.25">
      <c r="A16" s="47" t="s">
        <v>113</v>
      </c>
      <c r="B16" s="30" t="s">
        <v>114</v>
      </c>
    </row>
    <row r="17" spans="1:2" x14ac:dyDescent="0.25">
      <c r="A17" s="41" t="s">
        <v>77</v>
      </c>
      <c r="B17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2025-10-08T05:45:54Z</dcterms:modified>
</cp:coreProperties>
</file>