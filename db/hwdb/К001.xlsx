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26" i="6"/>
  <c r="AV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21" i="6"/>
  <c r="AV21" i="6"/>
  <c r="J21" i="6"/>
  <c r="I21" i="6"/>
  <c r="BG20" i="6"/>
  <c r="AV20" i="6"/>
  <c r="J20" i="6"/>
  <c r="I20" i="6"/>
  <c r="BG19" i="6"/>
  <c r="AV19" i="6"/>
  <c r="AP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J6" i="6"/>
  <c r="I6" i="6"/>
  <c r="BG5" i="6" l="1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<sst xmlns="http://schemas.openxmlformats.org/spreadsheetml/2006/main" count="689" uniqueCount="125">
  <si>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</si>
  <si>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</si>
  <si>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</si>
  <si>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</si>
  <si>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</si>
  <si>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</si>
  <si>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</si>
  <si>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</si>
  <si>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</si>
  <si>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</si>
  <si>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</si>
  <si>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</si>
  <si>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</si>
  <si>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</si>
  <si>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</si>
  <si>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</si>
  <si>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</si>
  <si>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</si>
  <si>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</si>
  <si>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</si>
  <si>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</si>
  <si>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</si>
  <si>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</si>
  <si>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</si>
  <si>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</si>
  <si>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</si>
  <si>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</si>
  <si>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</si>
  <si>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</si>
  <si>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</si>
  <si>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</si>
  <si>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</si>
  <si>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</si>
  <si>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</si>
  <si>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</si>
  <si>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</si>
  <si>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</si>
  <si>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</si>
  <si>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</si>
  <si>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</si>
  <si>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</si>
  <si>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</si>
  <si>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</si>
  <si>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</si>
  <si>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</si>
  <si>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</si>
  <si>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</si>
  <si>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</si>
  <si>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</si>
  <si>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</si>
  <si>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</si>
  <si>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</si>
  <si>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</si>
  <si>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</si>
  <si>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</si>
  <si>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</si>
  <si>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</si>
  <si>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</si>
  <si>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</si>
  <si>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</si>
  <si>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</si>
  <si>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</si>
  <si>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</si>
  <si>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</si>
  <si>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</si>
  <si>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</si>
  <si>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</si>
  <si>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</si>
  <si>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</si>
  <si>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</si>
  <si>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</si>
  <si>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</si>
  <si>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</si>
  <si>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</si>
  <si>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</si>
  <si>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</si>
  <si>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</si>
  <si>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</si>
  <si>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</si>
  <si>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</si>
  <si>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</si>
  <si>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</si>
  <si>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</si>
  <si>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</si>
  <si>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</si>
  <si>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Режим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</si>
  <si>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</si>
  <si>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</si>
  <si>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</si>
  <si>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</si>
  <si>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</si>
  <si>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</si>
  <si>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</si>
  <si>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</si>
  <si>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</si>
  <si>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Назначение входа</t>
  </si>
  <si>
    <t>Описание</t>
  </si>
  <si>
    <t>символ</t>
  </si>
  <si>
    <t>Модуль выходных реле</t>
  </si>
  <si>
    <t>Выходное реле 1</t>
  </si>
  <si>
    <t>Режим работы реле</t>
  </si>
  <si>
    <t>INT8</t>
  </si>
  <si>
    <t>0 - Выведено, 1 - Без фиксации, 2 - С фиксацией, 3 - Импульсный</t>
  </si>
  <si>
    <t>Длительность импульса</t>
  </si>
  <si>
    <t>Дл. имп.</t>
  </si>
  <si>
    <t>Выходное реле 2</t>
  </si>
  <si>
    <t>Выходное реле 3</t>
  </si>
  <si>
    <t>Выходное реле 4</t>
  </si>
  <si>
    <t>Выходное реле 5</t>
  </si>
  <si>
    <t>Выходное реле 6</t>
  </si>
  <si>
    <t>Выходное реле 7</t>
  </si>
  <si>
    <t>Выходное реле 8</t>
  </si>
  <si>
    <t>Входы</t>
  </si>
  <si>
    <t>Выходы</t>
  </si>
  <si>
    <t>Статус</t>
  </si>
  <si>
    <t>Реле1</t>
  </si>
  <si>
    <t>Реле2</t>
  </si>
  <si>
    <t>Реле3</t>
  </si>
  <si>
    <t>Реле4</t>
  </si>
  <si>
    <t>Реле5</t>
  </si>
  <si>
    <t>Реле6</t>
  </si>
  <si>
    <t>Реле7</t>
  </si>
  <si>
    <t>Реле8</t>
  </si>
  <si>
    <t>Общие настройки конфигурации</t>
  </si>
  <si>
    <t>К001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</si>
</sst>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19" sqref="E18: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9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8.28515625" style="2" customWidth="1" outlineLevel="1"/>
    <col min="9" max="9" width="8.855468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115</v>
      </c>
      <c r="E5" s="2" t="s">
        <v>114</v>
      </c>
      <c r="F5" s="2" t="s">
        <v>114</v>
      </c>
      <c r="G5" s="2" t="s">
        <v>114</v>
      </c>
      <c r="H5" s="9"/>
      <c r="I5" s="20">
        <f t="shared" ref="I5" si="3">LEN(F5)</f>
        <v>6</v>
      </c>
      <c r="J5" s="20" t="str">
        <f t="shared" ref="J5" si="4">IF(LEN(F5)&lt;=$J$1,F5,"")</f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"Статус", note: "Статус",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116</v>
      </c>
      <c r="E6" s="2" t="s">
        <v>114</v>
      </c>
      <c r="F6" s="2" t="s">
        <v>114</v>
      </c>
      <c r="G6" s="2" t="s">
        <v>114</v>
      </c>
      <c r="H6" s="9"/>
      <c r="I6" s="20">
        <f t="shared" ref="I6:I9" si="6">LEN(F6)</f>
        <v>6</v>
      </c>
      <c r="J6" s="20" t="str">
        <f t="shared" ref="J6:J9" si="7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117</v>
      </c>
      <c r="E7" s="2" t="s">
        <v>114</v>
      </c>
      <c r="F7" s="2" t="s">
        <v>114</v>
      </c>
      <c r="G7" s="2" t="s">
        <v>114</v>
      </c>
      <c r="H7" s="9"/>
      <c r="I7" s="20">
        <f t="shared" si="6"/>
        <v>6</v>
      </c>
      <c r="J7" s="20" t="str">
        <f t="shared" si="7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8"/>
        <v>description: "Статус", note: "Статус",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118</v>
      </c>
      <c r="E8" s="2" t="s">
        <v>114</v>
      </c>
      <c r="F8" s="2" t="s">
        <v>114</v>
      </c>
      <c r="G8" s="2" t="s">
        <v>114</v>
      </c>
      <c r="H8" s="9"/>
      <c r="I8" s="20">
        <f t="shared" si="6"/>
        <v>6</v>
      </c>
      <c r="J8" s="20" t="str">
        <f t="shared" si="7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8"/>
        <v>description: "Статус", note: "Статус",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78</v>
      </c>
      <c r="C9" s="23"/>
      <c r="D9" s="30" t="s">
        <v>119</v>
      </c>
      <c r="E9" s="2" t="s">
        <v>114</v>
      </c>
      <c r="F9" s="2" t="s">
        <v>114</v>
      </c>
      <c r="G9" s="2" t="s">
        <v>114</v>
      </c>
      <c r="H9" s="9"/>
      <c r="I9" s="20">
        <f t="shared" si="6"/>
        <v>6</v>
      </c>
      <c r="J9" s="20" t="str">
        <f t="shared" si="7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8"/>
        <v>description: "Статус", note: "Статус",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78</v>
      </c>
      <c r="C10" s="23"/>
      <c r="D10" s="30" t="s">
        <v>120</v>
      </c>
      <c r="E10" s="2" t="s">
        <v>114</v>
      </c>
      <c r="F10" s="2" t="s">
        <v>114</v>
      </c>
      <c r="G10" s="2" t="s">
        <v>114</v>
      </c>
      <c r="H10" s="9"/>
      <c r="I10" s="20">
        <f t="shared" ref="I10:I12" si="9">LEN(F10)</f>
        <v>6</v>
      </c>
      <c r="J10" s="20" t="str">
        <f t="shared" ref="J10:J12" si="10">IF(LEN(F10)&lt;=$J$1,F10,"")</f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:BG12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"Статус", note: "Статус",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78</v>
      </c>
      <c r="C11" s="23"/>
      <c r="D11" s="30" t="s">
        <v>121</v>
      </c>
      <c r="E11" s="2" t="s">
        <v>114</v>
      </c>
      <c r="F11" s="2" t="s">
        <v>114</v>
      </c>
      <c r="G11" s="2" t="s">
        <v>114</v>
      </c>
      <c r="H11" s="9"/>
      <c r="I11" s="20">
        <f t="shared" si="9"/>
        <v>6</v>
      </c>
      <c r="J11" s="20" t="str">
        <f t="shared" si="10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11"/>
        <v>description: "Статус", note: "Статус",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78</v>
      </c>
      <c r="C12" s="23"/>
      <c r="D12" s="30" t="s">
        <v>122</v>
      </c>
      <c r="E12" s="2" t="s">
        <v>114</v>
      </c>
      <c r="F12" s="2" t="s">
        <v>114</v>
      </c>
      <c r="G12" s="2" t="s">
        <v>114</v>
      </c>
      <c r="H12" s="9"/>
      <c r="I12" s="20">
        <f t="shared" si="9"/>
        <v>6</v>
      </c>
      <c r="J12" s="20" t="str">
        <f t="shared" si="10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11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abSelected="1" topLeftCell="H1" zoomScale="80" zoomScaleNormal="80" workbookViewId="0">
      <selection activeCell="V18" sqref="V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11.140625" style="1" customWidth="1"/>
    <col min="5" max="5" width="27.5703125" style="2" customWidth="1"/>
    <col min="6" max="6" width="11.42578125" style="2" customWidth="1" outlineLevel="1"/>
    <col min="7" max="7" width="13" style="2" customWidth="1" outlineLevel="1"/>
    <col min="8" max="8" width="61.140625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3" width="8.42578125" style="2" customWidth="1" outlineLevel="1"/>
    <col min="14" max="14" width="11.28515625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115</v>
      </c>
      <c r="E3" s="20" t="s">
        <v>100</v>
      </c>
      <c r="F3" s="20" t="s">
        <v>85</v>
      </c>
      <c r="G3" s="20" t="s">
        <v>85</v>
      </c>
      <c r="H3" s="44" t="s">
        <v>102</v>
      </c>
      <c r="I3" s="20">
        <f t="shared" ref="I3:I5" si="0">LEN(F3)</f>
        <v>5</v>
      </c>
      <c r="J3" s="20" t="str">
        <f t="shared" ref="J3:J5" si="1">IF(LEN(F3)&lt;=$J$1,F3,"")</f>
        <v>Режим</v>
      </c>
      <c r="K3" s="22" t="s">
        <v>63</v>
      </c>
      <c r="L3" s="38" t="s">
        <v>101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3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реле", group: "setting", minValue: 0, maxValue: 3, step: 1, units: "null", defaultValue: 1,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115</v>
      </c>
      <c r="E4" s="20" t="s">
        <v>103</v>
      </c>
      <c r="F4" s="20" t="s">
        <v>104</v>
      </c>
      <c r="G4" s="20" t="s">
        <v>104</v>
      </c>
      <c r="H4" s="20"/>
      <c r="I4" s="20">
        <f t="shared" si="0"/>
        <v>8</v>
      </c>
      <c r="J4" s="20" t="str">
        <f t="shared" si="1"/>
        <v>Дл. имп.</v>
      </c>
      <c r="K4" s="22" t="s">
        <v>86</v>
      </c>
      <c r="L4" s="38" t="s">
        <v>87</v>
      </c>
      <c r="M4" s="25" t="s">
        <v>52</v>
      </c>
      <c r="N4" s="25" t="s">
        <v>52</v>
      </c>
      <c r="O4" s="25"/>
      <c r="P4" s="35">
        <v>2</v>
      </c>
      <c r="Q4" s="35" t="s">
        <v>88</v>
      </c>
      <c r="R4" s="25" t="s">
        <v>89</v>
      </c>
      <c r="S4" s="25">
        <v>10</v>
      </c>
      <c r="T4" s="25">
        <v>10000</v>
      </c>
      <c r="U4" s="25">
        <v>10</v>
      </c>
      <c r="V4" s="25"/>
      <c r="W4" s="25"/>
      <c r="X4" s="25">
        <v>1000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90</v>
      </c>
      <c r="AJ4" s="23" t="s">
        <v>91</v>
      </c>
      <c r="AK4" s="23" t="s">
        <v>92</v>
      </c>
      <c r="AL4" s="23" t="s">
        <v>93</v>
      </c>
      <c r="AM4" s="23" t="s">
        <v>87</v>
      </c>
      <c r="AN4" s="23"/>
      <c r="AO4" s="23" t="s">
        <v>94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"Дл. имп.", note: "Длительность импульса", group: "setting", minValue: 10, maxValue: 10000, step: 10, units: "мс", defaultValue: 1000,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115</v>
      </c>
      <c r="E5" s="20" t="s">
        <v>95</v>
      </c>
      <c r="F5" s="20" t="s">
        <v>96</v>
      </c>
      <c r="G5" s="20" t="s">
        <v>96</v>
      </c>
      <c r="H5" s="44"/>
      <c r="I5" s="20">
        <f t="shared" si="0"/>
        <v>8</v>
      </c>
      <c r="J5" s="20" t="str">
        <f t="shared" si="1"/>
        <v>Описание</v>
      </c>
      <c r="K5" s="22" t="s">
        <v>63</v>
      </c>
      <c r="L5" s="45" t="s">
        <v>87</v>
      </c>
      <c r="M5" s="25" t="s">
        <v>52</v>
      </c>
      <c r="N5" s="25" t="s">
        <v>52</v>
      </c>
      <c r="O5" s="25"/>
      <c r="P5" s="35">
        <v>0</v>
      </c>
      <c r="Q5" s="35"/>
      <c r="R5" s="25" t="s">
        <v>97</v>
      </c>
      <c r="S5" s="25">
        <v>0</v>
      </c>
      <c r="T5" s="25">
        <v>31</v>
      </c>
      <c r="U5" s="25">
        <v>1</v>
      </c>
      <c r="V5" s="25"/>
      <c r="W5" s="25"/>
      <c r="X5" s="49" t="s">
        <v>53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:AV7" si="6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116</v>
      </c>
      <c r="E6" s="20" t="s">
        <v>100</v>
      </c>
      <c r="F6" s="20" t="s">
        <v>85</v>
      </c>
      <c r="G6" s="20" t="s">
        <v>85</v>
      </c>
      <c r="H6" s="44" t="s">
        <v>102</v>
      </c>
      <c r="I6" s="20">
        <f t="shared" ref="I6:I8" si="7">LEN(F6)</f>
        <v>5</v>
      </c>
      <c r="J6" s="20" t="str">
        <f t="shared" ref="J6:J8" si="8">IF(LEN(F6)&lt;=$J$1,F6,"")</f>
        <v>Режим</v>
      </c>
      <c r="K6" s="22" t="s">
        <v>63</v>
      </c>
      <c r="L6" s="38" t="s">
        <v>101</v>
      </c>
      <c r="M6" s="25" t="s">
        <v>52</v>
      </c>
      <c r="N6" s="25" t="s">
        <v>52</v>
      </c>
      <c r="O6" s="25"/>
      <c r="P6" s="35">
        <v>0</v>
      </c>
      <c r="Q6" s="35"/>
      <c r="R6" s="25" t="s">
        <v>53</v>
      </c>
      <c r="S6" s="25">
        <v>0</v>
      </c>
      <c r="T6" s="25">
        <v>3</v>
      </c>
      <c r="U6" s="25">
        <v>1</v>
      </c>
      <c r="V6" s="25"/>
      <c r="W6" s="25"/>
      <c r="X6" s="25">
        <v>1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si="6"/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:BG8" si="9">CONCATENATE("description: """,F6,"""", ", ", "note: """,E6,"""",", ","group: """, B6, """",", ","minValue: ", S6,", ","maxValue: ", T6,", ","step: ", U6,", ","units: """, R6, """",", ","defaultValue: ", X6,", ","eventRegistration: ", Y6,)</f>
        <v>description: "Режим", note: "Режим работы реле", group: "setting", minValue: 0, maxValue: 3, step: 1, units: "null", defaultValue: 1, eventRegistration: 0</v>
      </c>
    </row>
    <row r="7" spans="1:16379" s="39" customFormat="1" ht="15.75" customHeight="1" x14ac:dyDescent="0.25">
      <c r="A7" s="22"/>
      <c r="B7" s="22" t="s">
        <v>56</v>
      </c>
      <c r="C7" s="25"/>
      <c r="D7" s="30" t="s">
        <v>116</v>
      </c>
      <c r="E7" s="20" t="s">
        <v>103</v>
      </c>
      <c r="F7" s="20" t="s">
        <v>104</v>
      </c>
      <c r="G7" s="20" t="s">
        <v>104</v>
      </c>
      <c r="H7" s="20"/>
      <c r="I7" s="20">
        <f t="shared" si="7"/>
        <v>8</v>
      </c>
      <c r="J7" s="20" t="str">
        <f t="shared" si="8"/>
        <v>Дл. имп.</v>
      </c>
      <c r="K7" s="22" t="s">
        <v>86</v>
      </c>
      <c r="L7" s="38" t="s">
        <v>87</v>
      </c>
      <c r="M7" s="25" t="s">
        <v>52</v>
      </c>
      <c r="N7" s="25" t="s">
        <v>52</v>
      </c>
      <c r="O7" s="25"/>
      <c r="P7" s="35">
        <v>2</v>
      </c>
      <c r="Q7" s="35" t="s">
        <v>88</v>
      </c>
      <c r="R7" s="25" t="s">
        <v>89</v>
      </c>
      <c r="S7" s="25">
        <v>10</v>
      </c>
      <c r="T7" s="25">
        <v>10000</v>
      </c>
      <c r="U7" s="25">
        <v>10</v>
      </c>
      <c r="V7" s="25"/>
      <c r="W7" s="25"/>
      <c r="X7" s="25">
        <v>1000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90</v>
      </c>
      <c r="AJ7" s="23" t="s">
        <v>91</v>
      </c>
      <c r="AK7" s="23" t="s">
        <v>92</v>
      </c>
      <c r="AL7" s="23" t="s">
        <v>93</v>
      </c>
      <c r="AM7" s="23" t="s">
        <v>87</v>
      </c>
      <c r="AN7" s="23"/>
      <c r="AO7" s="23" t="s">
        <v>94</v>
      </c>
      <c r="AP7" s="26" t="str">
        <f t="shared" ref="AP7" si="10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9"/>
        <v>description: "Дл. имп.", note: "Длительность импульса", group: "setting", minValue: 10, maxValue: 10000, step: 10, units: "мс", defaultValue: 1000,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116</v>
      </c>
      <c r="E8" s="20" t="s">
        <v>95</v>
      </c>
      <c r="F8" s="20" t="s">
        <v>96</v>
      </c>
      <c r="G8" s="20" t="s">
        <v>96</v>
      </c>
      <c r="H8" s="44"/>
      <c r="I8" s="20">
        <f t="shared" si="7"/>
        <v>8</v>
      </c>
      <c r="J8" s="20" t="str">
        <f t="shared" si="8"/>
        <v>Описание</v>
      </c>
      <c r="K8" s="22" t="s">
        <v>63</v>
      </c>
      <c r="L8" s="45" t="s">
        <v>87</v>
      </c>
      <c r="M8" s="25" t="s">
        <v>52</v>
      </c>
      <c r="N8" s="25" t="s">
        <v>52</v>
      </c>
      <c r="O8" s="25"/>
      <c r="P8" s="35">
        <v>0</v>
      </c>
      <c r="Q8" s="35"/>
      <c r="R8" s="25" t="s">
        <v>97</v>
      </c>
      <c r="S8" s="25">
        <v>0</v>
      </c>
      <c r="T8" s="25">
        <v>31</v>
      </c>
      <c r="U8" s="25">
        <v>1</v>
      </c>
      <c r="V8" s="25"/>
      <c r="W8" s="25"/>
      <c r="X8" s="49" t="s">
        <v>53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0" si="11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9"/>
        <v>description: "Описание", note: "Назначение входа", group: "setting", minValue: 0, maxValue: 31, step: 1, units: "символ", defaultValue: null,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117</v>
      </c>
      <c r="E9" s="20" t="s">
        <v>100</v>
      </c>
      <c r="F9" s="20" t="s">
        <v>85</v>
      </c>
      <c r="G9" s="20" t="s">
        <v>85</v>
      </c>
      <c r="H9" s="44" t="s">
        <v>102</v>
      </c>
      <c r="I9" s="20">
        <f t="shared" ref="I9:I11" si="12">LEN(F9)</f>
        <v>5</v>
      </c>
      <c r="J9" s="20" t="str">
        <f t="shared" ref="J9:J11" si="13">IF(LEN(F9)&lt;=$J$1,F9,"")</f>
        <v>Режим</v>
      </c>
      <c r="K9" s="22" t="s">
        <v>63</v>
      </c>
      <c r="L9" s="38" t="s">
        <v>101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3</v>
      </c>
      <c r="U9" s="25">
        <v>1</v>
      </c>
      <c r="V9" s="25"/>
      <c r="W9" s="25"/>
      <c r="X9" s="25">
        <v>1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11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1" si="14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реле", group: "setting", minValue: 0, maxValue: 3, step: 1, units: "null", defaultValue: 1,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117</v>
      </c>
      <c r="E10" s="20" t="s">
        <v>103</v>
      </c>
      <c r="F10" s="20" t="s">
        <v>104</v>
      </c>
      <c r="G10" s="20" t="s">
        <v>104</v>
      </c>
      <c r="H10" s="20"/>
      <c r="I10" s="20">
        <f t="shared" si="12"/>
        <v>8</v>
      </c>
      <c r="J10" s="20" t="str">
        <f t="shared" si="13"/>
        <v>Дл. имп.</v>
      </c>
      <c r="K10" s="22" t="s">
        <v>86</v>
      </c>
      <c r="L10" s="38" t="s">
        <v>87</v>
      </c>
      <c r="M10" s="25" t="s">
        <v>52</v>
      </c>
      <c r="N10" s="25" t="s">
        <v>52</v>
      </c>
      <c r="O10" s="25"/>
      <c r="P10" s="35">
        <v>2</v>
      </c>
      <c r="Q10" s="35" t="s">
        <v>88</v>
      </c>
      <c r="R10" s="25" t="s">
        <v>89</v>
      </c>
      <c r="S10" s="25">
        <v>10</v>
      </c>
      <c r="T10" s="25">
        <v>10000</v>
      </c>
      <c r="U10" s="25">
        <v>10</v>
      </c>
      <c r="V10" s="25"/>
      <c r="W10" s="25"/>
      <c r="X10" s="25">
        <v>1000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90</v>
      </c>
      <c r="AJ10" s="23" t="s">
        <v>91</v>
      </c>
      <c r="AK10" s="23" t="s">
        <v>92</v>
      </c>
      <c r="AL10" s="23" t="s">
        <v>93</v>
      </c>
      <c r="AM10" s="23" t="s">
        <v>87</v>
      </c>
      <c r="AN10" s="23"/>
      <c r="AO10" s="23" t="s">
        <v>94</v>
      </c>
      <c r="AP10" s="26" t="str">
        <f t="shared" ref="AP10" si="15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1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14"/>
        <v>description: "Дл. имп.", note: "Длительность импульса", group: "setting", minValue: 10, maxValue: 10000, step: 10, units: "мс", defaultValue: 1000,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117</v>
      </c>
      <c r="E11" s="20" t="s">
        <v>95</v>
      </c>
      <c r="F11" s="20" t="s">
        <v>96</v>
      </c>
      <c r="G11" s="20" t="s">
        <v>96</v>
      </c>
      <c r="H11" s="44"/>
      <c r="I11" s="20">
        <f t="shared" si="12"/>
        <v>8</v>
      </c>
      <c r="J11" s="20" t="str">
        <f t="shared" si="13"/>
        <v>Описание</v>
      </c>
      <c r="K11" s="22" t="s">
        <v>63</v>
      </c>
      <c r="L11" s="45" t="s">
        <v>87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97</v>
      </c>
      <c r="S11" s="25">
        <v>0</v>
      </c>
      <c r="T11" s="25">
        <v>31</v>
      </c>
      <c r="U11" s="25">
        <v>1</v>
      </c>
      <c r="V11" s="25"/>
      <c r="W11" s="25"/>
      <c r="X11" s="49" t="s">
        <v>53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ref="AV11:AV13" si="16">BIN2DEC(CONCATENATE(0,0,0,0,AR11,AS11,AT11,AU11))</f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14"/>
        <v>description: "Описание", note: "Назначение входа", group: "setting", minValue: 0, maxValue: 31, step: 1, units: "символ", defaultValue: null,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118</v>
      </c>
      <c r="E12" s="20" t="s">
        <v>100</v>
      </c>
      <c r="F12" s="20" t="s">
        <v>85</v>
      </c>
      <c r="G12" s="20" t="s">
        <v>85</v>
      </c>
      <c r="H12" s="44" t="s">
        <v>102</v>
      </c>
      <c r="I12" s="20">
        <f t="shared" ref="I12:I14" si="17">LEN(F12)</f>
        <v>5</v>
      </c>
      <c r="J12" s="20" t="str">
        <f t="shared" ref="J12:J14" si="18">IF(LEN(F12)&lt;=$J$1,F12,"")</f>
        <v>Режим</v>
      </c>
      <c r="K12" s="22" t="s">
        <v>63</v>
      </c>
      <c r="L12" s="38" t="s">
        <v>101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53</v>
      </c>
      <c r="S12" s="25">
        <v>0</v>
      </c>
      <c r="T12" s="25">
        <v>3</v>
      </c>
      <c r="U12" s="25">
        <v>1</v>
      </c>
      <c r="V12" s="25"/>
      <c r="W12" s="25"/>
      <c r="X12" s="25">
        <v>1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16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:BG14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"Режим", note: "Режим работы реле", group: "setting", minValue: 0, maxValue: 3, step: 1, units: "null", defaultValue: 1, eventRegistration: 0</v>
      </c>
    </row>
    <row r="13" spans="1:16379" s="39" customFormat="1" ht="15.75" customHeight="1" x14ac:dyDescent="0.25">
      <c r="A13" s="22"/>
      <c r="B13" s="22" t="s">
        <v>56</v>
      </c>
      <c r="C13" s="25"/>
      <c r="D13" s="30" t="s">
        <v>118</v>
      </c>
      <c r="E13" s="20" t="s">
        <v>103</v>
      </c>
      <c r="F13" s="20" t="s">
        <v>104</v>
      </c>
      <c r="G13" s="20" t="s">
        <v>104</v>
      </c>
      <c r="H13" s="20"/>
      <c r="I13" s="20">
        <f t="shared" si="17"/>
        <v>8</v>
      </c>
      <c r="J13" s="20" t="str">
        <f t="shared" si="18"/>
        <v>Дл. имп.</v>
      </c>
      <c r="K13" s="22" t="s">
        <v>86</v>
      </c>
      <c r="L13" s="38" t="s">
        <v>87</v>
      </c>
      <c r="M13" s="25" t="s">
        <v>52</v>
      </c>
      <c r="N13" s="25" t="s">
        <v>52</v>
      </c>
      <c r="O13" s="25"/>
      <c r="P13" s="35">
        <v>2</v>
      </c>
      <c r="Q13" s="35" t="s">
        <v>88</v>
      </c>
      <c r="R13" s="25" t="s">
        <v>89</v>
      </c>
      <c r="S13" s="25">
        <v>10</v>
      </c>
      <c r="T13" s="25">
        <v>10000</v>
      </c>
      <c r="U13" s="25">
        <v>10</v>
      </c>
      <c r="V13" s="25"/>
      <c r="W13" s="25"/>
      <c r="X13" s="25">
        <v>1000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90</v>
      </c>
      <c r="AJ13" s="23" t="s">
        <v>91</v>
      </c>
      <c r="AK13" s="23" t="s">
        <v>92</v>
      </c>
      <c r="AL13" s="23" t="s">
        <v>93</v>
      </c>
      <c r="AM13" s="23" t="s">
        <v>87</v>
      </c>
      <c r="AN13" s="23"/>
      <c r="AO13" s="23" t="s">
        <v>94</v>
      </c>
      <c r="AP13" s="26" t="str">
        <f t="shared" ref="AP13" si="20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6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19"/>
        <v>description: "Дл. имп.", note: "Длительность импульса", group: "setting", minValue: 10, maxValue: 10000, step: 10, units: "мс", defaultValue: 1000,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118</v>
      </c>
      <c r="E14" s="20" t="s">
        <v>95</v>
      </c>
      <c r="F14" s="20" t="s">
        <v>96</v>
      </c>
      <c r="G14" s="20" t="s">
        <v>96</v>
      </c>
      <c r="H14" s="44"/>
      <c r="I14" s="20">
        <f t="shared" si="17"/>
        <v>8</v>
      </c>
      <c r="J14" s="20" t="str">
        <f t="shared" si="18"/>
        <v>Описание</v>
      </c>
      <c r="K14" s="22" t="s">
        <v>63</v>
      </c>
      <c r="L14" s="45" t="s">
        <v>87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97</v>
      </c>
      <c r="S14" s="25">
        <v>0</v>
      </c>
      <c r="T14" s="25">
        <v>31</v>
      </c>
      <c r="U14" s="25">
        <v>1</v>
      </c>
      <c r="V14" s="25"/>
      <c r="W14" s="25"/>
      <c r="X14" s="49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6" si="21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19"/>
        <v>description: "Описание", note: "Назначение входа", group: "setting", minValue: 0, maxValue: 31, step: 1, units: "символ", defaultValue: null,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119</v>
      </c>
      <c r="E15" s="20" t="s">
        <v>100</v>
      </c>
      <c r="F15" s="20" t="s">
        <v>85</v>
      </c>
      <c r="G15" s="20" t="s">
        <v>85</v>
      </c>
      <c r="H15" s="44" t="s">
        <v>102</v>
      </c>
      <c r="I15" s="20">
        <f t="shared" ref="I15:I17" si="22">LEN(F15)</f>
        <v>5</v>
      </c>
      <c r="J15" s="20" t="str">
        <f t="shared" ref="J15:J17" si="23">IF(LEN(F15)&lt;=$J$1,F15,"")</f>
        <v>Режим</v>
      </c>
      <c r="K15" s="22" t="s">
        <v>63</v>
      </c>
      <c r="L15" s="38" t="s">
        <v>101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53</v>
      </c>
      <c r="S15" s="25">
        <v>0</v>
      </c>
      <c r="T15" s="25">
        <v>3</v>
      </c>
      <c r="U15" s="25">
        <v>1</v>
      </c>
      <c r="V15" s="25"/>
      <c r="W15" s="25"/>
      <c r="X15" s="25">
        <v>1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21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"Режим", note: "Режим работы реле", group: "setting", minValue: 0, maxValue: 3, step: 1, units: "null", defaultValue: 1, eventRegistration: 0</v>
      </c>
    </row>
    <row r="16" spans="1:16379" s="39" customFormat="1" ht="15.75" customHeight="1" x14ac:dyDescent="0.25">
      <c r="A16" s="22"/>
      <c r="B16" s="22" t="s">
        <v>56</v>
      </c>
      <c r="C16" s="25"/>
      <c r="D16" s="30" t="s">
        <v>119</v>
      </c>
      <c r="E16" s="20" t="s">
        <v>103</v>
      </c>
      <c r="F16" s="20" t="s">
        <v>104</v>
      </c>
      <c r="G16" s="20" t="s">
        <v>104</v>
      </c>
      <c r="H16" s="20"/>
      <c r="I16" s="20">
        <f t="shared" si="22"/>
        <v>8</v>
      </c>
      <c r="J16" s="20" t="str">
        <f t="shared" si="23"/>
        <v>Дл. имп.</v>
      </c>
      <c r="K16" s="22" t="s">
        <v>86</v>
      </c>
      <c r="L16" s="38" t="s">
        <v>87</v>
      </c>
      <c r="M16" s="25" t="s">
        <v>52</v>
      </c>
      <c r="N16" s="25" t="s">
        <v>52</v>
      </c>
      <c r="O16" s="25"/>
      <c r="P16" s="35">
        <v>2</v>
      </c>
      <c r="Q16" s="35" t="s">
        <v>88</v>
      </c>
      <c r="R16" s="25" t="s">
        <v>89</v>
      </c>
      <c r="S16" s="25">
        <v>10</v>
      </c>
      <c r="T16" s="25">
        <v>10000</v>
      </c>
      <c r="U16" s="25">
        <v>10</v>
      </c>
      <c r="V16" s="25"/>
      <c r="W16" s="25"/>
      <c r="X16" s="25">
        <v>1000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90</v>
      </c>
      <c r="AJ16" s="23" t="s">
        <v>91</v>
      </c>
      <c r="AK16" s="23" t="s">
        <v>92</v>
      </c>
      <c r="AL16" s="23" t="s">
        <v>93</v>
      </c>
      <c r="AM16" s="23" t="s">
        <v>87</v>
      </c>
      <c r="AN16" s="23"/>
      <c r="AO16" s="23" t="s">
        <v>94</v>
      </c>
      <c r="AP16" s="26" t="str">
        <f t="shared" ref="AP16" si="25">CONCATENATE(AJ16, ".", AL16)</f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21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24"/>
        <v>description: "Дл. имп.", note: "Длительность импульса", group: "setting", minValue: 10, maxValue: 10000, step: 10, units: "мс", defaultValue: 1000, eventRegistration: 0</v>
      </c>
    </row>
    <row r="17" spans="1:59" s="39" customFormat="1" ht="15.75" x14ac:dyDescent="0.25">
      <c r="A17" s="22"/>
      <c r="B17" s="22" t="s">
        <v>56</v>
      </c>
      <c r="C17" s="25"/>
      <c r="D17" s="30" t="s">
        <v>119</v>
      </c>
      <c r="E17" s="20" t="s">
        <v>95</v>
      </c>
      <c r="F17" s="20" t="s">
        <v>96</v>
      </c>
      <c r="G17" s="20" t="s">
        <v>96</v>
      </c>
      <c r="H17" s="44"/>
      <c r="I17" s="20">
        <f t="shared" si="22"/>
        <v>8</v>
      </c>
      <c r="J17" s="20" t="str">
        <f t="shared" si="23"/>
        <v>Описание</v>
      </c>
      <c r="K17" s="22" t="s">
        <v>63</v>
      </c>
      <c r="L17" s="45" t="s">
        <v>87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97</v>
      </c>
      <c r="S17" s="25">
        <v>0</v>
      </c>
      <c r="T17" s="25">
        <v>31</v>
      </c>
      <c r="U17" s="25">
        <v>1</v>
      </c>
      <c r="V17" s="25"/>
      <c r="W17" s="25"/>
      <c r="X17" s="49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ref="AV17:AV19" si="26">BIN2DEC(CONCATENATE(0,0,0,0,AR17,AS17,AT17,AU17))</f>
        <v>0</v>
      </c>
      <c r="AW17" s="23" t="s">
        <v>74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24"/>
        <v>description: "Описание", note: "Назначение входа", group: "setting", minValue: 0, maxValue: 31, step: 1, units: "символ", defaultValue: null, eventRegistration: 0</v>
      </c>
    </row>
    <row r="18" spans="1:59" s="39" customFormat="1" ht="15.75" x14ac:dyDescent="0.25">
      <c r="A18" s="22"/>
      <c r="B18" s="22" t="s">
        <v>56</v>
      </c>
      <c r="C18" s="25"/>
      <c r="D18" s="30" t="s">
        <v>120</v>
      </c>
      <c r="E18" s="20" t="s">
        <v>100</v>
      </c>
      <c r="F18" s="20" t="s">
        <v>85</v>
      </c>
      <c r="G18" s="20" t="s">
        <v>85</v>
      </c>
      <c r="H18" s="44" t="s">
        <v>102</v>
      </c>
      <c r="I18" s="20">
        <f t="shared" ref="I18:I20" si="27">LEN(F18)</f>
        <v>5</v>
      </c>
      <c r="J18" s="20" t="str">
        <f t="shared" ref="J18:J20" si="28">IF(LEN(F18)&lt;=$J$1,F18,"")</f>
        <v>Режим</v>
      </c>
      <c r="K18" s="22" t="s">
        <v>63</v>
      </c>
      <c r="L18" s="38" t="s">
        <v>101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53</v>
      </c>
      <c r="S18" s="25">
        <v>0</v>
      </c>
      <c r="T18" s="25">
        <v>3</v>
      </c>
      <c r="U18" s="25">
        <v>1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si="26"/>
        <v>0</v>
      </c>
      <c r="AW18" s="23" t="s">
        <v>74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2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"Режим", note: "Режим работы реле", group: "setting", minValue: 0, maxValue: 3, step: 1, units: "null", defaultValue: 1, eventRegistration: 0</v>
      </c>
    </row>
    <row r="19" spans="1:59" s="39" customFormat="1" ht="15.75" customHeight="1" x14ac:dyDescent="0.25">
      <c r="A19" s="22"/>
      <c r="B19" s="22" t="s">
        <v>56</v>
      </c>
      <c r="C19" s="25"/>
      <c r="D19" s="30" t="s">
        <v>120</v>
      </c>
      <c r="E19" s="20" t="s">
        <v>103</v>
      </c>
      <c r="F19" s="20" t="s">
        <v>104</v>
      </c>
      <c r="G19" s="20" t="s">
        <v>104</v>
      </c>
      <c r="H19" s="20"/>
      <c r="I19" s="20">
        <f t="shared" si="27"/>
        <v>8</v>
      </c>
      <c r="J19" s="20" t="str">
        <f t="shared" si="28"/>
        <v>Дл. имп.</v>
      </c>
      <c r="K19" s="22" t="s">
        <v>86</v>
      </c>
      <c r="L19" s="38" t="s">
        <v>87</v>
      </c>
      <c r="M19" s="25" t="s">
        <v>52</v>
      </c>
      <c r="N19" s="25" t="s">
        <v>52</v>
      </c>
      <c r="O19" s="25"/>
      <c r="P19" s="35">
        <v>2</v>
      </c>
      <c r="Q19" s="35" t="s">
        <v>88</v>
      </c>
      <c r="R19" s="25" t="s">
        <v>89</v>
      </c>
      <c r="S19" s="25">
        <v>10</v>
      </c>
      <c r="T19" s="25">
        <v>10000</v>
      </c>
      <c r="U19" s="25">
        <v>10</v>
      </c>
      <c r="V19" s="25"/>
      <c r="W19" s="25"/>
      <c r="X19" s="25">
        <v>1000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90</v>
      </c>
      <c r="AJ19" s="23" t="s">
        <v>91</v>
      </c>
      <c r="AK19" s="23" t="s">
        <v>92</v>
      </c>
      <c r="AL19" s="23" t="s">
        <v>93</v>
      </c>
      <c r="AM19" s="23" t="s">
        <v>87</v>
      </c>
      <c r="AN19" s="23"/>
      <c r="AO19" s="23" t="s">
        <v>94</v>
      </c>
      <c r="AP19" s="26" t="str">
        <f t="shared" ref="AP19" si="30">CONCATENATE(AJ19, ".", AL19)</f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26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29"/>
        <v>description: "Дл. имп.", note: "Длительность импульса", group: "setting", minValue: 10, maxValue: 10000, step: 10, units: "мс", defaultValue: 1000, eventRegistration: 0</v>
      </c>
    </row>
    <row r="20" spans="1:59" s="39" customFormat="1" ht="15.75" x14ac:dyDescent="0.25">
      <c r="A20" s="22"/>
      <c r="B20" s="22" t="s">
        <v>56</v>
      </c>
      <c r="C20" s="25"/>
      <c r="D20" s="30" t="s">
        <v>120</v>
      </c>
      <c r="E20" s="20" t="s">
        <v>95</v>
      </c>
      <c r="F20" s="20" t="s">
        <v>96</v>
      </c>
      <c r="G20" s="20" t="s">
        <v>96</v>
      </c>
      <c r="H20" s="44"/>
      <c r="I20" s="20">
        <f t="shared" si="27"/>
        <v>8</v>
      </c>
      <c r="J20" s="20" t="str">
        <f t="shared" si="28"/>
        <v>Описание</v>
      </c>
      <c r="K20" s="22" t="s">
        <v>63</v>
      </c>
      <c r="L20" s="45" t="s">
        <v>87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97</v>
      </c>
      <c r="S20" s="25">
        <v>0</v>
      </c>
      <c r="T20" s="25">
        <v>31</v>
      </c>
      <c r="U20" s="25">
        <v>1</v>
      </c>
      <c r="V20" s="25"/>
      <c r="W20" s="25"/>
      <c r="X20" s="49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ref="AV20:AV22" si="31">BIN2DEC(CONCATENATE(0,0,0,0,AR20,AS20,AT20,AU20))</f>
        <v>0</v>
      </c>
      <c r="AW20" s="23" t="s">
        <v>74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29"/>
        <v>description: "Описание", note: "Назначение входа", group: "setting", minValue: 0, maxValue: 31, step: 1, units: "символ", defaultValue: null,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121</v>
      </c>
      <c r="E21" s="20" t="s">
        <v>100</v>
      </c>
      <c r="F21" s="20" t="s">
        <v>85</v>
      </c>
      <c r="G21" s="20" t="s">
        <v>85</v>
      </c>
      <c r="H21" s="44" t="s">
        <v>102</v>
      </c>
      <c r="I21" s="20">
        <f t="shared" ref="I21:I23" si="32">LEN(F21)</f>
        <v>5</v>
      </c>
      <c r="J21" s="20" t="str">
        <f t="shared" ref="J21:J23" si="33">IF(LEN(F21)&lt;=$J$1,F21,"")</f>
        <v>Режим</v>
      </c>
      <c r="K21" s="22" t="s">
        <v>63</v>
      </c>
      <c r="L21" s="38" t="s">
        <v>101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3</v>
      </c>
      <c r="U21" s="25">
        <v>1</v>
      </c>
      <c r="V21" s="25"/>
      <c r="W21" s="25"/>
      <c r="X21" s="25">
        <v>1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31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3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"Режим", note: "Режим работы реле", group: "setting", minValue: 0, maxValue: 3, step: 1, units: "null", defaultValue: 1, eventRegistration: 0</v>
      </c>
    </row>
    <row r="22" spans="1:59" s="39" customFormat="1" ht="15.75" customHeight="1" x14ac:dyDescent="0.25">
      <c r="A22" s="22"/>
      <c r="B22" s="22" t="s">
        <v>56</v>
      </c>
      <c r="C22" s="25"/>
      <c r="D22" s="30" t="s">
        <v>121</v>
      </c>
      <c r="E22" s="20" t="s">
        <v>103</v>
      </c>
      <c r="F22" s="20" t="s">
        <v>104</v>
      </c>
      <c r="G22" s="20" t="s">
        <v>104</v>
      </c>
      <c r="H22" s="20"/>
      <c r="I22" s="20">
        <f t="shared" si="32"/>
        <v>8</v>
      </c>
      <c r="J22" s="20" t="str">
        <f t="shared" si="33"/>
        <v>Дл. имп.</v>
      </c>
      <c r="K22" s="22" t="s">
        <v>86</v>
      </c>
      <c r="L22" s="38" t="s">
        <v>87</v>
      </c>
      <c r="M22" s="25" t="s">
        <v>52</v>
      </c>
      <c r="N22" s="25" t="s">
        <v>52</v>
      </c>
      <c r="O22" s="25"/>
      <c r="P22" s="35">
        <v>2</v>
      </c>
      <c r="Q22" s="35" t="s">
        <v>88</v>
      </c>
      <c r="R22" s="25" t="s">
        <v>89</v>
      </c>
      <c r="S22" s="25">
        <v>10</v>
      </c>
      <c r="T22" s="25">
        <v>10000</v>
      </c>
      <c r="U22" s="25">
        <v>10</v>
      </c>
      <c r="V22" s="25"/>
      <c r="W22" s="25"/>
      <c r="X22" s="25">
        <v>1000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 t="s">
        <v>90</v>
      </c>
      <c r="AJ22" s="23" t="s">
        <v>91</v>
      </c>
      <c r="AK22" s="23" t="s">
        <v>92</v>
      </c>
      <c r="AL22" s="23" t="s">
        <v>93</v>
      </c>
      <c r="AM22" s="23" t="s">
        <v>87</v>
      </c>
      <c r="AN22" s="23"/>
      <c r="AO22" s="23" t="s">
        <v>94</v>
      </c>
      <c r="AP22" s="26" t="str">
        <f t="shared" ref="AP22" si="35">CONCATENATE(AJ22, ".", AL22)</f>
        <v>GENRBRF1.FailTmms.setVal</v>
      </c>
      <c r="AQ22" s="23" t="s">
        <v>55</v>
      </c>
      <c r="AR22" s="23">
        <v>0</v>
      </c>
      <c r="AS22" s="23">
        <v>0</v>
      </c>
      <c r="AT22" s="23">
        <v>0</v>
      </c>
      <c r="AU22" s="23">
        <v>0</v>
      </c>
      <c r="AV22" s="23">
        <f t="shared" si="31"/>
        <v>0</v>
      </c>
      <c r="AW22" s="23"/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4"/>
        <v>description: "Дл. имп.", note: "Длительность импульса", group: "setting", minValue: 10, maxValue: 10000, step: 10, units: "мс", defaultValue: 1000, eventRegistration: 0</v>
      </c>
    </row>
    <row r="23" spans="1:59" s="39" customFormat="1" ht="15.75" x14ac:dyDescent="0.25">
      <c r="A23" s="22"/>
      <c r="B23" s="22" t="s">
        <v>56</v>
      </c>
      <c r="C23" s="25"/>
      <c r="D23" s="30" t="s">
        <v>121</v>
      </c>
      <c r="E23" s="20" t="s">
        <v>95</v>
      </c>
      <c r="F23" s="20" t="s">
        <v>96</v>
      </c>
      <c r="G23" s="20" t="s">
        <v>96</v>
      </c>
      <c r="H23" s="44"/>
      <c r="I23" s="20">
        <f t="shared" si="32"/>
        <v>8</v>
      </c>
      <c r="J23" s="20" t="str">
        <f t="shared" si="33"/>
        <v>Описание</v>
      </c>
      <c r="K23" s="22" t="s">
        <v>63</v>
      </c>
      <c r="L23" s="45" t="s">
        <v>87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97</v>
      </c>
      <c r="S23" s="25">
        <v>0</v>
      </c>
      <c r="T23" s="25">
        <v>31</v>
      </c>
      <c r="U23" s="25">
        <v>1</v>
      </c>
      <c r="V23" s="25"/>
      <c r="W23" s="25"/>
      <c r="X23" s="49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ref="AV23:AV25" si="36">BIN2DEC(CONCATENATE(0,0,0,0,AR23,AS23,AT23,AU23))</f>
        <v>0</v>
      </c>
      <c r="AW23" s="23" t="s">
        <v>74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34"/>
        <v>description: "Описание", note: "Назначение входа", group: "setting", minValue: 0, maxValue: 31, step: 1, units: "символ", defaultValue: null, eventRegistration: 0</v>
      </c>
    </row>
    <row r="24" spans="1:59" s="39" customFormat="1" ht="15.75" x14ac:dyDescent="0.25">
      <c r="A24" s="22"/>
      <c r="B24" s="22" t="s">
        <v>56</v>
      </c>
      <c r="C24" s="25"/>
      <c r="D24" s="30" t="s">
        <v>122</v>
      </c>
      <c r="E24" s="20" t="s">
        <v>100</v>
      </c>
      <c r="F24" s="20" t="s">
        <v>85</v>
      </c>
      <c r="G24" s="20" t="s">
        <v>85</v>
      </c>
      <c r="H24" s="44" t="s">
        <v>102</v>
      </c>
      <c r="I24" s="20">
        <f t="shared" ref="I24:I26" si="37">LEN(F24)</f>
        <v>5</v>
      </c>
      <c r="J24" s="20" t="str">
        <f t="shared" ref="J24:J26" si="38">IF(LEN(F24)&lt;=$J$1,F24,"")</f>
        <v>Режим</v>
      </c>
      <c r="K24" s="22" t="s">
        <v>63</v>
      </c>
      <c r="L24" s="38" t="s">
        <v>101</v>
      </c>
      <c r="M24" s="25" t="s">
        <v>52</v>
      </c>
      <c r="N24" s="25" t="s">
        <v>52</v>
      </c>
      <c r="O24" s="25"/>
      <c r="P24" s="35">
        <v>0</v>
      </c>
      <c r="Q24" s="35"/>
      <c r="R24" s="25" t="s">
        <v>53</v>
      </c>
      <c r="S24" s="25">
        <v>0</v>
      </c>
      <c r="T24" s="25">
        <v>3</v>
      </c>
      <c r="U24" s="25">
        <v>1</v>
      </c>
      <c r="V24" s="25"/>
      <c r="W24" s="25"/>
      <c r="X24" s="25">
        <v>1</v>
      </c>
      <c r="Y24" s="25">
        <v>0</v>
      </c>
      <c r="Z24" s="24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19"/>
      <c r="AJ24" s="23"/>
      <c r="AK24" s="23"/>
      <c r="AL24" s="23"/>
      <c r="AM24" s="23"/>
      <c r="AN24" s="23"/>
      <c r="AO24" s="23"/>
      <c r="AP24" s="23"/>
      <c r="AQ24" s="23"/>
      <c r="AR24" s="23">
        <v>0</v>
      </c>
      <c r="AS24" s="23">
        <v>0</v>
      </c>
      <c r="AT24" s="23">
        <v>0</v>
      </c>
      <c r="AU24" s="23">
        <v>0</v>
      </c>
      <c r="AV24" s="23">
        <f t="shared" si="36"/>
        <v>0</v>
      </c>
      <c r="AW24" s="23" t="s">
        <v>74</v>
      </c>
      <c r="AX24" s="23"/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:BG26" si="39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"Режим", note: "Режим работы реле", group: "setting", minValue: 0, maxValue: 3, step: 1, units: "null", defaultValue: 1, eventRegistration: 0</v>
      </c>
    </row>
    <row r="25" spans="1:59" s="39" customFormat="1" ht="15.75" customHeight="1" x14ac:dyDescent="0.25">
      <c r="A25" s="22"/>
      <c r="B25" s="22" t="s">
        <v>56</v>
      </c>
      <c r="C25" s="25"/>
      <c r="D25" s="30" t="s">
        <v>122</v>
      </c>
      <c r="E25" s="20" t="s">
        <v>103</v>
      </c>
      <c r="F25" s="20" t="s">
        <v>104</v>
      </c>
      <c r="G25" s="20" t="s">
        <v>104</v>
      </c>
      <c r="H25" s="20"/>
      <c r="I25" s="20">
        <f t="shared" si="37"/>
        <v>8</v>
      </c>
      <c r="J25" s="20" t="str">
        <f t="shared" si="38"/>
        <v>Дл. имп.</v>
      </c>
      <c r="K25" s="22" t="s">
        <v>86</v>
      </c>
      <c r="L25" s="38" t="s">
        <v>87</v>
      </c>
      <c r="M25" s="25" t="s">
        <v>52</v>
      </c>
      <c r="N25" s="25" t="s">
        <v>52</v>
      </c>
      <c r="O25" s="25"/>
      <c r="P25" s="35">
        <v>2</v>
      </c>
      <c r="Q25" s="35" t="s">
        <v>88</v>
      </c>
      <c r="R25" s="25" t="s">
        <v>89</v>
      </c>
      <c r="S25" s="25">
        <v>10</v>
      </c>
      <c r="T25" s="25">
        <v>10000</v>
      </c>
      <c r="U25" s="25">
        <v>10</v>
      </c>
      <c r="V25" s="25"/>
      <c r="W25" s="25"/>
      <c r="X25" s="25">
        <v>1000</v>
      </c>
      <c r="Y25" s="25">
        <v>0</v>
      </c>
      <c r="Z25" s="24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19" t="s">
        <v>90</v>
      </c>
      <c r="AJ25" s="23" t="s">
        <v>91</v>
      </c>
      <c r="AK25" s="23" t="s">
        <v>92</v>
      </c>
      <c r="AL25" s="23" t="s">
        <v>93</v>
      </c>
      <c r="AM25" s="23" t="s">
        <v>87</v>
      </c>
      <c r="AN25" s="23"/>
      <c r="AO25" s="23" t="s">
        <v>94</v>
      </c>
      <c r="AP25" s="26" t="str">
        <f t="shared" ref="AP25" si="40">CONCATENATE(AJ25, ".", AL25)</f>
        <v>GENRBRF1.FailTmms.setVal</v>
      </c>
      <c r="AQ25" s="23" t="s">
        <v>55</v>
      </c>
      <c r="AR25" s="23">
        <v>0</v>
      </c>
      <c r="AS25" s="23">
        <v>0</v>
      </c>
      <c r="AT25" s="23">
        <v>0</v>
      </c>
      <c r="AU25" s="23">
        <v>0</v>
      </c>
      <c r="AV25" s="23">
        <f t="shared" si="36"/>
        <v>0</v>
      </c>
      <c r="AW25" s="23"/>
      <c r="AX25" s="23"/>
      <c r="AY25" s="35"/>
      <c r="AZ25" s="23"/>
      <c r="BA25" s="23"/>
      <c r="BB25" s="23"/>
      <c r="BC25" s="23"/>
      <c r="BD25" s="23"/>
      <c r="BE25" s="23"/>
      <c r="BF25" s="23"/>
      <c r="BG25" s="21" t="str">
        <f t="shared" si="39"/>
        <v>description: "Дл. имп.", note: "Длительность импульса", group: "setting", minValue: 10, maxValue: 10000, step: 10, units: "мс", defaultValue: 1000, eventRegistration: 0</v>
      </c>
    </row>
    <row r="26" spans="1:59" s="39" customFormat="1" ht="15.75" x14ac:dyDescent="0.25">
      <c r="A26" s="22"/>
      <c r="B26" s="22" t="s">
        <v>56</v>
      </c>
      <c r="C26" s="25"/>
      <c r="D26" s="30" t="s">
        <v>122</v>
      </c>
      <c r="E26" s="20" t="s">
        <v>95</v>
      </c>
      <c r="F26" s="20" t="s">
        <v>96</v>
      </c>
      <c r="G26" s="20" t="s">
        <v>96</v>
      </c>
      <c r="H26" s="44"/>
      <c r="I26" s="20">
        <f t="shared" si="37"/>
        <v>8</v>
      </c>
      <c r="J26" s="20" t="str">
        <f t="shared" si="38"/>
        <v>Описание</v>
      </c>
      <c r="K26" s="22" t="s">
        <v>63</v>
      </c>
      <c r="L26" s="45" t="s">
        <v>87</v>
      </c>
      <c r="M26" s="25" t="s">
        <v>52</v>
      </c>
      <c r="N26" s="25" t="s">
        <v>52</v>
      </c>
      <c r="O26" s="25"/>
      <c r="P26" s="35">
        <v>0</v>
      </c>
      <c r="Q26" s="35"/>
      <c r="R26" s="25" t="s">
        <v>97</v>
      </c>
      <c r="S26" s="25">
        <v>0</v>
      </c>
      <c r="T26" s="25">
        <v>31</v>
      </c>
      <c r="U26" s="25">
        <v>1</v>
      </c>
      <c r="V26" s="25"/>
      <c r="W26" s="25"/>
      <c r="X26" s="49" t="s">
        <v>53</v>
      </c>
      <c r="Y26" s="25">
        <v>0</v>
      </c>
      <c r="Z26" s="24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19"/>
      <c r="AJ26" s="23"/>
      <c r="AK26" s="23"/>
      <c r="AL26" s="23"/>
      <c r="AM26" s="23"/>
      <c r="AN26" s="23"/>
      <c r="AO26" s="23"/>
      <c r="AP26" s="23"/>
      <c r="AQ26" s="23"/>
      <c r="AR26" s="23">
        <v>0</v>
      </c>
      <c r="AS26" s="23">
        <v>0</v>
      </c>
      <c r="AT26" s="23">
        <v>0</v>
      </c>
      <c r="AU26" s="23">
        <v>0</v>
      </c>
      <c r="AV26" s="23">
        <f t="shared" ref="AV26" si="41">BIN2DEC(CONCATENATE(0,0,0,0,AR26,AS26,AT26,AU26))</f>
        <v>0</v>
      </c>
      <c r="AW26" s="23" t="s">
        <v>74</v>
      </c>
      <c r="AX26" s="23"/>
      <c r="AY26" s="35"/>
      <c r="AZ26" s="23"/>
      <c r="BA26" s="23"/>
      <c r="BB26" s="23"/>
      <c r="BC26" s="23"/>
      <c r="BD26" s="23"/>
      <c r="BE26" s="23"/>
      <c r="BF26" s="23"/>
      <c r="BG26" s="21" t="str">
        <f t="shared" si="39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customHeight="1" x14ac:dyDescent="0.25">
      <c r="A27" s="22"/>
      <c r="B27" s="22"/>
      <c r="C27" s="25"/>
      <c r="D27" s="30"/>
      <c r="E27" s="20"/>
      <c r="F27" s="20"/>
      <c r="G27" s="20"/>
      <c r="H27" s="20"/>
      <c r="I27" s="20"/>
      <c r="J27" s="20"/>
      <c r="K27" s="22"/>
      <c r="L27" s="38"/>
      <c r="M27" s="25"/>
      <c r="N27" s="25"/>
      <c r="O27" s="25"/>
      <c r="P27" s="35"/>
      <c r="Q27" s="35"/>
      <c r="R27" s="25"/>
      <c r="S27" s="25"/>
      <c r="T27" s="25"/>
      <c r="U27" s="25"/>
      <c r="V27" s="25"/>
      <c r="W27" s="25"/>
      <c r="X27" s="25"/>
      <c r="Y27" s="25"/>
      <c r="Z27" s="24"/>
      <c r="AA27" s="19"/>
      <c r="AB27" s="19"/>
      <c r="AC27" s="19"/>
      <c r="AD27" s="19"/>
      <c r="AE27" s="19"/>
      <c r="AF27" s="19"/>
      <c r="AG27" s="19"/>
      <c r="AH27" s="19"/>
      <c r="AI27" s="19"/>
      <c r="AJ27" s="23"/>
      <c r="AK27" s="23"/>
      <c r="AL27" s="23"/>
      <c r="AM27" s="23"/>
      <c r="AN27" s="23"/>
      <c r="AO27" s="23"/>
      <c r="AP27" s="26"/>
      <c r="AQ27" s="23"/>
      <c r="AR27" s="23"/>
      <c r="AS27" s="23"/>
      <c r="AT27" s="23"/>
      <c r="AU27" s="23"/>
      <c r="AV27" s="23"/>
      <c r="AW27" s="23"/>
      <c r="AX27" s="23"/>
      <c r="AY27" s="35"/>
      <c r="AZ27" s="23"/>
      <c r="BA27" s="23"/>
      <c r="BB27" s="23"/>
      <c r="BC27" s="23"/>
      <c r="BD27" s="23"/>
      <c r="BE27" s="23"/>
      <c r="BF27" s="23"/>
      <c r="BG27" s="21"/>
    </row>
    <row r="28" spans="1:59" s="39" customFormat="1" ht="15.75" customHeight="1" x14ac:dyDescent="0.25">
      <c r="A28" s="22"/>
      <c r="B28" s="22"/>
      <c r="C28" s="25"/>
      <c r="D28" s="30"/>
      <c r="E28" s="20"/>
      <c r="F28" s="20"/>
      <c r="G28" s="20"/>
      <c r="H28" s="20"/>
      <c r="I28" s="20"/>
      <c r="J28" s="20"/>
      <c r="K28" s="22"/>
      <c r="L28" s="38"/>
      <c r="M28" s="25"/>
      <c r="N28" s="25"/>
      <c r="O28" s="25"/>
      <c r="P28" s="35"/>
      <c r="Q28" s="35"/>
      <c r="R28" s="25"/>
      <c r="S28" s="25"/>
      <c r="T28" s="25"/>
      <c r="U28" s="25"/>
      <c r="V28" s="25"/>
      <c r="W28" s="25"/>
      <c r="X28" s="25"/>
      <c r="Y28" s="25"/>
      <c r="Z28" s="24"/>
      <c r="AA28" s="19"/>
      <c r="AB28" s="19"/>
      <c r="AC28" s="19"/>
      <c r="AD28" s="19"/>
      <c r="AE28" s="19"/>
      <c r="AF28" s="19"/>
      <c r="AG28" s="19"/>
      <c r="AH28" s="19"/>
      <c r="AI28" s="19"/>
      <c r="AJ28" s="23"/>
      <c r="AK28" s="23"/>
      <c r="AL28" s="23"/>
      <c r="AM28" s="23"/>
      <c r="AN28" s="23"/>
      <c r="AO28" s="23"/>
      <c r="AP28" s="26"/>
      <c r="AQ28" s="23"/>
      <c r="AR28" s="23"/>
      <c r="AS28" s="23"/>
      <c r="AT28" s="23"/>
      <c r="AU28" s="23"/>
      <c r="AV28" s="23"/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/>
    </row>
    <row r="29" spans="1:59" s="39" customFormat="1" ht="15.75" customHeight="1" x14ac:dyDescent="0.25">
      <c r="A29" s="22"/>
      <c r="B29" s="22"/>
      <c r="C29" s="25"/>
      <c r="D29" s="30"/>
      <c r="E29" s="20"/>
      <c r="F29" s="20"/>
      <c r="G29" s="20"/>
      <c r="H29" s="20"/>
      <c r="I29" s="20"/>
      <c r="J29" s="20"/>
      <c r="K29" s="22"/>
      <c r="L29" s="38"/>
      <c r="M29" s="25"/>
      <c r="N29" s="25"/>
      <c r="O29" s="25"/>
      <c r="P29" s="35"/>
      <c r="Q29" s="35"/>
      <c r="R29" s="25"/>
      <c r="S29" s="25"/>
      <c r="T29" s="25"/>
      <c r="U29" s="25"/>
      <c r="V29" s="25"/>
      <c r="W29" s="25"/>
      <c r="X29" s="25"/>
      <c r="Y29" s="25"/>
      <c r="Z29" s="24"/>
      <c r="AA29" s="19"/>
      <c r="AB29" s="19"/>
      <c r="AC29" s="19"/>
      <c r="AD29" s="19"/>
      <c r="AE29" s="19"/>
      <c r="AF29" s="19"/>
      <c r="AG29" s="19"/>
      <c r="AH29" s="19"/>
      <c r="AI29" s="19"/>
      <c r="AJ29" s="23"/>
      <c r="AK29" s="23"/>
      <c r="AL29" s="23"/>
      <c r="AM29" s="23"/>
      <c r="AN29" s="23"/>
      <c r="AO29" s="23"/>
      <c r="AP29" s="26"/>
      <c r="AQ29" s="23"/>
      <c r="AR29" s="23"/>
      <c r="AS29" s="23"/>
      <c r="AT29" s="23"/>
      <c r="AU29" s="23"/>
      <c r="AV29" s="23"/>
      <c r="AW29" s="23"/>
      <c r="AX29" s="23"/>
      <c r="AY29" s="35"/>
      <c r="AZ29" s="23"/>
      <c r="BA29" s="23"/>
      <c r="BB29" s="23"/>
      <c r="BC29" s="23"/>
      <c r="BD29" s="23"/>
      <c r="BE29" s="23"/>
      <c r="BF29" s="23"/>
      <c r="BG29" s="21"/>
    </row>
    <row r="30" spans="1:59" s="39" customFormat="1" ht="15.75" customHeight="1" x14ac:dyDescent="0.25">
      <c r="A30" s="22"/>
      <c r="B30" s="22"/>
      <c r="C30" s="25"/>
      <c r="D30" s="30"/>
      <c r="E30" s="20"/>
      <c r="F30" s="20"/>
      <c r="G30" s="20"/>
      <c r="H30" s="20"/>
      <c r="I30" s="20"/>
      <c r="J30" s="20"/>
      <c r="K30" s="22"/>
      <c r="L30" s="38"/>
      <c r="M30" s="25"/>
      <c r="N30" s="25"/>
      <c r="O30" s="25"/>
      <c r="P30" s="35"/>
      <c r="Q30" s="35"/>
      <c r="R30" s="25"/>
      <c r="S30" s="25"/>
      <c r="T30" s="25"/>
      <c r="U30" s="25"/>
      <c r="V30" s="25"/>
      <c r="W30" s="25"/>
      <c r="X30" s="25"/>
      <c r="Y30" s="25"/>
      <c r="Z30" s="24"/>
      <c r="AA30" s="19"/>
      <c r="AB30" s="19"/>
      <c r="AC30" s="19"/>
      <c r="AD30" s="19"/>
      <c r="AE30" s="19"/>
      <c r="AF30" s="19"/>
      <c r="AG30" s="19"/>
      <c r="AH30" s="19"/>
      <c r="AI30" s="19"/>
      <c r="AJ30" s="23"/>
      <c r="AK30" s="23"/>
      <c r="AL30" s="23"/>
      <c r="AM30" s="23"/>
      <c r="AN30" s="23"/>
      <c r="AO30" s="23"/>
      <c r="AP30" s="26"/>
      <c r="AQ30" s="23"/>
      <c r="AR30" s="23"/>
      <c r="AS30" s="23"/>
      <c r="AT30" s="23"/>
      <c r="AU30" s="23"/>
      <c r="AV30" s="23"/>
      <c r="AW30" s="23"/>
      <c r="AX30" s="23"/>
      <c r="AY30" s="35"/>
      <c r="AZ30" s="23"/>
      <c r="BA30" s="23"/>
      <c r="BB30" s="23"/>
      <c r="BC30" s="23"/>
      <c r="BD30" s="23"/>
      <c r="BE30" s="23"/>
      <c r="BF30" s="23"/>
      <c r="BG30" s="21"/>
    </row>
    <row r="31" spans="1:59" s="39" customFormat="1" ht="15.75" customHeight="1" x14ac:dyDescent="0.25">
      <c r="A31" s="22"/>
      <c r="B31" s="22"/>
      <c r="C31" s="25"/>
      <c r="D31" s="30"/>
      <c r="E31" s="20"/>
      <c r="F31" s="20"/>
      <c r="G31" s="20"/>
      <c r="H31" s="20"/>
      <c r="I31" s="20"/>
      <c r="J31" s="20"/>
      <c r="K31" s="22"/>
      <c r="L31" s="38"/>
      <c r="M31" s="25"/>
      <c r="N31" s="25"/>
      <c r="O31" s="25"/>
      <c r="P31" s="35"/>
      <c r="Q31" s="35"/>
      <c r="R31" s="25"/>
      <c r="S31" s="25"/>
      <c r="T31" s="25"/>
      <c r="U31" s="25"/>
      <c r="V31" s="25"/>
      <c r="W31" s="25"/>
      <c r="X31" s="25"/>
      <c r="Y31" s="25"/>
      <c r="Z31" s="24"/>
      <c r="AA31" s="19"/>
      <c r="AB31" s="19"/>
      <c r="AC31" s="19"/>
      <c r="AD31" s="19"/>
      <c r="AE31" s="19"/>
      <c r="AF31" s="19"/>
      <c r="AG31" s="19"/>
      <c r="AH31" s="19"/>
      <c r="AI31" s="19"/>
      <c r="AJ31" s="23"/>
      <c r="AK31" s="23"/>
      <c r="AL31" s="23"/>
      <c r="AM31" s="23"/>
      <c r="AN31" s="23"/>
      <c r="AO31" s="23"/>
      <c r="AP31" s="26"/>
      <c r="AQ31" s="23"/>
      <c r="AR31" s="23"/>
      <c r="AS31" s="23"/>
      <c r="AT31" s="23"/>
      <c r="AU31" s="23"/>
      <c r="AV31" s="23"/>
      <c r="AW31" s="23"/>
      <c r="AX31" s="23"/>
      <c r="AY31" s="35"/>
      <c r="AZ31" s="23"/>
      <c r="BA31" s="23"/>
      <c r="BB31" s="23"/>
      <c r="BC31" s="23"/>
      <c r="BD31" s="23"/>
      <c r="BE31" s="23"/>
      <c r="BF31" s="23"/>
      <c r="BG31" s="21"/>
    </row>
    <row r="32" spans="1:59" s="39" customFormat="1" ht="15.75" customHeight="1" x14ac:dyDescent="0.25">
      <c r="A32" s="22"/>
      <c r="B32" s="22"/>
      <c r="C32" s="25"/>
      <c r="D32" s="30"/>
      <c r="E32" s="20"/>
      <c r="F32" s="20"/>
      <c r="G32" s="20"/>
      <c r="H32" s="20"/>
      <c r="I32" s="20"/>
      <c r="J32" s="20"/>
      <c r="K32" s="22"/>
      <c r="L32" s="38"/>
      <c r="M32" s="25"/>
      <c r="N32" s="25"/>
      <c r="O32" s="25"/>
      <c r="P32" s="35"/>
      <c r="Q32" s="35"/>
      <c r="R32" s="25"/>
      <c r="S32" s="25"/>
      <c r="T32" s="25"/>
      <c r="U32" s="25"/>
      <c r="V32" s="25"/>
      <c r="W32" s="25"/>
      <c r="X32" s="25"/>
      <c r="Y32" s="25"/>
      <c r="Z32" s="24"/>
      <c r="AA32" s="19"/>
      <c r="AB32" s="19"/>
      <c r="AC32" s="19"/>
      <c r="AD32" s="19"/>
      <c r="AE32" s="19"/>
      <c r="AF32" s="19"/>
      <c r="AG32" s="19"/>
      <c r="AH32" s="19"/>
      <c r="AI32" s="19"/>
      <c r="AJ32" s="23"/>
      <c r="AK32" s="23"/>
      <c r="AL32" s="23"/>
      <c r="AM32" s="23"/>
      <c r="AN32" s="23"/>
      <c r="AO32" s="23"/>
      <c r="AP32" s="26"/>
      <c r="AQ32" s="23"/>
      <c r="AR32" s="23"/>
      <c r="AS32" s="23"/>
      <c r="AT32" s="23"/>
      <c r="AU32" s="23"/>
      <c r="AV32" s="23"/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/>
    </row>
    <row r="33" spans="1:59" s="39" customFormat="1" ht="15.75" customHeight="1" x14ac:dyDescent="0.25">
      <c r="A33" s="22"/>
      <c r="B33" s="22"/>
      <c r="C33" s="25"/>
      <c r="D33" s="30"/>
      <c r="E33" s="20"/>
      <c r="F33" s="20"/>
      <c r="G33" s="20"/>
      <c r="H33" s="20"/>
      <c r="I33" s="20"/>
      <c r="J33" s="20"/>
      <c r="K33" s="22"/>
      <c r="L33" s="38"/>
      <c r="M33" s="25"/>
      <c r="N33" s="25"/>
      <c r="O33" s="25"/>
      <c r="P33" s="35"/>
      <c r="Q33" s="35"/>
      <c r="R33" s="25"/>
      <c r="S33" s="25"/>
      <c r="T33" s="25"/>
      <c r="U33" s="25"/>
      <c r="V33" s="25"/>
      <c r="W33" s="25"/>
      <c r="X33" s="25"/>
      <c r="Y33" s="25"/>
      <c r="Z33" s="24"/>
      <c r="AA33" s="19"/>
      <c r="AB33" s="19"/>
      <c r="AC33" s="19"/>
      <c r="AD33" s="19"/>
      <c r="AE33" s="19"/>
      <c r="AF33" s="19"/>
      <c r="AG33" s="19"/>
      <c r="AH33" s="19"/>
      <c r="AI33" s="19"/>
      <c r="AJ33" s="23"/>
      <c r="AK33" s="23"/>
      <c r="AL33" s="23"/>
      <c r="AM33" s="23"/>
      <c r="AN33" s="23"/>
      <c r="AO33" s="23"/>
      <c r="AP33" s="26"/>
      <c r="AQ33" s="23"/>
      <c r="AR33" s="23"/>
      <c r="AS33" s="23"/>
      <c r="AT33" s="23"/>
      <c r="AU33" s="23"/>
      <c r="AV33" s="23"/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/>
    </row>
    <row r="34" spans="1:59" s="39" customFormat="1" ht="15.75" customHeight="1" x14ac:dyDescent="0.25">
      <c r="A34" s="22"/>
      <c r="B34" s="22"/>
      <c r="C34" s="25"/>
      <c r="D34" s="30"/>
      <c r="E34" s="20"/>
      <c r="F34" s="20"/>
      <c r="G34" s="20"/>
      <c r="H34" s="20"/>
      <c r="I34" s="20"/>
      <c r="J34" s="20"/>
      <c r="K34" s="22"/>
      <c r="L34" s="38"/>
      <c r="M34" s="25"/>
      <c r="N34" s="25"/>
      <c r="O34" s="25"/>
      <c r="P34" s="35"/>
      <c r="Q34" s="35"/>
      <c r="R34" s="25"/>
      <c r="S34" s="25"/>
      <c r="T34" s="25"/>
      <c r="U34" s="25"/>
      <c r="V34" s="25"/>
      <c r="W34" s="25"/>
      <c r="X34" s="25"/>
      <c r="Y34" s="25"/>
      <c r="Z34" s="24"/>
      <c r="AA34" s="19"/>
      <c r="AB34" s="19"/>
      <c r="AC34" s="19"/>
      <c r="AD34" s="19"/>
      <c r="AE34" s="19"/>
      <c r="AF34" s="19"/>
      <c r="AG34" s="19"/>
      <c r="AH34" s="19"/>
      <c r="AI34" s="19"/>
      <c r="AJ34" s="23"/>
      <c r="AK34" s="23"/>
      <c r="AL34" s="23"/>
      <c r="AM34" s="23"/>
      <c r="AN34" s="23"/>
      <c r="AO34" s="23"/>
      <c r="AP34" s="26"/>
      <c r="AQ34" s="23"/>
      <c r="AR34" s="23"/>
      <c r="AS34" s="23"/>
      <c r="AT34" s="23"/>
      <c r="AU34" s="23"/>
      <c r="AV34" s="23"/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/>
    </row>
    <row r="35" spans="1:59" s="39" customFormat="1" ht="15.75" customHeight="1" x14ac:dyDescent="0.25">
      <c r="A35" s="22"/>
      <c r="B35" s="22"/>
      <c r="C35" s="25"/>
      <c r="D35" s="30"/>
      <c r="E35" s="20"/>
      <c r="F35" s="20"/>
      <c r="G35" s="20"/>
      <c r="H35" s="20"/>
      <c r="I35" s="20"/>
      <c r="J35" s="20"/>
      <c r="K35" s="22"/>
      <c r="L35" s="38"/>
      <c r="M35" s="25"/>
      <c r="N35" s="25"/>
      <c r="O35" s="25"/>
      <c r="P35" s="35"/>
      <c r="Q35" s="35"/>
      <c r="R35" s="25"/>
      <c r="S35" s="25"/>
      <c r="T35" s="25"/>
      <c r="U35" s="25"/>
      <c r="V35" s="25"/>
      <c r="W35" s="25"/>
      <c r="X35" s="25"/>
      <c r="Y35" s="25"/>
      <c r="Z35" s="24"/>
      <c r="AA35" s="19"/>
      <c r="AB35" s="19"/>
      <c r="AC35" s="19"/>
      <c r="AD35" s="19"/>
      <c r="AE35" s="19"/>
      <c r="AF35" s="19"/>
      <c r="AG35" s="19"/>
      <c r="AH35" s="19"/>
      <c r="AI35" s="19"/>
      <c r="AJ35" s="23"/>
      <c r="AK35" s="23"/>
      <c r="AL35" s="23"/>
      <c r="AM35" s="23"/>
      <c r="AN35" s="23"/>
      <c r="AO35" s="23"/>
      <c r="AP35" s="26"/>
      <c r="AQ35" s="23"/>
      <c r="AR35" s="23"/>
      <c r="AS35" s="23"/>
      <c r="AT35" s="23"/>
      <c r="AU35" s="23"/>
      <c r="AV35" s="23"/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/>
    </row>
    <row r="36" spans="1:59" s="39" customFormat="1" ht="15.75" customHeight="1" x14ac:dyDescent="0.25">
      <c r="A36" s="22"/>
      <c r="B36" s="22"/>
      <c r="C36" s="25"/>
      <c r="D36" s="30"/>
      <c r="E36" s="20"/>
      <c r="F36" s="20"/>
      <c r="G36" s="20"/>
      <c r="H36" s="20"/>
      <c r="I36" s="20"/>
      <c r="J36" s="20"/>
      <c r="K36" s="22"/>
      <c r="L36" s="38"/>
      <c r="M36" s="25"/>
      <c r="N36" s="25"/>
      <c r="O36" s="25"/>
      <c r="P36" s="35"/>
      <c r="Q36" s="35"/>
      <c r="R36" s="25"/>
      <c r="S36" s="25"/>
      <c r="T36" s="25"/>
      <c r="U36" s="25"/>
      <c r="V36" s="25"/>
      <c r="W36" s="25"/>
      <c r="X36" s="25"/>
      <c r="Y36" s="25"/>
      <c r="Z36" s="24"/>
      <c r="AA36" s="19"/>
      <c r="AB36" s="19"/>
      <c r="AC36" s="19"/>
      <c r="AD36" s="19"/>
      <c r="AE36" s="19"/>
      <c r="AF36" s="19"/>
      <c r="AG36" s="19"/>
      <c r="AH36" s="19"/>
      <c r="AI36" s="19"/>
      <c r="AJ36" s="23"/>
      <c r="AK36" s="23"/>
      <c r="AL36" s="23"/>
      <c r="AM36" s="23"/>
      <c r="AN36" s="23"/>
      <c r="AO36" s="23"/>
      <c r="AP36" s="26"/>
      <c r="AQ36" s="23"/>
      <c r="AR36" s="23"/>
      <c r="AS36" s="23"/>
      <c r="AT36" s="23"/>
      <c r="AU36" s="23"/>
      <c r="AV36" s="23"/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/>
    </row>
    <row r="37" spans="1:59" s="39" customFormat="1" ht="15.75" customHeight="1" x14ac:dyDescent="0.25">
      <c r="A37" s="22"/>
      <c r="B37" s="22"/>
      <c r="C37" s="25"/>
      <c r="D37" s="30"/>
      <c r="E37" s="20"/>
      <c r="F37" s="20"/>
      <c r="G37" s="20"/>
      <c r="H37" s="20"/>
      <c r="I37" s="20"/>
      <c r="J37" s="20"/>
      <c r="K37" s="22"/>
      <c r="L37" s="38"/>
      <c r="M37" s="25"/>
      <c r="N37" s="25"/>
      <c r="O37" s="25"/>
      <c r="P37" s="35"/>
      <c r="Q37" s="35"/>
      <c r="R37" s="25"/>
      <c r="S37" s="25"/>
      <c r="T37" s="25"/>
      <c r="U37" s="25"/>
      <c r="V37" s="25"/>
      <c r="W37" s="25"/>
      <c r="X37" s="25"/>
      <c r="Y37" s="25"/>
      <c r="Z37" s="24"/>
      <c r="AA37" s="19"/>
      <c r="AB37" s="19"/>
      <c r="AC37" s="19"/>
      <c r="AD37" s="19"/>
      <c r="AE37" s="19"/>
      <c r="AF37" s="19"/>
      <c r="AG37" s="19"/>
      <c r="AH37" s="19"/>
      <c r="AI37" s="19"/>
      <c r="AJ37" s="23"/>
      <c r="AK37" s="23"/>
      <c r="AL37" s="23"/>
      <c r="AM37" s="23"/>
      <c r="AN37" s="23"/>
      <c r="AO37" s="23"/>
      <c r="AP37" s="26"/>
      <c r="AQ37" s="23"/>
      <c r="AR37" s="23"/>
      <c r="AS37" s="23"/>
      <c r="AT37" s="23"/>
      <c r="AU37" s="23"/>
      <c r="AV37" s="23"/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/>
    </row>
    <row r="38" spans="1:59" s="39" customFormat="1" ht="15.75" customHeight="1" x14ac:dyDescent="0.25">
      <c r="A38" s="22"/>
      <c r="B38" s="22"/>
      <c r="C38" s="25"/>
      <c r="D38" s="30"/>
      <c r="E38" s="20"/>
      <c r="F38" s="20"/>
      <c r="G38" s="20"/>
      <c r="H38" s="20"/>
      <c r="I38" s="20"/>
      <c r="J38" s="20"/>
      <c r="K38" s="22"/>
      <c r="L38" s="38"/>
      <c r="M38" s="25"/>
      <c r="N38" s="25"/>
      <c r="O38" s="25"/>
      <c r="P38" s="35"/>
      <c r="Q38" s="35"/>
      <c r="R38" s="25"/>
      <c r="S38" s="25"/>
      <c r="T38" s="25"/>
      <c r="U38" s="25"/>
      <c r="V38" s="25"/>
      <c r="W38" s="25"/>
      <c r="X38" s="25"/>
      <c r="Y38" s="25"/>
      <c r="Z38" s="24"/>
      <c r="AA38" s="19"/>
      <c r="AB38" s="19"/>
      <c r="AC38" s="19"/>
      <c r="AD38" s="19"/>
      <c r="AE38" s="19"/>
      <c r="AF38" s="19"/>
      <c r="AG38" s="19"/>
      <c r="AH38" s="19"/>
      <c r="AI38" s="19"/>
      <c r="AJ38" s="23"/>
      <c r="AK38" s="23"/>
      <c r="AL38" s="23"/>
      <c r="AM38" s="23"/>
      <c r="AN38" s="23"/>
      <c r="AO38" s="23"/>
      <c r="AP38" s="26"/>
      <c r="AQ38" s="23"/>
      <c r="AR38" s="23"/>
      <c r="AS38" s="23"/>
      <c r="AT38" s="23"/>
      <c r="AU38" s="23"/>
      <c r="AV38" s="23"/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/>
    </row>
    <row r="39" spans="1:59" s="39" customFormat="1" ht="15.75" customHeight="1" x14ac:dyDescent="0.25">
      <c r="A39" s="22"/>
      <c r="B39" s="22"/>
      <c r="C39" s="25"/>
      <c r="D39" s="30"/>
      <c r="E39" s="20"/>
      <c r="F39" s="20"/>
      <c r="G39" s="20"/>
      <c r="H39" s="20"/>
      <c r="I39" s="20"/>
      <c r="J39" s="20"/>
      <c r="K39" s="22"/>
      <c r="L39" s="38"/>
      <c r="M39" s="25"/>
      <c r="N39" s="25"/>
      <c r="O39" s="25"/>
      <c r="P39" s="35"/>
      <c r="Q39" s="35"/>
      <c r="R39" s="25"/>
      <c r="S39" s="25"/>
      <c r="T39" s="25"/>
      <c r="U39" s="25"/>
      <c r="V39" s="25"/>
      <c r="W39" s="25"/>
      <c r="X39" s="25"/>
      <c r="Y39" s="25"/>
      <c r="Z39" s="24"/>
      <c r="AA39" s="19"/>
      <c r="AB39" s="19"/>
      <c r="AC39" s="19"/>
      <c r="AD39" s="19"/>
      <c r="AE39" s="19"/>
      <c r="AF39" s="19"/>
      <c r="AG39" s="19"/>
      <c r="AH39" s="19"/>
      <c r="AI39" s="19"/>
      <c r="AJ39" s="23"/>
      <c r="AK39" s="23"/>
      <c r="AL39" s="23"/>
      <c r="AM39" s="23"/>
      <c r="AN39" s="23"/>
      <c r="AO39" s="23"/>
      <c r="AP39" s="26"/>
      <c r="AQ39" s="23"/>
      <c r="AR39" s="23"/>
      <c r="AS39" s="23"/>
      <c r="AT39" s="23"/>
      <c r="AU39" s="23"/>
      <c r="AV39" s="23"/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/>
    </row>
    <row r="40" spans="1:59" s="39" customFormat="1" ht="15.75" customHeight="1" x14ac:dyDescent="0.25">
      <c r="A40" s="22"/>
      <c r="B40" s="22"/>
      <c r="C40" s="25"/>
      <c r="D40" s="30"/>
      <c r="E40" s="20"/>
      <c r="F40" s="20"/>
      <c r="G40" s="20"/>
      <c r="H40" s="20"/>
      <c r="I40" s="20"/>
      <c r="J40" s="20"/>
      <c r="K40" s="22"/>
      <c r="L40" s="38"/>
      <c r="M40" s="25"/>
      <c r="N40" s="25"/>
      <c r="O40" s="25"/>
      <c r="P40" s="35"/>
      <c r="Q40" s="35"/>
      <c r="R40" s="25"/>
      <c r="S40" s="25"/>
      <c r="T40" s="25"/>
      <c r="U40" s="25"/>
      <c r="V40" s="25"/>
      <c r="W40" s="25"/>
      <c r="X40" s="25"/>
      <c r="Y40" s="25"/>
      <c r="Z40" s="24"/>
      <c r="AA40" s="19"/>
      <c r="AB40" s="19"/>
      <c r="AC40" s="19"/>
      <c r="AD40" s="19"/>
      <c r="AE40" s="19"/>
      <c r="AF40" s="19"/>
      <c r="AG40" s="19"/>
      <c r="AH40" s="19"/>
      <c r="AI40" s="19"/>
      <c r="AJ40" s="23"/>
      <c r="AK40" s="23"/>
      <c r="AL40" s="23"/>
      <c r="AM40" s="23"/>
      <c r="AN40" s="23"/>
      <c r="AO40" s="23"/>
      <c r="AP40" s="26"/>
      <c r="AQ40" s="23"/>
      <c r="AR40" s="23"/>
      <c r="AS40" s="23"/>
      <c r="AT40" s="23"/>
      <c r="AU40" s="23"/>
      <c r="AV40" s="23"/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/>
    </row>
    <row r="41" spans="1:59" s="39" customFormat="1" ht="15.75" customHeight="1" x14ac:dyDescent="0.25">
      <c r="A41" s="22"/>
      <c r="B41" s="22"/>
      <c r="C41" s="25"/>
      <c r="D41" s="30"/>
      <c r="E41" s="20"/>
      <c r="F41" s="20"/>
      <c r="G41" s="20"/>
      <c r="H41" s="20"/>
      <c r="I41" s="20"/>
      <c r="J41" s="20"/>
      <c r="K41" s="22"/>
      <c r="L41" s="38"/>
      <c r="M41" s="25"/>
      <c r="N41" s="25"/>
      <c r="O41" s="25"/>
      <c r="P41" s="35"/>
      <c r="Q41" s="35"/>
      <c r="R41" s="25"/>
      <c r="S41" s="25"/>
      <c r="T41" s="25"/>
      <c r="U41" s="25"/>
      <c r="V41" s="25"/>
      <c r="W41" s="25"/>
      <c r="X41" s="25"/>
      <c r="Y41" s="25"/>
      <c r="Z41" s="24"/>
      <c r="AA41" s="19"/>
      <c r="AB41" s="19"/>
      <c r="AC41" s="19"/>
      <c r="AD41" s="19"/>
      <c r="AE41" s="19"/>
      <c r="AF41" s="19"/>
      <c r="AG41" s="19"/>
      <c r="AH41" s="19"/>
      <c r="AI41" s="19"/>
      <c r="AJ41" s="23"/>
      <c r="AK41" s="23"/>
      <c r="AL41" s="23"/>
      <c r="AM41" s="23"/>
      <c r="AN41" s="23"/>
      <c r="AO41" s="23"/>
      <c r="AP41" s="26"/>
      <c r="AQ41" s="23"/>
      <c r="AR41" s="23"/>
      <c r="AS41" s="23"/>
      <c r="AT41" s="23"/>
      <c r="AU41" s="23"/>
      <c r="AV41" s="23"/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/>
    </row>
    <row r="42" spans="1:59" s="39" customFormat="1" ht="15.75" customHeight="1" x14ac:dyDescent="0.25">
      <c r="A42" s="22"/>
      <c r="B42" s="22"/>
      <c r="C42" s="25"/>
      <c r="D42" s="30"/>
      <c r="E42" s="20"/>
      <c r="F42" s="20"/>
      <c r="G42" s="20"/>
      <c r="H42" s="20"/>
      <c r="I42" s="20"/>
      <c r="J42" s="20"/>
      <c r="K42" s="22"/>
      <c r="L42" s="38"/>
      <c r="M42" s="25"/>
      <c r="N42" s="25"/>
      <c r="O42" s="25"/>
      <c r="P42" s="35"/>
      <c r="Q42" s="35"/>
      <c r="R42" s="25"/>
      <c r="S42" s="25"/>
      <c r="T42" s="25"/>
      <c r="U42" s="25"/>
      <c r="V42" s="25"/>
      <c r="W42" s="25"/>
      <c r="X42" s="25"/>
      <c r="Y42" s="25"/>
      <c r="Z42" s="24"/>
      <c r="AA42" s="19"/>
      <c r="AB42" s="19"/>
      <c r="AC42" s="19"/>
      <c r="AD42" s="19"/>
      <c r="AE42" s="19"/>
      <c r="AF42" s="19"/>
      <c r="AG42" s="19"/>
      <c r="AH42" s="19"/>
      <c r="AI42" s="19"/>
      <c r="AJ42" s="23"/>
      <c r="AK42" s="23"/>
      <c r="AL42" s="23"/>
      <c r="AM42" s="23"/>
      <c r="AN42" s="23"/>
      <c r="AO42" s="23"/>
      <c r="AP42" s="26"/>
      <c r="AQ42" s="23"/>
      <c r="AR42" s="23"/>
      <c r="AS42" s="23"/>
      <c r="AT42" s="23"/>
      <c r="AU42" s="23"/>
      <c r="AV42" s="23"/>
      <c r="AW42" s="23"/>
      <c r="AX42" s="23"/>
      <c r="AY42" s="35"/>
      <c r="AZ42" s="23"/>
      <c r="BA42" s="23"/>
      <c r="BB42" s="23"/>
      <c r="BC42" s="23"/>
      <c r="BD42" s="23"/>
      <c r="BE42" s="23"/>
      <c r="BF42" s="23"/>
      <c r="BG42" s="21"/>
    </row>
    <row r="43" spans="1:59" s="39" customFormat="1" ht="15.75" customHeight="1" x14ac:dyDescent="0.25">
      <c r="A43" s="22"/>
      <c r="B43" s="22"/>
      <c r="C43" s="25"/>
      <c r="D43" s="30"/>
      <c r="E43" s="20"/>
      <c r="F43" s="20"/>
      <c r="G43" s="20"/>
      <c r="H43" s="20"/>
      <c r="I43" s="20"/>
      <c r="J43" s="20"/>
      <c r="K43" s="22"/>
      <c r="L43" s="38"/>
      <c r="M43" s="25"/>
      <c r="N43" s="25"/>
      <c r="O43" s="25"/>
      <c r="P43" s="35"/>
      <c r="Q43" s="35"/>
      <c r="R43" s="25"/>
      <c r="S43" s="25"/>
      <c r="T43" s="25"/>
      <c r="U43" s="25"/>
      <c r="V43" s="25"/>
      <c r="W43" s="25"/>
      <c r="X43" s="25"/>
      <c r="Y43" s="25"/>
      <c r="Z43" s="24"/>
      <c r="AA43" s="19"/>
      <c r="AB43" s="19"/>
      <c r="AC43" s="19"/>
      <c r="AD43" s="19"/>
      <c r="AE43" s="19"/>
      <c r="AF43" s="19"/>
      <c r="AG43" s="19"/>
      <c r="AH43" s="19"/>
      <c r="AI43" s="19"/>
      <c r="AJ43" s="23"/>
      <c r="AK43" s="23"/>
      <c r="AL43" s="23"/>
      <c r="AM43" s="23"/>
      <c r="AN43" s="23"/>
      <c r="AO43" s="23"/>
      <c r="AP43" s="26"/>
      <c r="AQ43" s="23"/>
      <c r="AR43" s="23"/>
      <c r="AS43" s="23"/>
      <c r="AT43" s="23"/>
      <c r="AU43" s="23"/>
      <c r="AV43" s="23"/>
      <c r="AW43" s="23"/>
      <c r="AX43" s="23"/>
      <c r="AY43" s="35"/>
      <c r="AZ43" s="23"/>
      <c r="BA43" s="23"/>
      <c r="BB43" s="23"/>
      <c r="BC43" s="23"/>
      <c r="BD43" s="23"/>
      <c r="BE43" s="23"/>
      <c r="BF43" s="23"/>
      <c r="BG43" s="21"/>
    </row>
    <row r="44" spans="1:59" s="39" customFormat="1" ht="15.75" customHeight="1" x14ac:dyDescent="0.25">
      <c r="A44" s="22"/>
      <c r="B44" s="22"/>
      <c r="C44" s="25"/>
      <c r="D44" s="30"/>
      <c r="E44" s="20"/>
      <c r="F44" s="20"/>
      <c r="G44" s="20"/>
      <c r="H44" s="20"/>
      <c r="I44" s="20"/>
      <c r="J44" s="20"/>
      <c r="K44" s="22"/>
      <c r="L44" s="38"/>
      <c r="M44" s="25"/>
      <c r="N44" s="25"/>
      <c r="O44" s="25"/>
      <c r="P44" s="35"/>
      <c r="Q44" s="35"/>
      <c r="R44" s="25"/>
      <c r="S44" s="25"/>
      <c r="T44" s="25"/>
      <c r="U44" s="25"/>
      <c r="V44" s="25"/>
      <c r="W44" s="25"/>
      <c r="X44" s="25"/>
      <c r="Y44" s="25"/>
      <c r="Z44" s="24"/>
      <c r="AA44" s="19"/>
      <c r="AB44" s="19"/>
      <c r="AC44" s="19"/>
      <c r="AD44" s="19"/>
      <c r="AE44" s="19"/>
      <c r="AF44" s="19"/>
      <c r="AG44" s="19"/>
      <c r="AH44" s="19"/>
      <c r="AI44" s="19"/>
      <c r="AJ44" s="23"/>
      <c r="AK44" s="23"/>
      <c r="AL44" s="23"/>
      <c r="AM44" s="23"/>
      <c r="AN44" s="23"/>
      <c r="AO44" s="23"/>
      <c r="AP44" s="26"/>
      <c r="AQ44" s="23"/>
      <c r="AR44" s="23"/>
      <c r="AS44" s="23"/>
      <c r="AT44" s="23"/>
      <c r="AU44" s="23"/>
      <c r="AV44" s="23"/>
      <c r="AW44" s="23"/>
      <c r="AX44" s="23"/>
      <c r="AY44" s="35"/>
      <c r="AZ44" s="23"/>
      <c r="BA44" s="23"/>
      <c r="BB44" s="23"/>
      <c r="BC44" s="23"/>
      <c r="BD44" s="23"/>
      <c r="BE44" s="23"/>
      <c r="BF44" s="23"/>
      <c r="BG44" s="21"/>
    </row>
    <row r="45" spans="1:59" s="39" customFormat="1" ht="15.75" customHeight="1" x14ac:dyDescent="0.25">
      <c r="A45" s="22"/>
      <c r="B45" s="22"/>
      <c r="C45" s="25"/>
      <c r="D45" s="30"/>
      <c r="E45" s="20"/>
      <c r="F45" s="20"/>
      <c r="G45" s="20"/>
      <c r="H45" s="20"/>
      <c r="I45" s="20"/>
      <c r="J45" s="20"/>
      <c r="K45" s="22"/>
      <c r="L45" s="38"/>
      <c r="M45" s="25"/>
      <c r="N45" s="25"/>
      <c r="O45" s="25"/>
      <c r="P45" s="35"/>
      <c r="Q45" s="35"/>
      <c r="R45" s="25"/>
      <c r="S45" s="25"/>
      <c r="T45" s="25"/>
      <c r="U45" s="25"/>
      <c r="V45" s="25"/>
      <c r="W45" s="25"/>
      <c r="X45" s="25"/>
      <c r="Y45" s="25"/>
      <c r="Z45" s="24"/>
      <c r="AA45" s="19"/>
      <c r="AB45" s="19"/>
      <c r="AC45" s="19"/>
      <c r="AD45" s="19"/>
      <c r="AE45" s="19"/>
      <c r="AF45" s="19"/>
      <c r="AG45" s="19"/>
      <c r="AH45" s="19"/>
      <c r="AI45" s="19"/>
      <c r="AJ45" s="23"/>
      <c r="AK45" s="23"/>
      <c r="AL45" s="23"/>
      <c r="AM45" s="23"/>
      <c r="AN45" s="23"/>
      <c r="AO45" s="23"/>
      <c r="AP45" s="26"/>
      <c r="AQ45" s="23"/>
      <c r="AR45" s="23"/>
      <c r="AS45" s="23"/>
      <c r="AT45" s="23"/>
      <c r="AU45" s="23"/>
      <c r="AV45" s="23"/>
      <c r="AW45" s="23"/>
      <c r="AX45" s="23"/>
      <c r="AY45" s="35"/>
      <c r="AZ45" s="23"/>
      <c r="BA45" s="23"/>
      <c r="BB45" s="23"/>
      <c r="BC45" s="23"/>
      <c r="BD45" s="23"/>
      <c r="BE45" s="23"/>
      <c r="BF45" s="23"/>
      <c r="BG45" s="21"/>
    </row>
    <row r="46" spans="1:59" s="39" customFormat="1" ht="15.75" customHeight="1" x14ac:dyDescent="0.25">
      <c r="A46" s="22"/>
      <c r="B46" s="22"/>
      <c r="C46" s="25"/>
      <c r="D46" s="30"/>
      <c r="E46" s="20"/>
      <c r="F46" s="20"/>
      <c r="G46" s="20"/>
      <c r="H46" s="20"/>
      <c r="I46" s="20"/>
      <c r="J46" s="20"/>
      <c r="K46" s="22"/>
      <c r="L46" s="38"/>
      <c r="M46" s="25"/>
      <c r="N46" s="25"/>
      <c r="O46" s="25"/>
      <c r="P46" s="35"/>
      <c r="Q46" s="35"/>
      <c r="R46" s="25"/>
      <c r="S46" s="25"/>
      <c r="T46" s="25"/>
      <c r="U46" s="25"/>
      <c r="V46" s="25"/>
      <c r="W46" s="25"/>
      <c r="X46" s="25"/>
      <c r="Y46" s="25"/>
      <c r="Z46" s="24"/>
      <c r="AA46" s="19"/>
      <c r="AB46" s="19"/>
      <c r="AC46" s="19"/>
      <c r="AD46" s="19"/>
      <c r="AE46" s="19"/>
      <c r="AF46" s="19"/>
      <c r="AG46" s="19"/>
      <c r="AH46" s="19"/>
      <c r="AI46" s="19"/>
      <c r="AJ46" s="23"/>
      <c r="AK46" s="23"/>
      <c r="AL46" s="23"/>
      <c r="AM46" s="23"/>
      <c r="AN46" s="23"/>
      <c r="AO46" s="23"/>
      <c r="AP46" s="26"/>
      <c r="AQ46" s="23"/>
      <c r="AR46" s="23"/>
      <c r="AS46" s="23"/>
      <c r="AT46" s="23"/>
      <c r="AU46" s="23"/>
      <c r="AV46" s="23"/>
      <c r="AW46" s="23"/>
      <c r="AX46" s="23"/>
      <c r="AY46" s="35"/>
      <c r="AZ46" s="23"/>
      <c r="BA46" s="23"/>
      <c r="BB46" s="23"/>
      <c r="BC46" s="23"/>
      <c r="BD46" s="23"/>
      <c r="BE46" s="23"/>
      <c r="BF46" s="23"/>
      <c r="BG46" s="21"/>
    </row>
    <row r="47" spans="1:59" s="39" customFormat="1" ht="15.75" customHeight="1" x14ac:dyDescent="0.25">
      <c r="A47" s="22"/>
      <c r="B47" s="22"/>
      <c r="C47" s="25"/>
      <c r="D47" s="30"/>
      <c r="E47" s="20"/>
      <c r="F47" s="20"/>
      <c r="G47" s="20"/>
      <c r="H47" s="20"/>
      <c r="I47" s="20"/>
      <c r="J47" s="20"/>
      <c r="K47" s="22"/>
      <c r="L47" s="38"/>
      <c r="M47" s="25"/>
      <c r="N47" s="25"/>
      <c r="O47" s="25"/>
      <c r="P47" s="35"/>
      <c r="Q47" s="35"/>
      <c r="R47" s="25"/>
      <c r="S47" s="25"/>
      <c r="T47" s="25"/>
      <c r="U47" s="25"/>
      <c r="V47" s="25"/>
      <c r="W47" s="25"/>
      <c r="X47" s="25"/>
      <c r="Y47" s="25"/>
      <c r="Z47" s="24"/>
      <c r="AA47" s="19"/>
      <c r="AB47" s="19"/>
      <c r="AC47" s="19"/>
      <c r="AD47" s="19"/>
      <c r="AE47" s="19"/>
      <c r="AF47" s="19"/>
      <c r="AG47" s="19"/>
      <c r="AH47" s="19"/>
      <c r="AI47" s="19"/>
      <c r="AJ47" s="23"/>
      <c r="AK47" s="23"/>
      <c r="AL47" s="23"/>
      <c r="AM47" s="23"/>
      <c r="AN47" s="23"/>
      <c r="AO47" s="23"/>
      <c r="AP47" s="26"/>
      <c r="AQ47" s="23"/>
      <c r="AR47" s="23"/>
      <c r="AS47" s="23"/>
      <c r="AT47" s="23"/>
      <c r="AU47" s="23"/>
      <c r="AV47" s="23"/>
      <c r="AW47" s="23"/>
      <c r="AX47" s="23"/>
      <c r="AY47" s="35"/>
      <c r="AZ47" s="23"/>
      <c r="BA47" s="23"/>
      <c r="BB47" s="23"/>
      <c r="BC47" s="23"/>
      <c r="BD47" s="23"/>
      <c r="BE47" s="23"/>
      <c r="BF47" s="23"/>
      <c r="BG47" s="21"/>
    </row>
    <row r="48" spans="1:59" s="39" customFormat="1" ht="15.75" customHeight="1" x14ac:dyDescent="0.25">
      <c r="A48" s="22"/>
      <c r="B48" s="22"/>
      <c r="C48" s="25"/>
      <c r="D48" s="30"/>
      <c r="E48" s="20"/>
      <c r="F48" s="20"/>
      <c r="G48" s="20"/>
      <c r="H48" s="20"/>
      <c r="I48" s="20"/>
      <c r="J48" s="20"/>
      <c r="K48" s="22"/>
      <c r="L48" s="38"/>
      <c r="M48" s="25"/>
      <c r="N48" s="25"/>
      <c r="O48" s="25"/>
      <c r="P48" s="35"/>
      <c r="Q48" s="35"/>
      <c r="R48" s="25"/>
      <c r="S48" s="25"/>
      <c r="T48" s="25"/>
      <c r="U48" s="25"/>
      <c r="V48" s="25"/>
      <c r="W48" s="25"/>
      <c r="X48" s="25"/>
      <c r="Y48" s="25"/>
      <c r="Z48" s="24"/>
      <c r="AA48" s="19"/>
      <c r="AB48" s="19"/>
      <c r="AC48" s="19"/>
      <c r="AD48" s="19"/>
      <c r="AE48" s="19"/>
      <c r="AF48" s="19"/>
      <c r="AG48" s="19"/>
      <c r="AH48" s="19"/>
      <c r="AI48" s="19"/>
      <c r="AJ48" s="23"/>
      <c r="AK48" s="23"/>
      <c r="AL48" s="23"/>
      <c r="AM48" s="23"/>
      <c r="AN48" s="23"/>
      <c r="AO48" s="23"/>
      <c r="AP48" s="26"/>
      <c r="AQ48" s="23"/>
      <c r="AR48" s="23"/>
      <c r="AS48" s="23"/>
      <c r="AT48" s="23"/>
      <c r="AU48" s="23"/>
      <c r="AV48" s="23"/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/>
    </row>
    <row r="49" spans="1:60" s="39" customFormat="1" ht="15.75" customHeight="1" x14ac:dyDescent="0.25">
      <c r="A49" s="22"/>
      <c r="B49" s="22"/>
      <c r="C49" s="25"/>
      <c r="D49" s="30"/>
      <c r="E49" s="20"/>
      <c r="F49" s="20"/>
      <c r="G49" s="20"/>
      <c r="H49" s="20"/>
      <c r="I49" s="20"/>
      <c r="J49" s="20"/>
      <c r="K49" s="22"/>
      <c r="L49" s="38"/>
      <c r="M49" s="25"/>
      <c r="N49" s="25"/>
      <c r="O49" s="25"/>
      <c r="P49" s="35"/>
      <c r="Q49" s="35"/>
      <c r="R49" s="25"/>
      <c r="S49" s="25"/>
      <c r="T49" s="25"/>
      <c r="U49" s="25"/>
      <c r="V49" s="25"/>
      <c r="W49" s="25"/>
      <c r="X49" s="25"/>
      <c r="Y49" s="25"/>
      <c r="Z49" s="24"/>
      <c r="AA49" s="19"/>
      <c r="AB49" s="19"/>
      <c r="AC49" s="19"/>
      <c r="AD49" s="19"/>
      <c r="AE49" s="19"/>
      <c r="AF49" s="19"/>
      <c r="AG49" s="19"/>
      <c r="AH49" s="19"/>
      <c r="AI49" s="19"/>
      <c r="AJ49" s="23"/>
      <c r="AK49" s="23"/>
      <c r="AL49" s="23"/>
      <c r="AM49" s="23"/>
      <c r="AN49" s="23"/>
      <c r="AO49" s="23"/>
      <c r="AP49" s="26"/>
      <c r="AQ49" s="23"/>
      <c r="AR49" s="23"/>
      <c r="AS49" s="23"/>
      <c r="AT49" s="23"/>
      <c r="AU49" s="23"/>
      <c r="AV49" s="23"/>
      <c r="AW49" s="23"/>
      <c r="AX49" s="23"/>
      <c r="AY49" s="35"/>
      <c r="AZ49" s="23"/>
      <c r="BA49" s="23"/>
      <c r="BB49" s="23"/>
      <c r="BC49" s="23"/>
      <c r="BD49" s="23"/>
      <c r="BE49" s="23"/>
      <c r="BF49" s="23"/>
      <c r="BG49" s="21"/>
    </row>
    <row r="50" spans="1:60" s="39" customFormat="1" ht="15.75" customHeight="1" x14ac:dyDescent="0.25">
      <c r="A50" s="22"/>
      <c r="B50" s="22"/>
      <c r="C50" s="25"/>
      <c r="D50" s="30"/>
      <c r="E50" s="20"/>
      <c r="F50" s="20"/>
      <c r="G50" s="20"/>
      <c r="H50" s="20"/>
      <c r="I50" s="20"/>
      <c r="J50" s="20"/>
      <c r="K50" s="22"/>
      <c r="L50" s="38"/>
      <c r="M50" s="25"/>
      <c r="N50" s="25"/>
      <c r="O50" s="25"/>
      <c r="P50" s="35"/>
      <c r="Q50" s="35"/>
      <c r="R50" s="25"/>
      <c r="S50" s="25"/>
      <c r="T50" s="25"/>
      <c r="U50" s="25"/>
      <c r="V50" s="25"/>
      <c r="W50" s="25"/>
      <c r="X50" s="25"/>
      <c r="Y50" s="25"/>
      <c r="Z50" s="24"/>
      <c r="AA50" s="19"/>
      <c r="AB50" s="19"/>
      <c r="AC50" s="19"/>
      <c r="AD50" s="19"/>
      <c r="AE50" s="19"/>
      <c r="AF50" s="19"/>
      <c r="AG50" s="19"/>
      <c r="AH50" s="19"/>
      <c r="AI50" s="19"/>
      <c r="AJ50" s="23"/>
      <c r="AK50" s="23"/>
      <c r="AL50" s="23"/>
      <c r="AM50" s="23"/>
      <c r="AN50" s="23"/>
      <c r="AO50" s="23"/>
      <c r="AP50" s="26"/>
      <c r="AQ50" s="23"/>
      <c r="AR50" s="23"/>
      <c r="AS50" s="23"/>
      <c r="AT50" s="23"/>
      <c r="AU50" s="23"/>
      <c r="AV50" s="23"/>
      <c r="AW50" s="23"/>
      <c r="AX50" s="23"/>
      <c r="AY50" s="35"/>
      <c r="AZ50" s="23"/>
      <c r="BA50" s="23"/>
      <c r="BB50" s="23"/>
      <c r="BC50" s="23"/>
      <c r="BD50" s="23"/>
      <c r="BE50" s="23"/>
      <c r="BF50" s="23"/>
      <c r="BG50" s="21"/>
    </row>
    <row r="51" spans="1:60" s="39" customFormat="1" ht="15.75" customHeight="1" x14ac:dyDescent="0.25">
      <c r="A51" s="22"/>
      <c r="B51" s="22"/>
      <c r="C51" s="25"/>
      <c r="D51" s="30"/>
      <c r="E51" s="20"/>
      <c r="F51" s="20"/>
      <c r="G51" s="20"/>
      <c r="H51" s="20"/>
      <c r="I51" s="20"/>
      <c r="J51" s="20"/>
      <c r="K51" s="22"/>
      <c r="L51" s="38"/>
      <c r="M51" s="25"/>
      <c r="N51" s="25"/>
      <c r="O51" s="25"/>
      <c r="P51" s="35"/>
      <c r="Q51" s="35"/>
      <c r="R51" s="25"/>
      <c r="S51" s="25"/>
      <c r="T51" s="25"/>
      <c r="U51" s="25"/>
      <c r="V51" s="25"/>
      <c r="W51" s="25"/>
      <c r="X51" s="25"/>
      <c r="Y51" s="25"/>
      <c r="Z51" s="24"/>
      <c r="AA51" s="19"/>
      <c r="AB51" s="19"/>
      <c r="AC51" s="19"/>
      <c r="AD51" s="19"/>
      <c r="AE51" s="19"/>
      <c r="AF51" s="19"/>
      <c r="AG51" s="19"/>
      <c r="AH51" s="19"/>
      <c r="AI51" s="19"/>
      <c r="AJ51" s="23"/>
      <c r="AK51" s="23"/>
      <c r="AL51" s="23"/>
      <c r="AM51" s="23"/>
      <c r="AN51" s="23"/>
      <c r="AO51" s="23"/>
      <c r="AP51" s="26"/>
      <c r="AQ51" s="23"/>
      <c r="AR51" s="23"/>
      <c r="AS51" s="23"/>
      <c r="AT51" s="23"/>
      <c r="AU51" s="23"/>
      <c r="AV51" s="23"/>
      <c r="AW51" s="23"/>
      <c r="AX51" s="23"/>
      <c r="AY51" s="35"/>
      <c r="AZ51" s="23"/>
      <c r="BA51" s="23"/>
      <c r="BB51" s="23"/>
      <c r="BC51" s="23"/>
      <c r="BD51" s="23"/>
      <c r="BE51" s="23"/>
      <c r="BF51" s="23"/>
      <c r="BG51" s="21"/>
    </row>
    <row r="52" spans="1:60" s="39" customFormat="1" ht="15.75" customHeight="1" x14ac:dyDescent="0.25">
      <c r="A52" s="22"/>
      <c r="B52" s="22"/>
      <c r="C52" s="25"/>
      <c r="D52" s="30"/>
      <c r="E52" s="20"/>
      <c r="F52" s="20"/>
      <c r="G52" s="20"/>
      <c r="H52" s="20"/>
      <c r="I52" s="20"/>
      <c r="J52" s="20"/>
      <c r="K52" s="22"/>
      <c r="L52" s="38"/>
      <c r="M52" s="25"/>
      <c r="N52" s="25"/>
      <c r="O52" s="25"/>
      <c r="P52" s="35"/>
      <c r="Q52" s="35"/>
      <c r="R52" s="25"/>
      <c r="S52" s="25"/>
      <c r="T52" s="25"/>
      <c r="U52" s="25"/>
      <c r="V52" s="25"/>
      <c r="W52" s="25"/>
      <c r="X52" s="25"/>
      <c r="Y52" s="25"/>
      <c r="Z52" s="24"/>
      <c r="AA52" s="19"/>
      <c r="AB52" s="19"/>
      <c r="AC52" s="19"/>
      <c r="AD52" s="19"/>
      <c r="AE52" s="19"/>
      <c r="AF52" s="19"/>
      <c r="AG52" s="19"/>
      <c r="AH52" s="19"/>
      <c r="AI52" s="19"/>
      <c r="AJ52" s="23"/>
      <c r="AK52" s="23"/>
      <c r="AL52" s="23"/>
      <c r="AM52" s="23"/>
      <c r="AN52" s="23"/>
      <c r="AO52" s="23"/>
      <c r="AP52" s="26"/>
      <c r="AQ52" s="23"/>
      <c r="AR52" s="23"/>
      <c r="AS52" s="23"/>
      <c r="AT52" s="23"/>
      <c r="AU52" s="23"/>
      <c r="AV52" s="23"/>
      <c r="AW52" s="23"/>
      <c r="AX52" s="23"/>
      <c r="AY52" s="35"/>
      <c r="AZ52" s="23"/>
      <c r="BA52" s="23"/>
      <c r="BB52" s="23"/>
      <c r="BC52" s="23"/>
      <c r="BD52" s="23"/>
      <c r="BE52" s="23"/>
      <c r="BF52" s="23"/>
      <c r="BG52" s="21"/>
    </row>
    <row r="53" spans="1:60" s="39" customFormat="1" ht="15.75" customHeight="1" x14ac:dyDescent="0.25">
      <c r="A53" s="22"/>
      <c r="B53" s="22"/>
      <c r="C53" s="25"/>
      <c r="D53" s="30"/>
      <c r="E53" s="20"/>
      <c r="F53" s="20"/>
      <c r="G53" s="20"/>
      <c r="H53" s="20"/>
      <c r="I53" s="20"/>
      <c r="J53" s="20"/>
      <c r="K53" s="22"/>
      <c r="L53" s="38"/>
      <c r="M53" s="25"/>
      <c r="N53" s="25"/>
      <c r="O53" s="25"/>
      <c r="P53" s="35"/>
      <c r="Q53" s="35"/>
      <c r="R53" s="25"/>
      <c r="S53" s="25"/>
      <c r="T53" s="25"/>
      <c r="U53" s="25"/>
      <c r="V53" s="25"/>
      <c r="W53" s="25"/>
      <c r="X53" s="25"/>
      <c r="Y53" s="25"/>
      <c r="Z53" s="24"/>
      <c r="AA53" s="19"/>
      <c r="AB53" s="19"/>
      <c r="AC53" s="19"/>
      <c r="AD53" s="19"/>
      <c r="AE53" s="19"/>
      <c r="AF53" s="19"/>
      <c r="AG53" s="19"/>
      <c r="AH53" s="19"/>
      <c r="AI53" s="19"/>
      <c r="AJ53" s="23"/>
      <c r="AK53" s="23"/>
      <c r="AL53" s="23"/>
      <c r="AM53" s="23"/>
      <c r="AN53" s="23"/>
      <c r="AO53" s="23"/>
      <c r="AP53" s="26"/>
      <c r="AQ53" s="23"/>
      <c r="AR53" s="23"/>
      <c r="AS53" s="23"/>
      <c r="AT53" s="23"/>
      <c r="AU53" s="23"/>
      <c r="AV53" s="23"/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/>
    </row>
    <row r="54" spans="1:60" s="39" customFormat="1" ht="15.75" customHeight="1" x14ac:dyDescent="0.25">
      <c r="A54" s="22"/>
      <c r="B54" s="22"/>
      <c r="C54" s="25"/>
      <c r="D54" s="30"/>
      <c r="E54" s="20"/>
      <c r="F54" s="20"/>
      <c r="G54" s="20"/>
      <c r="H54" s="20"/>
      <c r="I54" s="20"/>
      <c r="J54" s="20"/>
      <c r="K54" s="22"/>
      <c r="L54" s="38"/>
      <c r="M54" s="25"/>
      <c r="N54" s="25"/>
      <c r="O54" s="25"/>
      <c r="P54" s="35"/>
      <c r="Q54" s="35"/>
      <c r="R54" s="25"/>
      <c r="S54" s="25"/>
      <c r="T54" s="25"/>
      <c r="U54" s="25"/>
      <c r="V54" s="25"/>
      <c r="W54" s="25"/>
      <c r="X54" s="25"/>
      <c r="Y54" s="25"/>
      <c r="Z54" s="24"/>
      <c r="AA54" s="19"/>
      <c r="AB54" s="19"/>
      <c r="AC54" s="19"/>
      <c r="AD54" s="19"/>
      <c r="AE54" s="19"/>
      <c r="AF54" s="19"/>
      <c r="AG54" s="19"/>
      <c r="AH54" s="19"/>
      <c r="AI54" s="19"/>
      <c r="AJ54" s="23"/>
      <c r="AK54" s="23"/>
      <c r="AL54" s="23"/>
      <c r="AM54" s="23"/>
      <c r="AN54" s="23"/>
      <c r="AO54" s="23"/>
      <c r="AP54" s="26"/>
      <c r="AQ54" s="23"/>
      <c r="AR54" s="23"/>
      <c r="AS54" s="23"/>
      <c r="AT54" s="23"/>
      <c r="AU54" s="23"/>
      <c r="AV54" s="23"/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/>
    </row>
    <row r="55" spans="1:60" s="39" customFormat="1" ht="15.75" customHeight="1" x14ac:dyDescent="0.25">
      <c r="A55" s="22"/>
      <c r="B55" s="22"/>
      <c r="C55" s="25"/>
      <c r="D55" s="30"/>
      <c r="E55" s="20"/>
      <c r="F55" s="20"/>
      <c r="G55" s="20"/>
      <c r="H55" s="20"/>
      <c r="I55" s="20"/>
      <c r="J55" s="20"/>
      <c r="K55" s="22"/>
      <c r="L55" s="38"/>
      <c r="M55" s="25"/>
      <c r="N55" s="25"/>
      <c r="O55" s="25"/>
      <c r="P55" s="35"/>
      <c r="Q55" s="35"/>
      <c r="R55" s="25"/>
      <c r="S55" s="25"/>
      <c r="T55" s="25"/>
      <c r="U55" s="25"/>
      <c r="V55" s="25"/>
      <c r="W55" s="25"/>
      <c r="X55" s="25"/>
      <c r="Y55" s="25"/>
      <c r="Z55" s="24"/>
      <c r="AA55" s="19"/>
      <c r="AB55" s="19"/>
      <c r="AC55" s="19"/>
      <c r="AD55" s="19"/>
      <c r="AE55" s="19"/>
      <c r="AF55" s="19"/>
      <c r="AG55" s="19"/>
      <c r="AH55" s="19"/>
      <c r="AI55" s="19"/>
      <c r="AJ55" s="23"/>
      <c r="AK55" s="23"/>
      <c r="AL55" s="23"/>
      <c r="AM55" s="23"/>
      <c r="AN55" s="23"/>
      <c r="AO55" s="23"/>
      <c r="AP55" s="26"/>
      <c r="AQ55" s="23"/>
      <c r="AR55" s="23"/>
      <c r="AS55" s="23"/>
      <c r="AT55" s="23"/>
      <c r="AU55" s="23"/>
      <c r="AV55" s="23"/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/>
    </row>
    <row r="56" spans="1:60" s="39" customFormat="1" ht="15.75" customHeight="1" x14ac:dyDescent="0.25">
      <c r="A56" s="22"/>
      <c r="B56" s="22"/>
      <c r="C56" s="25"/>
      <c r="D56" s="30"/>
      <c r="E56" s="20"/>
      <c r="F56" s="20"/>
      <c r="G56" s="20"/>
      <c r="H56" s="20"/>
      <c r="I56" s="20"/>
      <c r="J56" s="20"/>
      <c r="K56" s="22"/>
      <c r="L56" s="38"/>
      <c r="M56" s="25"/>
      <c r="N56" s="25"/>
      <c r="O56" s="25"/>
      <c r="P56" s="35"/>
      <c r="Q56" s="35"/>
      <c r="R56" s="25"/>
      <c r="S56" s="25"/>
      <c r="T56" s="25"/>
      <c r="U56" s="25"/>
      <c r="V56" s="25"/>
      <c r="W56" s="25"/>
      <c r="X56" s="25"/>
      <c r="Y56" s="25"/>
      <c r="Z56" s="24"/>
      <c r="AA56" s="19"/>
      <c r="AB56" s="19"/>
      <c r="AC56" s="19"/>
      <c r="AD56" s="19"/>
      <c r="AE56" s="19"/>
      <c r="AF56" s="19"/>
      <c r="AG56" s="19"/>
      <c r="AH56" s="19"/>
      <c r="AI56" s="19"/>
      <c r="AJ56" s="23"/>
      <c r="AK56" s="23"/>
      <c r="AL56" s="23"/>
      <c r="AM56" s="23"/>
      <c r="AN56" s="23"/>
      <c r="AO56" s="23"/>
      <c r="AP56" s="26"/>
      <c r="AQ56" s="23"/>
      <c r="AR56" s="23"/>
      <c r="AS56" s="23"/>
      <c r="AT56" s="23"/>
      <c r="AU56" s="23"/>
      <c r="AV56" s="23"/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/>
    </row>
    <row r="57" spans="1:60" s="39" customFormat="1" ht="15.75" customHeight="1" x14ac:dyDescent="0.25">
      <c r="A57" s="22"/>
      <c r="B57" s="22"/>
      <c r="C57" s="25"/>
      <c r="D57" s="30"/>
      <c r="E57" s="20"/>
      <c r="F57" s="20"/>
      <c r="G57" s="20"/>
      <c r="H57" s="20"/>
      <c r="I57" s="20"/>
      <c r="J57" s="20"/>
      <c r="K57" s="22"/>
      <c r="L57" s="38"/>
      <c r="M57" s="25"/>
      <c r="N57" s="25"/>
      <c r="O57" s="25"/>
      <c r="P57" s="35"/>
      <c r="Q57" s="35"/>
      <c r="R57" s="25"/>
      <c r="S57" s="25"/>
      <c r="T57" s="25"/>
      <c r="U57" s="25"/>
      <c r="V57" s="25"/>
      <c r="W57" s="25"/>
      <c r="X57" s="25"/>
      <c r="Y57" s="25"/>
      <c r="Z57" s="24"/>
      <c r="AA57" s="19"/>
      <c r="AB57" s="19"/>
      <c r="AC57" s="19"/>
      <c r="AD57" s="19"/>
      <c r="AE57" s="19"/>
      <c r="AF57" s="19"/>
      <c r="AG57" s="19"/>
      <c r="AH57" s="19"/>
      <c r="AI57" s="19"/>
      <c r="AJ57" s="23"/>
      <c r="AK57" s="23"/>
      <c r="AL57" s="23"/>
      <c r="AM57" s="23"/>
      <c r="AN57" s="23"/>
      <c r="AO57" s="23"/>
      <c r="AP57" s="26"/>
      <c r="AQ57" s="23"/>
      <c r="AR57" s="23"/>
      <c r="AS57" s="23"/>
      <c r="AT57" s="23"/>
      <c r="AU57" s="23"/>
      <c r="AV57" s="23"/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/>
    </row>
    <row r="58" spans="1:60" s="39" customFormat="1" ht="15.75" customHeight="1" x14ac:dyDescent="0.25">
      <c r="A58" s="22"/>
      <c r="B58" s="22"/>
      <c r="C58" s="25"/>
      <c r="D58" s="30"/>
      <c r="E58" s="20"/>
      <c r="F58" s="20"/>
      <c r="G58" s="20"/>
      <c r="H58" s="20"/>
      <c r="I58" s="20"/>
      <c r="J58" s="20"/>
      <c r="K58" s="22"/>
      <c r="L58" s="38"/>
      <c r="M58" s="25"/>
      <c r="N58" s="25"/>
      <c r="O58" s="25"/>
      <c r="P58" s="35"/>
      <c r="Q58" s="35"/>
      <c r="R58" s="25"/>
      <c r="S58" s="25"/>
      <c r="T58" s="25"/>
      <c r="U58" s="25"/>
      <c r="V58" s="25"/>
      <c r="W58" s="25"/>
      <c r="X58" s="25"/>
      <c r="Y58" s="25"/>
      <c r="Z58" s="24"/>
      <c r="AA58" s="19"/>
      <c r="AB58" s="19"/>
      <c r="AC58" s="19"/>
      <c r="AD58" s="19"/>
      <c r="AE58" s="19"/>
      <c r="AF58" s="19"/>
      <c r="AG58" s="19"/>
      <c r="AH58" s="19"/>
      <c r="AI58" s="19"/>
      <c r="AJ58" s="23"/>
      <c r="AK58" s="23"/>
      <c r="AL58" s="23"/>
      <c r="AM58" s="23"/>
      <c r="AN58" s="23"/>
      <c r="AO58" s="23"/>
      <c r="AP58" s="26"/>
      <c r="AQ58" s="23"/>
      <c r="AR58" s="23"/>
      <c r="AS58" s="23"/>
      <c r="AT58" s="23"/>
      <c r="AU58" s="23"/>
      <c r="AV58" s="23"/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/>
    </row>
    <row r="59" spans="1:60" s="39" customFormat="1" ht="15.75" customHeight="1" x14ac:dyDescent="0.25">
      <c r="A59" s="22"/>
      <c r="B59" s="22"/>
      <c r="C59" s="25"/>
      <c r="D59" s="30"/>
      <c r="E59" s="20"/>
      <c r="F59" s="20"/>
      <c r="G59" s="20"/>
      <c r="H59" s="20"/>
      <c r="I59" s="20"/>
      <c r="J59" s="20"/>
      <c r="K59" s="22"/>
      <c r="L59" s="38"/>
      <c r="M59" s="25"/>
      <c r="N59" s="25"/>
      <c r="O59" s="25"/>
      <c r="P59" s="35"/>
      <c r="Q59" s="35"/>
      <c r="R59" s="25"/>
      <c r="S59" s="25"/>
      <c r="T59" s="25"/>
      <c r="U59" s="25"/>
      <c r="V59" s="25"/>
      <c r="W59" s="25"/>
      <c r="X59" s="25"/>
      <c r="Y59" s="25"/>
      <c r="Z59" s="24"/>
      <c r="AA59" s="19"/>
      <c r="AB59" s="19"/>
      <c r="AC59" s="19"/>
      <c r="AD59" s="19"/>
      <c r="AE59" s="19"/>
      <c r="AF59" s="19"/>
      <c r="AG59" s="19"/>
      <c r="AH59" s="19"/>
      <c r="AI59" s="19"/>
      <c r="AJ59" s="23"/>
      <c r="AK59" s="23"/>
      <c r="AL59" s="23"/>
      <c r="AM59" s="23"/>
      <c r="AN59" s="23"/>
      <c r="AO59" s="23"/>
      <c r="AP59" s="26"/>
      <c r="AQ59" s="23"/>
      <c r="AR59" s="23"/>
      <c r="AS59" s="23"/>
      <c r="AT59" s="23"/>
      <c r="AU59" s="23"/>
      <c r="AV59" s="23"/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F9" sqref="F9"/>
    </sheetView>
  </sheetViews>
  <sheetFormatPr defaultRowHeight="15.75" x14ac:dyDescent="0.25"/>
  <cols>
    <col min="1" max="1" width="22.42578125" style="40" customWidth="1"/>
    <col min="2" max="2" width="31.8554687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124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124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98</v>
      </c>
    </row>
    <row r="9" spans="1:2" x14ac:dyDescent="0.25">
      <c r="A9" s="41" t="s">
        <v>77</v>
      </c>
      <c r="B9" s="41"/>
    </row>
    <row r="10" spans="1:2" x14ac:dyDescent="0.25">
      <c r="A10" s="46" t="s">
        <v>82</v>
      </c>
      <c r="B10" s="40" t="s">
        <v>98</v>
      </c>
    </row>
    <row r="11" spans="1:2" x14ac:dyDescent="0.25">
      <c r="A11" s="46" t="s">
        <v>123</v>
      </c>
      <c r="B11" s="46" t="s">
        <v>123</v>
      </c>
    </row>
    <row r="12" spans="1:2" x14ac:dyDescent="0.25">
      <c r="A12" s="29" t="s">
        <v>112</v>
      </c>
      <c r="B12" s="40">
        <v>0</v>
      </c>
    </row>
    <row r="13" spans="1:2" x14ac:dyDescent="0.25">
      <c r="A13" s="46" t="s">
        <v>113</v>
      </c>
      <c r="B13" s="40">
        <v>8</v>
      </c>
    </row>
    <row r="14" spans="1:2" x14ac:dyDescent="0.25">
      <c r="A14" s="46" t="s">
        <v>115</v>
      </c>
      <c r="B14" s="30" t="s">
        <v>99</v>
      </c>
    </row>
    <row r="15" spans="1:2" x14ac:dyDescent="0.25">
      <c r="A15" s="46" t="s">
        <v>116</v>
      </c>
      <c r="B15" s="30" t="s">
        <v>105</v>
      </c>
    </row>
    <row r="16" spans="1:2" x14ac:dyDescent="0.25">
      <c r="A16" s="46" t="s">
        <v>117</v>
      </c>
      <c r="B16" s="30" t="s">
        <v>106</v>
      </c>
    </row>
    <row r="17" spans="1:2" x14ac:dyDescent="0.25">
      <c r="A17" s="46" t="s">
        <v>118</v>
      </c>
      <c r="B17" s="30" t="s">
        <v>107</v>
      </c>
    </row>
    <row r="18" spans="1:2" x14ac:dyDescent="0.25">
      <c r="A18" s="46" t="s">
        <v>119</v>
      </c>
      <c r="B18" s="30" t="s">
        <v>108</v>
      </c>
    </row>
    <row r="19" spans="1:2" x14ac:dyDescent="0.25">
      <c r="A19" s="46" t="s">
        <v>120</v>
      </c>
      <c r="B19" s="30" t="s">
        <v>109</v>
      </c>
    </row>
    <row r="20" spans="1:2" x14ac:dyDescent="0.25">
      <c r="A20" s="46" t="s">
        <v>121</v>
      </c>
      <c r="B20" s="30" t="s">
        <v>110</v>
      </c>
    </row>
    <row r="21" spans="1:2" x14ac:dyDescent="0.25">
      <c r="A21" s="46" t="s">
        <v>122</v>
      </c>
      <c r="B21" s="30" t="s">
        <v>111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2025-10-21T04:58:31Z</dcterms:modified>
</cp:coreProperties>
</file>