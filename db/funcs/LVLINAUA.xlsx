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W10" i="5" l="1"/>
  <c r="AX10" i="5" s="1"/>
  <c r="AW9" i="5"/>
  <c r="AX9" i="5" s="1"/>
  <c r="AW8" i="5"/>
  <c r="AX8" i="5" s="1"/>
  <c r="AW7" i="5"/>
  <c r="AX7" i="5" s="1"/>
  <c r="AV7" i="5" l="1"/>
  <c r="AV8" i="5"/>
  <c r="AV9" i="5"/>
  <c r="AV10" i="5"/>
  <c r="BH6" i="6" l="1"/>
  <c r="AW6" i="6"/>
  <c r="K6" i="6"/>
  <c r="J6" i="6"/>
  <c r="BH5" i="6"/>
  <c r="AW5" i="6"/>
  <c r="K5" i="6"/>
  <c r="J5" i="6"/>
  <c r="BH4" i="6"/>
  <c r="AW4" i="6"/>
  <c r="K4" i="6"/>
  <c r="J4" i="6"/>
  <c r="BG4" i="4" l="1"/>
  <c r="J4" i="4"/>
  <c r="I4" i="4"/>
  <c r="BG10" i="5" l="1"/>
  <c r="BG9" i="5"/>
  <c r="BG8" i="5"/>
  <c r="BG7" i="5"/>
  <c r="BH10" i="6"/>
  <c r="AW10" i="6"/>
  <c r="AQ10" i="6"/>
  <c r="K10" i="6"/>
  <c r="J10" i="6"/>
  <c r="BH8" i="6"/>
  <c r="AW8" i="6"/>
  <c r="AQ8" i="6"/>
  <c r="K8" i="6"/>
  <c r="J8" i="6"/>
  <c r="BG8" i="4"/>
  <c r="AV8" i="4"/>
  <c r="J8" i="4"/>
  <c r="I8" i="4"/>
  <c r="BH7" i="6"/>
  <c r="AW7" i="6"/>
  <c r="AQ7" i="6"/>
  <c r="K7" i="6"/>
  <c r="J7" i="6"/>
  <c r="BH9" i="6"/>
  <c r="AW9" i="6"/>
  <c r="AQ9" i="6"/>
  <c r="K9" i="6"/>
  <c r="J9" i="6"/>
  <c r="BH3" i="6"/>
  <c r="AW3" i="6"/>
  <c r="K3" i="6"/>
  <c r="J3" i="6"/>
  <c r="AI1" i="6"/>
  <c r="AP10" i="5"/>
  <c r="J10" i="5"/>
  <c r="I10" i="5"/>
  <c r="AP9" i="5"/>
  <c r="J9" i="5"/>
  <c r="I9" i="5"/>
  <c r="AP8" i="5"/>
  <c r="J8" i="5"/>
  <c r="I8" i="5"/>
  <c r="AP7" i="5"/>
  <c r="J7" i="5"/>
  <c r="I7" i="5"/>
  <c r="BG6" i="5"/>
  <c r="AP6" i="5"/>
  <c r="J6" i="5"/>
  <c r="I6" i="5"/>
  <c r="BG5" i="5"/>
  <c r="AP5" i="5"/>
  <c r="J5" i="5"/>
  <c r="I5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3" i="4"/>
  <c r="J3" i="4"/>
  <c r="I3" i="4"/>
  <c r="BG6" i="4"/>
  <c r="AV6" i="4"/>
  <c r="J6" i="4"/>
  <c r="I6" i="4"/>
  <c r="BG5" i="4"/>
  <c r="AV5" i="4"/>
  <c r="J5" i="4"/>
  <c r="I5" i="4"/>
  <c r="BG7" i="4"/>
  <c r="AV7" i="4"/>
  <c r="J7" i="4"/>
  <c r="I7" i="4"/>
  <c r="AH1" i="4"/>
</calcChain>
</file>

<file path=xl/sharedStrings.xml><?xml version="1.0" encoding="utf-8"?>
<sst xmlns="http://schemas.openxmlformats.org/spreadsheetml/2006/main" count="606" uniqueCount="196">
  <si>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</si>
  <si>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</si>
  <si>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</si>
  <si>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</si>
  <si>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</si>
  <si>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</si>
  <si>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</si>
  <si>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</si>
  <si>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</si>
  <si>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</si>
  <si>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</si>
  <si>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</si>
  <si>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</si>
  <si>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</si>
  <si>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</si>
  <si>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</si>
  <si>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</si>
  <si>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</si>
  <si>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</si>
  <si>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</si>
  <si>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</si>
  <si>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</si>
  <si>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</si>
  <si>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</si>
  <si>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</si>
  <si>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</si>
  <si>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</si>
  <si>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</si>
  <si>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</si>
  <si>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</si>
  <si>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</si>
  <si>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</si>
  <si>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</si>
  <si>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</si>
  <si>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</si>
  <si>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</si>
  <si>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</si>
  <si>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</si>
  <si>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</si>
  <si>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</si>
  <si>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</si>
  <si>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</si>
  <si>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</si>
  <si>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</si>
  <si>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</si>
  <si>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</si>
  <si>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</si>
  <si>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</si>
  <si>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</si>
  <si>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</si>
  <si>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</si>
  <si>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</si>
  <si>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</si>
  <si>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</si>
  <si>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</si>
  <si>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</si>
  <si>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</si>
  <si>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</si>
  <si>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</si>
  <si>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</si>
  <si>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</si>
  <si>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</si>
  <si>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</si>
  <si>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</si>
  <si>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</si>
  <si>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</si>
  <si>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</si>
  <si>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</si>
  <si>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</si>
  <si>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</si>
  <si>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</si>
  <si>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</si>
  <si>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</si>
  <si>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</si>
  <si>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</si>
  <si>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</si>
  <si>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</si>
  <si>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</si>
  <si>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</si>
  <si>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</si>
  <si>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</si>
  <si>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</si>
  <si>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</si>
  <si>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</si>
  <si>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</si>
  <si>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</si>
  <si>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</si>
  <si>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</si>
  <si>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</si>
  <si>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</si>
  <si>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</si>
  <si>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</si>
  <si>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</si>
  <si>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</si>
  <si>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</si>
  <si>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</si>
  <si>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</si>
  <si>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</si>
  <si>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</si>
  <si>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</si>
  <si>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</si>
  <si>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</si>
  <si>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 АУ ТЗНП</t>
  </si>
  <si>
    <t>AUAStrZstoc</t>
  </si>
  <si>
    <t>Пуск АУ МТЗ</t>
  </si>
  <si>
    <t>AUAStrPtoc</t>
  </si>
  <si>
    <t>Пуск АУ ДЗ</t>
  </si>
  <si>
    <t>AUAStrDis</t>
  </si>
  <si>
    <t>АУ</t>
  </si>
  <si>
    <t>Выдержка времени срабатывания ускоряемой ступени ТЗНП</t>
  </si>
  <si>
    <t>Тср_ТЗНП</t>
  </si>
  <si>
    <t>Выдержка времени срабатывания ускоряемой ступени МТЗ</t>
  </si>
  <si>
    <t>Тср_МТЗ</t>
  </si>
  <si>
    <t>Выдержка времени срабатывания ускоряемой ступени ДЗ</t>
  </si>
  <si>
    <t>Тср_ДЗ</t>
  </si>
  <si>
    <t>Время ввода ускорения при включении выключателя</t>
  </si>
  <si>
    <t>Твв</t>
  </si>
  <si>
    <t>Ввод ускорения</t>
  </si>
  <si>
    <t>LVLINAUA</t>
  </si>
  <si>
    <t>Индикация поведения логического узла АУ</t>
  </si>
  <si>
    <t>Индикация исправности логического узла АУ</t>
  </si>
  <si>
    <t>PSOF1_Tzstoc</t>
  </si>
  <si>
    <t>PSOF1_Tptoc</t>
  </si>
  <si>
    <t>PSOF1_Tdis</t>
  </si>
  <si>
    <t>PSOF1_TpssuEnable</t>
  </si>
  <si>
    <t>PSOF1_EnaDis</t>
  </si>
  <si>
    <t>PSOF1.OpDlTmms3I0</t>
  </si>
  <si>
    <t>PSOF1.OpDlTmmsI</t>
  </si>
  <si>
    <t>PSOF1.OpDlTmmsR</t>
  </si>
  <si>
    <t>PSOF1.OnPosTmms</t>
  </si>
  <si>
    <t>PSOF1_FuncEnabled</t>
  </si>
  <si>
    <t>PSOF1_FuncOperDisabled</t>
  </si>
  <si>
    <t>PSOF1_Op</t>
  </si>
  <si>
    <t>PSOF1_StAcc</t>
  </si>
  <si>
    <t>PSOF1_Beh</t>
  </si>
  <si>
    <t>PSOF1_Health</t>
  </si>
  <si>
    <t>PSOF1.Op</t>
  </si>
  <si>
    <t>PSOF1.Beh</t>
  </si>
  <si>
    <t>PSOF1.Health</t>
  </si>
  <si>
    <t>FBLLN0</t>
  </si>
  <si>
    <t>61850_TypeLN</t>
  </si>
  <si>
    <t>LVLINAUAPSOF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</si>
  <si>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</si>
  <si>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</si>
  <si>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</si>
  <si>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</si>
  <si>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</si>
  <si>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</si>
  <si>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</si>
  <si>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</si>
  <si>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</si>
  <si>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</si>
  <si>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</si>
  <si>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АУ</t>
  </si>
  <si>
    <t>В Отключен</t>
  </si>
  <si>
    <t>CBPosOpn</t>
  </si>
  <si>
    <t>LVLINAUA_operOutFunction</t>
  </si>
  <si>
    <t>Оперативный вывод</t>
  </si>
  <si>
    <t>Срабатывание</t>
  </si>
  <si>
    <t>BOOLEAN</t>
  </si>
  <si>
    <t>Ввод_функции</t>
  </si>
  <si>
    <t>Автоматическое ускорение МТЗ</t>
  </si>
  <si>
    <t>АУ_МТЗ</t>
  </si>
  <si>
    <t>PSOF1_PtocCtrl</t>
  </si>
  <si>
    <t>Автоматическое ускорение ДЗ</t>
  </si>
  <si>
    <t>АУ_ДЗ</t>
  </si>
  <si>
    <t>PSOF1_DisCtrl</t>
  </si>
  <si>
    <t>Автоматическое ускорение ТЗНП</t>
  </si>
  <si>
    <t>АУ_ТЗНП</t>
  </si>
  <si>
    <t>PSOF1_ZstocCtrl</t>
  </si>
  <si>
    <t>PSOF1.StAccl</t>
  </si>
  <si>
    <t>LLN0.GrRef</t>
  </si>
  <si>
    <t>LLN0.Beh</t>
  </si>
  <si>
    <t>LLN0.Health</t>
  </si>
  <si>
    <t>ОВ АУ</t>
  </si>
  <si>
    <t>Ввод функции в работу</t>
  </si>
  <si>
    <t>SGF1</t>
  </si>
  <si>
    <t>SGF2</t>
  </si>
  <si>
    <t>SGF3</t>
  </si>
  <si>
    <t>SGF4</t>
  </si>
  <si>
    <t>T1</t>
  </si>
  <si>
    <t>T2</t>
  </si>
  <si>
    <t>T3</t>
  </si>
  <si>
    <t>T4</t>
  </si>
  <si>
    <t>SG</t>
  </si>
  <si>
    <t>FbVersion</t>
  </si>
  <si>
    <t>DescriptionFB</t>
  </si>
  <si>
    <t>DescriptionFuncList</t>
  </si>
  <si>
    <t>Автоматическое ускорение</t>
  </si>
  <si>
    <t>alias</t>
  </si>
  <si>
    <t>Logger</t>
  </si>
  <si>
    <t>Disturber</t>
  </si>
  <si>
    <t>StartDisturber</t>
  </si>
  <si>
    <t>status</t>
  </si>
  <si>
    <t>control</t>
  </si>
  <si>
    <t>Выключатель «Отключен»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</si>
</sst>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2" fillId="6" borderId="0" xfId="0" applyFont="1" applyFill="1"/>
    <xf numFmtId="0" fontId="2" fillId="0" borderId="0" xfId="0" applyFont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0" fillId="8" borderId="0" xfId="0" applyFill="1"/>
    <xf numFmtId="0" fontId="3" fillId="9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topLeftCell="A2" zoomScale="145" zoomScaleNormal="145" workbookViewId="0">
      <selection activeCell="E14" sqref="E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285156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7.5703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SUM(AA5:AA63)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2" t="s">
        <v>0</v>
      </c>
      <c r="BA1" s="83"/>
      <c r="BB1" s="83"/>
      <c r="BC1" s="83"/>
      <c r="BD1" s="83"/>
      <c r="BE1" s="83"/>
      <c r="BF1" s="8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147</v>
      </c>
      <c r="G2" s="10" t="s">
        <v>6</v>
      </c>
      <c r="H2" s="10" t="s">
        <v>7</v>
      </c>
      <c r="I2" s="10" t="s">
        <v>8</v>
      </c>
      <c r="J2" s="10" t="s">
        <v>148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146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142</v>
      </c>
      <c r="AC2" s="15" t="s">
        <v>143</v>
      </c>
      <c r="AD2" s="15" t="s">
        <v>144</v>
      </c>
      <c r="AE2" s="15" t="s">
        <v>145</v>
      </c>
      <c r="AF2" s="15" t="s">
        <v>24</v>
      </c>
      <c r="AG2" s="15" t="s">
        <v>25</v>
      </c>
      <c r="AH2" s="14" t="s">
        <v>26</v>
      </c>
      <c r="AI2" s="52" t="s">
        <v>140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190</v>
      </c>
      <c r="AW2" s="62" t="s">
        <v>191</v>
      </c>
      <c r="AX2" s="62" t="s">
        <v>192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0" customFormat="1" ht="15.75" x14ac:dyDescent="0.25">
      <c r="A3" s="65"/>
      <c r="B3" s="65" t="s">
        <v>194</v>
      </c>
      <c r="C3" s="66"/>
      <c r="D3" s="67"/>
      <c r="E3" s="68" t="s">
        <v>151</v>
      </c>
      <c r="F3" s="69" t="s">
        <v>151</v>
      </c>
      <c r="G3" s="69" t="s">
        <v>151</v>
      </c>
      <c r="H3" s="68"/>
      <c r="I3" s="68">
        <f>LEN(F3)</f>
        <v>15</v>
      </c>
      <c r="J3" s="68" t="str">
        <f>IF(LEN(F3)&lt;=$J$1,F3,"")</f>
        <v>Вывод терминала</v>
      </c>
      <c r="K3" s="65" t="s">
        <v>152</v>
      </c>
      <c r="L3" s="70" t="s">
        <v>54</v>
      </c>
      <c r="M3" s="66" t="s">
        <v>51</v>
      </c>
      <c r="N3" s="66" t="s">
        <v>52</v>
      </c>
      <c r="O3" s="66"/>
      <c r="P3" s="71"/>
      <c r="Q3" s="71"/>
      <c r="R3" s="66" t="s">
        <v>53</v>
      </c>
      <c r="S3" s="66" t="s">
        <v>53</v>
      </c>
      <c r="T3" s="66" t="s">
        <v>53</v>
      </c>
      <c r="U3" s="66" t="s">
        <v>53</v>
      </c>
      <c r="V3" s="66"/>
      <c r="W3" s="66"/>
      <c r="X3" s="66" t="s">
        <v>53</v>
      </c>
      <c r="Y3" s="66">
        <v>0</v>
      </c>
      <c r="Z3" s="72"/>
      <c r="AA3" s="73">
        <v>0</v>
      </c>
      <c r="AB3" s="73"/>
      <c r="AC3" s="73"/>
      <c r="AD3" s="73"/>
      <c r="AE3" s="73"/>
      <c r="AF3" s="73">
        <v>0</v>
      </c>
      <c r="AG3" s="73">
        <v>0</v>
      </c>
      <c r="AH3" s="73">
        <v>0</v>
      </c>
      <c r="AI3" s="74"/>
      <c r="AJ3" s="75"/>
      <c r="AK3" s="75"/>
      <c r="AL3" s="75"/>
      <c r="AM3" s="75"/>
      <c r="AN3" s="75"/>
      <c r="AO3" s="75"/>
      <c r="AP3" s="75"/>
      <c r="AQ3" s="75"/>
      <c r="AR3" s="73">
        <v>0</v>
      </c>
      <c r="AS3" s="73">
        <v>0</v>
      </c>
      <c r="AT3" s="81">
        <v>1</v>
      </c>
      <c r="AU3" s="27">
        <v>0</v>
      </c>
      <c r="AV3" s="81">
        <v>1</v>
      </c>
      <c r="AW3" s="81">
        <v>1</v>
      </c>
      <c r="AX3" s="81">
        <v>1</v>
      </c>
      <c r="AY3" s="73"/>
      <c r="AZ3" s="71"/>
      <c r="BA3" s="73"/>
      <c r="BB3" s="73"/>
      <c r="BC3" s="76"/>
      <c r="BD3" s="73"/>
      <c r="BE3" s="77"/>
      <c r="BF3" s="73"/>
      <c r="BG3" s="78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9"/>
    </row>
    <row r="4" spans="1:16379" s="80" customFormat="1" ht="15.75" x14ac:dyDescent="0.25">
      <c r="A4" s="65"/>
      <c r="B4" s="65" t="s">
        <v>194</v>
      </c>
      <c r="C4" s="66"/>
      <c r="D4" s="67" t="s">
        <v>108</v>
      </c>
      <c r="E4" s="68" t="s">
        <v>153</v>
      </c>
      <c r="F4" s="69" t="s">
        <v>174</v>
      </c>
      <c r="G4" s="69" t="s">
        <v>174</v>
      </c>
      <c r="H4" s="68"/>
      <c r="I4" s="68">
        <f>LEN(F4)</f>
        <v>5</v>
      </c>
      <c r="J4" s="68" t="str">
        <f>IF(LEN(F4)&lt;=$J$1,F4,"")</f>
        <v>ОВ АУ</v>
      </c>
      <c r="K4" s="65" t="s">
        <v>156</v>
      </c>
      <c r="L4" s="70" t="s">
        <v>54</v>
      </c>
      <c r="M4" s="66" t="s">
        <v>51</v>
      </c>
      <c r="N4" s="66" t="s">
        <v>52</v>
      </c>
      <c r="O4" s="66"/>
      <c r="P4" s="71"/>
      <c r="Q4" s="71"/>
      <c r="R4" s="66" t="s">
        <v>53</v>
      </c>
      <c r="S4" s="66" t="s">
        <v>53</v>
      </c>
      <c r="T4" s="66" t="s">
        <v>53</v>
      </c>
      <c r="U4" s="66" t="s">
        <v>53</v>
      </c>
      <c r="V4" s="66"/>
      <c r="W4" s="66"/>
      <c r="X4" s="66" t="s">
        <v>53</v>
      </c>
      <c r="Y4" s="66">
        <v>0</v>
      </c>
      <c r="Z4" s="72"/>
      <c r="AA4" s="73">
        <v>0</v>
      </c>
      <c r="AB4" s="73"/>
      <c r="AC4" s="73"/>
      <c r="AD4" s="73"/>
      <c r="AE4" s="73"/>
      <c r="AF4" s="73">
        <v>0</v>
      </c>
      <c r="AG4" s="73">
        <v>0</v>
      </c>
      <c r="AH4" s="73">
        <v>0</v>
      </c>
      <c r="AI4" s="74"/>
      <c r="AJ4" s="75"/>
      <c r="AK4" s="75"/>
      <c r="AL4" s="75"/>
      <c r="AM4" s="75"/>
      <c r="AN4" s="75"/>
      <c r="AO4" s="75"/>
      <c r="AP4" s="75"/>
      <c r="AQ4" s="75"/>
      <c r="AR4" s="73">
        <v>0</v>
      </c>
      <c r="AS4" s="73">
        <v>0</v>
      </c>
      <c r="AT4" s="81">
        <v>1</v>
      </c>
      <c r="AU4" s="27">
        <v>0</v>
      </c>
      <c r="AV4" s="81">
        <v>1</v>
      </c>
      <c r="AW4" s="81">
        <v>1</v>
      </c>
      <c r="AX4" s="81">
        <v>1</v>
      </c>
      <c r="AY4" s="73"/>
      <c r="AZ4" s="71"/>
      <c r="BA4" s="73"/>
      <c r="BB4" s="73"/>
      <c r="BC4" s="76"/>
      <c r="BD4" s="73"/>
      <c r="BE4" s="77"/>
      <c r="BF4" s="73"/>
      <c r="BG4" s="78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"ОВ АУ", note: "Оперативный вывод функции АУ", group: "control", minValue: null, maxValue: null, step: null, units: "null", defaultValue: null, eventRegistration: 0</v>
      </c>
      <c r="BH4" s="79"/>
    </row>
    <row r="5" spans="1:16379" s="33" customFormat="1" ht="15.75" customHeight="1" x14ac:dyDescent="0.25">
      <c r="A5" s="18"/>
      <c r="B5" s="18" t="s">
        <v>50</v>
      </c>
      <c r="C5" s="19"/>
      <c r="D5" s="20"/>
      <c r="E5" s="21" t="s">
        <v>104</v>
      </c>
      <c r="F5" s="22" t="s">
        <v>104</v>
      </c>
      <c r="G5" s="22" t="s">
        <v>104</v>
      </c>
      <c r="H5" s="21"/>
      <c r="I5" s="21">
        <f>LEN(F5)</f>
        <v>11</v>
      </c>
      <c r="J5" s="21" t="str">
        <f>IF(LEN(F5)&lt;=$J$1,F5,"")</f>
        <v>Пуск АУ МТЗ</v>
      </c>
      <c r="K5" s="18" t="s">
        <v>105</v>
      </c>
      <c r="L5" s="23" t="s">
        <v>54</v>
      </c>
      <c r="M5" s="19" t="s">
        <v>51</v>
      </c>
      <c r="N5" s="19" t="s">
        <v>52</v>
      </c>
      <c r="O5" s="19"/>
      <c r="P5" s="24"/>
      <c r="Q5" s="24"/>
      <c r="R5" s="19" t="s">
        <v>53</v>
      </c>
      <c r="S5" s="19" t="s">
        <v>53</v>
      </c>
      <c r="T5" s="19" t="s">
        <v>53</v>
      </c>
      <c r="U5" s="19" t="s">
        <v>53</v>
      </c>
      <c r="V5" s="19"/>
      <c r="W5" s="19"/>
      <c r="X5" s="19" t="s">
        <v>53</v>
      </c>
      <c r="Y5" s="19">
        <v>0</v>
      </c>
      <c r="Z5" s="2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53"/>
      <c r="AJ5" s="29"/>
      <c r="AK5" s="29"/>
      <c r="AL5" s="29"/>
      <c r="AM5" s="29"/>
      <c r="AN5" s="29"/>
      <c r="AO5" s="29"/>
      <c r="AP5" s="29"/>
      <c r="AQ5" s="29"/>
      <c r="AR5" s="27">
        <v>0</v>
      </c>
      <c r="AS5" s="27">
        <v>0</v>
      </c>
      <c r="AT5" s="27">
        <v>0</v>
      </c>
      <c r="AU5" s="27">
        <v>0</v>
      </c>
      <c r="AV5" s="27">
        <f>BIN2DEC(CONCATENATE(0,0,0,0,AR5,AS5,AT5,AU5))</f>
        <v>0</v>
      </c>
      <c r="AW5" s="27">
        <v>0</v>
      </c>
      <c r="AX5" s="27">
        <v>0</v>
      </c>
      <c r="AY5" s="27"/>
      <c r="AZ5" s="24"/>
      <c r="BA5" s="27"/>
      <c r="BB5" s="27"/>
      <c r="BC5" s="28"/>
      <c r="BD5" s="27"/>
      <c r="BE5" s="30"/>
      <c r="BF5" s="27"/>
      <c r="BG5" s="3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АУ МТЗ", note: "Пуск АУ МТЗ", group: "measurement", minValue: null, maxValue: null, step: null, units: "null", defaultValue: null, eventRegistration: 0</v>
      </c>
      <c r="BH5" s="32"/>
    </row>
    <row r="6" spans="1:16379" s="33" customFormat="1" ht="15.75" customHeight="1" x14ac:dyDescent="0.25">
      <c r="A6" s="18"/>
      <c r="B6" s="18" t="s">
        <v>50</v>
      </c>
      <c r="C6" s="19"/>
      <c r="D6" s="20"/>
      <c r="E6" s="21" t="s">
        <v>106</v>
      </c>
      <c r="F6" s="22" t="s">
        <v>106</v>
      </c>
      <c r="G6" s="22" t="s">
        <v>106</v>
      </c>
      <c r="H6" s="21"/>
      <c r="I6" s="21">
        <f t="shared" ref="I6" si="0">LEN(F6)</f>
        <v>10</v>
      </c>
      <c r="J6" s="21" t="str">
        <f t="shared" ref="J6" si="1">IF(LEN(F6)&lt;=$J$1,F6,"")</f>
        <v>Пуск АУ ДЗ</v>
      </c>
      <c r="K6" s="18" t="s">
        <v>107</v>
      </c>
      <c r="L6" s="23" t="s">
        <v>54</v>
      </c>
      <c r="M6" s="19" t="s">
        <v>51</v>
      </c>
      <c r="N6" s="19" t="s">
        <v>52</v>
      </c>
      <c r="O6" s="19"/>
      <c r="P6" s="24"/>
      <c r="Q6" s="24"/>
      <c r="R6" s="19" t="s">
        <v>53</v>
      </c>
      <c r="S6" s="19" t="s">
        <v>53</v>
      </c>
      <c r="T6" s="19" t="s">
        <v>53</v>
      </c>
      <c r="U6" s="19" t="s">
        <v>53</v>
      </c>
      <c r="V6" s="19"/>
      <c r="W6" s="19"/>
      <c r="X6" s="19" t="s">
        <v>53</v>
      </c>
      <c r="Y6" s="19">
        <v>0</v>
      </c>
      <c r="Z6" s="2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53"/>
      <c r="AJ6" s="29"/>
      <c r="AK6" s="29"/>
      <c r="AL6" s="29"/>
      <c r="AM6" s="29"/>
      <c r="AN6" s="29"/>
      <c r="AO6" s="29"/>
      <c r="AP6" s="29"/>
      <c r="AQ6" s="29"/>
      <c r="AR6" s="27">
        <v>0</v>
      </c>
      <c r="AS6" s="27">
        <v>0</v>
      </c>
      <c r="AT6" s="27">
        <v>0</v>
      </c>
      <c r="AU6" s="27">
        <v>0</v>
      </c>
      <c r="AV6" s="27">
        <f t="shared" ref="AV6:AV11" si="2">BIN2DEC(CONCATENATE(0,0,0,0,AR6,AS6,AT6,AU6))</f>
        <v>0</v>
      </c>
      <c r="AW6" s="27">
        <v>0</v>
      </c>
      <c r="AX6" s="27">
        <v>0</v>
      </c>
      <c r="AY6" s="27"/>
      <c r="AZ6" s="24"/>
      <c r="BA6" s="27"/>
      <c r="BB6" s="27"/>
      <c r="BC6" s="28"/>
      <c r="BD6" s="27"/>
      <c r="BE6" s="30"/>
      <c r="BF6" s="27"/>
      <c r="BG6" s="31" t="str">
        <f t="shared" ref="BG6:BG11" si="3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АУ ДЗ", note: "Пуск АУ ДЗ", group: "measurement", minValue: null, maxValue: null, step: null, units: "null", defaultValue: null, eventRegistration: 0</v>
      </c>
      <c r="BH6" s="32"/>
    </row>
    <row r="7" spans="1:16379" s="33" customFormat="1" ht="15.75" customHeight="1" x14ac:dyDescent="0.25">
      <c r="A7" s="18"/>
      <c r="B7" s="18" t="s">
        <v>50</v>
      </c>
      <c r="C7" s="19"/>
      <c r="D7" s="20"/>
      <c r="E7" s="21" t="s">
        <v>102</v>
      </c>
      <c r="F7" s="22" t="s">
        <v>102</v>
      </c>
      <c r="G7" s="22" t="s">
        <v>102</v>
      </c>
      <c r="H7" s="21"/>
      <c r="I7" s="21">
        <f>LEN(F7)</f>
        <v>12</v>
      </c>
      <c r="J7" s="21" t="str">
        <f>IF(LEN(F7)&lt;=$J$1,F7,"")</f>
        <v>Пуск АУ ТЗНП</v>
      </c>
      <c r="K7" s="18" t="s">
        <v>103</v>
      </c>
      <c r="L7" s="23" t="s">
        <v>54</v>
      </c>
      <c r="M7" s="19" t="s">
        <v>51</v>
      </c>
      <c r="N7" s="19" t="s">
        <v>52</v>
      </c>
      <c r="O7" s="19"/>
      <c r="P7" s="24"/>
      <c r="Q7" s="24"/>
      <c r="R7" s="19" t="s">
        <v>53</v>
      </c>
      <c r="S7" s="19" t="s">
        <v>53</v>
      </c>
      <c r="T7" s="19" t="s">
        <v>53</v>
      </c>
      <c r="U7" s="19" t="s">
        <v>53</v>
      </c>
      <c r="V7" s="19"/>
      <c r="W7" s="19"/>
      <c r="X7" s="19" t="s">
        <v>53</v>
      </c>
      <c r="Y7" s="19">
        <v>0</v>
      </c>
      <c r="Z7" s="2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53"/>
      <c r="AJ7" s="29"/>
      <c r="AK7" s="29"/>
      <c r="AL7" s="29"/>
      <c r="AM7" s="29"/>
      <c r="AN7" s="29"/>
      <c r="AO7" s="29"/>
      <c r="AP7" s="29"/>
      <c r="AQ7" s="29"/>
      <c r="AR7" s="27">
        <v>0</v>
      </c>
      <c r="AS7" s="27">
        <v>0</v>
      </c>
      <c r="AT7" s="27">
        <v>0</v>
      </c>
      <c r="AU7" s="27">
        <v>0</v>
      </c>
      <c r="AV7" s="27">
        <f>BIN2DEC(CONCATENATE(0,0,0,0,AR7,AS7,AT7,AU7))</f>
        <v>0</v>
      </c>
      <c r="AW7" s="27">
        <v>0</v>
      </c>
      <c r="AX7" s="27">
        <v>0</v>
      </c>
      <c r="AY7" s="27"/>
      <c r="AZ7" s="24"/>
      <c r="BA7" s="27"/>
      <c r="BB7" s="27"/>
      <c r="BC7" s="28"/>
      <c r="BD7" s="27"/>
      <c r="BE7" s="30"/>
      <c r="BF7" s="27"/>
      <c r="BG7" s="31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"Пуск АУ ТЗНП", note: "Пуск АУ ТЗНП", group: "measurement", minValue: null, maxValue: null, step: null, units: "null", defaultValue: null, eventRegistration: 0</v>
      </c>
      <c r="BH7" s="32"/>
    </row>
    <row r="8" spans="1:16379" s="33" customFormat="1" ht="15.75" customHeight="1" x14ac:dyDescent="0.25">
      <c r="A8" s="18"/>
      <c r="B8" s="18" t="s">
        <v>50</v>
      </c>
      <c r="C8" s="19"/>
      <c r="D8" s="20"/>
      <c r="E8" s="64" t="s">
        <v>195</v>
      </c>
      <c r="F8" s="22" t="s">
        <v>154</v>
      </c>
      <c r="G8" s="22" t="s">
        <v>154</v>
      </c>
      <c r="H8" s="21"/>
      <c r="I8" s="21">
        <f t="shared" ref="I8" si="4">LEN(F8)</f>
        <v>10</v>
      </c>
      <c r="J8" s="21" t="str">
        <f t="shared" ref="J8" si="5">IF(LEN(F8)&lt;=$J$1,F8,"")</f>
        <v>В Отключен</v>
      </c>
      <c r="K8" s="18" t="s">
        <v>155</v>
      </c>
      <c r="L8" s="23" t="s">
        <v>54</v>
      </c>
      <c r="M8" s="19" t="s">
        <v>51</v>
      </c>
      <c r="N8" s="19" t="s">
        <v>52</v>
      </c>
      <c r="O8" s="19"/>
      <c r="P8" s="24"/>
      <c r="Q8" s="24"/>
      <c r="R8" s="19" t="s">
        <v>53</v>
      </c>
      <c r="S8" s="19" t="s">
        <v>53</v>
      </c>
      <c r="T8" s="19" t="s">
        <v>53</v>
      </c>
      <c r="U8" s="19" t="s">
        <v>53</v>
      </c>
      <c r="V8" s="19"/>
      <c r="W8" s="19"/>
      <c r="X8" s="19" t="s">
        <v>53</v>
      </c>
      <c r="Y8" s="19">
        <v>0</v>
      </c>
      <c r="Z8" s="2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53"/>
      <c r="AJ8" s="29"/>
      <c r="AK8" s="29"/>
      <c r="AL8" s="29"/>
      <c r="AM8" s="29"/>
      <c r="AN8" s="29"/>
      <c r="AO8" s="29"/>
      <c r="AP8" s="29"/>
      <c r="AQ8" s="29"/>
      <c r="AR8" s="27">
        <v>0</v>
      </c>
      <c r="AS8" s="27">
        <v>0</v>
      </c>
      <c r="AT8" s="27">
        <v>0</v>
      </c>
      <c r="AU8" s="27">
        <v>0</v>
      </c>
      <c r="AV8" s="27">
        <f t="shared" ref="AV8" si="6">BIN2DEC(CONCATENATE(0,0,0,0,AR8,AS8,AT8,AU8))</f>
        <v>0</v>
      </c>
      <c r="AW8" s="27">
        <v>0</v>
      </c>
      <c r="AX8" s="27">
        <v>0</v>
      </c>
      <c r="AY8" s="27"/>
      <c r="AZ8" s="24"/>
      <c r="BA8" s="27"/>
      <c r="BB8" s="27"/>
      <c r="BC8" s="28"/>
      <c r="BD8" s="27"/>
      <c r="BE8" s="30"/>
      <c r="BF8" s="27"/>
      <c r="BG8" s="31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"В Отключен", note: "Выключатель «Отключен»", group: "measurement", minValue: null, maxValue: null, step: null, units: "null", defaultValue: null, eventRegistration: 0</v>
      </c>
      <c r="BH8" s="32"/>
    </row>
    <row r="9" spans="1:16379" s="41" customFormat="1" ht="15.75" x14ac:dyDescent="0.25">
      <c r="A9" s="34"/>
      <c r="B9" s="18" t="s">
        <v>50</v>
      </c>
      <c r="C9" s="35"/>
      <c r="D9" s="9"/>
      <c r="E9" s="22" t="s">
        <v>55</v>
      </c>
      <c r="F9" s="22" t="s">
        <v>56</v>
      </c>
      <c r="G9" s="22" t="s">
        <v>56</v>
      </c>
      <c r="H9" s="9"/>
      <c r="I9" s="21">
        <f>LEN(F9)</f>
        <v>10</v>
      </c>
      <c r="J9" s="22" t="s">
        <v>56</v>
      </c>
      <c r="K9" s="36" t="s">
        <v>58</v>
      </c>
      <c r="L9" s="37" t="s">
        <v>57</v>
      </c>
      <c r="M9" s="19" t="s">
        <v>51</v>
      </c>
      <c r="N9" s="19" t="s">
        <v>52</v>
      </c>
      <c r="O9" s="19"/>
      <c r="P9" s="35"/>
      <c r="Q9" s="35"/>
      <c r="R9" s="19" t="s">
        <v>53</v>
      </c>
      <c r="S9" s="19" t="s">
        <v>53</v>
      </c>
      <c r="T9" s="19" t="s">
        <v>53</v>
      </c>
      <c r="U9" s="19" t="s">
        <v>53</v>
      </c>
      <c r="V9" s="35"/>
      <c r="W9" s="35"/>
      <c r="X9" s="19" t="s">
        <v>53</v>
      </c>
      <c r="Y9" s="38">
        <v>0</v>
      </c>
      <c r="Z9" s="35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53" t="s">
        <v>139</v>
      </c>
      <c r="AJ9" s="39" t="s">
        <v>171</v>
      </c>
      <c r="AK9" s="39" t="s">
        <v>59</v>
      </c>
      <c r="AL9" s="39" t="s">
        <v>60</v>
      </c>
      <c r="AM9" s="39" t="s">
        <v>61</v>
      </c>
      <c r="AN9" s="39"/>
      <c r="AO9" s="39" t="s">
        <v>62</v>
      </c>
      <c r="AP9" s="39" t="str">
        <f>CONCATENATE(AJ9, ".", AL9)</f>
        <v>LLN0.GrRef.setSrcRef</v>
      </c>
      <c r="AQ9" s="39" t="s">
        <v>63</v>
      </c>
      <c r="AR9" s="27">
        <v>0</v>
      </c>
      <c r="AS9" s="27">
        <v>0</v>
      </c>
      <c r="AT9" s="27">
        <v>0</v>
      </c>
      <c r="AU9" s="27">
        <v>0</v>
      </c>
      <c r="AV9" s="27">
        <f t="shared" si="2"/>
        <v>0</v>
      </c>
      <c r="AW9" s="27">
        <v>0</v>
      </c>
      <c r="AX9" s="27">
        <v>0</v>
      </c>
      <c r="AY9" s="40"/>
      <c r="AZ9" s="35"/>
      <c r="BA9" s="35"/>
      <c r="BB9" s="35"/>
      <c r="BC9" s="35"/>
      <c r="BD9" s="35"/>
      <c r="BE9" s="35"/>
      <c r="BF9" s="35"/>
      <c r="BG9" s="31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1" customFormat="1" ht="15.75" x14ac:dyDescent="0.25">
      <c r="A10" s="34"/>
      <c r="B10" s="18" t="s">
        <v>50</v>
      </c>
      <c r="C10" s="35"/>
      <c r="D10" s="9"/>
      <c r="E10" s="22" t="s">
        <v>68</v>
      </c>
      <c r="F10" s="22" t="s">
        <v>69</v>
      </c>
      <c r="G10" s="22" t="s">
        <v>69</v>
      </c>
      <c r="H10" s="9"/>
      <c r="I10" s="21">
        <f>LEN(F10)</f>
        <v>8</v>
      </c>
      <c r="J10" s="22" t="s">
        <v>69</v>
      </c>
      <c r="K10" s="36" t="s">
        <v>70</v>
      </c>
      <c r="L10" s="23" t="s">
        <v>54</v>
      </c>
      <c r="M10" s="19" t="s">
        <v>51</v>
      </c>
      <c r="N10" s="19" t="s">
        <v>52</v>
      </c>
      <c r="O10" s="19"/>
      <c r="P10" s="35"/>
      <c r="Q10" s="35"/>
      <c r="R10" s="19" t="s">
        <v>53</v>
      </c>
      <c r="S10" s="19" t="s">
        <v>53</v>
      </c>
      <c r="T10" s="19" t="s">
        <v>53</v>
      </c>
      <c r="U10" s="19" t="s">
        <v>53</v>
      </c>
      <c r="V10" s="35"/>
      <c r="W10" s="35"/>
      <c r="X10" s="19" t="s">
        <v>53</v>
      </c>
      <c r="Y10" s="38">
        <v>0</v>
      </c>
      <c r="Z10" s="35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53"/>
      <c r="AJ10" s="39"/>
      <c r="AK10" s="39"/>
      <c r="AL10" s="39"/>
      <c r="AM10" s="39"/>
      <c r="AN10" s="39"/>
      <c r="AO10" s="39"/>
      <c r="AP10" s="39"/>
      <c r="AQ10" s="39"/>
      <c r="AR10" s="27">
        <v>0</v>
      </c>
      <c r="AS10" s="27">
        <v>0</v>
      </c>
      <c r="AT10" s="27">
        <v>0</v>
      </c>
      <c r="AU10" s="27">
        <v>0</v>
      </c>
      <c r="AV10" s="27">
        <f t="shared" si="2"/>
        <v>0</v>
      </c>
      <c r="AW10" s="27">
        <v>0</v>
      </c>
      <c r="AX10" s="27">
        <v>0</v>
      </c>
      <c r="AY10" s="42"/>
      <c r="AZ10" s="43"/>
      <c r="BA10" s="43"/>
      <c r="BB10" s="43"/>
      <c r="BC10" s="43"/>
      <c r="BD10" s="43"/>
      <c r="BE10" s="43"/>
      <c r="BF10" s="43"/>
      <c r="BG10" s="31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1" customFormat="1" ht="15.75" x14ac:dyDescent="0.25">
      <c r="A11" s="34"/>
      <c r="B11" s="18" t="s">
        <v>50</v>
      </c>
      <c r="C11" s="35"/>
      <c r="D11" s="9"/>
      <c r="E11" s="22" t="s">
        <v>71</v>
      </c>
      <c r="F11" s="22" t="s">
        <v>72</v>
      </c>
      <c r="G11" s="22" t="s">
        <v>72</v>
      </c>
      <c r="H11" s="9"/>
      <c r="I11" s="21">
        <f>LEN(F11)</f>
        <v>6</v>
      </c>
      <c r="J11" s="22" t="s">
        <v>72</v>
      </c>
      <c r="K11" s="36" t="s">
        <v>73</v>
      </c>
      <c r="L11" s="23" t="s">
        <v>54</v>
      </c>
      <c r="M11" s="19" t="s">
        <v>51</v>
      </c>
      <c r="N11" s="19" t="s">
        <v>52</v>
      </c>
      <c r="O11" s="19"/>
      <c r="P11" s="35"/>
      <c r="Q11" s="35"/>
      <c r="R11" s="19" t="s">
        <v>53</v>
      </c>
      <c r="S11" s="19" t="s">
        <v>53</v>
      </c>
      <c r="T11" s="19" t="s">
        <v>53</v>
      </c>
      <c r="U11" s="19" t="s">
        <v>53</v>
      </c>
      <c r="V11" s="35"/>
      <c r="W11" s="35"/>
      <c r="X11" s="19" t="s">
        <v>53</v>
      </c>
      <c r="Y11" s="38">
        <v>0</v>
      </c>
      <c r="Z11" s="35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53"/>
      <c r="AJ11" s="39"/>
      <c r="AK11" s="39"/>
      <c r="AL11" s="39"/>
      <c r="AM11" s="39"/>
      <c r="AN11" s="39"/>
      <c r="AO11" s="39"/>
      <c r="AP11" s="39"/>
      <c r="AQ11" s="39"/>
      <c r="AR11" s="27">
        <v>0</v>
      </c>
      <c r="AS11" s="27">
        <v>0</v>
      </c>
      <c r="AT11" s="27">
        <v>0</v>
      </c>
      <c r="AU11" s="27">
        <v>0</v>
      </c>
      <c r="AV11" s="27">
        <f t="shared" si="2"/>
        <v>0</v>
      </c>
      <c r="AW11" s="27">
        <v>0</v>
      </c>
      <c r="AX11" s="27">
        <v>0</v>
      </c>
      <c r="AY11" s="42"/>
      <c r="AZ11" s="43"/>
      <c r="BA11" s="43"/>
      <c r="BB11" s="43"/>
      <c r="BC11" s="43"/>
      <c r="BD11" s="43"/>
      <c r="BE11" s="43"/>
      <c r="BF11" s="43"/>
      <c r="BG11" s="31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F19" sqref="F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85546875" style="4" customWidth="1" outlineLevel="1"/>
    <col min="21" max="21" width="8.42578125" style="4" customWidth="1" outlineLevel="1"/>
    <col min="22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2" t="s">
        <v>0</v>
      </c>
      <c r="BA1" s="83"/>
      <c r="BB1" s="83"/>
      <c r="BC1" s="83"/>
      <c r="BD1" s="83"/>
      <c r="BE1" s="83"/>
      <c r="BF1" s="83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147</v>
      </c>
      <c r="G2" s="10" t="s">
        <v>6</v>
      </c>
      <c r="H2" s="10" t="s">
        <v>7</v>
      </c>
      <c r="I2" s="10" t="s">
        <v>8</v>
      </c>
      <c r="J2" s="10" t="s">
        <v>148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146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142</v>
      </c>
      <c r="AC2" s="15" t="s">
        <v>143</v>
      </c>
      <c r="AD2" s="15" t="s">
        <v>144</v>
      </c>
      <c r="AE2" s="15" t="s">
        <v>145</v>
      </c>
      <c r="AF2" s="15" t="s">
        <v>24</v>
      </c>
      <c r="AG2" s="15" t="s">
        <v>25</v>
      </c>
      <c r="AH2" s="14" t="s">
        <v>26</v>
      </c>
      <c r="AI2" s="52" t="s">
        <v>140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190</v>
      </c>
      <c r="AW2" s="62" t="s">
        <v>191</v>
      </c>
      <c r="AX2" s="62" t="s">
        <v>192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63" t="s">
        <v>193</v>
      </c>
      <c r="C3" s="35"/>
      <c r="D3" s="45" t="s">
        <v>108</v>
      </c>
      <c r="E3" s="22" t="s">
        <v>75</v>
      </c>
      <c r="F3" s="46" t="s">
        <v>76</v>
      </c>
      <c r="G3" s="46" t="s">
        <v>76</v>
      </c>
      <c r="H3" s="9"/>
      <c r="I3" s="22">
        <f t="shared" ref="I3:I10" si="0">LEN(F3)</f>
        <v>4</v>
      </c>
      <c r="J3" s="22" t="str">
        <f>IF(LEN(F3)&lt;=$J$1,F3,"")</f>
        <v>Ввод</v>
      </c>
      <c r="K3" s="36" t="s">
        <v>130</v>
      </c>
      <c r="L3" s="37" t="s">
        <v>54</v>
      </c>
      <c r="M3" s="38" t="s">
        <v>51</v>
      </c>
      <c r="N3" s="38" t="s">
        <v>52</v>
      </c>
      <c r="O3" s="38"/>
      <c r="P3" s="24"/>
      <c r="Q3" s="24"/>
      <c r="R3" s="38" t="s">
        <v>53</v>
      </c>
      <c r="S3" s="38" t="s">
        <v>53</v>
      </c>
      <c r="T3" s="38" t="s">
        <v>53</v>
      </c>
      <c r="U3" s="38" t="s">
        <v>53</v>
      </c>
      <c r="V3" s="35"/>
      <c r="W3" s="35"/>
      <c r="X3" s="38" t="s">
        <v>53</v>
      </c>
      <c r="Y3" s="38">
        <v>2</v>
      </c>
      <c r="Z3" s="35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53"/>
      <c r="AJ3" s="39"/>
      <c r="AK3" s="39"/>
      <c r="AL3" s="39"/>
      <c r="AM3" s="39"/>
      <c r="AN3" s="39"/>
      <c r="AO3" s="39"/>
      <c r="AP3" s="39"/>
      <c r="AQ3" s="39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0"/>
      <c r="AZ3" s="35"/>
      <c r="BA3" s="35"/>
      <c r="BB3" s="35"/>
      <c r="BC3" s="35"/>
      <c r="BD3" s="35"/>
      <c r="BE3" s="35"/>
      <c r="BF3" s="35"/>
      <c r="BG3" s="25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4"/>
      <c r="B4" s="63" t="s">
        <v>193</v>
      </c>
      <c r="C4" s="35"/>
      <c r="D4" s="45" t="s">
        <v>108</v>
      </c>
      <c r="E4" s="22" t="s">
        <v>77</v>
      </c>
      <c r="F4" s="46" t="s">
        <v>157</v>
      </c>
      <c r="G4" s="46" t="s">
        <v>157</v>
      </c>
      <c r="H4" s="9"/>
      <c r="I4" s="22">
        <f t="shared" si="0"/>
        <v>17</v>
      </c>
      <c r="J4" s="22" t="str">
        <f t="shared" ref="J4:J10" si="2">IF(LEN(F4)&lt;=$J$1,F4,"")</f>
        <v>Оперативный вывод</v>
      </c>
      <c r="K4" s="36" t="s">
        <v>131</v>
      </c>
      <c r="L4" s="37" t="s">
        <v>54</v>
      </c>
      <c r="M4" s="38" t="s">
        <v>51</v>
      </c>
      <c r="N4" s="38" t="s">
        <v>52</v>
      </c>
      <c r="O4" s="38"/>
      <c r="P4" s="24"/>
      <c r="Q4" s="24"/>
      <c r="R4" s="38" t="s">
        <v>53</v>
      </c>
      <c r="S4" s="38" t="s">
        <v>53</v>
      </c>
      <c r="T4" s="38" t="s">
        <v>53</v>
      </c>
      <c r="U4" s="38" t="s">
        <v>53</v>
      </c>
      <c r="V4" s="35"/>
      <c r="W4" s="35"/>
      <c r="X4" s="38" t="s">
        <v>53</v>
      </c>
      <c r="Y4" s="38">
        <v>2</v>
      </c>
      <c r="Z4" s="35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53"/>
      <c r="AJ4" s="39"/>
      <c r="AK4" s="39"/>
      <c r="AL4" s="39"/>
      <c r="AM4" s="39"/>
      <c r="AN4" s="39"/>
      <c r="AO4" s="39"/>
      <c r="AP4" s="39"/>
      <c r="AQ4" s="39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0"/>
      <c r="AZ4" s="35"/>
      <c r="BA4" s="35"/>
      <c r="BB4" s="35"/>
      <c r="BC4" s="35"/>
      <c r="BD4" s="35"/>
      <c r="BE4" s="35"/>
      <c r="BF4" s="35"/>
      <c r="BG4" s="25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34"/>
      <c r="B5" s="63" t="s">
        <v>193</v>
      </c>
      <c r="C5" s="35"/>
      <c r="D5" s="45" t="s">
        <v>108</v>
      </c>
      <c r="E5" s="22" t="s">
        <v>117</v>
      </c>
      <c r="F5" s="46" t="s">
        <v>117</v>
      </c>
      <c r="G5" s="46" t="s">
        <v>117</v>
      </c>
      <c r="H5" s="9"/>
      <c r="I5" s="22">
        <f>LEN(F5)</f>
        <v>14</v>
      </c>
      <c r="J5" s="22" t="str">
        <f>IF(LEN(F5)&lt;=$J$1,F5,"")</f>
        <v>Ввод ускорения</v>
      </c>
      <c r="K5" s="36" t="s">
        <v>133</v>
      </c>
      <c r="L5" s="37" t="s">
        <v>54</v>
      </c>
      <c r="M5" s="38" t="s">
        <v>51</v>
      </c>
      <c r="N5" s="38" t="s">
        <v>52</v>
      </c>
      <c r="O5" s="38"/>
      <c r="P5" s="24"/>
      <c r="Q5" s="24"/>
      <c r="R5" s="38" t="s">
        <v>53</v>
      </c>
      <c r="S5" s="38" t="s">
        <v>53</v>
      </c>
      <c r="T5" s="38" t="s">
        <v>53</v>
      </c>
      <c r="U5" s="38" t="s">
        <v>53</v>
      </c>
      <c r="V5" s="35"/>
      <c r="W5" s="35"/>
      <c r="X5" s="38" t="s">
        <v>53</v>
      </c>
      <c r="Y5" s="38">
        <v>2</v>
      </c>
      <c r="Z5" s="35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53" t="s">
        <v>141</v>
      </c>
      <c r="AJ5" s="39" t="s">
        <v>170</v>
      </c>
      <c r="AK5" s="39" t="s">
        <v>79</v>
      </c>
      <c r="AL5" s="39" t="s">
        <v>78</v>
      </c>
      <c r="AM5" s="39" t="s">
        <v>159</v>
      </c>
      <c r="AN5" s="39"/>
      <c r="AO5" s="39" t="s">
        <v>67</v>
      </c>
      <c r="AP5" s="39" t="str">
        <f>CONCATENATE(AJ5, ".", AL5)</f>
        <v>PSOF1.StAccl.general</v>
      </c>
      <c r="AQ5" s="39" t="s">
        <v>63</v>
      </c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0"/>
      <c r="AZ5" s="35"/>
      <c r="BA5" s="35"/>
      <c r="BB5" s="35"/>
      <c r="BC5" s="35"/>
      <c r="BD5" s="35"/>
      <c r="BE5" s="35"/>
      <c r="BF5" s="35"/>
      <c r="BG5" s="2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 ускорения", note: "Ввод ускорения", group: "status", minValue: null, maxValue: null, step: null, units: "null", defaultValue: null, eventRegistration: 2</v>
      </c>
    </row>
    <row r="6" spans="1:16379" s="41" customFormat="1" ht="15.75" x14ac:dyDescent="0.25">
      <c r="A6" s="34"/>
      <c r="B6" s="63" t="s">
        <v>193</v>
      </c>
      <c r="C6" s="35"/>
      <c r="D6" s="45" t="s">
        <v>108</v>
      </c>
      <c r="E6" s="22" t="s">
        <v>158</v>
      </c>
      <c r="F6" s="46" t="s">
        <v>158</v>
      </c>
      <c r="G6" s="46" t="s">
        <v>158</v>
      </c>
      <c r="H6" s="9"/>
      <c r="I6" s="22">
        <f>LEN(F6)</f>
        <v>12</v>
      </c>
      <c r="J6" s="22" t="str">
        <f>IF(LEN(F6)&lt;=$J$1,F6,"")</f>
        <v>Срабатывание</v>
      </c>
      <c r="K6" s="36" t="s">
        <v>132</v>
      </c>
      <c r="L6" s="37" t="s">
        <v>54</v>
      </c>
      <c r="M6" s="38" t="s">
        <v>51</v>
      </c>
      <c r="N6" s="38" t="s">
        <v>52</v>
      </c>
      <c r="O6" s="38"/>
      <c r="P6" s="24"/>
      <c r="Q6" s="24"/>
      <c r="R6" s="38" t="s">
        <v>53</v>
      </c>
      <c r="S6" s="38" t="s">
        <v>53</v>
      </c>
      <c r="T6" s="38" t="s">
        <v>53</v>
      </c>
      <c r="U6" s="38" t="s">
        <v>53</v>
      </c>
      <c r="V6" s="35"/>
      <c r="W6" s="35"/>
      <c r="X6" s="38" t="s">
        <v>53</v>
      </c>
      <c r="Y6" s="38">
        <v>2</v>
      </c>
      <c r="Z6" s="35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53" t="s">
        <v>141</v>
      </c>
      <c r="AJ6" s="39" t="s">
        <v>136</v>
      </c>
      <c r="AK6" s="39" t="s">
        <v>79</v>
      </c>
      <c r="AL6" s="39" t="s">
        <v>78</v>
      </c>
      <c r="AM6" s="39" t="s">
        <v>159</v>
      </c>
      <c r="AN6" s="39"/>
      <c r="AO6" s="39" t="s">
        <v>67</v>
      </c>
      <c r="AP6" s="39" t="str">
        <f>CONCATENATE(AJ6, ".", AL6)</f>
        <v>PSOF1.Op.general</v>
      </c>
      <c r="AQ6" s="39" t="s">
        <v>63</v>
      </c>
      <c r="AR6" s="35">
        <v>0</v>
      </c>
      <c r="AS6" s="35">
        <v>1</v>
      </c>
      <c r="AT6" s="35">
        <v>0</v>
      </c>
      <c r="AU6" s="35">
        <v>1</v>
      </c>
      <c r="AV6" s="35">
        <v>1</v>
      </c>
      <c r="AW6" s="35">
        <v>1</v>
      </c>
      <c r="AX6" s="35">
        <v>1</v>
      </c>
      <c r="AY6" s="40"/>
      <c r="AZ6" s="35"/>
      <c r="BA6" s="35"/>
      <c r="BB6" s="35"/>
      <c r="BC6" s="35"/>
      <c r="BD6" s="35"/>
      <c r="BE6" s="35"/>
      <c r="BF6" s="35"/>
      <c r="BG6" s="2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"status", minValue: null, maxValue: null, step: null, units: "null", defaultValue: null, eventRegistration: 2</v>
      </c>
    </row>
    <row r="7" spans="1:16379" s="41" customFormat="1" ht="15.75" x14ac:dyDescent="0.25">
      <c r="A7" s="34"/>
      <c r="B7" s="63" t="s">
        <v>193</v>
      </c>
      <c r="C7" s="35"/>
      <c r="D7" s="45"/>
      <c r="E7" s="22" t="s">
        <v>80</v>
      </c>
      <c r="F7" s="22" t="s">
        <v>81</v>
      </c>
      <c r="G7" s="22" t="s">
        <v>81</v>
      </c>
      <c r="H7" s="35"/>
      <c r="I7" s="22">
        <f t="shared" si="0"/>
        <v>12</v>
      </c>
      <c r="J7" s="22" t="str">
        <f t="shared" si="2"/>
        <v>Поведение LD</v>
      </c>
      <c r="K7" s="36" t="s">
        <v>82</v>
      </c>
      <c r="L7" s="37" t="s">
        <v>57</v>
      </c>
      <c r="M7" s="38" t="s">
        <v>51</v>
      </c>
      <c r="N7" s="38" t="s">
        <v>52</v>
      </c>
      <c r="O7" s="38"/>
      <c r="P7" s="35"/>
      <c r="Q7" s="35"/>
      <c r="R7" s="38" t="s">
        <v>53</v>
      </c>
      <c r="S7" s="38" t="s">
        <v>53</v>
      </c>
      <c r="T7" s="38" t="s">
        <v>53</v>
      </c>
      <c r="U7" s="38" t="s">
        <v>53</v>
      </c>
      <c r="V7" s="35"/>
      <c r="W7" s="35"/>
      <c r="X7" s="38" t="s">
        <v>53</v>
      </c>
      <c r="Y7" s="38">
        <v>0</v>
      </c>
      <c r="Z7" s="35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53" t="s">
        <v>139</v>
      </c>
      <c r="AJ7" s="39" t="s">
        <v>172</v>
      </c>
      <c r="AK7" s="39" t="s">
        <v>83</v>
      </c>
      <c r="AL7" s="39" t="s">
        <v>64</v>
      </c>
      <c r="AM7" s="39" t="s">
        <v>65</v>
      </c>
      <c r="AN7" s="39" t="s">
        <v>66</v>
      </c>
      <c r="AO7" s="39" t="s">
        <v>67</v>
      </c>
      <c r="AP7" s="39" t="str">
        <f t="shared" ref="AP7:AP10" si="3">CONCATENATE(AJ7, ".", AL7)</f>
        <v>LLN0.Beh.stVal</v>
      </c>
      <c r="AQ7" s="39" t="s">
        <v>63</v>
      </c>
      <c r="AR7" s="35">
        <v>0</v>
      </c>
      <c r="AS7" s="35">
        <v>0</v>
      </c>
      <c r="AT7" s="35">
        <v>0</v>
      </c>
      <c r="AU7" s="35">
        <v>0</v>
      </c>
      <c r="AV7" s="35">
        <f t="shared" ref="AV7:AV10" si="4">BIN2DEC(CONCATENATE(0,0,0,0,AR7,AS7,AT7,AU7))</f>
        <v>0</v>
      </c>
      <c r="AW7" s="35">
        <f t="shared" ref="AW7:AW10" si="5">BIN2DEC(CONCATENATE(0,0,0,0,AS7,AT7,AU7,AV7))</f>
        <v>0</v>
      </c>
      <c r="AX7" s="35">
        <f t="shared" ref="AX7:AX10" si="6">BIN2DEC(CONCATENATE(0,0,0,0,AT7,AU7,AV7,AW7))</f>
        <v>0</v>
      </c>
      <c r="AY7" s="40"/>
      <c r="AZ7" s="35"/>
      <c r="BA7" s="35"/>
      <c r="BB7" s="35"/>
      <c r="BC7" s="35"/>
      <c r="BD7" s="35"/>
      <c r="BE7" s="35"/>
      <c r="BF7" s="35"/>
      <c r="BG7" s="25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41" customFormat="1" ht="15.75" x14ac:dyDescent="0.25">
      <c r="A8" s="34"/>
      <c r="B8" s="63" t="s">
        <v>193</v>
      </c>
      <c r="C8" s="35"/>
      <c r="D8" s="45"/>
      <c r="E8" s="22" t="s">
        <v>84</v>
      </c>
      <c r="F8" s="22" t="s">
        <v>85</v>
      </c>
      <c r="G8" s="22" t="s">
        <v>85</v>
      </c>
      <c r="H8" s="35"/>
      <c r="I8" s="22">
        <f t="shared" si="0"/>
        <v>14</v>
      </c>
      <c r="J8" s="22" t="str">
        <f t="shared" si="2"/>
        <v>Исправность LD</v>
      </c>
      <c r="K8" s="36" t="s">
        <v>86</v>
      </c>
      <c r="L8" s="37" t="s">
        <v>57</v>
      </c>
      <c r="M8" s="38" t="s">
        <v>51</v>
      </c>
      <c r="N8" s="38" t="s">
        <v>52</v>
      </c>
      <c r="O8" s="38"/>
      <c r="P8" s="24"/>
      <c r="Q8" s="24"/>
      <c r="R8" s="38" t="s">
        <v>53</v>
      </c>
      <c r="S8" s="38" t="s">
        <v>53</v>
      </c>
      <c r="T8" s="38" t="s">
        <v>53</v>
      </c>
      <c r="U8" s="38" t="s">
        <v>53</v>
      </c>
      <c r="V8" s="35"/>
      <c r="W8" s="35"/>
      <c r="X8" s="38" t="s">
        <v>53</v>
      </c>
      <c r="Y8" s="38">
        <v>0</v>
      </c>
      <c r="Z8" s="35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53" t="s">
        <v>139</v>
      </c>
      <c r="AJ8" s="39" t="s">
        <v>173</v>
      </c>
      <c r="AK8" s="39" t="s">
        <v>83</v>
      </c>
      <c r="AL8" s="39" t="s">
        <v>64</v>
      </c>
      <c r="AM8" s="39" t="s">
        <v>65</v>
      </c>
      <c r="AN8" s="39" t="s">
        <v>87</v>
      </c>
      <c r="AO8" s="39" t="s">
        <v>67</v>
      </c>
      <c r="AP8" s="39" t="str">
        <f t="shared" si="3"/>
        <v>LLN0.Health.stVal</v>
      </c>
      <c r="AQ8" s="39" t="s">
        <v>63</v>
      </c>
      <c r="AR8" s="35">
        <v>0</v>
      </c>
      <c r="AS8" s="35">
        <v>0</v>
      </c>
      <c r="AT8" s="35">
        <v>0</v>
      </c>
      <c r="AU8" s="35">
        <v>0</v>
      </c>
      <c r="AV8" s="35">
        <f t="shared" si="4"/>
        <v>0</v>
      </c>
      <c r="AW8" s="35">
        <f t="shared" si="5"/>
        <v>0</v>
      </c>
      <c r="AX8" s="35">
        <f t="shared" si="6"/>
        <v>0</v>
      </c>
      <c r="AY8" s="40"/>
      <c r="AZ8" s="35"/>
      <c r="BA8" s="35"/>
      <c r="BB8" s="35"/>
      <c r="BC8" s="35"/>
      <c r="BD8" s="35"/>
      <c r="BE8" s="35"/>
      <c r="BF8" s="35"/>
      <c r="BG8" s="25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41" customFormat="1" ht="15.75" x14ac:dyDescent="0.25">
      <c r="A9" s="34"/>
      <c r="B9" s="63" t="s">
        <v>193</v>
      </c>
      <c r="C9" s="35"/>
      <c r="D9" s="45" t="s">
        <v>108</v>
      </c>
      <c r="E9" s="22" t="s">
        <v>119</v>
      </c>
      <c r="F9" s="22" t="s">
        <v>88</v>
      </c>
      <c r="G9" s="22" t="s">
        <v>88</v>
      </c>
      <c r="H9" s="35"/>
      <c r="I9" s="22">
        <f t="shared" si="0"/>
        <v>9</v>
      </c>
      <c r="J9" s="22" t="str">
        <f t="shared" si="2"/>
        <v>Поведение</v>
      </c>
      <c r="K9" s="36" t="s">
        <v>134</v>
      </c>
      <c r="L9" s="37" t="s">
        <v>57</v>
      </c>
      <c r="M9" s="38" t="s">
        <v>51</v>
      </c>
      <c r="N9" s="38" t="s">
        <v>52</v>
      </c>
      <c r="O9" s="38"/>
      <c r="P9" s="35"/>
      <c r="Q9" s="35"/>
      <c r="R9" s="38" t="s">
        <v>53</v>
      </c>
      <c r="S9" s="38" t="s">
        <v>53</v>
      </c>
      <c r="T9" s="38" t="s">
        <v>53</v>
      </c>
      <c r="U9" s="38" t="s">
        <v>53</v>
      </c>
      <c r="V9" s="35"/>
      <c r="W9" s="35"/>
      <c r="X9" s="38" t="s">
        <v>53</v>
      </c>
      <c r="Y9" s="38">
        <v>0</v>
      </c>
      <c r="Z9" s="35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53" t="s">
        <v>141</v>
      </c>
      <c r="AJ9" s="39" t="s">
        <v>137</v>
      </c>
      <c r="AK9" s="39" t="s">
        <v>83</v>
      </c>
      <c r="AL9" s="39" t="s">
        <v>64</v>
      </c>
      <c r="AM9" s="39" t="s">
        <v>65</v>
      </c>
      <c r="AN9" s="39" t="s">
        <v>66</v>
      </c>
      <c r="AO9" s="39" t="s">
        <v>67</v>
      </c>
      <c r="AP9" s="39" t="str">
        <f t="shared" si="3"/>
        <v>PSOF1.Beh.stVal</v>
      </c>
      <c r="AQ9" s="39" t="s">
        <v>63</v>
      </c>
      <c r="AR9" s="35">
        <v>0</v>
      </c>
      <c r="AS9" s="35">
        <v>0</v>
      </c>
      <c r="AT9" s="35">
        <v>0</v>
      </c>
      <c r="AU9" s="35">
        <v>0</v>
      </c>
      <c r="AV9" s="35">
        <f t="shared" si="4"/>
        <v>0</v>
      </c>
      <c r="AW9" s="35">
        <f t="shared" si="5"/>
        <v>0</v>
      </c>
      <c r="AX9" s="35">
        <f t="shared" si="6"/>
        <v>0</v>
      </c>
      <c r="AY9" s="40"/>
      <c r="AZ9" s="35"/>
      <c r="BA9" s="35"/>
      <c r="BB9" s="35"/>
      <c r="BC9" s="35"/>
      <c r="BD9" s="35"/>
      <c r="BE9" s="35"/>
      <c r="BF9" s="35"/>
      <c r="BG9" s="25" t="str">
        <f t="shared" si="1"/>
        <v>description: "Поведение", note: "Индикация поведения логического узла АУ", group: "status", minValue: null, maxValue: null, step: null, units: "null", defaultValue: null, eventRegistration: 0</v>
      </c>
    </row>
    <row r="10" spans="1:16379" s="41" customFormat="1" ht="15.75" x14ac:dyDescent="0.25">
      <c r="A10" s="34"/>
      <c r="B10" s="63" t="s">
        <v>193</v>
      </c>
      <c r="C10" s="35"/>
      <c r="D10" s="45" t="s">
        <v>108</v>
      </c>
      <c r="E10" s="22" t="s">
        <v>120</v>
      </c>
      <c r="F10" s="22" t="s">
        <v>89</v>
      </c>
      <c r="G10" s="22" t="s">
        <v>89</v>
      </c>
      <c r="H10" s="35"/>
      <c r="I10" s="22">
        <f t="shared" si="0"/>
        <v>11</v>
      </c>
      <c r="J10" s="22" t="str">
        <f t="shared" si="2"/>
        <v>Исправность</v>
      </c>
      <c r="K10" s="36" t="s">
        <v>135</v>
      </c>
      <c r="L10" s="37" t="s">
        <v>57</v>
      </c>
      <c r="M10" s="38" t="s">
        <v>51</v>
      </c>
      <c r="N10" s="38" t="s">
        <v>52</v>
      </c>
      <c r="O10" s="38"/>
      <c r="P10" s="24"/>
      <c r="Q10" s="24"/>
      <c r="R10" s="38" t="s">
        <v>53</v>
      </c>
      <c r="S10" s="38" t="s">
        <v>53</v>
      </c>
      <c r="T10" s="38" t="s">
        <v>53</v>
      </c>
      <c r="U10" s="38" t="s">
        <v>53</v>
      </c>
      <c r="V10" s="35"/>
      <c r="W10" s="35"/>
      <c r="X10" s="38" t="s">
        <v>53</v>
      </c>
      <c r="Y10" s="38">
        <v>0</v>
      </c>
      <c r="Z10" s="35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53" t="s">
        <v>141</v>
      </c>
      <c r="AJ10" s="39" t="s">
        <v>138</v>
      </c>
      <c r="AK10" s="39" t="s">
        <v>83</v>
      </c>
      <c r="AL10" s="39" t="s">
        <v>64</v>
      </c>
      <c r="AM10" s="39" t="s">
        <v>65</v>
      </c>
      <c r="AN10" s="39" t="s">
        <v>87</v>
      </c>
      <c r="AO10" s="39" t="s">
        <v>67</v>
      </c>
      <c r="AP10" s="39" t="str">
        <f t="shared" si="3"/>
        <v>PSOF1.Health.stVal</v>
      </c>
      <c r="AQ10" s="39" t="s">
        <v>63</v>
      </c>
      <c r="AR10" s="35">
        <v>0</v>
      </c>
      <c r="AS10" s="35">
        <v>0</v>
      </c>
      <c r="AT10" s="35">
        <v>0</v>
      </c>
      <c r="AU10" s="35">
        <v>0</v>
      </c>
      <c r="AV10" s="35">
        <f t="shared" si="4"/>
        <v>0</v>
      </c>
      <c r="AW10" s="35">
        <f t="shared" si="5"/>
        <v>0</v>
      </c>
      <c r="AX10" s="35">
        <f t="shared" si="6"/>
        <v>0</v>
      </c>
      <c r="AY10" s="40"/>
      <c r="AZ10" s="35"/>
      <c r="BA10" s="35"/>
      <c r="BB10" s="35"/>
      <c r="BC10" s="35"/>
      <c r="BD10" s="35"/>
      <c r="BE10" s="35"/>
      <c r="BF10" s="35"/>
      <c r="BG10" s="25" t="str">
        <f t="shared" si="1"/>
        <v>description: "Исправность", note: "Индикация исправности логического узла АУ",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5"/>
  <sheetViews>
    <sheetView zoomScale="80" zoomScaleNormal="80" workbookViewId="0">
      <selection activeCell="E16" sqref="E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0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4" hidden="1" customWidth="1" outlineLevel="1"/>
    <col min="56" max="56" width="13.28515625" style="4" hidden="1" customWidth="1" outlineLevel="1"/>
    <col min="57" max="57" width="13" style="4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SUM(AB7:AB52)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82" t="s">
        <v>0</v>
      </c>
      <c r="BB1" s="83"/>
      <c r="BC1" s="83"/>
      <c r="BD1" s="83"/>
      <c r="BE1" s="83"/>
      <c r="BF1" s="83"/>
      <c r="BG1" s="83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147</v>
      </c>
      <c r="G2" s="10" t="s">
        <v>6</v>
      </c>
      <c r="H2" s="60" t="s">
        <v>189</v>
      </c>
      <c r="I2" s="10" t="s">
        <v>7</v>
      </c>
      <c r="J2" s="10" t="s">
        <v>8</v>
      </c>
      <c r="K2" s="10" t="s">
        <v>148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146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142</v>
      </c>
      <c r="AD2" s="15" t="s">
        <v>143</v>
      </c>
      <c r="AE2" s="15" t="s">
        <v>144</v>
      </c>
      <c r="AF2" s="15" t="s">
        <v>145</v>
      </c>
      <c r="AG2" s="15" t="s">
        <v>24</v>
      </c>
      <c r="AH2" s="15" t="s">
        <v>25</v>
      </c>
      <c r="AI2" s="14" t="s">
        <v>26</v>
      </c>
      <c r="AJ2" s="52" t="s">
        <v>140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3" customFormat="1" ht="15.75" x14ac:dyDescent="0.25">
      <c r="A3" s="34"/>
      <c r="B3" s="34" t="s">
        <v>90</v>
      </c>
      <c r="C3" s="38"/>
      <c r="D3" s="47" t="s">
        <v>108</v>
      </c>
      <c r="E3" s="22" t="s">
        <v>175</v>
      </c>
      <c r="F3" s="22" t="s">
        <v>160</v>
      </c>
      <c r="G3" s="22" t="s">
        <v>176</v>
      </c>
      <c r="H3" s="61" t="s">
        <v>176</v>
      </c>
      <c r="I3" s="22" t="s">
        <v>149</v>
      </c>
      <c r="J3" s="22">
        <f>LEN(F3)</f>
        <v>12</v>
      </c>
      <c r="K3" s="22" t="str">
        <f>IF(LEN(F3)&lt;=$K$1,F3,"")</f>
        <v>Ввод_функции</v>
      </c>
      <c r="L3" s="34" t="s">
        <v>125</v>
      </c>
      <c r="M3" s="57" t="s">
        <v>54</v>
      </c>
      <c r="N3" s="38" t="s">
        <v>52</v>
      </c>
      <c r="O3" s="38" t="s">
        <v>52</v>
      </c>
      <c r="P3" s="38"/>
      <c r="Q3" s="40">
        <v>0</v>
      </c>
      <c r="R3" s="40"/>
      <c r="S3" s="38" t="s">
        <v>53</v>
      </c>
      <c r="T3" s="38">
        <v>0</v>
      </c>
      <c r="U3" s="38">
        <v>1</v>
      </c>
      <c r="V3" s="38">
        <v>1</v>
      </c>
      <c r="W3" s="38"/>
      <c r="X3" s="38"/>
      <c r="Y3" s="38">
        <v>0</v>
      </c>
      <c r="Z3" s="38">
        <v>0</v>
      </c>
      <c r="AA3" s="36"/>
      <c r="AB3" s="27">
        <v>0</v>
      </c>
      <c r="AC3" s="27"/>
      <c r="AD3" s="27"/>
      <c r="AE3" s="27"/>
      <c r="AF3" s="27"/>
      <c r="AG3" s="27">
        <v>0</v>
      </c>
      <c r="AH3" s="27">
        <v>0</v>
      </c>
      <c r="AI3" s="27">
        <v>0</v>
      </c>
      <c r="AJ3" s="27"/>
      <c r="AK3" s="35"/>
      <c r="AL3" s="35"/>
      <c r="AM3" s="35"/>
      <c r="AN3" s="35"/>
      <c r="AO3" s="35"/>
      <c r="AP3" s="35"/>
      <c r="AQ3" s="35"/>
      <c r="AR3" s="35"/>
      <c r="AS3" s="35">
        <v>0</v>
      </c>
      <c r="AT3" s="35">
        <v>0</v>
      </c>
      <c r="AU3" s="35">
        <v>0</v>
      </c>
      <c r="AV3" s="35">
        <v>0</v>
      </c>
      <c r="AW3" s="35">
        <f>BIN2DEC(CONCATENATE(0,0,0,0,AS3,AT3,AU3,AV3))</f>
        <v>0</v>
      </c>
      <c r="AX3" s="35" t="s">
        <v>150</v>
      </c>
      <c r="AY3" s="35"/>
      <c r="AZ3" s="40"/>
      <c r="BA3" s="35"/>
      <c r="BB3" s="35"/>
      <c r="BC3" s="35"/>
      <c r="BD3" s="35"/>
      <c r="BE3" s="35"/>
      <c r="BF3" s="35"/>
      <c r="BG3" s="35"/>
      <c r="BH3" s="25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3" customFormat="1" ht="15.75" x14ac:dyDescent="0.25">
      <c r="A4" s="34"/>
      <c r="B4" s="34" t="s">
        <v>90</v>
      </c>
      <c r="C4" s="38"/>
      <c r="D4" s="47" t="s">
        <v>108</v>
      </c>
      <c r="E4" s="22" t="s">
        <v>161</v>
      </c>
      <c r="F4" s="22" t="s">
        <v>162</v>
      </c>
      <c r="G4" s="22" t="s">
        <v>177</v>
      </c>
      <c r="H4" s="61" t="s">
        <v>177</v>
      </c>
      <c r="I4" s="22" t="s">
        <v>149</v>
      </c>
      <c r="J4" s="22">
        <f>LEN(F4)</f>
        <v>6</v>
      </c>
      <c r="K4" s="22" t="str">
        <f>IF(LEN(F4)&lt;=$K$1,F4,"")</f>
        <v>АУ_МТЗ</v>
      </c>
      <c r="L4" s="34" t="s">
        <v>163</v>
      </c>
      <c r="M4" s="57" t="s">
        <v>54</v>
      </c>
      <c r="N4" s="38" t="s">
        <v>52</v>
      </c>
      <c r="O4" s="38" t="s">
        <v>52</v>
      </c>
      <c r="P4" s="38"/>
      <c r="Q4" s="40">
        <v>0</v>
      </c>
      <c r="R4" s="40"/>
      <c r="S4" s="38" t="s">
        <v>53</v>
      </c>
      <c r="T4" s="38">
        <v>0</v>
      </c>
      <c r="U4" s="38">
        <v>1</v>
      </c>
      <c r="V4" s="38">
        <v>1</v>
      </c>
      <c r="W4" s="38"/>
      <c r="X4" s="38"/>
      <c r="Y4" s="38">
        <v>0</v>
      </c>
      <c r="Z4" s="38">
        <v>0</v>
      </c>
      <c r="AA4" s="36"/>
      <c r="AB4" s="27">
        <v>0</v>
      </c>
      <c r="AC4" s="27"/>
      <c r="AD4" s="27"/>
      <c r="AE4" s="27"/>
      <c r="AF4" s="27"/>
      <c r="AG4" s="27">
        <v>0</v>
      </c>
      <c r="AH4" s="27">
        <v>0</v>
      </c>
      <c r="AI4" s="27">
        <v>0</v>
      </c>
      <c r="AJ4" s="27"/>
      <c r="AK4" s="35"/>
      <c r="AL4" s="35"/>
      <c r="AM4" s="35"/>
      <c r="AN4" s="35"/>
      <c r="AO4" s="35"/>
      <c r="AP4" s="35"/>
      <c r="AQ4" s="35"/>
      <c r="AR4" s="35"/>
      <c r="AS4" s="35">
        <v>0</v>
      </c>
      <c r="AT4" s="35">
        <v>0</v>
      </c>
      <c r="AU4" s="35">
        <v>0</v>
      </c>
      <c r="AV4" s="35">
        <v>0</v>
      </c>
      <c r="AW4" s="35">
        <f>BIN2DEC(CONCATENATE(0,0,0,0,AS4,AT4,AU4,AV4))</f>
        <v>0</v>
      </c>
      <c r="AX4" s="35" t="s">
        <v>150</v>
      </c>
      <c r="AY4" s="35"/>
      <c r="AZ4" s="40"/>
      <c r="BA4" s="35"/>
      <c r="BB4" s="35"/>
      <c r="BC4" s="35"/>
      <c r="BD4" s="35"/>
      <c r="BE4" s="35"/>
      <c r="BF4" s="35"/>
      <c r="BG4" s="35"/>
      <c r="BH4" s="25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"АУ_МТЗ", note: "Автоматическое ускорение МТЗ", group: "setting", minValue: 0, maxValue: 1, step: 1, units: "null", defaultValue: 0, eventRegistration: 0</v>
      </c>
    </row>
    <row r="5" spans="1:16380" s="33" customFormat="1" ht="15.75" x14ac:dyDescent="0.25">
      <c r="A5" s="34"/>
      <c r="B5" s="34" t="s">
        <v>90</v>
      </c>
      <c r="C5" s="38"/>
      <c r="D5" s="47" t="s">
        <v>108</v>
      </c>
      <c r="E5" s="22" t="s">
        <v>164</v>
      </c>
      <c r="F5" s="22" t="s">
        <v>165</v>
      </c>
      <c r="G5" s="22" t="s">
        <v>178</v>
      </c>
      <c r="H5" s="61" t="s">
        <v>178</v>
      </c>
      <c r="I5" s="22" t="s">
        <v>149</v>
      </c>
      <c r="J5" s="22">
        <f>LEN(F5)</f>
        <v>5</v>
      </c>
      <c r="K5" s="22" t="str">
        <f>IF(LEN(F5)&lt;=$K$1,F5,"")</f>
        <v>АУ_ДЗ</v>
      </c>
      <c r="L5" s="34" t="s">
        <v>166</v>
      </c>
      <c r="M5" s="57" t="s">
        <v>54</v>
      </c>
      <c r="N5" s="38" t="s">
        <v>52</v>
      </c>
      <c r="O5" s="38" t="s">
        <v>52</v>
      </c>
      <c r="P5" s="38"/>
      <c r="Q5" s="40">
        <v>0</v>
      </c>
      <c r="R5" s="40"/>
      <c r="S5" s="38" t="s">
        <v>53</v>
      </c>
      <c r="T5" s="38">
        <v>0</v>
      </c>
      <c r="U5" s="38">
        <v>1</v>
      </c>
      <c r="V5" s="38">
        <v>1</v>
      </c>
      <c r="W5" s="38"/>
      <c r="X5" s="38"/>
      <c r="Y5" s="38">
        <v>0</v>
      </c>
      <c r="Z5" s="38">
        <v>0</v>
      </c>
      <c r="AA5" s="36"/>
      <c r="AB5" s="27">
        <v>0</v>
      </c>
      <c r="AC5" s="27"/>
      <c r="AD5" s="27"/>
      <c r="AE5" s="27"/>
      <c r="AF5" s="27"/>
      <c r="AG5" s="27">
        <v>0</v>
      </c>
      <c r="AH5" s="27">
        <v>0</v>
      </c>
      <c r="AI5" s="27">
        <v>0</v>
      </c>
      <c r="AJ5" s="27"/>
      <c r="AK5" s="35"/>
      <c r="AL5" s="35"/>
      <c r="AM5" s="35"/>
      <c r="AN5" s="35"/>
      <c r="AO5" s="35"/>
      <c r="AP5" s="35"/>
      <c r="AQ5" s="35"/>
      <c r="AR5" s="35"/>
      <c r="AS5" s="35">
        <v>0</v>
      </c>
      <c r="AT5" s="35">
        <v>0</v>
      </c>
      <c r="AU5" s="35">
        <v>0</v>
      </c>
      <c r="AV5" s="35">
        <v>0</v>
      </c>
      <c r="AW5" s="35">
        <f>BIN2DEC(CONCATENATE(0,0,0,0,AS5,AT5,AU5,AV5))</f>
        <v>0</v>
      </c>
      <c r="AX5" s="35" t="s">
        <v>150</v>
      </c>
      <c r="AY5" s="35"/>
      <c r="AZ5" s="40"/>
      <c r="BA5" s="35"/>
      <c r="BB5" s="35"/>
      <c r="BC5" s="35"/>
      <c r="BD5" s="35"/>
      <c r="BE5" s="35"/>
      <c r="BF5" s="35"/>
      <c r="BG5" s="35"/>
      <c r="BH5" s="25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"АУ_ДЗ", note: "Автоматическое ускорение ДЗ", group: "setting", minValue: 0, maxValue: 1, step: 1, units: "null", defaultValue: 0, eventRegistration: 0</v>
      </c>
    </row>
    <row r="6" spans="1:16380" s="33" customFormat="1" ht="15.75" x14ac:dyDescent="0.25">
      <c r="A6" s="34"/>
      <c r="B6" s="34" t="s">
        <v>90</v>
      </c>
      <c r="C6" s="38"/>
      <c r="D6" s="47" t="s">
        <v>108</v>
      </c>
      <c r="E6" s="22" t="s">
        <v>167</v>
      </c>
      <c r="F6" s="22" t="s">
        <v>168</v>
      </c>
      <c r="G6" s="22" t="s">
        <v>179</v>
      </c>
      <c r="H6" s="61" t="s">
        <v>179</v>
      </c>
      <c r="I6" s="22" t="s">
        <v>149</v>
      </c>
      <c r="J6" s="22">
        <f>LEN(F6)</f>
        <v>7</v>
      </c>
      <c r="K6" s="22" t="str">
        <f>IF(LEN(F6)&lt;=$K$1,F6,"")</f>
        <v>АУ_ТЗНП</v>
      </c>
      <c r="L6" s="34" t="s">
        <v>169</v>
      </c>
      <c r="M6" s="57" t="s">
        <v>54</v>
      </c>
      <c r="N6" s="38" t="s">
        <v>52</v>
      </c>
      <c r="O6" s="38" t="s">
        <v>52</v>
      </c>
      <c r="P6" s="38"/>
      <c r="Q6" s="40">
        <v>0</v>
      </c>
      <c r="R6" s="40"/>
      <c r="S6" s="38" t="s">
        <v>53</v>
      </c>
      <c r="T6" s="38">
        <v>0</v>
      </c>
      <c r="U6" s="38">
        <v>1</v>
      </c>
      <c r="V6" s="38">
        <v>1</v>
      </c>
      <c r="W6" s="38"/>
      <c r="X6" s="38"/>
      <c r="Y6" s="38">
        <v>0</v>
      </c>
      <c r="Z6" s="38">
        <v>0</v>
      </c>
      <c r="AA6" s="36"/>
      <c r="AB6" s="27">
        <v>0</v>
      </c>
      <c r="AC6" s="27"/>
      <c r="AD6" s="27"/>
      <c r="AE6" s="27"/>
      <c r="AF6" s="27"/>
      <c r="AG6" s="27">
        <v>0</v>
      </c>
      <c r="AH6" s="27">
        <v>0</v>
      </c>
      <c r="AI6" s="27">
        <v>0</v>
      </c>
      <c r="AJ6" s="27"/>
      <c r="AK6" s="35"/>
      <c r="AL6" s="35"/>
      <c r="AM6" s="35"/>
      <c r="AN6" s="35"/>
      <c r="AO6" s="35"/>
      <c r="AP6" s="35"/>
      <c r="AQ6" s="35"/>
      <c r="AR6" s="35"/>
      <c r="AS6" s="35">
        <v>0</v>
      </c>
      <c r="AT6" s="35">
        <v>0</v>
      </c>
      <c r="AU6" s="35">
        <v>0</v>
      </c>
      <c r="AV6" s="35">
        <v>0</v>
      </c>
      <c r="AW6" s="35">
        <f>BIN2DEC(CONCATENATE(0,0,0,0,AS6,AT6,AU6,AV6))</f>
        <v>0</v>
      </c>
      <c r="AX6" s="35" t="s">
        <v>150</v>
      </c>
      <c r="AY6" s="35"/>
      <c r="AZ6" s="40"/>
      <c r="BA6" s="35"/>
      <c r="BB6" s="35"/>
      <c r="BC6" s="35"/>
      <c r="BD6" s="35"/>
      <c r="BE6" s="35"/>
      <c r="BF6" s="35"/>
      <c r="BG6" s="35"/>
      <c r="BH6" s="25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"АУ_ТЗНП", note: "Автоматическое ускорение ТЗНП", group: "setting", minValue: 0, maxValue: 1, step: 1, units: "null", defaultValue: 0, eventRegistration: 0</v>
      </c>
    </row>
    <row r="7" spans="1:16380" s="33" customFormat="1" ht="15.75" x14ac:dyDescent="0.25">
      <c r="A7" s="34"/>
      <c r="B7" s="34" t="s">
        <v>90</v>
      </c>
      <c r="C7" s="38"/>
      <c r="D7" s="47" t="s">
        <v>108</v>
      </c>
      <c r="E7" s="22" t="s">
        <v>111</v>
      </c>
      <c r="F7" s="22" t="s">
        <v>112</v>
      </c>
      <c r="G7" s="22" t="s">
        <v>180</v>
      </c>
      <c r="H7" s="61" t="s">
        <v>180</v>
      </c>
      <c r="I7" s="22"/>
      <c r="J7" s="22">
        <f t="shared" ref="J7" si="0">LEN(F7)</f>
        <v>7</v>
      </c>
      <c r="K7" s="22" t="str">
        <f t="shared" ref="K7" si="1">IF(LEN(F7)&lt;=$K$1,F7,"")</f>
        <v>Тср_МТЗ</v>
      </c>
      <c r="L7" s="34" t="s">
        <v>122</v>
      </c>
      <c r="M7" s="55" t="s">
        <v>95</v>
      </c>
      <c r="N7" s="38" t="s">
        <v>52</v>
      </c>
      <c r="O7" s="38" t="s">
        <v>52</v>
      </c>
      <c r="P7" s="38"/>
      <c r="Q7" s="40">
        <v>2</v>
      </c>
      <c r="R7" s="40" t="s">
        <v>91</v>
      </c>
      <c r="S7" s="38" t="s">
        <v>92</v>
      </c>
      <c r="T7" s="38">
        <v>0</v>
      </c>
      <c r="U7" s="38">
        <v>3000</v>
      </c>
      <c r="V7" s="38">
        <v>10</v>
      </c>
      <c r="W7" s="38"/>
      <c r="X7" s="38"/>
      <c r="Y7" s="38">
        <v>0</v>
      </c>
      <c r="Z7" s="38">
        <v>0</v>
      </c>
      <c r="AA7" s="36"/>
      <c r="AB7" s="27">
        <v>0</v>
      </c>
      <c r="AC7" s="27"/>
      <c r="AD7" s="27"/>
      <c r="AE7" s="27"/>
      <c r="AF7" s="27"/>
      <c r="AG7" s="27">
        <v>0</v>
      </c>
      <c r="AH7" s="27">
        <v>0</v>
      </c>
      <c r="AI7" s="27">
        <v>0</v>
      </c>
      <c r="AJ7" s="27" t="s">
        <v>141</v>
      </c>
      <c r="AK7" s="35" t="s">
        <v>127</v>
      </c>
      <c r="AL7" s="35" t="s">
        <v>93</v>
      </c>
      <c r="AM7" s="35" t="s">
        <v>94</v>
      </c>
      <c r="AN7" s="35" t="s">
        <v>95</v>
      </c>
      <c r="AO7" s="35"/>
      <c r="AP7" s="35" t="s">
        <v>184</v>
      </c>
      <c r="AQ7" s="9" t="str">
        <f t="shared" ref="AQ7" si="2" xml:space="preserve"> CONCATENATE(AK7, ".",AM7)</f>
        <v>PSOF1.OpDlTmmsI.setVal</v>
      </c>
      <c r="AR7" s="39" t="s">
        <v>63</v>
      </c>
      <c r="AS7" s="35">
        <v>0</v>
      </c>
      <c r="AT7" s="35">
        <v>0</v>
      </c>
      <c r="AU7" s="35">
        <v>0</v>
      </c>
      <c r="AV7" s="35">
        <v>0</v>
      </c>
      <c r="AW7" s="35">
        <f t="shared" ref="AW7" si="3">BIN2DEC(CONCATENATE(0,0,0,0,AS7,AT7,AU7,AV7))</f>
        <v>0</v>
      </c>
      <c r="AX7" s="35"/>
      <c r="AY7" s="35"/>
      <c r="AZ7" s="40"/>
      <c r="BA7" s="35"/>
      <c r="BB7" s="35"/>
      <c r="BC7" s="35"/>
      <c r="BD7" s="35"/>
      <c r="BE7" s="35"/>
      <c r="BF7" s="35"/>
      <c r="BG7" s="35"/>
      <c r="BH7" s="25" t="str">
        <f t="shared" ref="BH7" si="4">CONCATENATE("description: """,F7,"""", ", ", "note: """,E7,"""",", ","group: """, B7, """",", ","minValue: ", T7,", ","maxValue: ", U7,", ","step: ", V7,", ","units: """, S7, """",", ","defaultValue: ", Y7,", ","eventRegistration: ", Z7,)</f>
        <v>description: "Тср_МТЗ", note: "Выдержка времени срабатывания ускоряемой ступени МТЗ", group: "setting", minValue: 0, maxValue: 3000, step: 10, units: "мс", defaultValue: 0, eventRegistration: 0</v>
      </c>
    </row>
    <row r="8" spans="1:16380" s="33" customFormat="1" ht="15.75" x14ac:dyDescent="0.25">
      <c r="A8" s="34"/>
      <c r="B8" s="34" t="s">
        <v>90</v>
      </c>
      <c r="C8" s="38"/>
      <c r="D8" s="47" t="s">
        <v>108</v>
      </c>
      <c r="E8" s="22" t="s">
        <v>113</v>
      </c>
      <c r="F8" s="22" t="s">
        <v>114</v>
      </c>
      <c r="G8" s="22" t="s">
        <v>181</v>
      </c>
      <c r="H8" s="61" t="s">
        <v>181</v>
      </c>
      <c r="I8" s="22"/>
      <c r="J8" s="22">
        <f t="shared" ref="J8" si="5">LEN(F8)</f>
        <v>6</v>
      </c>
      <c r="K8" s="22" t="str">
        <f t="shared" ref="K8" si="6">IF(LEN(F8)&lt;=$K$1,F8,"")</f>
        <v>Тср_ДЗ</v>
      </c>
      <c r="L8" s="34" t="s">
        <v>123</v>
      </c>
      <c r="M8" s="56" t="s">
        <v>95</v>
      </c>
      <c r="N8" s="38" t="s">
        <v>52</v>
      </c>
      <c r="O8" s="38" t="s">
        <v>52</v>
      </c>
      <c r="P8" s="38"/>
      <c r="Q8" s="40">
        <v>2</v>
      </c>
      <c r="R8" s="40" t="s">
        <v>91</v>
      </c>
      <c r="S8" s="38" t="s">
        <v>92</v>
      </c>
      <c r="T8" s="38">
        <v>0</v>
      </c>
      <c r="U8" s="38">
        <v>3000</v>
      </c>
      <c r="V8" s="38">
        <v>10</v>
      </c>
      <c r="W8" s="38"/>
      <c r="X8" s="38"/>
      <c r="Y8" s="38">
        <v>0</v>
      </c>
      <c r="Z8" s="38">
        <v>0</v>
      </c>
      <c r="AA8" s="36"/>
      <c r="AB8" s="27">
        <v>0</v>
      </c>
      <c r="AC8" s="27"/>
      <c r="AD8" s="27"/>
      <c r="AE8" s="27"/>
      <c r="AF8" s="27"/>
      <c r="AG8" s="27">
        <v>0</v>
      </c>
      <c r="AH8" s="27">
        <v>0</v>
      </c>
      <c r="AI8" s="27">
        <v>0</v>
      </c>
      <c r="AJ8" s="27" t="s">
        <v>141</v>
      </c>
      <c r="AK8" s="35" t="s">
        <v>128</v>
      </c>
      <c r="AL8" s="35" t="s">
        <v>93</v>
      </c>
      <c r="AM8" s="35" t="s">
        <v>94</v>
      </c>
      <c r="AN8" s="35" t="s">
        <v>95</v>
      </c>
      <c r="AO8" s="35"/>
      <c r="AP8" s="35" t="s">
        <v>184</v>
      </c>
      <c r="AQ8" s="9" t="str">
        <f t="shared" ref="AQ8" si="7" xml:space="preserve"> CONCATENATE(AK8, ".",AM8)</f>
        <v>PSOF1.OpDlTmmsR.setVal</v>
      </c>
      <c r="AR8" s="39" t="s">
        <v>63</v>
      </c>
      <c r="AS8" s="35">
        <v>0</v>
      </c>
      <c r="AT8" s="35">
        <v>0</v>
      </c>
      <c r="AU8" s="35">
        <v>0</v>
      </c>
      <c r="AV8" s="35">
        <v>0</v>
      </c>
      <c r="AW8" s="35">
        <f t="shared" ref="AW8" si="8">BIN2DEC(CONCATENATE(0,0,0,0,AS8,AT8,AU8,AV8))</f>
        <v>0</v>
      </c>
      <c r="AX8" s="35"/>
      <c r="AY8" s="35"/>
      <c r="AZ8" s="40"/>
      <c r="BA8" s="35"/>
      <c r="BB8" s="35"/>
      <c r="BC8" s="35"/>
      <c r="BD8" s="35"/>
      <c r="BE8" s="35"/>
      <c r="BF8" s="35"/>
      <c r="BG8" s="35"/>
      <c r="BH8" s="25" t="str">
        <f t="shared" ref="BH8" si="9">CONCATENATE("description: """,F8,"""", ", ", "note: """,E8,"""",", ","group: """, B8, """",", ","minValue: ", T8,", ","maxValue: ", U8,", ","step: ", V8,", ","units: """, S8, """",", ","defaultValue: ", Y8,", ","eventRegistration: ", Z8,)</f>
        <v>description: "Тср_ДЗ", note: "Выдержка времени срабатывания ускоряемой ступени ДЗ", group: "setting", minValue: 0, maxValue: 3000, step: 10, units: "мс", defaultValue: 0, eventRegistration: 0</v>
      </c>
    </row>
    <row r="9" spans="1:16380" s="33" customFormat="1" ht="15.75" x14ac:dyDescent="0.25">
      <c r="A9" s="34"/>
      <c r="B9" s="34" t="s">
        <v>90</v>
      </c>
      <c r="C9" s="38"/>
      <c r="D9" s="47" t="s">
        <v>108</v>
      </c>
      <c r="E9" s="22" t="s">
        <v>109</v>
      </c>
      <c r="F9" s="22" t="s">
        <v>110</v>
      </c>
      <c r="G9" s="22" t="s">
        <v>182</v>
      </c>
      <c r="H9" s="61" t="s">
        <v>182</v>
      </c>
      <c r="I9" s="22"/>
      <c r="J9" s="22">
        <f>LEN(F9)</f>
        <v>8</v>
      </c>
      <c r="K9" s="22" t="str">
        <f>IF(LEN(F9)&lt;=$K$1,F9,"")</f>
        <v>Тср_ТЗНП</v>
      </c>
      <c r="L9" s="34" t="s">
        <v>121</v>
      </c>
      <c r="M9" s="54" t="s">
        <v>95</v>
      </c>
      <c r="N9" s="38" t="s">
        <v>52</v>
      </c>
      <c r="O9" s="38" t="s">
        <v>52</v>
      </c>
      <c r="P9" s="38"/>
      <c r="Q9" s="40">
        <v>2</v>
      </c>
      <c r="R9" s="40" t="s">
        <v>91</v>
      </c>
      <c r="S9" s="38" t="s">
        <v>92</v>
      </c>
      <c r="T9" s="38">
        <v>0</v>
      </c>
      <c r="U9" s="38">
        <v>3000</v>
      </c>
      <c r="V9" s="38">
        <v>10</v>
      </c>
      <c r="W9" s="38"/>
      <c r="X9" s="38"/>
      <c r="Y9" s="38">
        <v>0</v>
      </c>
      <c r="Z9" s="38">
        <v>0</v>
      </c>
      <c r="AA9" s="36"/>
      <c r="AB9" s="27">
        <v>0</v>
      </c>
      <c r="AC9" s="27"/>
      <c r="AD9" s="27"/>
      <c r="AE9" s="27"/>
      <c r="AF9" s="27"/>
      <c r="AG9" s="27">
        <v>0</v>
      </c>
      <c r="AH9" s="27">
        <v>0</v>
      </c>
      <c r="AI9" s="27">
        <v>0</v>
      </c>
      <c r="AJ9" s="27" t="s">
        <v>141</v>
      </c>
      <c r="AK9" s="35" t="s">
        <v>126</v>
      </c>
      <c r="AL9" s="35" t="s">
        <v>93</v>
      </c>
      <c r="AM9" s="35" t="s">
        <v>94</v>
      </c>
      <c r="AN9" s="35" t="s">
        <v>95</v>
      </c>
      <c r="AO9" s="35"/>
      <c r="AP9" s="35" t="s">
        <v>184</v>
      </c>
      <c r="AQ9" s="9" t="str">
        <f xml:space="preserve"> CONCATENATE(AK9, ".",AM9)</f>
        <v>PSOF1.OpDlTmms3I0.setVal</v>
      </c>
      <c r="AR9" s="39" t="s">
        <v>63</v>
      </c>
      <c r="AS9" s="35">
        <v>0</v>
      </c>
      <c r="AT9" s="35">
        <v>0</v>
      </c>
      <c r="AU9" s="35">
        <v>0</v>
      </c>
      <c r="AV9" s="35">
        <v>0</v>
      </c>
      <c r="AW9" s="35">
        <f>BIN2DEC(CONCATENATE(0,0,0,0,AS9,AT9,AU9,AV9))</f>
        <v>0</v>
      </c>
      <c r="AX9" s="35"/>
      <c r="AY9" s="35"/>
      <c r="AZ9" s="40"/>
      <c r="BA9" s="35"/>
      <c r="BB9" s="35"/>
      <c r="BC9" s="35"/>
      <c r="BD9" s="35"/>
      <c r="BE9" s="35"/>
      <c r="BF9" s="35"/>
      <c r="BG9" s="35"/>
      <c r="BH9" s="25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"Тср_ТЗНП", note: "Выдержка времени срабатывания ускоряемой ступени ТЗНП", group: "setting", minValue: 0, maxValue: 3000, step: 10, units: "мс", defaultValue: 0, eventRegistration: 0</v>
      </c>
    </row>
    <row r="10" spans="1:16380" s="33" customFormat="1" ht="15.75" x14ac:dyDescent="0.25">
      <c r="A10" s="34"/>
      <c r="B10" s="34" t="s">
        <v>90</v>
      </c>
      <c r="C10" s="38"/>
      <c r="D10" s="47" t="s">
        <v>108</v>
      </c>
      <c r="E10" s="22" t="s">
        <v>115</v>
      </c>
      <c r="F10" s="22" t="s">
        <v>116</v>
      </c>
      <c r="G10" s="22" t="s">
        <v>183</v>
      </c>
      <c r="H10" s="61" t="s">
        <v>183</v>
      </c>
      <c r="I10" s="22"/>
      <c r="J10" s="22">
        <f t="shared" ref="J10" si="10">LEN(F10)</f>
        <v>3</v>
      </c>
      <c r="K10" s="22" t="str">
        <f t="shared" ref="K10" si="11">IF(LEN(F10)&lt;=$K$1,F10,"")</f>
        <v>Твв</v>
      </c>
      <c r="L10" s="34" t="s">
        <v>124</v>
      </c>
      <c r="M10" s="57" t="s">
        <v>95</v>
      </c>
      <c r="N10" s="38" t="s">
        <v>52</v>
      </c>
      <c r="O10" s="38" t="s">
        <v>52</v>
      </c>
      <c r="P10" s="38"/>
      <c r="Q10" s="40">
        <v>2</v>
      </c>
      <c r="R10" s="40" t="s">
        <v>91</v>
      </c>
      <c r="S10" s="38" t="s">
        <v>92</v>
      </c>
      <c r="T10" s="38">
        <v>0</v>
      </c>
      <c r="U10" s="38">
        <v>5000</v>
      </c>
      <c r="V10" s="38">
        <v>10</v>
      </c>
      <c r="W10" s="38"/>
      <c r="X10" s="38"/>
      <c r="Y10" s="38">
        <v>5000</v>
      </c>
      <c r="Z10" s="38">
        <v>0</v>
      </c>
      <c r="AA10" s="36"/>
      <c r="AB10" s="27">
        <v>0</v>
      </c>
      <c r="AC10" s="27"/>
      <c r="AD10" s="27"/>
      <c r="AE10" s="27"/>
      <c r="AF10" s="27"/>
      <c r="AG10" s="27">
        <v>0</v>
      </c>
      <c r="AH10" s="27">
        <v>0</v>
      </c>
      <c r="AI10" s="27">
        <v>0</v>
      </c>
      <c r="AJ10" s="27" t="s">
        <v>141</v>
      </c>
      <c r="AK10" s="35" t="s">
        <v>129</v>
      </c>
      <c r="AL10" s="35" t="s">
        <v>93</v>
      </c>
      <c r="AM10" s="35" t="s">
        <v>94</v>
      </c>
      <c r="AN10" s="35" t="s">
        <v>95</v>
      </c>
      <c r="AO10" s="35"/>
      <c r="AP10" s="35" t="s">
        <v>184</v>
      </c>
      <c r="AQ10" s="9" t="str">
        <f t="shared" ref="AQ10" si="12" xml:space="preserve"> CONCATENATE(AK10, ".",AM10)</f>
        <v>PSOF1.OnPosTmms.setVal</v>
      </c>
      <c r="AR10" s="39" t="s">
        <v>63</v>
      </c>
      <c r="AS10" s="35">
        <v>0</v>
      </c>
      <c r="AT10" s="35">
        <v>0</v>
      </c>
      <c r="AU10" s="35">
        <v>0</v>
      </c>
      <c r="AV10" s="35">
        <v>0</v>
      </c>
      <c r="AW10" s="35">
        <f t="shared" ref="AW10" si="13">BIN2DEC(CONCATENATE(0,0,0,0,AS10,AT10,AU10,AV10))</f>
        <v>0</v>
      </c>
      <c r="AX10" s="35"/>
      <c r="AY10" s="35"/>
      <c r="AZ10" s="40"/>
      <c r="BA10" s="35"/>
      <c r="BB10" s="35"/>
      <c r="BC10" s="35"/>
      <c r="BD10" s="35"/>
      <c r="BE10" s="35"/>
      <c r="BF10" s="35"/>
      <c r="BG10" s="35"/>
      <c r="BH10" s="25" t="str">
        <f t="shared" ref="BH10" si="14">CONCATENATE("description: """,F10,"""", ", ", "note: """,E10,"""",", ","group: """, B10, """",", ","minValue: ", T10,", ","maxValue: ", U10,", ","step: ", V10,", ","units: """, S10, """",", ","defaultValue: ", Y10,", ","eventRegistration: ", Z10,)</f>
        <v>description: "Твв", note: "Время ввода ускорения при включении выключателя", group: "setting", minValue: 0, maxValue: 5000, step: 10, units: "мс", defaultValue: 5000, eventRegistration: 0</v>
      </c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4"/>
      <c r="BD11" s="4"/>
      <c r="BE11" s="4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4"/>
      <c r="BD12" s="4"/>
      <c r="BE12" s="4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4"/>
      <c r="BD13" s="4"/>
      <c r="BE13" s="4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4"/>
      <c r="BD14" s="4"/>
      <c r="BE14" s="4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4"/>
      <c r="BD15" s="4"/>
      <c r="BE15" s="4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4"/>
      <c r="BD16" s="4"/>
      <c r="BE16" s="4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4"/>
      <c r="BD17" s="4"/>
      <c r="BE17" s="4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4"/>
      <c r="BD18" s="4"/>
      <c r="BE18" s="4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4"/>
      <c r="BD19" s="4"/>
      <c r="BE19" s="4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4"/>
      <c r="BD20" s="4"/>
      <c r="BE20" s="4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4"/>
      <c r="BD21" s="4"/>
      <c r="BE21" s="4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4"/>
      <c r="BD22" s="4"/>
      <c r="BE22" s="4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4"/>
      <c r="BD23" s="4"/>
      <c r="BE23" s="4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4"/>
      <c r="BD24" s="4"/>
      <c r="BE24" s="4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4"/>
      <c r="BD25" s="4"/>
      <c r="BE25" s="4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4"/>
      <c r="BD26" s="4"/>
      <c r="BE26" s="4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4"/>
      <c r="BD27" s="4"/>
      <c r="BE27" s="4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4"/>
      <c r="BD28" s="4"/>
      <c r="BE28" s="4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4"/>
      <c r="BD29" s="4"/>
      <c r="BE29" s="4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4"/>
      <c r="BD30" s="4"/>
      <c r="BE30" s="4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4"/>
      <c r="BD31" s="4"/>
      <c r="BE31" s="4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4"/>
      <c r="BD32" s="4"/>
      <c r="BE32" s="4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4"/>
      <c r="BD33" s="4"/>
      <c r="BE33" s="4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4"/>
      <c r="BD34" s="4"/>
      <c r="BE34" s="4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4"/>
      <c r="BD35" s="4"/>
      <c r="BE35" s="4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4"/>
      <c r="BD36" s="4"/>
      <c r="BE36" s="4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4"/>
      <c r="BD37" s="4"/>
      <c r="BE37" s="4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4"/>
      <c r="BD38" s="4"/>
      <c r="BE38" s="4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4"/>
      <c r="BD39" s="4"/>
      <c r="BE39" s="4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4"/>
      <c r="BD40" s="4"/>
      <c r="BE40" s="4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4"/>
      <c r="BD41" s="4"/>
      <c r="BE41" s="4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4"/>
      <c r="BD42" s="4"/>
      <c r="BE42" s="4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4"/>
      <c r="BD43" s="4"/>
      <c r="BE43" s="4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4"/>
      <c r="BD44" s="4"/>
      <c r="BE44" s="4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4"/>
      <c r="BD45" s="4"/>
      <c r="BE45" s="4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4"/>
      <c r="BD46" s="4"/>
      <c r="BE46" s="4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4"/>
      <c r="BD47" s="4"/>
      <c r="BE47" s="4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4"/>
      <c r="BD48" s="4"/>
      <c r="BE48" s="4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4"/>
      <c r="BD49" s="4"/>
      <c r="BE49" s="4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4"/>
      <c r="BD50" s="4"/>
      <c r="BE50" s="4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4"/>
      <c r="BD51" s="4"/>
      <c r="BE51" s="4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4"/>
      <c r="BD52" s="4"/>
      <c r="BE52" s="4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4"/>
      <c r="BD53" s="4"/>
      <c r="BE53" s="4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4"/>
      <c r="BD54" s="4"/>
      <c r="BE54" s="4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4"/>
      <c r="BD55" s="4"/>
      <c r="BE55" s="4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4"/>
      <c r="BD56" s="4"/>
      <c r="BE56" s="4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4"/>
      <c r="BD57" s="4"/>
      <c r="BE57" s="4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4"/>
      <c r="BD58" s="4"/>
      <c r="BE58" s="4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4"/>
      <c r="BD59" s="4"/>
      <c r="BE59" s="4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4"/>
      <c r="BD60" s="4"/>
      <c r="BE60" s="4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4"/>
      <c r="BD61" s="4"/>
      <c r="BE61" s="4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4"/>
      <c r="BD62" s="4"/>
      <c r="BE62" s="4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4"/>
      <c r="BD63" s="4"/>
      <c r="BE63" s="4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4"/>
      <c r="BD64" s="4"/>
      <c r="BE64" s="4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4"/>
      <c r="BD65" s="4"/>
      <c r="BE65" s="4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4"/>
      <c r="BD66" s="4"/>
      <c r="BE66" s="4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4"/>
      <c r="BD67" s="4"/>
      <c r="BE67" s="4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4"/>
      <c r="BD68" s="4"/>
      <c r="BE68" s="4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4"/>
      <c r="BD69" s="4"/>
      <c r="BE69" s="4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4"/>
      <c r="BD70" s="4"/>
      <c r="BE70" s="4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4"/>
      <c r="BD71" s="4"/>
      <c r="BE71" s="4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4"/>
      <c r="BD72" s="4"/>
      <c r="BE72" s="4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4"/>
      <c r="BD73" s="4"/>
      <c r="BE73" s="4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4"/>
      <c r="BD74" s="4"/>
      <c r="BE74" s="4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4"/>
      <c r="BD75" s="4"/>
      <c r="BE75" s="4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4"/>
      <c r="BD76" s="4"/>
      <c r="BE76" s="4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4"/>
      <c r="BD77" s="4"/>
      <c r="BE77" s="4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4"/>
      <c r="BD78" s="4"/>
      <c r="BE78" s="4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4"/>
      <c r="BD79" s="4"/>
      <c r="BE79" s="4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4"/>
      <c r="BD80" s="4"/>
      <c r="BE80" s="4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4"/>
      <c r="BD81" s="4"/>
      <c r="BE81" s="4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4"/>
      <c r="BD82" s="4"/>
      <c r="BE82" s="4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4"/>
      <c r="BD83" s="4"/>
      <c r="BE83" s="4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4"/>
      <c r="BD84" s="4"/>
      <c r="BE84" s="4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4"/>
      <c r="BD85" s="4"/>
      <c r="BE85" s="4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4"/>
      <c r="BD86" s="4"/>
      <c r="BE86" s="4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4"/>
      <c r="BD87" s="4"/>
      <c r="BE87" s="4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4"/>
      <c r="BD88" s="4"/>
      <c r="BE88" s="4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4"/>
      <c r="BD89" s="4"/>
      <c r="BE89" s="4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4"/>
      <c r="BD90" s="4"/>
      <c r="BE90" s="4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4"/>
      <c r="BD91" s="4"/>
      <c r="BE91" s="4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4"/>
      <c r="BD92" s="4"/>
      <c r="BE92" s="4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4"/>
      <c r="BD93" s="4"/>
      <c r="BE93" s="4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4"/>
      <c r="BD94" s="4"/>
      <c r="BE94" s="4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4"/>
      <c r="BD95" s="4"/>
      <c r="BE95" s="4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4"/>
      <c r="BD96" s="4"/>
      <c r="BE96" s="4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4"/>
      <c r="BD97" s="4"/>
      <c r="BE97" s="4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4"/>
      <c r="BD98" s="4"/>
      <c r="BE98" s="4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4"/>
      <c r="BD99" s="4"/>
      <c r="BE99" s="4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4"/>
      <c r="BD100" s="4"/>
      <c r="BE100" s="4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4"/>
      <c r="BD101" s="4"/>
      <c r="BE101" s="4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4"/>
      <c r="BD102" s="4"/>
      <c r="BE102" s="4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4"/>
      <c r="BD103" s="4"/>
      <c r="BE103" s="4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4"/>
      <c r="BD104" s="4"/>
      <c r="BE104" s="4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4"/>
      <c r="BD105" s="4"/>
      <c r="BE105" s="4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4"/>
      <c r="BD106" s="4"/>
      <c r="BE106" s="4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4"/>
      <c r="BD107" s="4"/>
      <c r="BE107" s="4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4"/>
      <c r="BD108" s="4"/>
      <c r="BE108" s="4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4"/>
      <c r="BD109" s="4"/>
      <c r="BE109" s="4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4"/>
      <c r="BD110" s="4"/>
      <c r="BE110" s="4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4"/>
      <c r="BD111" s="4"/>
      <c r="BE111" s="4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4"/>
      <c r="BD112" s="4"/>
      <c r="BE112" s="4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4"/>
      <c r="BD113" s="4"/>
      <c r="BE113" s="4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4"/>
      <c r="BD114" s="4"/>
      <c r="BE114" s="4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4"/>
      <c r="BD115" s="4"/>
      <c r="BE115" s="4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4"/>
      <c r="BD116" s="4"/>
      <c r="BE116" s="4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4"/>
      <c r="BD117" s="4"/>
      <c r="BE117" s="4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4"/>
      <c r="BD118" s="4"/>
      <c r="BE118" s="4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4"/>
      <c r="BD119" s="4"/>
      <c r="BE119" s="4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4"/>
      <c r="BD120" s="4"/>
      <c r="BE120" s="4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4"/>
      <c r="BD121" s="4"/>
      <c r="BE121" s="4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4"/>
      <c r="BD122" s="4"/>
      <c r="BE122" s="4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4"/>
      <c r="BD123" s="4"/>
      <c r="BE123" s="4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4"/>
      <c r="BD124" s="4"/>
      <c r="BE124" s="4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4"/>
      <c r="BD125" s="4"/>
      <c r="BE125" s="4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4"/>
      <c r="BD126" s="4"/>
      <c r="BE126" s="4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4"/>
      <c r="BD127" s="4"/>
      <c r="BE127" s="4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4"/>
      <c r="BD128" s="4"/>
      <c r="BE128" s="4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4"/>
      <c r="BD129" s="4"/>
      <c r="BE129" s="4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4"/>
      <c r="BD130" s="4"/>
      <c r="BE130" s="4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4"/>
      <c r="BD131" s="4"/>
      <c r="BE131" s="4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4"/>
      <c r="BD132" s="4"/>
      <c r="BE132" s="4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4"/>
      <c r="BD133" s="4"/>
      <c r="BE133" s="4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4"/>
      <c r="BD134" s="4"/>
      <c r="BE134" s="4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4"/>
      <c r="BD135" s="4"/>
      <c r="BE135" s="4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4"/>
      <c r="BD136" s="4"/>
      <c r="BE136" s="4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4"/>
      <c r="BD137" s="4"/>
      <c r="BE137" s="4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4"/>
      <c r="BD138" s="4"/>
      <c r="BE138" s="4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4"/>
      <c r="BD139" s="4"/>
      <c r="BE139" s="4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4"/>
      <c r="BD140" s="4"/>
      <c r="BE140" s="4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4"/>
      <c r="BD141" s="4"/>
      <c r="BE141" s="4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4"/>
      <c r="BD142" s="4"/>
      <c r="BE142" s="4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4"/>
      <c r="BD143" s="4"/>
      <c r="BE143" s="4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4"/>
      <c r="BD144" s="4"/>
      <c r="BE144" s="4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4"/>
      <c r="BD145" s="4"/>
      <c r="BE145" s="4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4"/>
      <c r="BD146" s="4"/>
      <c r="BE146" s="4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4"/>
      <c r="BD147" s="4"/>
      <c r="BE147" s="4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4"/>
      <c r="BD148" s="4"/>
      <c r="BE148" s="4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4"/>
      <c r="BD149" s="4"/>
      <c r="BE149" s="4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4"/>
      <c r="BD150" s="4"/>
      <c r="BE150" s="4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4"/>
      <c r="BD151" s="4"/>
      <c r="BE151" s="4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4"/>
      <c r="BD152" s="4"/>
      <c r="BE152" s="4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4"/>
      <c r="BD153" s="4"/>
      <c r="BE153" s="4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4"/>
      <c r="BD154" s="4"/>
      <c r="BE154" s="4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4"/>
      <c r="BD155" s="4"/>
      <c r="BE155" s="4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4"/>
      <c r="BD156" s="4"/>
      <c r="BE156" s="4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4"/>
      <c r="BD157" s="4"/>
      <c r="BE157" s="4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4"/>
      <c r="BD158" s="4"/>
      <c r="BE158" s="4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4"/>
      <c r="BD159" s="4"/>
      <c r="BE159" s="4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4"/>
      <c r="BD160" s="4"/>
      <c r="BE160" s="4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4"/>
      <c r="BD161" s="4"/>
      <c r="BE161" s="4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4"/>
      <c r="BD162" s="4"/>
      <c r="BE162" s="4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4"/>
      <c r="BD163" s="4"/>
      <c r="BE163" s="4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4"/>
      <c r="BD164" s="4"/>
      <c r="BE164" s="4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4"/>
      <c r="BD165" s="4"/>
      <c r="BE165" s="4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4"/>
      <c r="BD166" s="4"/>
      <c r="BE166" s="4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4"/>
      <c r="BD167" s="4"/>
      <c r="BE167" s="4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4"/>
      <c r="BD168" s="4"/>
      <c r="BE168" s="4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4"/>
      <c r="BD169" s="4"/>
      <c r="BE169" s="4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4"/>
      <c r="BD170" s="4"/>
      <c r="BE170" s="4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4"/>
      <c r="BD171" s="4"/>
      <c r="BE171" s="4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4"/>
      <c r="BD172" s="4"/>
      <c r="BE172" s="4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4"/>
      <c r="BD173" s="4"/>
      <c r="BE173" s="4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4"/>
      <c r="BD174" s="4"/>
      <c r="BE174" s="4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4"/>
      <c r="BD175" s="4"/>
      <c r="BE175" s="4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4"/>
      <c r="BD176" s="4"/>
      <c r="BE176" s="4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4"/>
      <c r="BD177" s="4"/>
      <c r="BE177" s="4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4"/>
      <c r="BD178" s="4"/>
      <c r="BE178" s="4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4"/>
      <c r="BD179" s="4"/>
      <c r="BE179" s="4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4"/>
      <c r="BD180" s="4"/>
      <c r="BE180" s="4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4"/>
      <c r="BD181" s="4"/>
      <c r="BE181" s="4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4"/>
      <c r="BD182" s="4"/>
      <c r="BE182" s="4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4"/>
      <c r="BD183" s="4"/>
      <c r="BE183" s="4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4"/>
      <c r="BD184" s="4"/>
      <c r="BE184" s="4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4"/>
      <c r="BD185" s="4"/>
      <c r="BE185" s="4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4"/>
      <c r="BD186" s="4"/>
      <c r="BE186" s="4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4"/>
      <c r="BD187" s="4"/>
      <c r="BE187" s="4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4"/>
      <c r="BD188" s="4"/>
      <c r="BE188" s="4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4"/>
      <c r="BD189" s="4"/>
      <c r="BE189" s="4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4"/>
      <c r="BD190" s="4"/>
      <c r="BE190" s="4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4"/>
      <c r="BD191" s="4"/>
      <c r="BE191" s="4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4"/>
      <c r="BD192" s="4"/>
      <c r="BE192" s="4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4"/>
      <c r="BD193" s="4"/>
      <c r="BE193" s="44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4"/>
      <c r="BD194" s="4"/>
      <c r="BE194" s="44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4"/>
      <c r="BD195" s="4"/>
      <c r="BE195" s="44"/>
      <c r="BF195" s="4"/>
      <c r="BG195" s="4"/>
      <c r="BH195" s="1"/>
      <c r="BI195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0" sqref="B10"/>
    </sheetView>
  </sheetViews>
  <sheetFormatPr defaultRowHeight="15" x14ac:dyDescent="0.25"/>
  <cols>
    <col min="1" max="1" width="22.42578125" customWidth="1"/>
    <col min="2" max="2" width="79.85546875" customWidth="1"/>
  </cols>
  <sheetData>
    <row r="2" spans="1:2" ht="15.75" x14ac:dyDescent="0.25">
      <c r="A2" s="10" t="s">
        <v>96</v>
      </c>
      <c r="B2" s="10" t="s">
        <v>97</v>
      </c>
    </row>
    <row r="3" spans="1:2" ht="15.75" x14ac:dyDescent="0.25">
      <c r="A3" s="48" t="s">
        <v>98</v>
      </c>
      <c r="B3" s="49" t="s">
        <v>108</v>
      </c>
    </row>
    <row r="4" spans="1:2" ht="15.75" x14ac:dyDescent="0.25">
      <c r="A4" s="48" t="s">
        <v>99</v>
      </c>
      <c r="B4" s="50">
        <v>50</v>
      </c>
    </row>
    <row r="5" spans="1:2" ht="15.75" x14ac:dyDescent="0.25">
      <c r="A5" s="48" t="s">
        <v>100</v>
      </c>
      <c r="B5" s="49" t="s">
        <v>52</v>
      </c>
    </row>
    <row r="6" spans="1:2" ht="15.75" x14ac:dyDescent="0.25">
      <c r="A6" s="51" t="s">
        <v>101</v>
      </c>
      <c r="B6" s="49" t="s">
        <v>118</v>
      </c>
    </row>
    <row r="7" spans="1:2" ht="15.75" x14ac:dyDescent="0.25">
      <c r="A7" s="51" t="s">
        <v>185</v>
      </c>
      <c r="B7" s="49">
        <v>1</v>
      </c>
    </row>
    <row r="8" spans="1:2" s="59" customFormat="1" ht="15.75" x14ac:dyDescent="0.25">
      <c r="A8" s="58" t="s">
        <v>186</v>
      </c>
      <c r="B8" t="s">
        <v>188</v>
      </c>
    </row>
    <row r="9" spans="1:2" s="59" customFormat="1" ht="15.75" x14ac:dyDescent="0.25">
      <c r="A9" s="58" t="s">
        <v>187</v>
      </c>
      <c r="B9" s="58"/>
    </row>
    <row r="10" spans="1:2" s="59" customFormat="1" ht="15.75" x14ac:dyDescent="0.25">
      <c r="A10" s="20" t="s">
        <v>108</v>
      </c>
      <c r="B10" t="s">
        <v>188</v>
      </c>
    </row>
    <row r="11" spans="1:2" s="59" customFormat="1" ht="15.75" x14ac:dyDescent="0.25">
      <c r="A11" s="58" t="s">
        <v>187</v>
      </c>
      <c r="B11" s="5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2025-10-16T14:11:54Z</dcterms:modified>
</cp:coreProperties>
</file>