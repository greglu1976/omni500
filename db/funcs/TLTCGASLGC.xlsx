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171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1" i="4" l="1"/>
  <c r="AX10" i="4"/>
  <c r="AX9" i="4"/>
  <c r="AX7" i="4"/>
  <c r="AX6" i="4"/>
  <c r="J9" i="4" l="1"/>
  <c r="J10" i="4"/>
  <c r="J11" i="4"/>
  <c r="BG6" i="5" l="1"/>
  <c r="J6" i="5"/>
  <c r="I6" i="5"/>
  <c r="BG7" i="5" l="1"/>
  <c r="AP7" i="5"/>
  <c r="J7" i="5"/>
  <c r="I7" i="5"/>
  <c r="BG4" i="5" l="1"/>
  <c r="BG5" i="5"/>
  <c r="BG8" i="5"/>
  <c r="BG9" i="5"/>
  <c r="BG10" i="5"/>
  <c r="BG11" i="5"/>
  <c r="AV11" i="5" l="1"/>
  <c r="AV10" i="5"/>
  <c r="AV9" i="5"/>
  <c r="AV8" i="5"/>
  <c r="AP5" i="5"/>
  <c r="J5" i="5"/>
  <c r="I5" i="5"/>
  <c r="BG5" i="4"/>
  <c r="J5" i="4"/>
  <c r="I5" i="4"/>
  <c r="BG4" i="4"/>
  <c r="J4" i="4"/>
  <c r="I4" i="4"/>
  <c r="BG6" i="4"/>
  <c r="AV6" i="4"/>
  <c r="J6" i="4"/>
  <c r="I6" i="4"/>
  <c r="AQ3" i="6"/>
  <c r="BH5" i="6"/>
  <c r="AW5" i="6"/>
  <c r="K5" i="6"/>
  <c r="J5" i="6"/>
  <c r="BH3" i="6"/>
  <c r="AW3" i="6"/>
  <c r="K3" i="6"/>
  <c r="J3" i="6"/>
  <c r="BH4" i="6"/>
  <c r="AW4" i="6"/>
  <c r="K4" i="6"/>
  <c r="J4" i="6"/>
  <c r="AI1" i="6"/>
  <c r="AP11" i="5"/>
  <c r="J11" i="5"/>
  <c r="I11" i="5"/>
  <c r="AP10" i="5"/>
  <c r="J10" i="5"/>
  <c r="I10" i="5"/>
  <c r="AP9" i="5"/>
  <c r="J9" i="5"/>
  <c r="I9" i="5"/>
  <c r="AP8" i="5"/>
  <c r="J8" i="5"/>
  <c r="I8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8" i="4"/>
  <c r="J8" i="4"/>
  <c r="I8" i="4"/>
  <c r="BG7" i="4"/>
  <c r="AV7" i="4"/>
  <c r="J7" i="4"/>
  <c r="I7" i="4"/>
  <c r="BG3" i="4"/>
  <c r="J3" i="4"/>
  <c r="I3" i="4"/>
  <c r="AH1" i="4"/>
</calcChain>
</file>

<file path=xl/sharedStrings.xml><?xml version="1.0" encoding="utf-8"?>
<sst xmlns="http://schemas.openxmlformats.org/spreadsheetml/2006/main" count="538" uniqueCount="186">
  <si>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</si>
  <si>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</si>
  <si>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</si>
  <si>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</si>
  <si>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</si>
  <si>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</si>
  <si>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</si>
  <si>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</si>
  <si>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</si>
  <si>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</si>
  <si>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</si>
  <si>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</si>
  <si>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</si>
  <si>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</si>
  <si>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</si>
  <si>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</si>
  <si>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</si>
  <si>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</si>
  <si>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</si>
  <si>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</si>
  <si>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</si>
  <si>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</si>
  <si>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</si>
  <si>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</si>
  <si>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</si>
  <si>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</si>
  <si>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</si>
  <si>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</si>
  <si>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</si>
  <si>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</si>
  <si>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</si>
  <si>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</si>
  <si>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</si>
  <si>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</si>
  <si>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</si>
  <si>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</si>
  <si>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</si>
  <si>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</si>
  <si>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</si>
  <si>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</si>
  <si>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</si>
  <si>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</si>
  <si>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</si>
  <si>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</si>
  <si>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</si>
  <si>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</si>
  <si>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</si>
  <si>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</si>
  <si>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</si>
  <si>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</si>
  <si>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</si>
  <si>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</si>
  <si>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</si>
  <si>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</si>
  <si>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</si>
  <si>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</si>
  <si>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</si>
  <si>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</si>
  <si>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</si>
  <si>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</si>
  <si>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</si>
  <si>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</si>
  <si>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</si>
  <si>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</si>
  <si>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</si>
  <si>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</si>
  <si>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</si>
  <si>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</si>
  <si>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</si>
  <si>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</si>
  <si>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</si>
  <si>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</si>
  <si>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</si>
  <si>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</si>
  <si>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</si>
  <si>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</si>
  <si>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</si>
  <si>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</si>
  <si>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</si>
  <si>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</si>
  <si>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</si>
  <si>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</si>
  <si>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</si>
  <si>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</si>
  <si>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</si>
  <si>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PTRC1_FuncEnabled</t>
  </si>
  <si>
    <t>Функция оперативно выведена из работы</t>
  </si>
  <si>
    <t>PTRC1_FuncOperDisabled</t>
  </si>
  <si>
    <t>PTRC1.Op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</si>
  <si>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</si>
  <si>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</si>
  <si>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</si>
  <si>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</si>
  <si>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</si>
  <si>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</si>
  <si>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</si>
  <si>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</si>
  <si>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</si>
  <si>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</si>
  <si>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</si>
  <si>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PTRC1_Beh</t>
  </si>
  <si>
    <t>PTRC1.Beh</t>
  </si>
  <si>
    <t>Исправность</t>
  </si>
  <si>
    <t>PTRC1_Health</t>
  </si>
  <si>
    <t>PTRC1.Health</t>
  </si>
  <si>
    <t>setting</t>
  </si>
  <si>
    <t>Ввод функции в работу</t>
  </si>
  <si>
    <t>PTRC1_EnaDis</t>
  </si>
  <si>
    <t>Выдержка времени срабатывания на блокировку</t>
  </si>
  <si>
    <t>INT32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</si>
  <si>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</si>
  <si>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</si>
  <si>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</si>
  <si>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</si>
  <si>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</si>
  <si>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</si>
  <si>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</si>
  <si>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PTRC1_LowIsolTripCtrl</t>
  </si>
  <si>
    <t>ING</t>
  </si>
  <si>
    <t>setVal</t>
  </si>
  <si>
    <t>TECHLLN0</t>
  </si>
  <si>
    <t>PTRC1.Blk</t>
  </si>
  <si>
    <t>SPS</t>
  </si>
  <si>
    <t>0 - Не предусмотрено, 1 - Предусмотрено</t>
  </si>
  <si>
    <t>NotProvided_Provided</t>
  </si>
  <si>
    <t>Вывод терминала</t>
  </si>
  <si>
    <t>ControllerDisable</t>
  </si>
  <si>
    <t>ResetProtBlocking</t>
  </si>
  <si>
    <t>Оперативный вывод</t>
  </si>
  <si>
    <t>Заблокировано</t>
  </si>
  <si>
    <t>BOOLEAN</t>
  </si>
  <si>
    <t>Ввод_функции</t>
  </si>
  <si>
    <t>Блокировка от низкой изоляции</t>
  </si>
  <si>
    <t>Блок_от_НИ</t>
  </si>
  <si>
    <t>TimeSettingScaleCoefficient</t>
  </si>
  <si>
    <t>LLN0_TopOnBlk</t>
  </si>
  <si>
    <t>LLN0.OpDlTmms</t>
  </si>
  <si>
    <t>SGF1</t>
  </si>
  <si>
    <t>SGF2</t>
  </si>
  <si>
    <t>T1</t>
  </si>
  <si>
    <t>Срабатывание сигн</t>
  </si>
  <si>
    <t>Срабатывание</t>
  </si>
  <si>
    <t>LLN0.Beh</t>
  </si>
  <si>
    <t>LLN0.Health</t>
  </si>
  <si>
    <t>Тбл</t>
  </si>
  <si>
    <t>ЛО ГЗ РПН</t>
  </si>
  <si>
    <t>Оперативный вывод функции ЛО ГЗ РПН</t>
  </si>
  <si>
    <t>TLTCGASLGC_operOutFunction</t>
  </si>
  <si>
    <t>Перевод ГЗ РПН на сигнал</t>
  </si>
  <si>
    <t>TLTCGASLGC_TrippingBlockSet</t>
  </si>
  <si>
    <t>Блокировка ГЗ РПН</t>
  </si>
  <si>
    <t>Срабатывание ГЗ РПН</t>
  </si>
  <si>
    <t>Срабатывание ГЗ РПН на сигнал</t>
  </si>
  <si>
    <t>TLTCGASLGC</t>
  </si>
  <si>
    <t>TECHPTRC</t>
  </si>
  <si>
    <t>Срабатывание контакта струйного реле РПН</t>
  </si>
  <si>
    <t>JetRelayContact</t>
  </si>
  <si>
    <t>GASLTCIsolOp</t>
  </si>
  <si>
    <t>PTRC1_BlockGASLTCProt</t>
  </si>
  <si>
    <t>PTRC1_OpOnSignal</t>
  </si>
  <si>
    <t>PTRC1_Op</t>
  </si>
  <si>
    <t>LLN0.GrRef</t>
  </si>
  <si>
    <t>ЛО</t>
  </si>
  <si>
    <t>Индикация поведения логического узла ЛО</t>
  </si>
  <si>
    <t>Индикация исправности логического узла ЛО</t>
  </si>
  <si>
    <t>SG</t>
  </si>
  <si>
    <t>FbVersion</t>
  </si>
  <si>
    <t>Сброс</t>
  </si>
  <si>
    <t>control</t>
  </si>
  <si>
    <t>input</t>
  </si>
  <si>
    <t>Logger</t>
  </si>
  <si>
    <t>Disturber</t>
  </si>
  <si>
    <t>StartDisturber</t>
  </si>
  <si>
    <t>reserved1</t>
  </si>
  <si>
    <t>button</t>
  </si>
  <si>
    <t>status</t>
  </si>
  <si>
    <t>DescriptionFB</t>
  </si>
  <si>
    <t>DescriptionFuncList</t>
  </si>
  <si>
    <t>Логика отключения</t>
  </si>
  <si>
    <t>Логика отключения при срабатывании струйного реле</t>
  </si>
  <si>
    <t>Срабатывание устройства контроля изоляции ГЗ РПН</t>
  </si>
  <si>
    <t>ОВ ЛО ГЗ РПН</t>
  </si>
  <si>
    <t>ЛО ГЗ РПН на сигн</t>
  </si>
  <si>
    <t>Конт.струйн.реле</t>
  </si>
  <si>
    <t>Сраб. КИ ГЗ РПН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</si>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</sst>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9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2" fillId="0" borderId="0" xfId="0" applyFont="1"/>
    <xf numFmtId="0" fontId="3" fillId="4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0" fillId="10" borderId="0" xfId="0" applyFill="1"/>
    <xf numFmtId="0" fontId="3" fillId="11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0" xfId="0" applyFont="1" applyFill="1"/>
    <xf numFmtId="0" fontId="3" fillId="6" borderId="1" xfId="1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topLeftCell="AR1" zoomScale="115" zoomScaleNormal="115" workbookViewId="0">
      <selection activeCell="AT8" sqref="AT8:AX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140625" style="3" customWidth="1" outlineLevel="1"/>
    <col min="19" max="19" width="9.5703125" style="4" customWidth="1" outlineLevel="1"/>
    <col min="20" max="20" width="10.4257812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60" width="20.7109375" style="1" customWidth="1"/>
    <col min="61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7" t="s">
        <v>0</v>
      </c>
      <c r="BA1" s="88"/>
      <c r="BB1" s="88"/>
      <c r="BC1" s="88"/>
      <c r="BD1" s="88"/>
      <c r="BE1" s="88"/>
      <c r="BF1" s="88"/>
    </row>
    <row r="2" spans="1:16379" s="15" customFormat="1" ht="47.25" x14ac:dyDescent="0.25">
      <c r="A2" s="9" t="s">
        <v>1</v>
      </c>
      <c r="B2" s="51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61" t="s">
        <v>170</v>
      </c>
      <c r="AW2" s="61" t="s">
        <v>171</v>
      </c>
      <c r="AX2" s="61" t="s">
        <v>172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62" t="s">
        <v>173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5" customFormat="1" ht="15.75" customHeight="1" x14ac:dyDescent="0.25">
      <c r="A3" s="69"/>
      <c r="B3" s="69" t="s">
        <v>168</v>
      </c>
      <c r="C3" s="70"/>
      <c r="D3" s="71"/>
      <c r="E3" s="72" t="s">
        <v>125</v>
      </c>
      <c r="F3" s="73" t="s">
        <v>125</v>
      </c>
      <c r="G3" s="73" t="s">
        <v>125</v>
      </c>
      <c r="H3" s="72"/>
      <c r="I3" s="72">
        <f t="shared" ref="I3:I8" si="0">LEN(F3)</f>
        <v>15</v>
      </c>
      <c r="J3" s="72" t="str">
        <f t="shared" ref="J3:J11" si="1">IF(LEN(F3)&lt;=$J$1,F3,"")</f>
        <v>Вывод терминала</v>
      </c>
      <c r="K3" s="69" t="s">
        <v>126</v>
      </c>
      <c r="L3" s="74" t="s">
        <v>60</v>
      </c>
      <c r="M3" s="70" t="s">
        <v>61</v>
      </c>
      <c r="N3" s="70" t="s">
        <v>62</v>
      </c>
      <c r="O3" s="70"/>
      <c r="P3" s="75"/>
      <c r="Q3" s="75"/>
      <c r="R3" s="76" t="s">
        <v>63</v>
      </c>
      <c r="S3" s="70" t="s">
        <v>63</v>
      </c>
      <c r="T3" s="70" t="s">
        <v>63</v>
      </c>
      <c r="U3" s="70" t="s">
        <v>63</v>
      </c>
      <c r="V3" s="70"/>
      <c r="W3" s="70"/>
      <c r="X3" s="70" t="s">
        <v>63</v>
      </c>
      <c r="Y3" s="70">
        <v>0</v>
      </c>
      <c r="Z3" s="77"/>
      <c r="AA3" s="78">
        <v>0</v>
      </c>
      <c r="AB3" s="78"/>
      <c r="AC3" s="78"/>
      <c r="AD3" s="78"/>
      <c r="AE3" s="78"/>
      <c r="AF3" s="78">
        <v>0</v>
      </c>
      <c r="AG3" s="78">
        <v>0</v>
      </c>
      <c r="AH3" s="78">
        <v>0</v>
      </c>
      <c r="AI3" s="79"/>
      <c r="AJ3" s="80"/>
      <c r="AK3" s="80"/>
      <c r="AL3" s="80"/>
      <c r="AM3" s="80"/>
      <c r="AN3" s="80"/>
      <c r="AO3" s="80"/>
      <c r="AP3" s="80"/>
      <c r="AQ3" s="80"/>
      <c r="AR3" s="78">
        <v>0</v>
      </c>
      <c r="AS3" s="78">
        <v>0</v>
      </c>
      <c r="AT3" s="86">
        <v>1</v>
      </c>
      <c r="AU3" s="54">
        <v>0</v>
      </c>
      <c r="AV3" s="86">
        <v>1</v>
      </c>
      <c r="AW3" s="86">
        <v>1</v>
      </c>
      <c r="AX3" s="86">
        <v>1</v>
      </c>
      <c r="AY3" s="78"/>
      <c r="AZ3" s="75"/>
      <c r="BA3" s="78"/>
      <c r="BB3" s="78"/>
      <c r="BC3" s="81"/>
      <c r="BD3" s="78"/>
      <c r="BE3" s="82"/>
      <c r="BF3" s="78"/>
      <c r="BG3" s="83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84"/>
    </row>
    <row r="4" spans="1:16379" s="85" customFormat="1" ht="15.75" customHeight="1" x14ac:dyDescent="0.25">
      <c r="A4" s="69"/>
      <c r="B4" s="69" t="s">
        <v>168</v>
      </c>
      <c r="C4" s="70"/>
      <c r="D4" s="71" t="s">
        <v>145</v>
      </c>
      <c r="E4" s="72" t="s">
        <v>146</v>
      </c>
      <c r="F4" s="73" t="s">
        <v>181</v>
      </c>
      <c r="G4" s="73" t="s">
        <v>181</v>
      </c>
      <c r="H4" s="72"/>
      <c r="I4" s="72">
        <f t="shared" ref="I4" si="3">LEN(F4)</f>
        <v>12</v>
      </c>
      <c r="J4" s="72" t="str">
        <f t="shared" ref="J4" si="4">IF(LEN(F4)&lt;=$J$1,F4,"")</f>
        <v>ОВ ЛО ГЗ РПН</v>
      </c>
      <c r="K4" s="69" t="s">
        <v>147</v>
      </c>
      <c r="L4" s="74" t="s">
        <v>60</v>
      </c>
      <c r="M4" s="70" t="s">
        <v>61</v>
      </c>
      <c r="N4" s="70" t="s">
        <v>62</v>
      </c>
      <c r="O4" s="70"/>
      <c r="P4" s="75"/>
      <c r="Q4" s="75"/>
      <c r="R4" s="76" t="s">
        <v>63</v>
      </c>
      <c r="S4" s="70" t="s">
        <v>63</v>
      </c>
      <c r="T4" s="70" t="s">
        <v>63</v>
      </c>
      <c r="U4" s="70" t="s">
        <v>63</v>
      </c>
      <c r="V4" s="70"/>
      <c r="W4" s="70"/>
      <c r="X4" s="70" t="s">
        <v>63</v>
      </c>
      <c r="Y4" s="70">
        <v>0</v>
      </c>
      <c r="Z4" s="77"/>
      <c r="AA4" s="78">
        <v>0</v>
      </c>
      <c r="AB4" s="78"/>
      <c r="AC4" s="78"/>
      <c r="AD4" s="78"/>
      <c r="AE4" s="78"/>
      <c r="AF4" s="78">
        <v>0</v>
      </c>
      <c r="AG4" s="78">
        <v>0</v>
      </c>
      <c r="AH4" s="78">
        <v>0</v>
      </c>
      <c r="AI4" s="79"/>
      <c r="AJ4" s="80"/>
      <c r="AK4" s="80"/>
      <c r="AL4" s="80"/>
      <c r="AM4" s="80"/>
      <c r="AN4" s="80"/>
      <c r="AO4" s="80"/>
      <c r="AP4" s="80"/>
      <c r="AQ4" s="80"/>
      <c r="AR4" s="78">
        <v>0</v>
      </c>
      <c r="AS4" s="78">
        <v>0</v>
      </c>
      <c r="AT4" s="86">
        <v>1</v>
      </c>
      <c r="AU4" s="54">
        <v>0</v>
      </c>
      <c r="AV4" s="86">
        <v>1</v>
      </c>
      <c r="AW4" s="86">
        <v>1</v>
      </c>
      <c r="AX4" s="86">
        <v>1</v>
      </c>
      <c r="AY4" s="78"/>
      <c r="AZ4" s="75"/>
      <c r="BA4" s="78"/>
      <c r="BB4" s="78"/>
      <c r="BC4" s="81"/>
      <c r="BD4" s="78"/>
      <c r="BE4" s="82"/>
      <c r="BF4" s="78"/>
      <c r="BG4" s="83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"ОВ ЛО ГЗ РПН", note: "Оперативный вывод функции ЛО ГЗ РПН", group: "control", minValue: null, maxValue: null, step: null, units: "null", defaultValue: null, eventRegistration: 0</v>
      </c>
      <c r="BH4" s="84"/>
    </row>
    <row r="5" spans="1:16379" s="85" customFormat="1" ht="15.75" customHeight="1" x14ac:dyDescent="0.25">
      <c r="A5" s="69"/>
      <c r="B5" s="69" t="s">
        <v>168</v>
      </c>
      <c r="C5" s="70"/>
      <c r="D5" s="71"/>
      <c r="E5" s="72" t="s">
        <v>148</v>
      </c>
      <c r="F5" s="73" t="s">
        <v>182</v>
      </c>
      <c r="G5" s="73" t="s">
        <v>182</v>
      </c>
      <c r="H5" s="72"/>
      <c r="I5" s="72">
        <f t="shared" ref="I5" si="6">LEN(F5)</f>
        <v>17</v>
      </c>
      <c r="J5" s="72" t="str">
        <f t="shared" ref="J5" si="7">IF(LEN(F5)&lt;=$J$1,F5,"")</f>
        <v>ЛО ГЗ РПН на сигн</v>
      </c>
      <c r="K5" s="69" t="s">
        <v>149</v>
      </c>
      <c r="L5" s="74" t="s">
        <v>60</v>
      </c>
      <c r="M5" s="70" t="s">
        <v>61</v>
      </c>
      <c r="N5" s="70" t="s">
        <v>62</v>
      </c>
      <c r="O5" s="70"/>
      <c r="P5" s="75"/>
      <c r="Q5" s="75"/>
      <c r="R5" s="76" t="s">
        <v>63</v>
      </c>
      <c r="S5" s="70" t="s">
        <v>63</v>
      </c>
      <c r="T5" s="70" t="s">
        <v>63</v>
      </c>
      <c r="U5" s="70" t="s">
        <v>63</v>
      </c>
      <c r="V5" s="70"/>
      <c r="W5" s="70"/>
      <c r="X5" s="70" t="s">
        <v>63</v>
      </c>
      <c r="Y5" s="70">
        <v>0</v>
      </c>
      <c r="Z5" s="77"/>
      <c r="AA5" s="78">
        <v>0</v>
      </c>
      <c r="AB5" s="78"/>
      <c r="AC5" s="78"/>
      <c r="AD5" s="78"/>
      <c r="AE5" s="78"/>
      <c r="AF5" s="78">
        <v>0</v>
      </c>
      <c r="AG5" s="78">
        <v>0</v>
      </c>
      <c r="AH5" s="78">
        <v>0</v>
      </c>
      <c r="AI5" s="79"/>
      <c r="AJ5" s="80"/>
      <c r="AK5" s="80"/>
      <c r="AL5" s="80"/>
      <c r="AM5" s="80"/>
      <c r="AN5" s="80"/>
      <c r="AO5" s="80"/>
      <c r="AP5" s="80"/>
      <c r="AQ5" s="80"/>
      <c r="AR5" s="78">
        <v>0</v>
      </c>
      <c r="AS5" s="78">
        <v>0</v>
      </c>
      <c r="AT5" s="86">
        <v>1</v>
      </c>
      <c r="AU5" s="54">
        <v>0</v>
      </c>
      <c r="AV5" s="86">
        <v>1</v>
      </c>
      <c r="AW5" s="86">
        <v>1</v>
      </c>
      <c r="AX5" s="86">
        <v>1</v>
      </c>
      <c r="AY5" s="78"/>
      <c r="AZ5" s="75"/>
      <c r="BA5" s="78"/>
      <c r="BB5" s="78"/>
      <c r="BC5" s="81"/>
      <c r="BD5" s="78"/>
      <c r="BE5" s="82"/>
      <c r="BF5" s="78"/>
      <c r="BG5" s="83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"ЛО ГЗ РПН на сигн", note: "Перевод ГЗ РПН на сигнал", group: "control", minValue: null, maxValue: null, step: null, units: "null", defaultValue: null, eventRegistration: 0</v>
      </c>
      <c r="BH5" s="84"/>
    </row>
    <row r="6" spans="1:16379" s="58" customFormat="1" ht="15.75" customHeight="1" x14ac:dyDescent="0.25">
      <c r="A6" s="16"/>
      <c r="B6" s="60" t="s">
        <v>169</v>
      </c>
      <c r="C6" s="17"/>
      <c r="D6" s="53"/>
      <c r="E6" s="18" t="s">
        <v>155</v>
      </c>
      <c r="F6" s="67" t="s">
        <v>183</v>
      </c>
      <c r="G6" s="67" t="s">
        <v>183</v>
      </c>
      <c r="H6" s="18"/>
      <c r="I6" s="18">
        <f t="shared" ref="I6" si="9">LEN(F6)</f>
        <v>16</v>
      </c>
      <c r="J6" s="18" t="str">
        <f t="shared" ref="J6" si="10">IF(LEN(F6)&lt;=$J$1,F6,"")</f>
        <v>Конт.струйн.реле</v>
      </c>
      <c r="K6" s="16" t="s">
        <v>156</v>
      </c>
      <c r="L6" s="20" t="s">
        <v>60</v>
      </c>
      <c r="M6" s="17" t="s">
        <v>61</v>
      </c>
      <c r="N6" s="17" t="s">
        <v>62</v>
      </c>
      <c r="O6" s="17"/>
      <c r="P6" s="21"/>
      <c r="Q6" s="21"/>
      <c r="R6" s="22" t="s">
        <v>63</v>
      </c>
      <c r="S6" s="17" t="s">
        <v>63</v>
      </c>
      <c r="T6" s="17" t="s">
        <v>63</v>
      </c>
      <c r="U6" s="17" t="s">
        <v>63</v>
      </c>
      <c r="V6" s="17"/>
      <c r="W6" s="17"/>
      <c r="X6" s="17" t="s">
        <v>63</v>
      </c>
      <c r="Y6" s="17">
        <v>0</v>
      </c>
      <c r="Z6" s="23"/>
      <c r="AA6" s="54">
        <v>0</v>
      </c>
      <c r="AB6" s="54"/>
      <c r="AC6" s="54"/>
      <c r="AD6" s="54"/>
      <c r="AE6" s="54"/>
      <c r="AF6" s="54">
        <v>0</v>
      </c>
      <c r="AG6" s="54">
        <v>0</v>
      </c>
      <c r="AH6" s="54">
        <v>0</v>
      </c>
      <c r="AI6" s="25"/>
      <c r="AJ6" s="57"/>
      <c r="AK6" s="57"/>
      <c r="AL6" s="57"/>
      <c r="AM6" s="57"/>
      <c r="AN6" s="57"/>
      <c r="AO6" s="57"/>
      <c r="AP6" s="57"/>
      <c r="AQ6" s="57"/>
      <c r="AR6" s="54">
        <v>0</v>
      </c>
      <c r="AS6" s="54">
        <v>0</v>
      </c>
      <c r="AT6" s="54">
        <v>0</v>
      </c>
      <c r="AU6" s="54">
        <v>0</v>
      </c>
      <c r="AV6" s="54">
        <f t="shared" ref="AV6" si="11">BIN2DEC(CONCATENATE(0,0,0,0,AR6,AS6,AT6,AU6))</f>
        <v>0</v>
      </c>
      <c r="AW6" s="54">
        <v>0</v>
      </c>
      <c r="AX6" s="54">
        <f t="shared" ref="AX6:AX11" si="12">BIN2DEC(CONCATENATE(0,0,0,0,AT6,AU6,AV6,AW6))</f>
        <v>0</v>
      </c>
      <c r="AY6" s="54"/>
      <c r="AZ6" s="21"/>
      <c r="BA6" s="54"/>
      <c r="BB6" s="54"/>
      <c r="BC6" s="54"/>
      <c r="BD6" s="54"/>
      <c r="BE6" s="54"/>
      <c r="BF6" s="54"/>
      <c r="BG6" s="30" t="str">
        <f t="shared" ref="BG6" si="13">CONCATENATE("description: """,F6,"""", ", ", "note: """,E6,"""",", ","group: """, B6, """",", ","minValue: ", S6,", ","maxValue: ", T6,", ","step: ", U6,", ","units: """, R6, """",", ","defaultValue: ", X6,", ","eventRegistration: ", Y6,)</f>
        <v>description: "Конт.струйн.реле", note: "Срабатывание контакта струйного реле РПН", group: "input", minValue: null, maxValue: null, step: null, units: "null", defaultValue: null, eventRegistration: 0</v>
      </c>
      <c r="BH6" s="31"/>
    </row>
    <row r="7" spans="1:16379" s="58" customFormat="1" ht="15.75" customHeight="1" x14ac:dyDescent="0.25">
      <c r="A7" s="16"/>
      <c r="B7" s="60" t="s">
        <v>169</v>
      </c>
      <c r="C7" s="17"/>
      <c r="D7" s="53"/>
      <c r="E7" s="66" t="s">
        <v>180</v>
      </c>
      <c r="F7" s="67" t="s">
        <v>184</v>
      </c>
      <c r="G7" s="67" t="s">
        <v>184</v>
      </c>
      <c r="H7" s="18"/>
      <c r="I7" s="18">
        <f t="shared" si="0"/>
        <v>15</v>
      </c>
      <c r="J7" s="18" t="str">
        <f t="shared" si="1"/>
        <v>Сраб. КИ ГЗ РПН</v>
      </c>
      <c r="K7" s="16" t="s">
        <v>157</v>
      </c>
      <c r="L7" s="20" t="s">
        <v>60</v>
      </c>
      <c r="M7" s="17" t="s">
        <v>61</v>
      </c>
      <c r="N7" s="17" t="s">
        <v>62</v>
      </c>
      <c r="O7" s="17"/>
      <c r="P7" s="21"/>
      <c r="Q7" s="21"/>
      <c r="R7" s="22" t="s">
        <v>63</v>
      </c>
      <c r="S7" s="17" t="s">
        <v>63</v>
      </c>
      <c r="T7" s="17" t="s">
        <v>63</v>
      </c>
      <c r="U7" s="17" t="s">
        <v>63</v>
      </c>
      <c r="V7" s="17"/>
      <c r="W7" s="17"/>
      <c r="X7" s="17" t="s">
        <v>63</v>
      </c>
      <c r="Y7" s="17">
        <v>0</v>
      </c>
      <c r="Z7" s="23"/>
      <c r="AA7" s="54">
        <v>0</v>
      </c>
      <c r="AB7" s="54"/>
      <c r="AC7" s="54"/>
      <c r="AD7" s="54"/>
      <c r="AE7" s="54"/>
      <c r="AF7" s="54">
        <v>0</v>
      </c>
      <c r="AG7" s="54">
        <v>0</v>
      </c>
      <c r="AH7" s="54">
        <v>0</v>
      </c>
      <c r="AI7" s="25"/>
      <c r="AJ7" s="57"/>
      <c r="AK7" s="57"/>
      <c r="AL7" s="57"/>
      <c r="AM7" s="57"/>
      <c r="AN7" s="57"/>
      <c r="AO7" s="57"/>
      <c r="AP7" s="57"/>
      <c r="AQ7" s="57"/>
      <c r="AR7" s="54">
        <v>0</v>
      </c>
      <c r="AS7" s="54">
        <v>0</v>
      </c>
      <c r="AT7" s="54">
        <v>0</v>
      </c>
      <c r="AU7" s="54">
        <v>0</v>
      </c>
      <c r="AV7" s="54">
        <f t="shared" ref="AV7:AV11" si="14">BIN2DEC(CONCATENATE(0,0,0,0,AR7,AS7,AT7,AU7))</f>
        <v>0</v>
      </c>
      <c r="AW7" s="54">
        <v>0</v>
      </c>
      <c r="AX7" s="54">
        <f t="shared" si="12"/>
        <v>0</v>
      </c>
      <c r="AY7" s="54"/>
      <c r="AZ7" s="21"/>
      <c r="BA7" s="54"/>
      <c r="BB7" s="54"/>
      <c r="BC7" s="54"/>
      <c r="BD7" s="54"/>
      <c r="BE7" s="54"/>
      <c r="BF7" s="54"/>
      <c r="BG7" s="30" t="str">
        <f t="shared" si="2"/>
        <v>description: "Сраб. КИ ГЗ РПН", note: "Срабатывание устройства контроля изоляции ГЗ РПН", group: "input", minValue: null, maxValue: null, step: null, units: "null", defaultValue: null, eventRegistration: 0</v>
      </c>
      <c r="BH7" s="31"/>
    </row>
    <row r="8" spans="1:16379" s="85" customFormat="1" ht="15.75" customHeight="1" x14ac:dyDescent="0.25">
      <c r="A8" s="69"/>
      <c r="B8" s="69" t="s">
        <v>168</v>
      </c>
      <c r="C8" s="70"/>
      <c r="D8" s="71"/>
      <c r="E8" s="72" t="s">
        <v>167</v>
      </c>
      <c r="F8" s="73" t="s">
        <v>167</v>
      </c>
      <c r="G8" s="73" t="s">
        <v>167</v>
      </c>
      <c r="H8" s="72"/>
      <c r="I8" s="72">
        <f t="shared" si="0"/>
        <v>5</v>
      </c>
      <c r="J8" s="72" t="str">
        <f t="shared" si="1"/>
        <v>Сброс</v>
      </c>
      <c r="K8" s="69" t="s">
        <v>127</v>
      </c>
      <c r="L8" s="74" t="s">
        <v>60</v>
      </c>
      <c r="M8" s="70" t="s">
        <v>61</v>
      </c>
      <c r="N8" s="70" t="s">
        <v>62</v>
      </c>
      <c r="O8" s="70"/>
      <c r="P8" s="75"/>
      <c r="Q8" s="75"/>
      <c r="R8" s="76" t="s">
        <v>63</v>
      </c>
      <c r="S8" s="70" t="s">
        <v>63</v>
      </c>
      <c r="T8" s="70" t="s">
        <v>63</v>
      </c>
      <c r="U8" s="70" t="s">
        <v>63</v>
      </c>
      <c r="V8" s="70"/>
      <c r="W8" s="70"/>
      <c r="X8" s="70" t="s">
        <v>63</v>
      </c>
      <c r="Y8" s="70">
        <v>0</v>
      </c>
      <c r="Z8" s="77"/>
      <c r="AA8" s="78">
        <v>0</v>
      </c>
      <c r="AB8" s="78"/>
      <c r="AC8" s="78"/>
      <c r="AD8" s="78"/>
      <c r="AE8" s="78"/>
      <c r="AF8" s="78">
        <v>0</v>
      </c>
      <c r="AG8" s="78">
        <v>0</v>
      </c>
      <c r="AH8" s="78">
        <v>0</v>
      </c>
      <c r="AI8" s="79"/>
      <c r="AJ8" s="80"/>
      <c r="AK8" s="80"/>
      <c r="AL8" s="80"/>
      <c r="AM8" s="80"/>
      <c r="AN8" s="80"/>
      <c r="AO8" s="80"/>
      <c r="AP8" s="80"/>
      <c r="AQ8" s="80"/>
      <c r="AR8" s="78">
        <v>0</v>
      </c>
      <c r="AS8" s="78">
        <v>0</v>
      </c>
      <c r="AT8" s="86">
        <v>1</v>
      </c>
      <c r="AU8" s="54">
        <v>0</v>
      </c>
      <c r="AV8" s="86">
        <v>1</v>
      </c>
      <c r="AW8" s="86">
        <v>1</v>
      </c>
      <c r="AX8" s="86">
        <v>1</v>
      </c>
      <c r="AY8" s="78"/>
      <c r="AZ8" s="75"/>
      <c r="BA8" s="78"/>
      <c r="BB8" s="78"/>
      <c r="BC8" s="81"/>
      <c r="BD8" s="78"/>
      <c r="BE8" s="82"/>
      <c r="BF8" s="78"/>
      <c r="BG8" s="83" t="str">
        <f t="shared" si="2"/>
        <v>description: "Сброс", note: "Сброс", group: "control", minValue: null, maxValue: null, step: null, units: "null", defaultValue: null, eventRegistration: 0</v>
      </c>
      <c r="BH8" s="84" t="s">
        <v>174</v>
      </c>
    </row>
    <row r="9" spans="1:16379" s="40" customFormat="1" ht="15.75" x14ac:dyDescent="0.25">
      <c r="A9" s="33"/>
      <c r="B9" s="16" t="s">
        <v>59</v>
      </c>
      <c r="C9" s="34"/>
      <c r="D9" s="8"/>
      <c r="E9" s="19" t="s">
        <v>64</v>
      </c>
      <c r="F9" s="19" t="s">
        <v>65</v>
      </c>
      <c r="G9" s="19" t="s">
        <v>65</v>
      </c>
      <c r="H9" s="8"/>
      <c r="I9" s="18">
        <f>LEN(F9)</f>
        <v>10</v>
      </c>
      <c r="J9" s="18" t="str">
        <f t="shared" si="1"/>
        <v>Насл.режим</v>
      </c>
      <c r="K9" s="35" t="s">
        <v>67</v>
      </c>
      <c r="L9" s="36" t="s">
        <v>66</v>
      </c>
      <c r="M9" s="17" t="s">
        <v>61</v>
      </c>
      <c r="N9" s="17" t="s">
        <v>62</v>
      </c>
      <c r="O9" s="17"/>
      <c r="P9" s="34"/>
      <c r="Q9" s="34"/>
      <c r="R9" s="17" t="s">
        <v>63</v>
      </c>
      <c r="S9" s="17" t="s">
        <v>63</v>
      </c>
      <c r="T9" s="17" t="s">
        <v>63</v>
      </c>
      <c r="U9" s="17" t="s">
        <v>63</v>
      </c>
      <c r="V9" s="34"/>
      <c r="W9" s="34"/>
      <c r="X9" s="17" t="s">
        <v>63</v>
      </c>
      <c r="Y9" s="55">
        <v>0</v>
      </c>
      <c r="Z9" s="34"/>
      <c r="AA9" s="54">
        <v>0</v>
      </c>
      <c r="AB9" s="54"/>
      <c r="AC9" s="54"/>
      <c r="AD9" s="54"/>
      <c r="AE9" s="54"/>
      <c r="AF9" s="54">
        <v>0</v>
      </c>
      <c r="AG9" s="54">
        <v>0</v>
      </c>
      <c r="AH9" s="54">
        <v>0</v>
      </c>
      <c r="AI9" s="25" t="s">
        <v>120</v>
      </c>
      <c r="AJ9" s="59" t="s">
        <v>161</v>
      </c>
      <c r="AK9" s="38" t="s">
        <v>68</v>
      </c>
      <c r="AL9" s="38" t="s">
        <v>69</v>
      </c>
      <c r="AM9" s="38" t="s">
        <v>70</v>
      </c>
      <c r="AN9" s="38"/>
      <c r="AO9" s="38" t="s">
        <v>71</v>
      </c>
      <c r="AP9" s="38" t="str">
        <f>CONCATENATE(AJ9, ".", AL9)</f>
        <v>LLN0.GrRef.setSrcRef</v>
      </c>
      <c r="AQ9" s="38" t="s">
        <v>72</v>
      </c>
      <c r="AR9" s="54">
        <v>0</v>
      </c>
      <c r="AS9" s="54">
        <v>0</v>
      </c>
      <c r="AT9" s="54">
        <v>0</v>
      </c>
      <c r="AU9" s="54">
        <v>0</v>
      </c>
      <c r="AV9" s="54">
        <f t="shared" si="14"/>
        <v>0</v>
      </c>
      <c r="AW9" s="54">
        <v>0</v>
      </c>
      <c r="AX9" s="54">
        <f t="shared" si="12"/>
        <v>0</v>
      </c>
      <c r="AY9" s="39"/>
      <c r="AZ9" s="34"/>
      <c r="BA9" s="34"/>
      <c r="BB9" s="34"/>
      <c r="BC9" s="34"/>
      <c r="BD9" s="34"/>
      <c r="BE9" s="34"/>
      <c r="BF9" s="34"/>
      <c r="BG9" s="30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0" customFormat="1" ht="15.75" x14ac:dyDescent="0.25">
      <c r="A10" s="33"/>
      <c r="B10" s="16" t="s">
        <v>59</v>
      </c>
      <c r="C10" s="34"/>
      <c r="D10" s="8"/>
      <c r="E10" s="19" t="s">
        <v>77</v>
      </c>
      <c r="F10" s="19" t="s">
        <v>78</v>
      </c>
      <c r="G10" s="19" t="s">
        <v>78</v>
      </c>
      <c r="H10" s="8"/>
      <c r="I10" s="18">
        <f>LEN(F10)</f>
        <v>8</v>
      </c>
      <c r="J10" s="18" t="str">
        <f t="shared" si="1"/>
        <v>Ош.крит.</v>
      </c>
      <c r="K10" s="35" t="s">
        <v>79</v>
      </c>
      <c r="L10" s="20" t="s">
        <v>60</v>
      </c>
      <c r="M10" s="17" t="s">
        <v>61</v>
      </c>
      <c r="N10" s="17" t="s">
        <v>62</v>
      </c>
      <c r="O10" s="17"/>
      <c r="P10" s="34"/>
      <c r="Q10" s="34"/>
      <c r="R10" s="17" t="s">
        <v>63</v>
      </c>
      <c r="S10" s="17" t="s">
        <v>63</v>
      </c>
      <c r="T10" s="17" t="s">
        <v>63</v>
      </c>
      <c r="U10" s="17" t="s">
        <v>63</v>
      </c>
      <c r="V10" s="34"/>
      <c r="W10" s="34"/>
      <c r="X10" s="17" t="s">
        <v>63</v>
      </c>
      <c r="Y10" s="37">
        <v>0</v>
      </c>
      <c r="Z10" s="3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43"/>
      <c r="AJ10" s="38"/>
      <c r="AK10" s="38"/>
      <c r="AL10" s="38"/>
      <c r="AM10" s="38"/>
      <c r="AN10" s="38"/>
      <c r="AO10" s="38"/>
      <c r="AP10" s="38"/>
      <c r="AQ10" s="38"/>
      <c r="AR10" s="24">
        <v>0</v>
      </c>
      <c r="AS10" s="24">
        <v>0</v>
      </c>
      <c r="AT10" s="24">
        <v>0</v>
      </c>
      <c r="AU10" s="24">
        <v>0</v>
      </c>
      <c r="AV10" s="24">
        <f t="shared" si="14"/>
        <v>0</v>
      </c>
      <c r="AW10" s="54">
        <v>0</v>
      </c>
      <c r="AX10" s="54">
        <f t="shared" si="12"/>
        <v>0</v>
      </c>
      <c r="AY10" s="41"/>
      <c r="AZ10" s="42"/>
      <c r="BA10" s="42"/>
      <c r="BB10" s="42"/>
      <c r="BC10" s="42"/>
      <c r="BD10" s="42"/>
      <c r="BE10" s="42"/>
      <c r="BF10" s="42"/>
      <c r="BG10" s="30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0" customFormat="1" ht="15.75" x14ac:dyDescent="0.25">
      <c r="A11" s="33"/>
      <c r="B11" s="16" t="s">
        <v>59</v>
      </c>
      <c r="C11" s="34"/>
      <c r="D11" s="8"/>
      <c r="E11" s="19" t="s">
        <v>80</v>
      </c>
      <c r="F11" s="19" t="s">
        <v>81</v>
      </c>
      <c r="G11" s="19" t="s">
        <v>81</v>
      </c>
      <c r="H11" s="8"/>
      <c r="I11" s="18">
        <f>LEN(F11)</f>
        <v>6</v>
      </c>
      <c r="J11" s="18" t="str">
        <f t="shared" si="1"/>
        <v>Ошибка</v>
      </c>
      <c r="K11" s="35" t="s">
        <v>82</v>
      </c>
      <c r="L11" s="20" t="s">
        <v>60</v>
      </c>
      <c r="M11" s="17" t="s">
        <v>61</v>
      </c>
      <c r="N11" s="17" t="s">
        <v>62</v>
      </c>
      <c r="O11" s="17"/>
      <c r="P11" s="34"/>
      <c r="Q11" s="34"/>
      <c r="R11" s="17" t="s">
        <v>63</v>
      </c>
      <c r="S11" s="17" t="s">
        <v>63</v>
      </c>
      <c r="T11" s="17" t="s">
        <v>63</v>
      </c>
      <c r="U11" s="17" t="s">
        <v>63</v>
      </c>
      <c r="V11" s="34"/>
      <c r="W11" s="34"/>
      <c r="X11" s="17" t="s">
        <v>63</v>
      </c>
      <c r="Y11" s="37">
        <v>0</v>
      </c>
      <c r="Z11" s="3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43"/>
      <c r="AJ11" s="38"/>
      <c r="AK11" s="38"/>
      <c r="AL11" s="38"/>
      <c r="AM11" s="38"/>
      <c r="AN11" s="38"/>
      <c r="AO11" s="38"/>
      <c r="AP11" s="38"/>
      <c r="AQ11" s="38"/>
      <c r="AR11" s="24">
        <v>0</v>
      </c>
      <c r="AS11" s="24">
        <v>0</v>
      </c>
      <c r="AT11" s="24">
        <v>0</v>
      </c>
      <c r="AU11" s="24">
        <v>0</v>
      </c>
      <c r="AV11" s="24">
        <f t="shared" si="14"/>
        <v>0</v>
      </c>
      <c r="AW11" s="54">
        <v>0</v>
      </c>
      <c r="AX11" s="54">
        <f t="shared" si="12"/>
        <v>0</v>
      </c>
      <c r="AY11" s="41"/>
      <c r="AZ11" s="42"/>
      <c r="BA11" s="42"/>
      <c r="BB11" s="42"/>
      <c r="BC11" s="42"/>
      <c r="BD11" s="42"/>
      <c r="BE11" s="42"/>
      <c r="BF11" s="42"/>
      <c r="BG11" s="30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zoomScale="80" zoomScaleNormal="80" workbookViewId="0">
      <selection activeCell="AS18" sqref="AS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" style="2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25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1.140625" style="4" customWidth="1" outlineLevel="1"/>
    <col min="21" max="21" width="8.5703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23.7109375" style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7" t="s">
        <v>0</v>
      </c>
      <c r="BA1" s="88"/>
      <c r="BB1" s="88"/>
      <c r="BC1" s="88"/>
      <c r="BD1" s="88"/>
      <c r="BE1" s="88"/>
      <c r="BF1" s="88"/>
    </row>
    <row r="2" spans="1:16379" s="15" customFormat="1" ht="54" customHeight="1" x14ac:dyDescent="0.25">
      <c r="A2" s="9" t="s">
        <v>1</v>
      </c>
      <c r="B2" s="51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61" t="s">
        <v>170</v>
      </c>
      <c r="AW2" s="61" t="s">
        <v>171</v>
      </c>
      <c r="AX2" s="61" t="s">
        <v>172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33"/>
      <c r="B3" s="63" t="s">
        <v>175</v>
      </c>
      <c r="C3" s="34"/>
      <c r="D3" s="53" t="s">
        <v>162</v>
      </c>
      <c r="E3" s="19" t="s">
        <v>83</v>
      </c>
      <c r="F3" s="45" t="s">
        <v>84</v>
      </c>
      <c r="G3" s="45" t="s">
        <v>84</v>
      </c>
      <c r="H3" s="8"/>
      <c r="I3" s="19">
        <f t="shared" ref="I3:I11" si="0">LEN(F3)</f>
        <v>4</v>
      </c>
      <c r="J3" s="19" t="str">
        <f>IF(LEN(F3)&lt;=$J$1,F3,"")</f>
        <v>Ввод</v>
      </c>
      <c r="K3" s="35" t="s">
        <v>85</v>
      </c>
      <c r="L3" s="36" t="s">
        <v>60</v>
      </c>
      <c r="M3" s="55" t="s">
        <v>61</v>
      </c>
      <c r="N3" s="55" t="s">
        <v>62</v>
      </c>
      <c r="O3" s="55"/>
      <c r="P3" s="21"/>
      <c r="Q3" s="21"/>
      <c r="R3" s="55" t="s">
        <v>63</v>
      </c>
      <c r="S3" s="55" t="s">
        <v>63</v>
      </c>
      <c r="T3" s="55" t="s">
        <v>63</v>
      </c>
      <c r="U3" s="55" t="s">
        <v>63</v>
      </c>
      <c r="V3" s="34"/>
      <c r="W3" s="34"/>
      <c r="X3" s="55" t="s">
        <v>63</v>
      </c>
      <c r="Y3" s="55">
        <v>2</v>
      </c>
      <c r="Z3" s="34"/>
      <c r="AA3" s="54">
        <v>0</v>
      </c>
      <c r="AB3" s="54"/>
      <c r="AC3" s="54"/>
      <c r="AD3" s="54"/>
      <c r="AE3" s="54"/>
      <c r="AF3" s="54">
        <v>0</v>
      </c>
      <c r="AG3" s="54">
        <v>0</v>
      </c>
      <c r="AH3" s="54">
        <v>0</v>
      </c>
      <c r="AI3" s="25"/>
      <c r="AJ3" s="38"/>
      <c r="AK3" s="38"/>
      <c r="AL3" s="38"/>
      <c r="AM3" s="38"/>
      <c r="AN3" s="38"/>
      <c r="AO3" s="38"/>
      <c r="AP3" s="38"/>
      <c r="AQ3" s="38"/>
      <c r="AR3" s="54">
        <v>0</v>
      </c>
      <c r="AS3" s="54">
        <v>1</v>
      </c>
      <c r="AT3" s="54">
        <v>0</v>
      </c>
      <c r="AU3" s="54">
        <v>1</v>
      </c>
      <c r="AV3" s="54">
        <v>1</v>
      </c>
      <c r="AW3" s="54">
        <v>1</v>
      </c>
      <c r="AX3" s="54">
        <v>1</v>
      </c>
      <c r="AY3" s="39"/>
      <c r="AZ3" s="34"/>
      <c r="BA3" s="34"/>
      <c r="BB3" s="34"/>
      <c r="BC3" s="34"/>
      <c r="BD3" s="34"/>
      <c r="BE3" s="34"/>
      <c r="BF3" s="34"/>
      <c r="BG3" s="22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0" customFormat="1" ht="15.75" x14ac:dyDescent="0.25">
      <c r="A4" s="33"/>
      <c r="B4" s="63" t="s">
        <v>175</v>
      </c>
      <c r="C4" s="34"/>
      <c r="D4" s="53" t="s">
        <v>162</v>
      </c>
      <c r="E4" s="19" t="s">
        <v>86</v>
      </c>
      <c r="F4" s="45" t="s">
        <v>128</v>
      </c>
      <c r="G4" s="45" t="s">
        <v>128</v>
      </c>
      <c r="H4" s="8"/>
      <c r="I4" s="19">
        <f t="shared" si="0"/>
        <v>17</v>
      </c>
      <c r="J4" s="19" t="str">
        <f t="shared" ref="J4:J11" si="2">IF(LEN(F4)&lt;=$J$1,F4,"")</f>
        <v>Оперативный вывод</v>
      </c>
      <c r="K4" s="35" t="s">
        <v>87</v>
      </c>
      <c r="L4" s="36" t="s">
        <v>60</v>
      </c>
      <c r="M4" s="55" t="s">
        <v>61</v>
      </c>
      <c r="N4" s="55" t="s">
        <v>62</v>
      </c>
      <c r="O4" s="55"/>
      <c r="P4" s="21"/>
      <c r="Q4" s="21"/>
      <c r="R4" s="55" t="s">
        <v>63</v>
      </c>
      <c r="S4" s="55" t="s">
        <v>63</v>
      </c>
      <c r="T4" s="55" t="s">
        <v>63</v>
      </c>
      <c r="U4" s="55" t="s">
        <v>63</v>
      </c>
      <c r="V4" s="34"/>
      <c r="W4" s="34"/>
      <c r="X4" s="55" t="s">
        <v>63</v>
      </c>
      <c r="Y4" s="55">
        <v>2</v>
      </c>
      <c r="Z4" s="34"/>
      <c r="AA4" s="54">
        <v>0</v>
      </c>
      <c r="AB4" s="54"/>
      <c r="AC4" s="54"/>
      <c r="AD4" s="54"/>
      <c r="AE4" s="54"/>
      <c r="AF4" s="54">
        <v>0</v>
      </c>
      <c r="AG4" s="54">
        <v>0</v>
      </c>
      <c r="AH4" s="54">
        <v>0</v>
      </c>
      <c r="AI4" s="25"/>
      <c r="AJ4" s="38"/>
      <c r="AK4" s="38"/>
      <c r="AL4" s="38"/>
      <c r="AM4" s="38"/>
      <c r="AN4" s="38"/>
      <c r="AO4" s="38"/>
      <c r="AP4" s="38"/>
      <c r="AQ4" s="38"/>
      <c r="AR4" s="54">
        <v>0</v>
      </c>
      <c r="AS4" s="54">
        <v>1</v>
      </c>
      <c r="AT4" s="54">
        <v>0</v>
      </c>
      <c r="AU4" s="54">
        <v>1</v>
      </c>
      <c r="AV4" s="54">
        <v>1</v>
      </c>
      <c r="AW4" s="54">
        <v>1</v>
      </c>
      <c r="AX4" s="54">
        <v>1</v>
      </c>
      <c r="AY4" s="39"/>
      <c r="AZ4" s="34"/>
      <c r="BA4" s="34"/>
      <c r="BB4" s="34"/>
      <c r="BC4" s="34"/>
      <c r="BD4" s="34"/>
      <c r="BE4" s="34"/>
      <c r="BF4" s="34"/>
      <c r="BG4" s="22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0" customFormat="1" ht="15.75" x14ac:dyDescent="0.25">
      <c r="A5" s="33"/>
      <c r="B5" s="63" t="s">
        <v>175</v>
      </c>
      <c r="C5" s="34"/>
      <c r="D5" s="53" t="s">
        <v>162</v>
      </c>
      <c r="E5" s="19" t="s">
        <v>150</v>
      </c>
      <c r="F5" s="45" t="s">
        <v>129</v>
      </c>
      <c r="G5" s="45" t="s">
        <v>129</v>
      </c>
      <c r="H5" s="8"/>
      <c r="I5" s="19">
        <f t="shared" ref="I5:I7" si="3">LEN(F5)</f>
        <v>13</v>
      </c>
      <c r="J5" s="19" t="str">
        <f t="shared" ref="J5:J7" si="4">IF(LEN(F5)&lt;=$J$1,F5,"")</f>
        <v>Заблокировано</v>
      </c>
      <c r="K5" s="35" t="s">
        <v>158</v>
      </c>
      <c r="L5" s="36" t="s">
        <v>60</v>
      </c>
      <c r="M5" s="55" t="s">
        <v>61</v>
      </c>
      <c r="N5" s="55" t="s">
        <v>62</v>
      </c>
      <c r="O5" s="55"/>
      <c r="P5" s="21"/>
      <c r="Q5" s="21"/>
      <c r="R5" s="55" t="s">
        <v>63</v>
      </c>
      <c r="S5" s="55" t="s">
        <v>63</v>
      </c>
      <c r="T5" s="55" t="s">
        <v>63</v>
      </c>
      <c r="U5" s="55" t="s">
        <v>63</v>
      </c>
      <c r="V5" s="34"/>
      <c r="W5" s="34"/>
      <c r="X5" s="55" t="s">
        <v>63</v>
      </c>
      <c r="Y5" s="55">
        <v>2</v>
      </c>
      <c r="Z5" s="34"/>
      <c r="AA5" s="54">
        <v>0</v>
      </c>
      <c r="AB5" s="54"/>
      <c r="AC5" s="54"/>
      <c r="AD5" s="54"/>
      <c r="AE5" s="54"/>
      <c r="AF5" s="54">
        <v>0</v>
      </c>
      <c r="AG5" s="54">
        <v>0</v>
      </c>
      <c r="AH5" s="54">
        <v>0</v>
      </c>
      <c r="AI5" s="25" t="s">
        <v>154</v>
      </c>
      <c r="AJ5" s="38" t="s">
        <v>121</v>
      </c>
      <c r="AK5" s="38" t="s">
        <v>122</v>
      </c>
      <c r="AL5" s="38" t="s">
        <v>73</v>
      </c>
      <c r="AM5" s="38" t="s">
        <v>130</v>
      </c>
      <c r="AN5" s="38"/>
      <c r="AO5" s="38" t="s">
        <v>76</v>
      </c>
      <c r="AP5" s="38" t="str">
        <f t="shared" ref="AP5" si="5">CONCATENATE(AJ5, ".", AL5)</f>
        <v>PTRC1.Blk.stVal</v>
      </c>
      <c r="AQ5" s="38" t="s">
        <v>72</v>
      </c>
      <c r="AR5" s="54">
        <v>0</v>
      </c>
      <c r="AS5" s="54">
        <v>1</v>
      </c>
      <c r="AT5" s="54">
        <v>0</v>
      </c>
      <c r="AU5" s="54">
        <v>1</v>
      </c>
      <c r="AV5" s="54">
        <v>1</v>
      </c>
      <c r="AW5" s="54">
        <v>1</v>
      </c>
      <c r="AX5" s="54">
        <v>1</v>
      </c>
      <c r="AY5" s="39"/>
      <c r="AZ5" s="34"/>
      <c r="BA5" s="34"/>
      <c r="BB5" s="34"/>
      <c r="BC5" s="34"/>
      <c r="BD5" s="34"/>
      <c r="BE5" s="34"/>
      <c r="BF5" s="34"/>
      <c r="BG5" s="22" t="str">
        <f t="shared" si="1"/>
        <v>description: "Заблокировано", note: "Блокировка ГЗ РПН", group: "status", minValue: null, maxValue: null, step: null, units: "null", defaultValue: null, eventRegistration: 2</v>
      </c>
    </row>
    <row r="6" spans="1:16379" s="40" customFormat="1" ht="15.75" x14ac:dyDescent="0.25">
      <c r="A6" s="33"/>
      <c r="B6" s="63" t="s">
        <v>175</v>
      </c>
      <c r="C6" s="34"/>
      <c r="D6" s="53" t="s">
        <v>162</v>
      </c>
      <c r="E6" s="19" t="s">
        <v>152</v>
      </c>
      <c r="F6" s="45" t="s">
        <v>140</v>
      </c>
      <c r="G6" s="45" t="s">
        <v>140</v>
      </c>
      <c r="H6" s="8"/>
      <c r="I6" s="19">
        <f t="shared" si="3"/>
        <v>17</v>
      </c>
      <c r="J6" s="19" t="str">
        <f t="shared" si="4"/>
        <v>Срабатывание сигн</v>
      </c>
      <c r="K6" s="35" t="s">
        <v>159</v>
      </c>
      <c r="L6" s="36" t="s">
        <v>60</v>
      </c>
      <c r="M6" s="55" t="s">
        <v>61</v>
      </c>
      <c r="N6" s="55" t="s">
        <v>62</v>
      </c>
      <c r="O6" s="55"/>
      <c r="P6" s="21"/>
      <c r="Q6" s="21"/>
      <c r="R6" s="55" t="s">
        <v>63</v>
      </c>
      <c r="S6" s="55" t="s">
        <v>63</v>
      </c>
      <c r="T6" s="55" t="s">
        <v>63</v>
      </c>
      <c r="U6" s="55" t="s">
        <v>63</v>
      </c>
      <c r="V6" s="34"/>
      <c r="W6" s="34"/>
      <c r="X6" s="55" t="s">
        <v>63</v>
      </c>
      <c r="Y6" s="55">
        <v>2</v>
      </c>
      <c r="Z6" s="34"/>
      <c r="AA6" s="54">
        <v>0</v>
      </c>
      <c r="AB6" s="54"/>
      <c r="AC6" s="54"/>
      <c r="AD6" s="54"/>
      <c r="AE6" s="54"/>
      <c r="AF6" s="54">
        <v>0</v>
      </c>
      <c r="AG6" s="54">
        <v>0</v>
      </c>
      <c r="AH6" s="54">
        <v>0</v>
      </c>
      <c r="AI6" s="33"/>
      <c r="AJ6" s="33"/>
      <c r="AK6" s="33"/>
      <c r="AL6" s="33"/>
      <c r="AM6" s="33"/>
      <c r="AN6" s="33"/>
      <c r="AO6" s="33"/>
      <c r="AP6" s="33"/>
      <c r="AQ6" s="33"/>
      <c r="AR6" s="54">
        <v>0</v>
      </c>
      <c r="AS6" s="54">
        <v>1</v>
      </c>
      <c r="AT6" s="54">
        <v>0</v>
      </c>
      <c r="AU6" s="54">
        <v>1</v>
      </c>
      <c r="AV6" s="54">
        <v>1</v>
      </c>
      <c r="AW6" s="54">
        <v>1</v>
      </c>
      <c r="AX6" s="54">
        <v>1</v>
      </c>
      <c r="AY6" s="39"/>
      <c r="AZ6" s="34"/>
      <c r="BA6" s="34"/>
      <c r="BB6" s="34"/>
      <c r="BC6" s="34"/>
      <c r="BD6" s="34"/>
      <c r="BE6" s="34"/>
      <c r="BF6" s="34"/>
      <c r="BG6" s="22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 сигн", note: "Срабатывание ГЗ РПН на сигнал", group: "status", minValue: null, maxValue: null, step: null, units: "null", defaultValue: null, eventRegistration: 2</v>
      </c>
    </row>
    <row r="7" spans="1:16379" s="40" customFormat="1" ht="15.75" x14ac:dyDescent="0.25">
      <c r="A7" s="33"/>
      <c r="B7" s="63" t="s">
        <v>175</v>
      </c>
      <c r="C7" s="34"/>
      <c r="D7" s="53" t="s">
        <v>162</v>
      </c>
      <c r="E7" s="19" t="s">
        <v>151</v>
      </c>
      <c r="F7" s="45" t="s">
        <v>141</v>
      </c>
      <c r="G7" s="45" t="s">
        <v>141</v>
      </c>
      <c r="H7" s="8"/>
      <c r="I7" s="19">
        <f t="shared" si="3"/>
        <v>12</v>
      </c>
      <c r="J7" s="19" t="str">
        <f t="shared" si="4"/>
        <v>Срабатывание</v>
      </c>
      <c r="K7" s="35" t="s">
        <v>160</v>
      </c>
      <c r="L7" s="36" t="s">
        <v>60</v>
      </c>
      <c r="M7" s="55" t="s">
        <v>61</v>
      </c>
      <c r="N7" s="55" t="s">
        <v>62</v>
      </c>
      <c r="O7" s="55"/>
      <c r="P7" s="21"/>
      <c r="Q7" s="21"/>
      <c r="R7" s="55" t="s">
        <v>63</v>
      </c>
      <c r="S7" s="55" t="s">
        <v>63</v>
      </c>
      <c r="T7" s="55" t="s">
        <v>63</v>
      </c>
      <c r="U7" s="55" t="s">
        <v>63</v>
      </c>
      <c r="V7" s="34"/>
      <c r="W7" s="34"/>
      <c r="X7" s="55" t="s">
        <v>63</v>
      </c>
      <c r="Y7" s="55">
        <v>2</v>
      </c>
      <c r="Z7" s="34"/>
      <c r="AA7" s="54">
        <v>0</v>
      </c>
      <c r="AB7" s="54"/>
      <c r="AC7" s="54"/>
      <c r="AD7" s="54"/>
      <c r="AE7" s="54"/>
      <c r="AF7" s="54">
        <v>0</v>
      </c>
      <c r="AG7" s="54">
        <v>0</v>
      </c>
      <c r="AH7" s="54">
        <v>0</v>
      </c>
      <c r="AI7" s="25" t="s">
        <v>154</v>
      </c>
      <c r="AJ7" s="38" t="s">
        <v>88</v>
      </c>
      <c r="AK7" s="38" t="s">
        <v>89</v>
      </c>
      <c r="AL7" s="38" t="s">
        <v>90</v>
      </c>
      <c r="AM7" s="38" t="s">
        <v>130</v>
      </c>
      <c r="AN7" s="38"/>
      <c r="AO7" s="38" t="s">
        <v>76</v>
      </c>
      <c r="AP7" s="38" t="str">
        <f>CONCATENATE(AJ7, ".", AL7)</f>
        <v>PTRC1.Op.general</v>
      </c>
      <c r="AQ7" s="38" t="s">
        <v>72</v>
      </c>
      <c r="AR7" s="54">
        <v>0</v>
      </c>
      <c r="AS7" s="54">
        <v>1</v>
      </c>
      <c r="AT7" s="54">
        <v>0</v>
      </c>
      <c r="AU7" s="54">
        <v>1</v>
      </c>
      <c r="AV7" s="54">
        <v>1</v>
      </c>
      <c r="AW7" s="54">
        <v>1</v>
      </c>
      <c r="AX7" s="54">
        <v>1</v>
      </c>
      <c r="AY7" s="39"/>
      <c r="AZ7" s="34"/>
      <c r="BA7" s="34"/>
      <c r="BB7" s="34"/>
      <c r="BC7" s="34"/>
      <c r="BD7" s="34"/>
      <c r="BE7" s="34"/>
      <c r="BF7" s="34"/>
      <c r="BG7" s="22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 ГЗ РПН", group: "status", minValue: null, maxValue: null, step: null, units: "null", defaultValue: null, eventRegistration: 2</v>
      </c>
    </row>
    <row r="8" spans="1:16379" s="40" customFormat="1" ht="15.75" x14ac:dyDescent="0.25">
      <c r="A8" s="33"/>
      <c r="B8" s="63" t="s">
        <v>175</v>
      </c>
      <c r="C8" s="34"/>
      <c r="D8" s="53"/>
      <c r="E8" s="19" t="s">
        <v>91</v>
      </c>
      <c r="F8" s="19" t="s">
        <v>92</v>
      </c>
      <c r="G8" s="19" t="s">
        <v>92</v>
      </c>
      <c r="H8" s="34"/>
      <c r="I8" s="19">
        <f t="shared" si="0"/>
        <v>12</v>
      </c>
      <c r="J8" s="19" t="str">
        <f t="shared" si="2"/>
        <v>Поведение LD</v>
      </c>
      <c r="K8" s="35" t="s">
        <v>93</v>
      </c>
      <c r="L8" s="36" t="s">
        <v>66</v>
      </c>
      <c r="M8" s="37" t="s">
        <v>61</v>
      </c>
      <c r="N8" s="37" t="s">
        <v>62</v>
      </c>
      <c r="O8" s="37"/>
      <c r="P8" s="34"/>
      <c r="Q8" s="34"/>
      <c r="R8" s="37" t="s">
        <v>63</v>
      </c>
      <c r="S8" s="37" t="s">
        <v>63</v>
      </c>
      <c r="T8" s="37" t="s">
        <v>63</v>
      </c>
      <c r="U8" s="37" t="s">
        <v>63</v>
      </c>
      <c r="V8" s="34"/>
      <c r="W8" s="34"/>
      <c r="X8" s="37" t="s">
        <v>63</v>
      </c>
      <c r="Y8" s="37">
        <v>0</v>
      </c>
      <c r="Z8" s="34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25" t="s">
        <v>120</v>
      </c>
      <c r="AJ8" s="38" t="s">
        <v>142</v>
      </c>
      <c r="AK8" s="38" t="s">
        <v>94</v>
      </c>
      <c r="AL8" s="38" t="s">
        <v>73</v>
      </c>
      <c r="AM8" s="38" t="s">
        <v>74</v>
      </c>
      <c r="AN8" s="38" t="s">
        <v>75</v>
      </c>
      <c r="AO8" s="38" t="s">
        <v>76</v>
      </c>
      <c r="AP8" s="38" t="str">
        <f t="shared" ref="AP8:AP11" si="8">CONCATENATE(AJ8, ".", AL8)</f>
        <v>LLN0.Beh.stVal</v>
      </c>
      <c r="AQ8" s="38" t="s">
        <v>72</v>
      </c>
      <c r="AR8" s="54">
        <v>0</v>
      </c>
      <c r="AS8" s="54">
        <v>0</v>
      </c>
      <c r="AT8" s="54">
        <v>0</v>
      </c>
      <c r="AU8" s="54">
        <v>0</v>
      </c>
      <c r="AV8" s="54">
        <f t="shared" ref="AV8:AV11" si="9">BIN2DEC(CONCATENATE(0,0,0,0,AR8,AS8,AT8,AU8))</f>
        <v>0</v>
      </c>
      <c r="AW8" s="54">
        <v>0</v>
      </c>
      <c r="AX8" s="54">
        <v>0</v>
      </c>
      <c r="AY8" s="39"/>
      <c r="AZ8" s="34"/>
      <c r="BA8" s="34"/>
      <c r="BB8" s="34"/>
      <c r="BC8" s="34"/>
      <c r="BD8" s="34"/>
      <c r="BE8" s="34"/>
      <c r="BF8" s="34"/>
      <c r="BG8" s="22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40" customFormat="1" ht="15.75" x14ac:dyDescent="0.25">
      <c r="A9" s="33"/>
      <c r="B9" s="63" t="s">
        <v>175</v>
      </c>
      <c r="C9" s="34"/>
      <c r="D9" s="53"/>
      <c r="E9" s="19" t="s">
        <v>95</v>
      </c>
      <c r="F9" s="19" t="s">
        <v>96</v>
      </c>
      <c r="G9" s="19" t="s">
        <v>96</v>
      </c>
      <c r="H9" s="34"/>
      <c r="I9" s="19">
        <f t="shared" si="0"/>
        <v>14</v>
      </c>
      <c r="J9" s="19" t="str">
        <f t="shared" si="2"/>
        <v>Исправность LD</v>
      </c>
      <c r="K9" s="35" t="s">
        <v>97</v>
      </c>
      <c r="L9" s="36" t="s">
        <v>66</v>
      </c>
      <c r="M9" s="37" t="s">
        <v>61</v>
      </c>
      <c r="N9" s="37" t="s">
        <v>62</v>
      </c>
      <c r="O9" s="37"/>
      <c r="P9" s="21"/>
      <c r="Q9" s="21"/>
      <c r="R9" s="37" t="s">
        <v>63</v>
      </c>
      <c r="S9" s="37" t="s">
        <v>63</v>
      </c>
      <c r="T9" s="37" t="s">
        <v>63</v>
      </c>
      <c r="U9" s="37" t="s">
        <v>63</v>
      </c>
      <c r="V9" s="34"/>
      <c r="W9" s="34"/>
      <c r="X9" s="37" t="s">
        <v>63</v>
      </c>
      <c r="Y9" s="37">
        <v>0</v>
      </c>
      <c r="Z9" s="34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25" t="s">
        <v>120</v>
      </c>
      <c r="AJ9" s="38" t="s">
        <v>143</v>
      </c>
      <c r="AK9" s="38" t="s">
        <v>94</v>
      </c>
      <c r="AL9" s="38" t="s">
        <v>73</v>
      </c>
      <c r="AM9" s="38" t="s">
        <v>74</v>
      </c>
      <c r="AN9" s="38" t="s">
        <v>98</v>
      </c>
      <c r="AO9" s="38" t="s">
        <v>76</v>
      </c>
      <c r="AP9" s="38" t="str">
        <f t="shared" si="8"/>
        <v>LLN0.Health.stVal</v>
      </c>
      <c r="AQ9" s="38" t="s">
        <v>72</v>
      </c>
      <c r="AR9" s="54">
        <v>0</v>
      </c>
      <c r="AS9" s="54">
        <v>0</v>
      </c>
      <c r="AT9" s="54">
        <v>0</v>
      </c>
      <c r="AU9" s="54">
        <v>0</v>
      </c>
      <c r="AV9" s="54">
        <f t="shared" si="9"/>
        <v>0</v>
      </c>
      <c r="AW9" s="54">
        <v>0</v>
      </c>
      <c r="AX9" s="54">
        <v>0</v>
      </c>
      <c r="AY9" s="39"/>
      <c r="AZ9" s="34"/>
      <c r="BA9" s="34"/>
      <c r="BB9" s="34"/>
      <c r="BC9" s="34"/>
      <c r="BD9" s="34"/>
      <c r="BE9" s="34"/>
      <c r="BF9" s="34"/>
      <c r="BG9" s="22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40" customFormat="1" ht="15.75" x14ac:dyDescent="0.25">
      <c r="A10" s="33"/>
      <c r="B10" s="63" t="s">
        <v>175</v>
      </c>
      <c r="C10" s="34"/>
      <c r="D10" s="53" t="s">
        <v>162</v>
      </c>
      <c r="E10" s="19" t="s">
        <v>163</v>
      </c>
      <c r="F10" s="19" t="s">
        <v>99</v>
      </c>
      <c r="G10" s="19" t="s">
        <v>99</v>
      </c>
      <c r="H10" s="34"/>
      <c r="I10" s="19">
        <f t="shared" si="0"/>
        <v>9</v>
      </c>
      <c r="J10" s="19" t="str">
        <f t="shared" si="2"/>
        <v>Поведение</v>
      </c>
      <c r="K10" s="35" t="s">
        <v>100</v>
      </c>
      <c r="L10" s="36" t="s">
        <v>66</v>
      </c>
      <c r="M10" s="37" t="s">
        <v>61</v>
      </c>
      <c r="N10" s="37" t="s">
        <v>62</v>
      </c>
      <c r="O10" s="37"/>
      <c r="P10" s="34"/>
      <c r="Q10" s="34"/>
      <c r="R10" s="37" t="s">
        <v>63</v>
      </c>
      <c r="S10" s="37" t="s">
        <v>63</v>
      </c>
      <c r="T10" s="37" t="s">
        <v>63</v>
      </c>
      <c r="U10" s="37" t="s">
        <v>63</v>
      </c>
      <c r="V10" s="34"/>
      <c r="W10" s="34"/>
      <c r="X10" s="37" t="s">
        <v>63</v>
      </c>
      <c r="Y10" s="37">
        <v>0</v>
      </c>
      <c r="Z10" s="3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25" t="s">
        <v>154</v>
      </c>
      <c r="AJ10" s="38" t="s">
        <v>101</v>
      </c>
      <c r="AK10" s="38" t="s">
        <v>94</v>
      </c>
      <c r="AL10" s="38" t="s">
        <v>73</v>
      </c>
      <c r="AM10" s="38" t="s">
        <v>74</v>
      </c>
      <c r="AN10" s="38" t="s">
        <v>75</v>
      </c>
      <c r="AO10" s="38" t="s">
        <v>76</v>
      </c>
      <c r="AP10" s="38" t="str">
        <f t="shared" si="8"/>
        <v>PTRC1.Beh.stVal</v>
      </c>
      <c r="AQ10" s="38" t="s">
        <v>72</v>
      </c>
      <c r="AR10" s="54">
        <v>0</v>
      </c>
      <c r="AS10" s="54">
        <v>0</v>
      </c>
      <c r="AT10" s="54">
        <v>0</v>
      </c>
      <c r="AU10" s="54">
        <v>0</v>
      </c>
      <c r="AV10" s="54">
        <f t="shared" si="9"/>
        <v>0</v>
      </c>
      <c r="AW10" s="54">
        <v>0</v>
      </c>
      <c r="AX10" s="54">
        <v>0</v>
      </c>
      <c r="AY10" s="39"/>
      <c r="AZ10" s="34"/>
      <c r="BA10" s="34"/>
      <c r="BB10" s="34"/>
      <c r="BC10" s="34"/>
      <c r="BD10" s="34"/>
      <c r="BE10" s="34"/>
      <c r="BF10" s="34"/>
      <c r="BG10" s="22" t="str">
        <f t="shared" si="1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1" spans="1:16379" s="40" customFormat="1" ht="15.75" x14ac:dyDescent="0.25">
      <c r="A11" s="33"/>
      <c r="B11" s="63" t="s">
        <v>175</v>
      </c>
      <c r="C11" s="34"/>
      <c r="D11" s="53" t="s">
        <v>162</v>
      </c>
      <c r="E11" s="19" t="s">
        <v>164</v>
      </c>
      <c r="F11" s="19" t="s">
        <v>102</v>
      </c>
      <c r="G11" s="19" t="s">
        <v>102</v>
      </c>
      <c r="H11" s="34"/>
      <c r="I11" s="19">
        <f t="shared" si="0"/>
        <v>11</v>
      </c>
      <c r="J11" s="19" t="str">
        <f t="shared" si="2"/>
        <v>Исправность</v>
      </c>
      <c r="K11" s="35" t="s">
        <v>103</v>
      </c>
      <c r="L11" s="36" t="s">
        <v>66</v>
      </c>
      <c r="M11" s="37" t="s">
        <v>61</v>
      </c>
      <c r="N11" s="37" t="s">
        <v>62</v>
      </c>
      <c r="O11" s="37"/>
      <c r="P11" s="21"/>
      <c r="Q11" s="21"/>
      <c r="R11" s="37" t="s">
        <v>63</v>
      </c>
      <c r="S11" s="37" t="s">
        <v>63</v>
      </c>
      <c r="T11" s="37" t="s">
        <v>63</v>
      </c>
      <c r="U11" s="37" t="s">
        <v>63</v>
      </c>
      <c r="V11" s="34"/>
      <c r="W11" s="34"/>
      <c r="X11" s="37" t="s">
        <v>63</v>
      </c>
      <c r="Y11" s="37">
        <v>0</v>
      </c>
      <c r="Z11" s="3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25" t="s">
        <v>154</v>
      </c>
      <c r="AJ11" s="38" t="s">
        <v>104</v>
      </c>
      <c r="AK11" s="38" t="s">
        <v>94</v>
      </c>
      <c r="AL11" s="38" t="s">
        <v>73</v>
      </c>
      <c r="AM11" s="38" t="s">
        <v>74</v>
      </c>
      <c r="AN11" s="38" t="s">
        <v>98</v>
      </c>
      <c r="AO11" s="38" t="s">
        <v>76</v>
      </c>
      <c r="AP11" s="38" t="str">
        <f t="shared" si="8"/>
        <v>PTRC1.Health.stVal</v>
      </c>
      <c r="AQ11" s="38" t="s">
        <v>72</v>
      </c>
      <c r="AR11" s="54">
        <v>0</v>
      </c>
      <c r="AS11" s="54">
        <v>0</v>
      </c>
      <c r="AT11" s="54">
        <v>0</v>
      </c>
      <c r="AU11" s="54">
        <v>0</v>
      </c>
      <c r="AV11" s="54">
        <f t="shared" si="9"/>
        <v>0</v>
      </c>
      <c r="AW11" s="54">
        <v>0</v>
      </c>
      <c r="AX11" s="54">
        <v>0</v>
      </c>
      <c r="AY11" s="39"/>
      <c r="AZ11" s="34"/>
      <c r="BA11" s="34"/>
      <c r="BB11" s="34"/>
      <c r="BC11" s="34"/>
      <c r="BD11" s="34"/>
      <c r="BE11" s="34"/>
      <c r="BF11" s="34"/>
      <c r="BG11" s="22" t="str">
        <f t="shared" si="1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4"/>
      <c r="BC219" s="4"/>
      <c r="BD219" s="44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3"/>
  <sheetViews>
    <sheetView zoomScale="80" zoomScaleNormal="80" workbookViewId="0">
      <selection activeCell="D13" sqref="D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8" width="34.8554687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7.285156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42578125" style="2" customWidth="1" outlineLevel="1"/>
    <col min="19" max="19" width="8.5703125" style="3" customWidth="1" outlineLevel="1"/>
    <col min="20" max="20" width="9.5703125" style="4" customWidth="1" outlineLevel="1"/>
    <col min="21" max="21" width="10.5703125" style="4" customWidth="1" outlineLevel="1"/>
    <col min="22" max="22" width="8.42578125" style="4" customWidth="1" outlineLevel="1"/>
    <col min="23" max="23" width="12" style="4" customWidth="1" outlineLevel="1"/>
    <col min="24" max="24" width="13.5703125" style="4" customWidth="1" outlineLevel="1"/>
    <col min="25" max="25" width="13.855468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10.140625" style="1" customWidth="1"/>
    <col min="36" max="36" width="15" style="1" bestFit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" style="4" hidden="1" customWidth="1" outlineLevel="1"/>
    <col min="55" max="55" width="13.28515625" style="44" hidden="1" customWidth="1" outlineLevel="1"/>
    <col min="56" max="56" width="13.28515625" style="4" hidden="1" customWidth="1" outlineLevel="1"/>
    <col min="57" max="57" width="13" style="4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SUM(AB4:AB50)</f>
        <v>0</v>
      </c>
      <c r="AJ1" s="46"/>
      <c r="AK1" s="7"/>
      <c r="AL1" s="7"/>
      <c r="AM1" s="7"/>
      <c r="AN1" s="7"/>
      <c r="AO1" s="7"/>
      <c r="AP1" s="7"/>
      <c r="AQ1" s="7"/>
      <c r="AR1" s="7"/>
      <c r="AS1" s="46"/>
      <c r="AT1" s="6"/>
      <c r="AU1" s="6"/>
      <c r="AV1" s="6"/>
      <c r="AW1" s="6"/>
      <c r="AX1" s="6"/>
      <c r="AY1" s="6"/>
      <c r="AZ1" s="8"/>
      <c r="BA1" s="87" t="s">
        <v>0</v>
      </c>
      <c r="BB1" s="88"/>
      <c r="BC1" s="88"/>
      <c r="BD1" s="88"/>
      <c r="BE1" s="88"/>
      <c r="BF1" s="88"/>
      <c r="BG1" s="88"/>
    </row>
    <row r="2" spans="1:16380" s="15" customFormat="1" ht="54" customHeight="1" x14ac:dyDescent="0.25">
      <c r="A2" s="9" t="s">
        <v>1</v>
      </c>
      <c r="B2" s="56" t="s">
        <v>2</v>
      </c>
      <c r="C2" s="52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68" t="s">
        <v>185</v>
      </c>
      <c r="I2" s="9" t="s">
        <v>8</v>
      </c>
      <c r="J2" s="9" t="s">
        <v>9</v>
      </c>
      <c r="K2" s="9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2" t="s">
        <v>24</v>
      </c>
      <c r="Z2" s="12" t="s">
        <v>25</v>
      </c>
      <c r="AA2" s="11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1" t="s">
        <v>34</v>
      </c>
      <c r="AJ2" s="13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2"/>
      <c r="BA2" s="11" t="s">
        <v>51</v>
      </c>
      <c r="BB2" s="11" t="s">
        <v>52</v>
      </c>
      <c r="BC2" s="14" t="s">
        <v>53</v>
      </c>
      <c r="BD2" s="11" t="s">
        <v>54</v>
      </c>
      <c r="BE2" s="14" t="s">
        <v>55</v>
      </c>
      <c r="BF2" s="11" t="s">
        <v>56</v>
      </c>
      <c r="BG2" s="11" t="s">
        <v>57</v>
      </c>
      <c r="BH2" s="12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2" customFormat="1" ht="15.75" customHeight="1" x14ac:dyDescent="0.25">
      <c r="A3" s="16"/>
      <c r="B3" s="33" t="s">
        <v>105</v>
      </c>
      <c r="C3" s="17"/>
      <c r="D3" s="90" t="s">
        <v>145</v>
      </c>
      <c r="E3" s="18" t="s">
        <v>108</v>
      </c>
      <c r="F3" s="19" t="s">
        <v>144</v>
      </c>
      <c r="G3" s="19" t="s">
        <v>139</v>
      </c>
      <c r="H3" s="19" t="s">
        <v>139</v>
      </c>
      <c r="I3" s="18"/>
      <c r="J3" s="18">
        <f>LEN(F3)</f>
        <v>3</v>
      </c>
      <c r="K3" s="19" t="str">
        <f>IF(LEN(F3)&lt;=$K$1,F3,"")</f>
        <v>Тбл</v>
      </c>
      <c r="L3" s="16" t="s">
        <v>135</v>
      </c>
      <c r="M3" s="20" t="s">
        <v>109</v>
      </c>
      <c r="N3" s="37" t="s">
        <v>62</v>
      </c>
      <c r="O3" s="17" t="s">
        <v>62</v>
      </c>
      <c r="P3" s="17"/>
      <c r="Q3" s="21">
        <v>2</v>
      </c>
      <c r="R3" s="21" t="s">
        <v>134</v>
      </c>
      <c r="S3" s="17" t="s">
        <v>110</v>
      </c>
      <c r="T3" s="17">
        <v>0</v>
      </c>
      <c r="U3" s="17">
        <v>30000</v>
      </c>
      <c r="V3" s="17">
        <v>10</v>
      </c>
      <c r="W3" s="17"/>
      <c r="X3" s="17"/>
      <c r="Y3" s="17">
        <v>5000</v>
      </c>
      <c r="Z3" s="17">
        <v>0</v>
      </c>
      <c r="AA3" s="23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5" t="s">
        <v>120</v>
      </c>
      <c r="AK3" s="26" t="s">
        <v>136</v>
      </c>
      <c r="AL3" s="26" t="s">
        <v>118</v>
      </c>
      <c r="AM3" s="26" t="s">
        <v>119</v>
      </c>
      <c r="AN3" s="26" t="s">
        <v>109</v>
      </c>
      <c r="AO3" s="26"/>
      <c r="AP3" s="26" t="s">
        <v>165</v>
      </c>
      <c r="AQ3" s="26" t="str">
        <f>CONCATENATE(AK3, ".", AM3)</f>
        <v>LLN0.OpDlTmms.setVal</v>
      </c>
      <c r="AR3" s="38" t="s">
        <v>72</v>
      </c>
      <c r="AS3" s="24">
        <v>0</v>
      </c>
      <c r="AT3" s="24">
        <v>0</v>
      </c>
      <c r="AU3" s="24">
        <v>0</v>
      </c>
      <c r="AV3" s="24">
        <v>0</v>
      </c>
      <c r="AW3" s="24">
        <f>BIN2DEC(CONCATENATE(0,0,0,0,AS3,AT3,AU3,AV3))</f>
        <v>0</v>
      </c>
      <c r="AX3" s="24"/>
      <c r="AY3" s="27"/>
      <c r="AZ3" s="24"/>
      <c r="BA3" s="21"/>
      <c r="BB3" s="24"/>
      <c r="BC3" s="24"/>
      <c r="BD3" s="28"/>
      <c r="BE3" s="24"/>
      <c r="BF3" s="29"/>
      <c r="BG3" s="24"/>
      <c r="BH3" s="30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"Тбл", note: "Выдержка времени срабатывания на блокировку", group: "setting", minValue: 0, maxValue: 30000, step: 10, units: "мс", defaultValue: 5000, eventRegistration: 0</v>
      </c>
      <c r="BI3" s="31"/>
    </row>
    <row r="4" spans="1:16380" s="32" customFormat="1" ht="15.75" x14ac:dyDescent="0.25">
      <c r="A4" s="33"/>
      <c r="B4" s="33" t="s">
        <v>105</v>
      </c>
      <c r="C4" s="37"/>
      <c r="D4" s="53" t="s">
        <v>162</v>
      </c>
      <c r="E4" s="19" t="s">
        <v>106</v>
      </c>
      <c r="F4" s="19" t="s">
        <v>131</v>
      </c>
      <c r="G4" s="19" t="s">
        <v>137</v>
      </c>
      <c r="H4" s="19" t="s">
        <v>137</v>
      </c>
      <c r="I4" s="19" t="s">
        <v>123</v>
      </c>
      <c r="J4" s="19">
        <f t="shared" ref="J4:J5" si="0">LEN(F4)</f>
        <v>12</v>
      </c>
      <c r="K4" s="19" t="str">
        <f t="shared" ref="K4:K5" si="1">IF(LEN(F4)&lt;=$K$1,F4,"")</f>
        <v>Ввод_функции</v>
      </c>
      <c r="L4" s="33" t="s">
        <v>107</v>
      </c>
      <c r="M4" s="36" t="s">
        <v>60</v>
      </c>
      <c r="N4" s="37" t="s">
        <v>62</v>
      </c>
      <c r="O4" s="37" t="s">
        <v>62</v>
      </c>
      <c r="P4" s="37"/>
      <c r="Q4" s="39">
        <v>0</v>
      </c>
      <c r="R4" s="39"/>
      <c r="S4" s="37" t="s">
        <v>63</v>
      </c>
      <c r="T4" s="37">
        <v>0</v>
      </c>
      <c r="U4" s="37">
        <v>1</v>
      </c>
      <c r="V4" s="37">
        <v>1</v>
      </c>
      <c r="W4" s="37"/>
      <c r="X4" s="37"/>
      <c r="Y4" s="37">
        <v>0</v>
      </c>
      <c r="Z4" s="37">
        <v>0</v>
      </c>
      <c r="AA4" s="35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/>
      <c r="AK4" s="34"/>
      <c r="AL4" s="34"/>
      <c r="AM4" s="34"/>
      <c r="AN4" s="34"/>
      <c r="AO4" s="34"/>
      <c r="AP4" s="34"/>
      <c r="AQ4" s="34"/>
      <c r="AR4" s="34"/>
      <c r="AS4" s="34">
        <v>0</v>
      </c>
      <c r="AT4" s="34">
        <v>0</v>
      </c>
      <c r="AU4" s="34">
        <v>0</v>
      </c>
      <c r="AV4" s="34">
        <v>0</v>
      </c>
      <c r="AW4" s="34">
        <f t="shared" ref="AW4:AW5" si="2">BIN2DEC(CONCATENATE(0,0,0,0,AS4,AT4,AU4,AV4))</f>
        <v>0</v>
      </c>
      <c r="AX4" s="34" t="s">
        <v>124</v>
      </c>
      <c r="AY4" s="34"/>
      <c r="AZ4" s="39"/>
      <c r="BA4" s="34"/>
      <c r="BB4" s="34"/>
      <c r="BC4" s="34"/>
      <c r="BD4" s="34"/>
      <c r="BE4" s="34"/>
      <c r="BF4" s="34"/>
      <c r="BG4" s="34"/>
      <c r="BH4" s="22" t="str">
        <f t="shared" ref="BH4:BH5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32" customFormat="1" ht="15.75" x14ac:dyDescent="0.25">
      <c r="A5" s="33"/>
      <c r="B5" s="33" t="s">
        <v>105</v>
      </c>
      <c r="C5" s="37"/>
      <c r="D5" s="53" t="s">
        <v>162</v>
      </c>
      <c r="E5" s="19" t="s">
        <v>132</v>
      </c>
      <c r="F5" s="19" t="s">
        <v>133</v>
      </c>
      <c r="G5" s="19" t="s">
        <v>138</v>
      </c>
      <c r="H5" s="19" t="s">
        <v>138</v>
      </c>
      <c r="I5" s="19" t="s">
        <v>123</v>
      </c>
      <c r="J5" s="19">
        <f t="shared" si="0"/>
        <v>10</v>
      </c>
      <c r="K5" s="19" t="str">
        <f t="shared" si="1"/>
        <v>Блок_от_НИ</v>
      </c>
      <c r="L5" s="33" t="s">
        <v>117</v>
      </c>
      <c r="M5" s="36" t="s">
        <v>60</v>
      </c>
      <c r="N5" s="37" t="s">
        <v>62</v>
      </c>
      <c r="O5" s="37" t="s">
        <v>62</v>
      </c>
      <c r="P5" s="37"/>
      <c r="Q5" s="39">
        <v>0</v>
      </c>
      <c r="R5" s="39"/>
      <c r="S5" s="55" t="s">
        <v>63</v>
      </c>
      <c r="T5" s="37">
        <v>0</v>
      </c>
      <c r="U5" s="37">
        <v>1</v>
      </c>
      <c r="V5" s="37">
        <v>1</v>
      </c>
      <c r="W5" s="37"/>
      <c r="X5" s="37"/>
      <c r="Y5" s="37">
        <v>0</v>
      </c>
      <c r="Z5" s="37">
        <v>0</v>
      </c>
      <c r="AA5" s="35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24"/>
      <c r="AK5" s="34"/>
      <c r="AL5" s="34"/>
      <c r="AM5" s="34"/>
      <c r="AN5" s="34"/>
      <c r="AO5" s="34"/>
      <c r="AP5" s="34"/>
      <c r="AQ5" s="8"/>
      <c r="AR5" s="38"/>
      <c r="AS5" s="34">
        <v>0</v>
      </c>
      <c r="AT5" s="34">
        <v>0</v>
      </c>
      <c r="AU5" s="34">
        <v>0</v>
      </c>
      <c r="AV5" s="34">
        <v>0</v>
      </c>
      <c r="AW5" s="34">
        <f t="shared" si="2"/>
        <v>0</v>
      </c>
      <c r="AX5" s="34" t="s">
        <v>124</v>
      </c>
      <c r="AY5" s="34"/>
      <c r="AZ5" s="39"/>
      <c r="BA5" s="34"/>
      <c r="BB5" s="34"/>
      <c r="BC5" s="34"/>
      <c r="BD5" s="34"/>
      <c r="BE5" s="34"/>
      <c r="BF5" s="34"/>
      <c r="BG5" s="34"/>
      <c r="BH5" s="22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4"/>
      <c r="BD6" s="4"/>
      <c r="BE6" s="44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4"/>
      <c r="BD7" s="4"/>
      <c r="BE7" s="44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4"/>
      <c r="BD8" s="4"/>
      <c r="BE8" s="44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4"/>
      <c r="BD9" s="4"/>
      <c r="BE9" s="44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4"/>
      <c r="BD10" s="4"/>
      <c r="BE10" s="44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4"/>
      <c r="BD11" s="4"/>
      <c r="BE11" s="4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4"/>
      <c r="BD12" s="4"/>
      <c r="BE12" s="4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4"/>
      <c r="BD13" s="4"/>
      <c r="BE13" s="4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4"/>
      <c r="BD14" s="4"/>
      <c r="BE14" s="4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4"/>
      <c r="BD15" s="4"/>
      <c r="BE15" s="4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4"/>
      <c r="BD16" s="4"/>
      <c r="BE16" s="4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4"/>
      <c r="BD17" s="4"/>
      <c r="BE17" s="4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4"/>
      <c r="BD18" s="4"/>
      <c r="BE18" s="4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4"/>
      <c r="BD19" s="4"/>
      <c r="BE19" s="4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4"/>
      <c r="BD20" s="4"/>
      <c r="BE20" s="4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4"/>
      <c r="BD21" s="4"/>
      <c r="BE21" s="4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4"/>
      <c r="BD22" s="4"/>
      <c r="BE22" s="4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4"/>
      <c r="BD23" s="4"/>
      <c r="BE23" s="4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4"/>
      <c r="BD24" s="4"/>
      <c r="BE24" s="4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4"/>
      <c r="BD25" s="4"/>
      <c r="BE25" s="4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4"/>
      <c r="BD26" s="4"/>
      <c r="BE26" s="4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4"/>
      <c r="BD27" s="4"/>
      <c r="BE27" s="4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4"/>
      <c r="BD28" s="4"/>
      <c r="BE28" s="4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4"/>
      <c r="BD29" s="4"/>
      <c r="BE29" s="4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4"/>
      <c r="BD30" s="4"/>
      <c r="BE30" s="4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4"/>
      <c r="BD31" s="4"/>
      <c r="BE31" s="4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4"/>
      <c r="BD32" s="4"/>
      <c r="BE32" s="4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4"/>
      <c r="BD33" s="4"/>
      <c r="BE33" s="4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4"/>
      <c r="BD34" s="4"/>
      <c r="BE34" s="4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4"/>
      <c r="BD35" s="4"/>
      <c r="BE35" s="4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4"/>
      <c r="BD36" s="4"/>
      <c r="BE36" s="4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4"/>
      <c r="BD37" s="4"/>
      <c r="BE37" s="4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4"/>
      <c r="BD38" s="4"/>
      <c r="BE38" s="4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4"/>
      <c r="BD39" s="4"/>
      <c r="BE39" s="4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4"/>
      <c r="BD40" s="4"/>
      <c r="BE40" s="4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4"/>
      <c r="BD41" s="4"/>
      <c r="BE41" s="4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4"/>
      <c r="BD42" s="4"/>
      <c r="BE42" s="4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4"/>
      <c r="BD43" s="4"/>
      <c r="BE43" s="4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4"/>
      <c r="BD44" s="4"/>
      <c r="BE44" s="4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4"/>
      <c r="BD45" s="4"/>
      <c r="BE45" s="4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4"/>
      <c r="BD46" s="4"/>
      <c r="BE46" s="4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4"/>
      <c r="BD47" s="4"/>
      <c r="BE47" s="4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4"/>
      <c r="BD48" s="4"/>
      <c r="BE48" s="4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4"/>
      <c r="BD49" s="4"/>
      <c r="BE49" s="4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4"/>
      <c r="BD50" s="4"/>
      <c r="BE50" s="4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4"/>
      <c r="BD51" s="4"/>
      <c r="BE51" s="4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4"/>
      <c r="BD52" s="4"/>
      <c r="BE52" s="4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4"/>
      <c r="BD53" s="4"/>
      <c r="BE53" s="4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4"/>
      <c r="BD54" s="4"/>
      <c r="BE54" s="4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4"/>
      <c r="BD55" s="4"/>
      <c r="BE55" s="4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4"/>
      <c r="BD56" s="4"/>
      <c r="BE56" s="4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4"/>
      <c r="BD57" s="4"/>
      <c r="BE57" s="4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4"/>
      <c r="BD58" s="4"/>
      <c r="BE58" s="4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4"/>
      <c r="BD59" s="4"/>
      <c r="BE59" s="4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4"/>
      <c r="BD60" s="4"/>
      <c r="BE60" s="4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4"/>
      <c r="BD61" s="4"/>
      <c r="BE61" s="4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4"/>
      <c r="BD62" s="4"/>
      <c r="BE62" s="4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4"/>
      <c r="BD63" s="4"/>
      <c r="BE63" s="4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4"/>
      <c r="BD64" s="4"/>
      <c r="BE64" s="4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4"/>
      <c r="BD65" s="4"/>
      <c r="BE65" s="4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4"/>
      <c r="BD66" s="4"/>
      <c r="BE66" s="4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4"/>
      <c r="BD67" s="4"/>
      <c r="BE67" s="4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4"/>
      <c r="BD68" s="4"/>
      <c r="BE68" s="4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4"/>
      <c r="BD69" s="4"/>
      <c r="BE69" s="4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4"/>
      <c r="BD70" s="4"/>
      <c r="BE70" s="4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4"/>
      <c r="BD71" s="4"/>
      <c r="BE71" s="4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4"/>
      <c r="BD72" s="4"/>
      <c r="BE72" s="4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4"/>
      <c r="BD73" s="4"/>
      <c r="BE73" s="4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4"/>
      <c r="BD74" s="4"/>
      <c r="BE74" s="4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4"/>
      <c r="BD75" s="4"/>
      <c r="BE75" s="4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4"/>
      <c r="BD76" s="4"/>
      <c r="BE76" s="4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4"/>
      <c r="BD77" s="4"/>
      <c r="BE77" s="4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4"/>
      <c r="BD78" s="4"/>
      <c r="BE78" s="4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4"/>
      <c r="BD79" s="4"/>
      <c r="BE79" s="4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4"/>
      <c r="BD80" s="4"/>
      <c r="BE80" s="4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4"/>
      <c r="BD81" s="4"/>
      <c r="BE81" s="4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4"/>
      <c r="BD82" s="4"/>
      <c r="BE82" s="4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4"/>
      <c r="BD83" s="4"/>
      <c r="BE83" s="4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4"/>
      <c r="BD84" s="4"/>
      <c r="BE84" s="4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4"/>
      <c r="BD85" s="4"/>
      <c r="BE85" s="4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4"/>
      <c r="BD86" s="4"/>
      <c r="BE86" s="4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4"/>
      <c r="BD87" s="4"/>
      <c r="BE87" s="4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4"/>
      <c r="BD88" s="4"/>
      <c r="BE88" s="4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4"/>
      <c r="BD89" s="4"/>
      <c r="BE89" s="4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4"/>
      <c r="BD90" s="4"/>
      <c r="BE90" s="4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4"/>
      <c r="BD91" s="4"/>
      <c r="BE91" s="4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4"/>
      <c r="BD92" s="4"/>
      <c r="BE92" s="4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4"/>
      <c r="BD93" s="4"/>
      <c r="BE93" s="4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4"/>
      <c r="BD94" s="4"/>
      <c r="BE94" s="4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4"/>
      <c r="BD95" s="4"/>
      <c r="BE95" s="4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4"/>
      <c r="BD96" s="4"/>
      <c r="BE96" s="4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4"/>
      <c r="BD97" s="4"/>
      <c r="BE97" s="4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4"/>
      <c r="BD98" s="4"/>
      <c r="BE98" s="4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4"/>
      <c r="BD99" s="4"/>
      <c r="BE99" s="4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4"/>
      <c r="BD100" s="4"/>
      <c r="BE100" s="4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4"/>
      <c r="BD101" s="4"/>
      <c r="BE101" s="4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4"/>
      <c r="BD102" s="4"/>
      <c r="BE102" s="4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4"/>
      <c r="BD103" s="4"/>
      <c r="BE103" s="4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4"/>
      <c r="BD104" s="4"/>
      <c r="BE104" s="4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4"/>
      <c r="BD105" s="4"/>
      <c r="BE105" s="4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4"/>
      <c r="BD106" s="4"/>
      <c r="BE106" s="4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4"/>
      <c r="BD107" s="4"/>
      <c r="BE107" s="4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4"/>
      <c r="BD108" s="4"/>
      <c r="BE108" s="4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4"/>
      <c r="BD109" s="4"/>
      <c r="BE109" s="4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4"/>
      <c r="BD110" s="4"/>
      <c r="BE110" s="4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4"/>
      <c r="BD111" s="4"/>
      <c r="BE111" s="4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4"/>
      <c r="BD112" s="4"/>
      <c r="BE112" s="4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4"/>
      <c r="BD113" s="4"/>
      <c r="BE113" s="4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4"/>
      <c r="BD114" s="4"/>
      <c r="BE114" s="4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4"/>
      <c r="BD115" s="4"/>
      <c r="BE115" s="4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4"/>
      <c r="BD116" s="4"/>
      <c r="BE116" s="4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4"/>
      <c r="BD117" s="4"/>
      <c r="BE117" s="4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4"/>
      <c r="BD118" s="4"/>
      <c r="BE118" s="4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4"/>
      <c r="BD119" s="4"/>
      <c r="BE119" s="4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4"/>
      <c r="BD120" s="4"/>
      <c r="BE120" s="4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4"/>
      <c r="BD121" s="4"/>
      <c r="BE121" s="4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4"/>
      <c r="BD122" s="4"/>
      <c r="BE122" s="4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4"/>
      <c r="BD123" s="4"/>
      <c r="BE123" s="4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4"/>
      <c r="BD124" s="4"/>
      <c r="BE124" s="4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4"/>
      <c r="BD125" s="4"/>
      <c r="BE125" s="4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4"/>
      <c r="BD126" s="4"/>
      <c r="BE126" s="4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4"/>
      <c r="BD127" s="4"/>
      <c r="BE127" s="4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4"/>
      <c r="BD128" s="4"/>
      <c r="BE128" s="4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4"/>
      <c r="BD129" s="4"/>
      <c r="BE129" s="4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4"/>
      <c r="BD130" s="4"/>
      <c r="BE130" s="4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4"/>
      <c r="BD131" s="4"/>
      <c r="BE131" s="4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4"/>
      <c r="BD132" s="4"/>
      <c r="BE132" s="4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4"/>
      <c r="BD133" s="4"/>
      <c r="BE133" s="4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4"/>
      <c r="BD134" s="4"/>
      <c r="BE134" s="4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4"/>
      <c r="BD135" s="4"/>
      <c r="BE135" s="4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4"/>
      <c r="BD136" s="4"/>
      <c r="BE136" s="4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4"/>
      <c r="BD137" s="4"/>
      <c r="BE137" s="4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4"/>
      <c r="BD138" s="4"/>
      <c r="BE138" s="4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4"/>
      <c r="BD139" s="4"/>
      <c r="BE139" s="4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4"/>
      <c r="BD140" s="4"/>
      <c r="BE140" s="4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4"/>
      <c r="BD141" s="4"/>
      <c r="BE141" s="4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4"/>
      <c r="BD142" s="4"/>
      <c r="BE142" s="4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4"/>
      <c r="BD143" s="4"/>
      <c r="BE143" s="4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4"/>
      <c r="BD144" s="4"/>
      <c r="BE144" s="4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4"/>
      <c r="BD145" s="4"/>
      <c r="BE145" s="4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4"/>
      <c r="BD146" s="4"/>
      <c r="BE146" s="4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4"/>
      <c r="BD147" s="4"/>
      <c r="BE147" s="4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4"/>
      <c r="BD148" s="4"/>
      <c r="BE148" s="4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4"/>
      <c r="BD149" s="4"/>
      <c r="BE149" s="4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4"/>
      <c r="BD150" s="4"/>
      <c r="BE150" s="4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4"/>
      <c r="BD151" s="4"/>
      <c r="BE151" s="4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4"/>
      <c r="BD152" s="4"/>
      <c r="BE152" s="4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4"/>
      <c r="BD153" s="4"/>
      <c r="BE153" s="4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4"/>
      <c r="BD154" s="4"/>
      <c r="BE154" s="4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4"/>
      <c r="BD155" s="4"/>
      <c r="BE155" s="4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4"/>
      <c r="BD156" s="4"/>
      <c r="BE156" s="4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4"/>
      <c r="BD157" s="4"/>
      <c r="BE157" s="4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4"/>
      <c r="BD158" s="4"/>
      <c r="BE158" s="4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4"/>
      <c r="BD159" s="4"/>
      <c r="BE159" s="4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4"/>
      <c r="BD160" s="4"/>
      <c r="BE160" s="4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4"/>
      <c r="BD161" s="4"/>
      <c r="BE161" s="4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4"/>
      <c r="BD162" s="4"/>
      <c r="BE162" s="4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4"/>
      <c r="BD163" s="4"/>
      <c r="BE163" s="4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4"/>
      <c r="BD164" s="4"/>
      <c r="BE164" s="4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4"/>
      <c r="BD165" s="4"/>
      <c r="BE165" s="4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4"/>
      <c r="BD166" s="4"/>
      <c r="BE166" s="4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4"/>
      <c r="BD167" s="4"/>
      <c r="BE167" s="4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4"/>
      <c r="BD168" s="4"/>
      <c r="BE168" s="4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4"/>
      <c r="BD169" s="4"/>
      <c r="BE169" s="4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4"/>
      <c r="BD170" s="4"/>
      <c r="BE170" s="4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4"/>
      <c r="BD171" s="4"/>
      <c r="BE171" s="4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4"/>
      <c r="BD172" s="4"/>
      <c r="BE172" s="4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4"/>
      <c r="BD173" s="4"/>
      <c r="BE173" s="4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4"/>
      <c r="BD174" s="4"/>
      <c r="BE174" s="4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4"/>
      <c r="BD175" s="4"/>
      <c r="BE175" s="4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4"/>
      <c r="BD176" s="4"/>
      <c r="BE176" s="4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4"/>
      <c r="BD177" s="4"/>
      <c r="BE177" s="4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4"/>
      <c r="BD178" s="4"/>
      <c r="BE178" s="4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4"/>
      <c r="BD179" s="4"/>
      <c r="BE179" s="4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4"/>
      <c r="BD180" s="4"/>
      <c r="BE180" s="4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4"/>
      <c r="BD181" s="4"/>
      <c r="BE181" s="4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4"/>
      <c r="BD182" s="4"/>
      <c r="BE182" s="4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4"/>
      <c r="BD183" s="4"/>
      <c r="BE183" s="4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4"/>
      <c r="BD184" s="4"/>
      <c r="BE184" s="4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4"/>
      <c r="BD185" s="4"/>
      <c r="BE185" s="4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4"/>
      <c r="BD186" s="4"/>
      <c r="BE186" s="4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4"/>
      <c r="BD187" s="4"/>
      <c r="BE187" s="4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4"/>
      <c r="BD188" s="4"/>
      <c r="BE188" s="4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4"/>
      <c r="BD189" s="4"/>
      <c r="BE189" s="4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4"/>
      <c r="BD190" s="4"/>
      <c r="BE190" s="4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4"/>
      <c r="BD191" s="4"/>
      <c r="BE191" s="4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4"/>
      <c r="BD192" s="4"/>
      <c r="BE192" s="4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4"/>
      <c r="BD193" s="4"/>
      <c r="BE193" s="44"/>
      <c r="BF193" s="4"/>
      <c r="BG193" s="4"/>
      <c r="BH193" s="1"/>
      <c r="BI19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A10" sqref="A10"/>
    </sheetView>
  </sheetViews>
  <sheetFormatPr defaultRowHeight="15" x14ac:dyDescent="0.25"/>
  <cols>
    <col min="1" max="1" width="22.42578125" customWidth="1"/>
    <col min="2" max="2" width="61.85546875" customWidth="1"/>
  </cols>
  <sheetData>
    <row r="2" spans="1:2" ht="15.75" x14ac:dyDescent="0.25">
      <c r="A2" s="9" t="s">
        <v>111</v>
      </c>
      <c r="B2" s="9" t="s">
        <v>112</v>
      </c>
    </row>
    <row r="3" spans="1:2" ht="15.75" x14ac:dyDescent="0.25">
      <c r="A3" s="47" t="s">
        <v>113</v>
      </c>
      <c r="B3" s="57" t="s">
        <v>145</v>
      </c>
    </row>
    <row r="4" spans="1:2" ht="15.75" x14ac:dyDescent="0.25">
      <c r="A4" s="47" t="s">
        <v>114</v>
      </c>
      <c r="B4" s="49">
        <v>263</v>
      </c>
    </row>
    <row r="5" spans="1:2" ht="15.75" x14ac:dyDescent="0.25">
      <c r="A5" s="47" t="s">
        <v>115</v>
      </c>
      <c r="B5" s="48" t="s">
        <v>62</v>
      </c>
    </row>
    <row r="6" spans="1:2" ht="15.75" x14ac:dyDescent="0.25">
      <c r="A6" s="50" t="s">
        <v>116</v>
      </c>
      <c r="B6" s="48" t="s">
        <v>153</v>
      </c>
    </row>
    <row r="7" spans="1:2" ht="15.75" x14ac:dyDescent="0.25">
      <c r="A7" s="50" t="s">
        <v>166</v>
      </c>
      <c r="B7" s="48">
        <v>1</v>
      </c>
    </row>
    <row r="8" spans="1:2" s="65" customFormat="1" ht="15.75" x14ac:dyDescent="0.25">
      <c r="A8" s="64" t="s">
        <v>176</v>
      </c>
      <c r="B8" t="s">
        <v>179</v>
      </c>
    </row>
    <row r="9" spans="1:2" s="65" customFormat="1" ht="15.75" x14ac:dyDescent="0.25">
      <c r="A9" s="64" t="s">
        <v>177</v>
      </c>
      <c r="B9" s="64"/>
    </row>
    <row r="10" spans="1:2" s="89" customFormat="1" ht="15.75" x14ac:dyDescent="0.25">
      <c r="A10" s="89" t="s">
        <v>145</v>
      </c>
      <c r="B10" s="89" t="s">
        <v>179</v>
      </c>
    </row>
    <row r="11" spans="1:2" s="65" customFormat="1" ht="15.75" x14ac:dyDescent="0.25">
      <c r="A11" s="53" t="s">
        <v>162</v>
      </c>
      <c r="B11" t="s">
        <v>178</v>
      </c>
    </row>
    <row r="12" spans="1:2" s="65" customFormat="1" ht="15.75" x14ac:dyDescent="0.25">
      <c r="A12" s="64" t="s">
        <v>177</v>
      </c>
      <c r="B12" s="64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2025-10-11T07:57:41Z</dcterms:modified>
</cp:coreProperties>
</file>