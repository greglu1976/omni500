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19440" windowHeight="150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X20" i="4" l="1"/>
  <c r="AX19" i="4"/>
  <c r="AX18" i="4"/>
  <c r="AX17" i="4"/>
  <c r="AX16" i="4"/>
  <c r="AX15" i="4"/>
  <c r="AX14" i="4"/>
  <c r="AX13" i="4"/>
  <c r="AX12" i="4"/>
  <c r="AX11" i="4"/>
  <c r="AX10" i="4"/>
  <c r="AX9" i="4"/>
  <c r="AX8" i="4"/>
  <c r="AX7" i="4"/>
  <c r="AX6" i="4"/>
  <c r="AX5" i="4"/>
  <c r="AX4" i="4"/>
  <c r="BG49" i="5" l="1"/>
  <c r="AV49" i="5"/>
  <c r="AP49" i="5"/>
  <c r="J49" i="5"/>
  <c r="I49" i="5"/>
  <c r="BG48" i="5"/>
  <c r="AV48" i="5"/>
  <c r="AP48" i="5"/>
  <c r="J48" i="5"/>
  <c r="I48" i="5"/>
  <c r="BG47" i="5"/>
  <c r="AV47" i="5"/>
  <c r="AP47" i="5"/>
  <c r="J47" i="5"/>
  <c r="I47" i="5"/>
  <c r="BG46" i="5"/>
  <c r="AV46" i="5"/>
  <c r="AP46" i="5"/>
  <c r="J46" i="5"/>
  <c r="I46" i="5"/>
  <c r="BG37" i="5"/>
  <c r="AV37" i="5"/>
  <c r="AP37" i="5"/>
  <c r="J37" i="5"/>
  <c r="I37" i="5"/>
  <c r="BG36" i="5"/>
  <c r="AV36" i="5"/>
  <c r="AP36" i="5"/>
  <c r="J36" i="5"/>
  <c r="I36" i="5"/>
  <c r="BG19" i="5"/>
  <c r="AP19" i="5"/>
  <c r="J19" i="5"/>
  <c r="I19" i="5"/>
  <c r="BG18" i="5"/>
  <c r="AP18" i="5"/>
  <c r="J18" i="5"/>
  <c r="I18" i="5"/>
  <c r="BG13" i="5"/>
  <c r="AP13" i="5"/>
  <c r="J13" i="5"/>
  <c r="I13" i="5"/>
  <c r="BG17" i="4"/>
  <c r="AV17" i="4"/>
  <c r="J17" i="4"/>
  <c r="I17" i="4"/>
  <c r="BG16" i="4"/>
  <c r="AV16" i="4"/>
  <c r="J16" i="4"/>
  <c r="I16" i="4"/>
  <c r="BG11" i="4"/>
  <c r="AV11" i="4"/>
  <c r="J11" i="4"/>
  <c r="I11" i="4"/>
  <c r="BG45" i="5" l="1"/>
  <c r="AV45" i="5"/>
  <c r="AP45" i="5"/>
  <c r="J45" i="5"/>
  <c r="I45" i="5"/>
  <c r="BG44" i="5"/>
  <c r="AV44" i="5"/>
  <c r="AP44" i="5"/>
  <c r="J44" i="5"/>
  <c r="I44" i="5"/>
  <c r="BG43" i="5"/>
  <c r="AV43" i="5"/>
  <c r="AP43" i="5"/>
  <c r="J43" i="5"/>
  <c r="I43" i="5"/>
  <c r="BG42" i="5"/>
  <c r="AV42" i="5"/>
  <c r="AP42" i="5"/>
  <c r="J42" i="5"/>
  <c r="I42" i="5"/>
  <c r="BG41" i="5"/>
  <c r="AV41" i="5"/>
  <c r="AP41" i="5"/>
  <c r="J41" i="5"/>
  <c r="I41" i="5"/>
  <c r="BG40" i="5"/>
  <c r="AV40" i="5"/>
  <c r="AP40" i="5"/>
  <c r="J40" i="5"/>
  <c r="I40" i="5"/>
  <c r="BG39" i="5"/>
  <c r="AV39" i="5"/>
  <c r="AP39" i="5"/>
  <c r="J39" i="5"/>
  <c r="I39" i="5"/>
  <c r="BG38" i="5"/>
  <c r="AV38" i="5"/>
  <c r="AP38" i="5"/>
  <c r="J38" i="5"/>
  <c r="I38" i="5"/>
  <c r="AP17" i="5" l="1"/>
  <c r="AP16" i="5"/>
  <c r="AP15" i="5"/>
  <c r="AP14" i="5"/>
  <c r="AP12" i="5"/>
  <c r="AP11" i="5"/>
  <c r="AP10" i="5"/>
  <c r="AP9" i="5"/>
  <c r="AP8" i="5"/>
  <c r="AP7" i="5"/>
  <c r="AP5" i="5"/>
  <c r="BG35" i="5"/>
  <c r="AV35" i="5"/>
  <c r="AP35" i="5"/>
  <c r="J35" i="5"/>
  <c r="I35" i="5"/>
  <c r="BG34" i="5"/>
  <c r="AV34" i="5"/>
  <c r="AP34" i="5"/>
  <c r="J34" i="5"/>
  <c r="I34" i="5"/>
  <c r="BG33" i="5"/>
  <c r="AV33" i="5"/>
  <c r="AP33" i="5"/>
  <c r="J33" i="5"/>
  <c r="I33" i="5"/>
  <c r="BG32" i="5"/>
  <c r="AV32" i="5"/>
  <c r="AP32" i="5"/>
  <c r="J32" i="5"/>
  <c r="I32" i="5"/>
  <c r="BG31" i="5"/>
  <c r="AV31" i="5"/>
  <c r="AP31" i="5"/>
  <c r="J31" i="5"/>
  <c r="I31" i="5"/>
  <c r="BG30" i="5"/>
  <c r="AV30" i="5"/>
  <c r="AP30" i="5"/>
  <c r="J30" i="5"/>
  <c r="I30" i="5"/>
  <c r="BG29" i="5"/>
  <c r="AV29" i="5"/>
  <c r="AP29" i="5"/>
  <c r="J29" i="5"/>
  <c r="I29" i="5"/>
  <c r="BG28" i="5"/>
  <c r="AV28" i="5"/>
  <c r="AP28" i="5"/>
  <c r="J28" i="5"/>
  <c r="I28" i="5"/>
  <c r="BG27" i="5"/>
  <c r="AV27" i="5"/>
  <c r="AP27" i="5"/>
  <c r="J27" i="5"/>
  <c r="I27" i="5"/>
  <c r="BG26" i="5"/>
  <c r="AV26" i="5"/>
  <c r="AP26" i="5"/>
  <c r="J26" i="5"/>
  <c r="I26" i="5"/>
  <c r="BG25" i="5"/>
  <c r="AV25" i="5"/>
  <c r="AP25" i="5"/>
  <c r="J25" i="5"/>
  <c r="I25" i="5"/>
  <c r="BG24" i="5"/>
  <c r="AV24" i="5"/>
  <c r="AP24" i="5"/>
  <c r="J24" i="5"/>
  <c r="I24" i="5"/>
  <c r="BG17" i="5"/>
  <c r="J17" i="5"/>
  <c r="I17" i="5"/>
  <c r="BG16" i="5"/>
  <c r="J16" i="5"/>
  <c r="I16" i="5"/>
  <c r="BG15" i="5"/>
  <c r="J15" i="5"/>
  <c r="I15" i="5"/>
  <c r="BG14" i="5"/>
  <c r="J14" i="5"/>
  <c r="I14" i="5"/>
  <c r="BG12" i="5"/>
  <c r="J12" i="5"/>
  <c r="I12" i="5"/>
  <c r="BG11" i="5"/>
  <c r="J11" i="5"/>
  <c r="I11" i="5"/>
  <c r="BG10" i="5"/>
  <c r="J10" i="5"/>
  <c r="I10" i="5"/>
  <c r="BG9" i="5"/>
  <c r="J9" i="5"/>
  <c r="I9" i="5"/>
  <c r="J10" i="4"/>
  <c r="J9" i="4"/>
  <c r="BG15" i="4"/>
  <c r="AV15" i="4"/>
  <c r="J15" i="4"/>
  <c r="I15" i="4"/>
  <c r="BG14" i="4"/>
  <c r="AV14" i="4"/>
  <c r="J14" i="4"/>
  <c r="I14" i="4"/>
  <c r="BG13" i="4"/>
  <c r="AV13" i="4"/>
  <c r="J13" i="4"/>
  <c r="I13" i="4"/>
  <c r="BG12" i="4"/>
  <c r="AV12" i="4"/>
  <c r="J12" i="4"/>
  <c r="I12" i="4"/>
  <c r="BG10" i="4"/>
  <c r="AV10" i="4"/>
  <c r="I10" i="4"/>
  <c r="BG9" i="4"/>
  <c r="AV9" i="4"/>
  <c r="I9" i="4"/>
  <c r="BG8" i="4"/>
  <c r="AV8" i="4"/>
  <c r="J8" i="4"/>
  <c r="I8" i="4"/>
  <c r="BG7" i="4"/>
  <c r="AV7" i="4"/>
  <c r="J7" i="4"/>
  <c r="I7" i="4"/>
  <c r="BG6" i="4"/>
  <c r="AV6" i="4"/>
  <c r="J6" i="4"/>
  <c r="I6" i="4"/>
  <c r="BG5" i="4"/>
  <c r="AV5" i="4"/>
  <c r="J5" i="4"/>
  <c r="I5" i="4"/>
  <c r="I4" i="5" l="1"/>
  <c r="I5" i="5"/>
  <c r="I6" i="5"/>
  <c r="I7" i="5"/>
  <c r="I8" i="5"/>
  <c r="I20" i="5"/>
  <c r="I21" i="5"/>
  <c r="I22" i="5"/>
  <c r="I23" i="5"/>
  <c r="J4" i="5"/>
  <c r="J5" i="5"/>
  <c r="J6" i="5"/>
  <c r="J7" i="5"/>
  <c r="J8" i="5"/>
  <c r="J20" i="5"/>
  <c r="J21" i="5"/>
  <c r="J22" i="5"/>
  <c r="J23" i="5"/>
  <c r="J3" i="4"/>
  <c r="J4" i="4"/>
  <c r="J18" i="4"/>
  <c r="J19" i="4"/>
  <c r="J20" i="4"/>
  <c r="I3" i="4"/>
  <c r="I4" i="4"/>
  <c r="I18" i="4"/>
  <c r="I19" i="4"/>
  <c r="I20" i="4"/>
  <c r="AV20" i="5" l="1"/>
  <c r="AV21" i="5"/>
  <c r="AV22" i="5"/>
  <c r="AV23" i="5"/>
  <c r="AV3" i="6" l="1"/>
  <c r="BG7" i="5"/>
  <c r="BG5" i="5"/>
  <c r="BG4" i="4"/>
  <c r="AV4" i="4"/>
  <c r="BG3" i="4"/>
  <c r="BG4" i="5"/>
  <c r="BG6" i="5"/>
  <c r="BG8" i="5"/>
  <c r="BG20" i="5"/>
  <c r="BG21" i="5"/>
  <c r="BG22" i="5"/>
  <c r="BG23" i="5"/>
  <c r="BG18" i="4"/>
  <c r="BG19" i="4"/>
  <c r="BG20" i="4"/>
  <c r="BG3" i="6"/>
  <c r="J3" i="6"/>
  <c r="I3" i="6"/>
  <c r="AH1" i="6"/>
  <c r="AP23" i="5"/>
  <c r="AP22" i="5"/>
  <c r="AP21" i="5"/>
  <c r="AP20" i="5"/>
  <c r="AP6" i="5"/>
  <c r="BG3" i="5"/>
  <c r="J3" i="5"/>
  <c r="I3" i="5"/>
  <c r="AH1" i="5"/>
  <c r="AV20" i="4"/>
  <c r="AV19" i="4"/>
  <c r="AV18" i="4"/>
  <c r="AP18" i="4"/>
  <c r="AH1" i="4"/>
</calcChain>
</file>

<file path=xl/sharedStrings.xml><?xml version="1.0" encoding="utf-8"?>
<sst xmlns="http://schemas.openxmlformats.org/spreadsheetml/2006/main" count="1476" uniqueCount="335">
  <si>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</si>
  <si>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</si>
  <si>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</si>
  <si>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</si>
  <si>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</si>
  <si>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</si>
  <si>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</si>
  <si>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</si>
  <si>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</si>
  <si>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</si>
  <si>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</si>
  <si>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</si>
  <si>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</si>
  <si>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</si>
  <si>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</si>
  <si>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</si>
  <si>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</si>
  <si>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</si>
  <si>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</si>
  <si>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</si>
  <si>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</si>
  <si>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</si>
  <si>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</si>
  <si>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</si>
  <si>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</si>
  <si>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</si>
  <si>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</si>
  <si>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</si>
  <si>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</si>
  <si>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</si>
  <si>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</si>
  <si>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</si>
  <si>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</si>
  <si>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</si>
  <si>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</si>
  <si>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</si>
  <si>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</si>
  <si>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</si>
  <si>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</si>
  <si>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</si>
  <si>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</si>
  <si>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</si>
  <si>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</si>
  <si>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</si>
  <si>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</si>
  <si>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</si>
  <si>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</si>
  <si>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</si>
  <si>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</si>
  <si>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</si>
  <si>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</si>
  <si>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</si>
  <si>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</si>
  <si>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</si>
  <si>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</si>
  <si>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</si>
  <si>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</si>
  <si>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</si>
  <si>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</si>
  <si>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</si>
  <si>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</si>
  <si>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</si>
  <si>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</si>
  <si>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</si>
  <si>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</si>
  <si>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</si>
  <si>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</si>
  <si>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FBLLN0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</si>
  <si>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</si>
  <si>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</si>
  <si>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</si>
  <si>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</si>
  <si>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</si>
  <si>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</si>
  <si>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</si>
  <si>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</si>
  <si>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</si>
  <si>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</si>
  <si>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</si>
  <si>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</si>
  <si>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</si>
  <si>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</si>
  <si>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</si>
  <si>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</si>
  <si>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</si>
  <si>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</si>
  <si>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</si>
  <si>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BOOLEAN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</si>
  <si>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</si>
  <si>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</si>
  <si>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</si>
  <si>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</si>
  <si>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</si>
  <si>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</si>
  <si>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</si>
  <si>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</si>
  <si>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</si>
  <si>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</si>
  <si>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</si>
  <si>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Ввод функции в работу</t>
  </si>
  <si>
    <t>Parameter</t>
  </si>
  <si>
    <t>Value</t>
  </si>
  <si>
    <t>RussianName</t>
  </si>
  <si>
    <t>WeightCoefficient</t>
  </si>
  <si>
    <t>IsCoded</t>
  </si>
  <si>
    <t>IEC61850Name</t>
  </si>
  <si>
    <t>0 - Не предусмотрено, 1 - Предусмотрено</t>
  </si>
  <si>
    <t>NotProvided_Provided</t>
  </si>
  <si>
    <t>Оперативный вывод</t>
  </si>
  <si>
    <t>Ввод_функции</t>
  </si>
  <si>
    <t>LLN0.GrRef</t>
  </si>
  <si>
    <t>LLN0.Beh</t>
  </si>
  <si>
    <t>LLN0.Health</t>
  </si>
  <si>
    <t>SGF1</t>
  </si>
  <si>
    <t>FbVersion</t>
  </si>
  <si>
    <t>Неисправность</t>
  </si>
  <si>
    <t>SPS</t>
  </si>
  <si>
    <t>ПДС НКУ</t>
  </si>
  <si>
    <t>Оперативный вывод функции ПДС НКУ</t>
  </si>
  <si>
    <t>ОВ ПДС НКУ</t>
  </si>
  <si>
    <t>PNL_operOutFunction</t>
  </si>
  <si>
    <t>Положение двери шкафа</t>
  </si>
  <si>
    <t>Дверь шкафа</t>
  </si>
  <si>
    <t>CabinetDoor</t>
  </si>
  <si>
    <t>Положение SA1</t>
  </si>
  <si>
    <t>CtlCirSwPos1</t>
  </si>
  <si>
    <t>Положение SA2</t>
  </si>
  <si>
    <t>CtlCirSwPos2</t>
  </si>
  <si>
    <t>Положение SA3</t>
  </si>
  <si>
    <t>CtlCirSwPos3</t>
  </si>
  <si>
    <t>Положение SA4</t>
  </si>
  <si>
    <t>CtlCirSwPos4</t>
  </si>
  <si>
    <t>Положение испытательного блока SG1</t>
  </si>
  <si>
    <t>Положение SG1</t>
  </si>
  <si>
    <t>TestBlockPos1</t>
  </si>
  <si>
    <t>Положение испытательного блока SG2</t>
  </si>
  <si>
    <t>Положение SG2</t>
  </si>
  <si>
    <t>TestBlockPos2</t>
  </si>
  <si>
    <t>Контроль оперативного тока цепей ГЗ</t>
  </si>
  <si>
    <t>ОТ цепей ГЗ</t>
  </si>
  <si>
    <t>GAS_OCControl</t>
  </si>
  <si>
    <t>Контроль оперативного тока цепей ТЗ, ТС</t>
  </si>
  <si>
    <t>ОТ цепей ТЗ, ТС</t>
  </si>
  <si>
    <t>TECH_OCControl</t>
  </si>
  <si>
    <t>PNL_FuncEnabled</t>
  </si>
  <si>
    <t>PNL_FuncOperDisabled</t>
  </si>
  <si>
    <t>Дверь шкафа закрыта</t>
  </si>
  <si>
    <t>Шкаф закрыт</t>
  </si>
  <si>
    <t>IDOR1_DCls</t>
  </si>
  <si>
    <t>Дверь шкафа открыта</t>
  </si>
  <si>
    <t>Шкаф открыт</t>
  </si>
  <si>
    <t>IDOR1_DOpn</t>
  </si>
  <si>
    <t>Цепь введена</t>
  </si>
  <si>
    <t>SELSWISOCC1_ClsCir</t>
  </si>
  <si>
    <t>SELSWISOCC2_ClsCir</t>
  </si>
  <si>
    <t>SELSWISOCC3_ClsCir</t>
  </si>
  <si>
    <t>SELSWISOCC4_ClsCir</t>
  </si>
  <si>
    <t>Рабочее положение</t>
  </si>
  <si>
    <t>PLGSOCC1_PwrPlgSupr</t>
  </si>
  <si>
    <t>PLGSOCC2_PwrPlgSupr</t>
  </si>
  <si>
    <t>Неисправность оперативного тока цепей ГЗ</t>
  </si>
  <si>
    <t>AUXGASSOCC1_OCAlm</t>
  </si>
  <si>
    <t>Неисправность оперативного тока цепей ТЗ, ТС</t>
  </si>
  <si>
    <t>AUXTECSOCC1_OCAlm</t>
  </si>
  <si>
    <t>ARCSOCC1_OCAlm</t>
  </si>
  <si>
    <t>BRFSOCC1_OCAlm</t>
  </si>
  <si>
    <t>SA1</t>
  </si>
  <si>
    <t>SA2</t>
  </si>
  <si>
    <t>SA3</t>
  </si>
  <si>
    <t>SA4</t>
  </si>
  <si>
    <t>SG1</t>
  </si>
  <si>
    <t>SG2</t>
  </si>
  <si>
    <t>ОТ ГЗ</t>
  </si>
  <si>
    <t>ОТ ТЗ, ТС</t>
  </si>
  <si>
    <t>IDOR1_Beh</t>
  </si>
  <si>
    <t>IDOR1_Health</t>
  </si>
  <si>
    <t>Индикация поведения логического узла SA1</t>
  </si>
  <si>
    <t>Индикация исправности логического узла SA1</t>
  </si>
  <si>
    <t>SELSWISOCC1_Beh</t>
  </si>
  <si>
    <t>SELSWISOCC1_Health</t>
  </si>
  <si>
    <t>Индикация поведения логического узла SA2</t>
  </si>
  <si>
    <t>Индикация исправности логического узла SA2</t>
  </si>
  <si>
    <t>SELSWISOCC2_Beh</t>
  </si>
  <si>
    <t>SELSWISOCC2_Health</t>
  </si>
  <si>
    <t>Индикация поведения логического узла SA3</t>
  </si>
  <si>
    <t>Индикация исправности логического узла SA3</t>
  </si>
  <si>
    <t>SELSWISOCC3_Beh</t>
  </si>
  <si>
    <t>SELSWISOCC3_Health</t>
  </si>
  <si>
    <t>Индикация поведения логического узла SA4</t>
  </si>
  <si>
    <t>Индикация исправности логического узла SA4</t>
  </si>
  <si>
    <t>SELSWISOCC4_Beh</t>
  </si>
  <si>
    <t>SELSWISOCC4_Health</t>
  </si>
  <si>
    <t>Индикация поведения логического узла SG1</t>
  </si>
  <si>
    <t>Индикация исправности логического узла SG1</t>
  </si>
  <si>
    <t>PLGSOCC1_Beh</t>
  </si>
  <si>
    <t>PLGSOCC1_Health</t>
  </si>
  <si>
    <t>Индикация поведения логического узла SG2</t>
  </si>
  <si>
    <t>Индикация исправности логического узла SG2</t>
  </si>
  <si>
    <t>PLGSOCC2_Beh</t>
  </si>
  <si>
    <t>PLGSOCC2_Health</t>
  </si>
  <si>
    <t>Индикация поведения логического узла ОТ ГЗ</t>
  </si>
  <si>
    <t>Индикация исправности логического узла ОТ ГЗ</t>
  </si>
  <si>
    <t>AUXGASSOCC1_Beh</t>
  </si>
  <si>
    <t>AUXGASSOCC1_Health</t>
  </si>
  <si>
    <t>Индикация поведения логического узла ОТ ТЗ, ТС</t>
  </si>
  <si>
    <t>Индикация исправности логического узла ОТ ТЗ, ТС</t>
  </si>
  <si>
    <t>AUXTECSOCC1_Beh</t>
  </si>
  <si>
    <t>AUXTECSOCC1_Health</t>
  </si>
  <si>
    <t>ARCSOCC1_Beh</t>
  </si>
  <si>
    <t>ARCSOCC1_Health</t>
  </si>
  <si>
    <t>BRFSOCC1_Beh</t>
  </si>
  <si>
    <t>BRFSOCC1_Health</t>
  </si>
  <si>
    <t>PNL_EnaDis</t>
  </si>
  <si>
    <t>PNLIDOR</t>
  </si>
  <si>
    <t>AUXINTSOCC</t>
  </si>
  <si>
    <t>AUXONSOCC</t>
  </si>
  <si>
    <t>AUXCURSOCC</t>
  </si>
  <si>
    <t>IDOR1.DCls</t>
  </si>
  <si>
    <t>IDOR1.DOpn</t>
  </si>
  <si>
    <t>SELSWISOCC1.ClsCir</t>
  </si>
  <si>
    <t>SELSWISOCC2.ClsCir</t>
  </si>
  <si>
    <t>SELSWISOCC3.ClsCir</t>
  </si>
  <si>
    <t>SELSWISOCC4.ClsCir</t>
  </si>
  <si>
    <t>PLGSOCC1.PwrPlgSupr</t>
  </si>
  <si>
    <t>PLGSOCC2.PwrPlgSupr</t>
  </si>
  <si>
    <t>AUXGASSOCC1.OCAlm</t>
  </si>
  <si>
    <t>AUXTECSOCC1.OCAlm</t>
  </si>
  <si>
    <t>ARCSOCC1.OCAlm</t>
  </si>
  <si>
    <t>BRFSOCC1.OCAlm</t>
  </si>
  <si>
    <t>IDOR1.Beh</t>
  </si>
  <si>
    <t>IDOR1.Health</t>
  </si>
  <si>
    <t>SELSWISOCC1.Beh</t>
  </si>
  <si>
    <t>SELSWISOCC1.Health</t>
  </si>
  <si>
    <t>SELSWISOCC2.Beh</t>
  </si>
  <si>
    <t>SELSWISOCC2.Health</t>
  </si>
  <si>
    <t>SELSWISOCC3.Beh</t>
  </si>
  <si>
    <t>SELSWISOCC3.Health</t>
  </si>
  <si>
    <t>SELSWISOCC4.Beh</t>
  </si>
  <si>
    <t>SELSWISOCC4.Health</t>
  </si>
  <si>
    <t>PLGSOCC1.Beh</t>
  </si>
  <si>
    <t>PLGSOCC1.Health</t>
  </si>
  <si>
    <t>PLGSOCC2.Beh</t>
  </si>
  <si>
    <t>PLGSOCC2.Health</t>
  </si>
  <si>
    <t>AUXGASSOCC1.Beh</t>
  </si>
  <si>
    <t>AUXGASSOCC1.Health</t>
  </si>
  <si>
    <t>AUXTECSOCC1.Beh</t>
  </si>
  <si>
    <t>AUXTECSOCC1.Health</t>
  </si>
  <si>
    <t>ARCSOCC1.Beh</t>
  </si>
  <si>
    <t>ARCSOCC1.Health</t>
  </si>
  <si>
    <t>BRFSOCC1.Beh</t>
  </si>
  <si>
    <t>BRFSOCC1.Health</t>
  </si>
  <si>
    <t>Дверь</t>
  </si>
  <si>
    <t>Индикация поведения логического узла Дверь</t>
  </si>
  <si>
    <t>Индикация исправности логического узла Дверь</t>
  </si>
  <si>
    <t>Положение испытательного блока SG3</t>
  </si>
  <si>
    <t>Положение SG3</t>
  </si>
  <si>
    <t>TestBlockPos3</t>
  </si>
  <si>
    <t>ARCnn1_OCControl</t>
  </si>
  <si>
    <t>CBFPnn1_OCControl</t>
  </si>
  <si>
    <t>ARCnn2_OCControl</t>
  </si>
  <si>
    <t>CBFPnn2_OCControl</t>
  </si>
  <si>
    <t>Контроль оперативного тока цепей ЗДЗ НН1</t>
  </si>
  <si>
    <t>Контроль оперативного тока цепей УРОВ НН1</t>
  </si>
  <si>
    <t>ОТ цепей ЗДЗ НН1</t>
  </si>
  <si>
    <t>ОТ цепей УРОВ НН1</t>
  </si>
  <si>
    <t>Контроль оперативного тока цепей ЗДЗ НН2</t>
  </si>
  <si>
    <t>Контроль оперативного тока цепей УРОВ НН2</t>
  </si>
  <si>
    <t>ОТ цепей ЗДЗ НН2</t>
  </si>
  <si>
    <t>ОТ цепей УРОВ НН2</t>
  </si>
  <si>
    <t>SG3</t>
  </si>
  <si>
    <t>PLGSOCC3_PwrPlgSupr</t>
  </si>
  <si>
    <t>Неисправность оперативного тока цепей ЗДЗ НН1</t>
  </si>
  <si>
    <t>Неисправность оперативного тока цепей УРОВ НН1</t>
  </si>
  <si>
    <t>Неисправность оперативного тока цепей ЗДЗ НН2</t>
  </si>
  <si>
    <t>Неисправность оперативного тока цепей УРОВ НН2</t>
  </si>
  <si>
    <t>ARCSOCC2_OCAlm</t>
  </si>
  <si>
    <t>BRFSOCC2_OCAlm</t>
  </si>
  <si>
    <t>Индикация поведения логического узла SG3</t>
  </si>
  <si>
    <t>Индикация исправности логического узла SG3</t>
  </si>
  <si>
    <t>PLGSOCC3_Beh</t>
  </si>
  <si>
    <t>PLGSOCC3_Health</t>
  </si>
  <si>
    <t>ОТ ЗДЗ1</t>
  </si>
  <si>
    <t>ОТ УРОВ1</t>
  </si>
  <si>
    <t>Индикация поведения логического узла ОТ ЗДЗ1</t>
  </si>
  <si>
    <t>Индикация исправности логического узла ОТ ЗДЗ1</t>
  </si>
  <si>
    <t>Индикация поведения логического узла ОТ УРОВ1</t>
  </si>
  <si>
    <t>Индикация исправности логического узла ОТ УРОВ1</t>
  </si>
  <si>
    <t>ОТ ЗДЗ2</t>
  </si>
  <si>
    <t>ОТ УРОВ2</t>
  </si>
  <si>
    <t>Индикация поведения логического узла ОТ ЗДЗ2</t>
  </si>
  <si>
    <t>Индикация исправности логического узла ОТ ЗДЗ2</t>
  </si>
  <si>
    <t>Индикация поведения логического узла ОТ УРОВ2</t>
  </si>
  <si>
    <t>Индикация исправности логического узла ОТ УРОВ2</t>
  </si>
  <si>
    <t>ARCSOCC2_Beh</t>
  </si>
  <si>
    <t>ARCSOCC2_Health</t>
  </si>
  <si>
    <t>BRFSOCC2_Beh</t>
  </si>
  <si>
    <t>BRFSOCC2_Health</t>
  </si>
  <si>
    <t>PLGSOCC3.PwrPlgSupr</t>
  </si>
  <si>
    <t>PLGSOCC3.Beh</t>
  </si>
  <si>
    <t>PLGSOCC3.Health</t>
  </si>
  <si>
    <t>ARCSOCC2.OCAlm</t>
  </si>
  <si>
    <t>BRFSOCC2.OCAlm</t>
  </si>
  <si>
    <t>ARCSOCC2.Beh</t>
  </si>
  <si>
    <t>ARCSOCC2.Health</t>
  </si>
  <si>
    <t>BRFSOCC2.Beh</t>
  </si>
  <si>
    <t>BRFSOCC2.Health</t>
  </si>
  <si>
    <t>Цепь управления введена</t>
  </si>
  <si>
    <t>Рабочее положение испытательного блока</t>
  </si>
  <si>
    <t>Положение переключателя SA1 цепей управления</t>
  </si>
  <si>
    <t>Положение переключателя SA2 цепей управления</t>
  </si>
  <si>
    <t>Положение переключателя SA3 цепей управления</t>
  </si>
  <si>
    <t>Положение переключателя SA4 цепей управления</t>
  </si>
  <si>
    <t>control</t>
  </si>
  <si>
    <t>input</t>
  </si>
  <si>
    <t>Logger</t>
  </si>
  <si>
    <t>Disturber</t>
  </si>
  <si>
    <t>StartDisturber</t>
  </si>
  <si>
    <t>status</t>
  </si>
  <si>
    <t>DescriptionFB</t>
  </si>
  <si>
    <t>DescriptionFuncList</t>
  </si>
  <si>
    <t>Преобразователь дискретных сигналов НКУ</t>
  </si>
  <si>
    <t>Переключатель SA1</t>
  </si>
  <si>
    <t>Переключатель SA2</t>
  </si>
  <si>
    <t>Переключатель SA3</t>
  </si>
  <si>
    <t>Переключатель SA4</t>
  </si>
  <si>
    <t>Испытательный блок SG1</t>
  </si>
  <si>
    <t>Испытательный блок SG2</t>
  </si>
  <si>
    <t>Испытательный блок SG3</t>
  </si>
  <si>
    <t>Оперток ГЗ</t>
  </si>
  <si>
    <t>Оперток ЗДЗ1</t>
  </si>
  <si>
    <t>Оперток УРОВ1</t>
  </si>
  <si>
    <t>Оперток ЗДЗ2</t>
  </si>
  <si>
    <t>Оперток УРОВ2</t>
  </si>
  <si>
    <t>Оперток ТЗ, ТС</t>
  </si>
  <si>
    <t>DZT2_PNL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</si>
</sst>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3" fillId="0" borderId="2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2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vertical="center"/>
    </xf>
    <xf numFmtId="0" fontId="3" fillId="6" borderId="2" xfId="1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1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2" xfId="1" applyFont="1" applyFill="1" applyBorder="1" applyAlignment="1">
      <alignment horizontal="right" vertical="center" wrapText="1"/>
    </xf>
    <xf numFmtId="0" fontId="7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7" borderId="2" xfId="1" applyFont="1" applyFill="1" applyBorder="1" applyAlignment="1">
      <alignment vertical="center"/>
    </xf>
    <xf numFmtId="0" fontId="3" fillId="7" borderId="2" xfId="1" applyFont="1" applyFill="1" applyBorder="1" applyAlignment="1">
      <alignment horizontal="left" vertical="center" wrapText="1"/>
    </xf>
    <xf numFmtId="0" fontId="3" fillId="7" borderId="1" xfId="1" applyFont="1" applyFill="1" applyBorder="1" applyAlignment="1">
      <alignment vertical="center" wrapText="1"/>
    </xf>
    <xf numFmtId="0" fontId="3" fillId="7" borderId="2" xfId="1" applyFont="1" applyFill="1" applyBorder="1" applyAlignment="1">
      <alignment horizontal="right" vertical="center" wrapText="1"/>
    </xf>
    <xf numFmtId="0" fontId="3" fillId="7" borderId="2" xfId="1" applyFont="1" applyFill="1" applyBorder="1" applyAlignment="1">
      <alignment horizontal="left" vertical="center"/>
    </xf>
    <xf numFmtId="0" fontId="2" fillId="7" borderId="1" xfId="1" applyFont="1" applyFill="1" applyBorder="1" applyAlignment="1">
      <alignment horizontal="center" vertical="center" wrapText="1"/>
    </xf>
    <xf numFmtId="0" fontId="7" fillId="7" borderId="2" xfId="1" applyFont="1" applyFill="1" applyBorder="1" applyAlignment="1">
      <alignment horizontal="center" vertical="center"/>
    </xf>
    <xf numFmtId="0" fontId="8" fillId="7" borderId="2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vertical="center" wrapText="1"/>
    </xf>
    <xf numFmtId="0" fontId="2" fillId="7" borderId="0" xfId="0" applyFont="1" applyFill="1" applyAlignment="1">
      <alignment vertical="center"/>
    </xf>
    <xf numFmtId="0" fontId="2" fillId="7" borderId="0" xfId="0" applyFont="1" applyFill="1" applyAlignment="1">
      <alignment vertical="center" wrapText="1"/>
    </xf>
    <xf numFmtId="0" fontId="2" fillId="0" borderId="0" xfId="0" applyFont="1"/>
    <xf numFmtId="0" fontId="3" fillId="6" borderId="1" xfId="1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vertical="center"/>
    </xf>
    <xf numFmtId="0" fontId="3" fillId="9" borderId="2" xfId="1" applyFont="1" applyFill="1" applyBorder="1" applyAlignment="1">
      <alignment vertical="center"/>
    </xf>
    <xf numFmtId="0" fontId="4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/>
    </xf>
    <xf numFmtId="0" fontId="2" fillId="8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5"/>
  <sheetViews>
    <sheetView tabSelected="1" topLeftCell="AN1" zoomScale="80" zoomScaleNormal="80" workbookViewId="0">
      <selection activeCell="AT3" sqref="AT3:AX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7" width="21.8554687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42578125" style="2" customWidth="1"/>
    <col min="12" max="12" width="9.42578125" style="2" customWidth="1"/>
    <col min="13" max="14" width="14.7109375" style="2" customWidth="1" outlineLevel="1"/>
    <col min="15" max="15" width="8.85546875" style="2" bestFit="1" customWidth="1" outlineLevel="1"/>
    <col min="16" max="17" width="19" style="2" customWidth="1" outlineLevel="1"/>
    <col min="18" max="18" width="6.42578125" style="3" customWidth="1" outlineLevel="1"/>
    <col min="19" max="19" width="9.5703125" style="4" customWidth="1" outlineLevel="1"/>
    <col min="20" max="20" width="10.5703125" style="4" customWidth="1" outlineLevel="1"/>
    <col min="21" max="21" width="7" style="4" customWidth="1" outlineLevel="1"/>
    <col min="22" max="23" width="13.5703125" style="4" customWidth="1" outlineLevel="1"/>
    <col min="24" max="24" width="14.28515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570312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08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314</v>
      </c>
      <c r="AW2" s="104" t="s">
        <v>315</v>
      </c>
      <c r="AX2" s="104" t="s">
        <v>316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9" customFormat="1" ht="15.75" x14ac:dyDescent="0.25">
      <c r="A3" s="89"/>
      <c r="B3" s="102" t="s">
        <v>312</v>
      </c>
      <c r="C3" s="90"/>
      <c r="D3" s="74" t="s">
        <v>117</v>
      </c>
      <c r="E3" s="91" t="s">
        <v>118</v>
      </c>
      <c r="F3" s="75" t="s">
        <v>119</v>
      </c>
      <c r="G3" s="75" t="s">
        <v>119</v>
      </c>
      <c r="H3" s="91"/>
      <c r="I3" s="91">
        <f t="shared" ref="I3:I4" si="0">LEN(F3)</f>
        <v>10</v>
      </c>
      <c r="J3" s="91" t="str">
        <f t="shared" ref="J3:J4" si="1">IF(LEN(F3)&lt;=$J$1,F3,"")</f>
        <v>ОВ ПДС НКУ</v>
      </c>
      <c r="K3" s="89" t="s">
        <v>120</v>
      </c>
      <c r="L3" s="92" t="s">
        <v>63</v>
      </c>
      <c r="M3" s="90" t="s">
        <v>60</v>
      </c>
      <c r="N3" s="90" t="s">
        <v>61</v>
      </c>
      <c r="O3" s="90"/>
      <c r="P3" s="82"/>
      <c r="Q3" s="82"/>
      <c r="R3" s="90" t="s">
        <v>62</v>
      </c>
      <c r="S3" s="90" t="s">
        <v>62</v>
      </c>
      <c r="T3" s="90" t="s">
        <v>62</v>
      </c>
      <c r="U3" s="90" t="s">
        <v>62</v>
      </c>
      <c r="V3" s="90"/>
      <c r="W3" s="90"/>
      <c r="X3" s="90" t="s">
        <v>62</v>
      </c>
      <c r="Y3" s="90">
        <v>0</v>
      </c>
      <c r="Z3" s="93"/>
      <c r="AA3" s="83">
        <v>0</v>
      </c>
      <c r="AB3" s="83"/>
      <c r="AC3" s="83"/>
      <c r="AD3" s="83"/>
      <c r="AE3" s="83"/>
      <c r="AF3" s="83">
        <v>0</v>
      </c>
      <c r="AG3" s="83">
        <v>0</v>
      </c>
      <c r="AH3" s="83">
        <v>0</v>
      </c>
      <c r="AI3" s="84"/>
      <c r="AJ3" s="94"/>
      <c r="AK3" s="94"/>
      <c r="AL3" s="94"/>
      <c r="AM3" s="94"/>
      <c r="AN3" s="94"/>
      <c r="AO3" s="94"/>
      <c r="AP3" s="94"/>
      <c r="AQ3" s="94"/>
      <c r="AR3" s="83">
        <v>0</v>
      </c>
      <c r="AS3" s="83">
        <v>0</v>
      </c>
      <c r="AT3" s="109">
        <v>1</v>
      </c>
      <c r="AU3" s="25">
        <v>0</v>
      </c>
      <c r="AV3" s="109">
        <v>1</v>
      </c>
      <c r="AW3" s="109">
        <v>1</v>
      </c>
      <c r="AX3" s="109">
        <v>1</v>
      </c>
      <c r="AY3" s="83"/>
      <c r="AZ3" s="82"/>
      <c r="BA3" s="83"/>
      <c r="BB3" s="83"/>
      <c r="BC3" s="95"/>
      <c r="BD3" s="83"/>
      <c r="BE3" s="96"/>
      <c r="BF3" s="83"/>
      <c r="BG3" s="97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"ОВ ПДС НКУ", note: "Оперативный вывод функции ПДС НКУ", group: "control", minValue: null, maxValue: null, step: null, units: "null", defaultValue: null, eventRegistration: 0</v>
      </c>
      <c r="BH3" s="98"/>
    </row>
    <row r="4" spans="1:16379" s="34" customFormat="1" ht="15.75" x14ac:dyDescent="0.25">
      <c r="A4" s="18"/>
      <c r="B4" s="103" t="s">
        <v>313</v>
      </c>
      <c r="C4" s="19"/>
      <c r="D4" s="20"/>
      <c r="E4" s="21" t="s">
        <v>121</v>
      </c>
      <c r="F4" s="30" t="s">
        <v>122</v>
      </c>
      <c r="G4" s="30" t="s">
        <v>122</v>
      </c>
      <c r="H4" s="21"/>
      <c r="I4" s="21">
        <f t="shared" si="0"/>
        <v>11</v>
      </c>
      <c r="J4" s="21" t="str">
        <f t="shared" si="1"/>
        <v>Дверь шкафа</v>
      </c>
      <c r="K4" s="18" t="s">
        <v>123</v>
      </c>
      <c r="L4" s="22" t="s">
        <v>63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19"/>
      <c r="W4" s="19"/>
      <c r="X4" s="19" t="s">
        <v>62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27"/>
      <c r="AK4" s="27"/>
      <c r="AL4" s="27"/>
      <c r="AM4" s="27"/>
      <c r="AN4" s="27"/>
      <c r="AO4" s="27"/>
      <c r="AP4" s="27"/>
      <c r="AQ4" s="27"/>
      <c r="AR4" s="25">
        <v>0</v>
      </c>
      <c r="AS4" s="25">
        <v>0</v>
      </c>
      <c r="AT4" s="25">
        <v>0</v>
      </c>
      <c r="AU4" s="25">
        <v>0</v>
      </c>
      <c r="AV4" s="25">
        <f t="shared" ref="AV4" si="3">BIN2DEC(CONCATENATE(0,0,0,0,AR4,AS4,AT4,AU4))</f>
        <v>0</v>
      </c>
      <c r="AW4" s="25">
        <v>0</v>
      </c>
      <c r="AX4" s="25">
        <f t="shared" ref="AX3:AX20" si="4">BIN2DEC(CONCATENATE(0,0,0,0,AT4,AU4,AV4,AW4))</f>
        <v>0</v>
      </c>
      <c r="AY4" s="25"/>
      <c r="AZ4" s="23"/>
      <c r="BA4" s="25"/>
      <c r="BB4" s="25"/>
      <c r="BC4" s="31"/>
      <c r="BD4" s="25"/>
      <c r="BE4" s="32"/>
      <c r="BF4" s="25"/>
      <c r="BG4" s="29" t="str">
        <f t="shared" ref="BG4" si="5">CONCATENATE("description: """,F4,"""", ", ", "note: """,E4,"""",", ","group: """, B4, """",", ","minValue: ", S4,", ","maxValue: ", T4,", ","step: ", U4,", ","units: """, R4, """",", ","defaultValue: ", X4,", ","eventRegistration: ", Y4,)</f>
        <v>description: "Дверь шкафа", note: "Положение двери шкафа", group: "input", minValue: null, maxValue: null, step: null, units: "null", defaultValue: null, eventRegistration: 0</v>
      </c>
      <c r="BH4" s="33"/>
    </row>
    <row r="5" spans="1:16379" s="34" customFormat="1" ht="15.75" x14ac:dyDescent="0.25">
      <c r="A5" s="18"/>
      <c r="B5" s="103" t="s">
        <v>313</v>
      </c>
      <c r="C5" s="19"/>
      <c r="D5" s="20"/>
      <c r="E5" s="21" t="s">
        <v>308</v>
      </c>
      <c r="F5" s="30" t="s">
        <v>124</v>
      </c>
      <c r="G5" s="30" t="s">
        <v>124</v>
      </c>
      <c r="H5" s="21"/>
      <c r="I5" s="21">
        <f t="shared" ref="I5:I15" si="6">LEN(F5)</f>
        <v>13</v>
      </c>
      <c r="J5" s="21" t="str">
        <f t="shared" ref="J5:J15" si="7">IF(LEN(F5)&lt;=$J$1,F5,"")</f>
        <v>Положение SA1</v>
      </c>
      <c r="K5" s="18" t="s">
        <v>125</v>
      </c>
      <c r="L5" s="22" t="s">
        <v>63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6"/>
      <c r="AJ5" s="27"/>
      <c r="AK5" s="27"/>
      <c r="AL5" s="27"/>
      <c r="AM5" s="27"/>
      <c r="AN5" s="27"/>
      <c r="AO5" s="27"/>
      <c r="AP5" s="27"/>
      <c r="AQ5" s="27"/>
      <c r="AR5" s="25">
        <v>0</v>
      </c>
      <c r="AS5" s="25">
        <v>0</v>
      </c>
      <c r="AT5" s="25">
        <v>0</v>
      </c>
      <c r="AU5" s="25">
        <v>0</v>
      </c>
      <c r="AV5" s="25">
        <f t="shared" ref="AV5:AV15" si="8">BIN2DEC(CONCATENATE(0,0,0,0,AR5,AS5,AT5,AU5))</f>
        <v>0</v>
      </c>
      <c r="AW5" s="25">
        <v>0</v>
      </c>
      <c r="AX5" s="25">
        <f t="shared" si="4"/>
        <v>0</v>
      </c>
      <c r="AY5" s="25"/>
      <c r="AZ5" s="23"/>
      <c r="BA5" s="25"/>
      <c r="BB5" s="25"/>
      <c r="BC5" s="31"/>
      <c r="BD5" s="25"/>
      <c r="BE5" s="32"/>
      <c r="BF5" s="25"/>
      <c r="BG5" s="29" t="str">
        <f t="shared" ref="BG5:BG15" si="9">CONCATENATE("description: """,F5,"""", ", ", "note: """,E5,"""",", ","group: """, B5, """",", ","minValue: ", S5,", ","maxValue: ", T5,", ","step: ", U5,", ","units: """, R5, """",", ","defaultValue: ", X5,", ","eventRegistration: ", Y5,)</f>
        <v>description: "Положение SA1", note: "Положение переключателя SA1 цепей управления", group: "input", minValue: null, maxValue: null, step: null, units: "null", defaultValue: null, eventRegistration: 0</v>
      </c>
      <c r="BH5" s="33"/>
    </row>
    <row r="6" spans="1:16379" s="34" customFormat="1" ht="15.75" x14ac:dyDescent="0.25">
      <c r="A6" s="18"/>
      <c r="B6" s="103" t="s">
        <v>313</v>
      </c>
      <c r="C6" s="19"/>
      <c r="D6" s="20"/>
      <c r="E6" s="21" t="s">
        <v>309</v>
      </c>
      <c r="F6" s="30" t="s">
        <v>126</v>
      </c>
      <c r="G6" s="30" t="s">
        <v>126</v>
      </c>
      <c r="H6" s="21"/>
      <c r="I6" s="21">
        <f t="shared" si="6"/>
        <v>13</v>
      </c>
      <c r="J6" s="21" t="str">
        <f t="shared" si="7"/>
        <v>Положение SA2</v>
      </c>
      <c r="K6" s="18" t="s">
        <v>127</v>
      </c>
      <c r="L6" s="22" t="s">
        <v>63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6"/>
      <c r="AJ6" s="27"/>
      <c r="AK6" s="27"/>
      <c r="AL6" s="27"/>
      <c r="AM6" s="27"/>
      <c r="AN6" s="27"/>
      <c r="AO6" s="27"/>
      <c r="AP6" s="27"/>
      <c r="AQ6" s="27"/>
      <c r="AR6" s="25">
        <v>0</v>
      </c>
      <c r="AS6" s="25">
        <v>0</v>
      </c>
      <c r="AT6" s="25">
        <v>0</v>
      </c>
      <c r="AU6" s="25">
        <v>0</v>
      </c>
      <c r="AV6" s="25">
        <f t="shared" si="8"/>
        <v>0</v>
      </c>
      <c r="AW6" s="25">
        <v>0</v>
      </c>
      <c r="AX6" s="25">
        <f t="shared" si="4"/>
        <v>0</v>
      </c>
      <c r="AY6" s="25"/>
      <c r="AZ6" s="23"/>
      <c r="BA6" s="25"/>
      <c r="BB6" s="25"/>
      <c r="BC6" s="31"/>
      <c r="BD6" s="25"/>
      <c r="BE6" s="32"/>
      <c r="BF6" s="25"/>
      <c r="BG6" s="29" t="str">
        <f t="shared" si="9"/>
        <v>description: "Положение SA2", note: "Положение переключателя SA2 цепей управления", group: "input", minValue: null, maxValue: null, step: null, units: "null", defaultValue: null, eventRegistration: 0</v>
      </c>
      <c r="BH6" s="33"/>
    </row>
    <row r="7" spans="1:16379" s="34" customFormat="1" ht="15.75" x14ac:dyDescent="0.25">
      <c r="A7" s="18"/>
      <c r="B7" s="103" t="s">
        <v>313</v>
      </c>
      <c r="C7" s="19"/>
      <c r="D7" s="20"/>
      <c r="E7" s="21" t="s">
        <v>310</v>
      </c>
      <c r="F7" s="30" t="s">
        <v>128</v>
      </c>
      <c r="G7" s="30" t="s">
        <v>128</v>
      </c>
      <c r="H7" s="21"/>
      <c r="I7" s="21">
        <f t="shared" si="6"/>
        <v>13</v>
      </c>
      <c r="J7" s="21" t="str">
        <f t="shared" si="7"/>
        <v>Положение SA3</v>
      </c>
      <c r="K7" s="18" t="s">
        <v>129</v>
      </c>
      <c r="L7" s="22" t="s">
        <v>63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/>
      <c r="AJ7" s="27"/>
      <c r="AK7" s="27"/>
      <c r="AL7" s="27"/>
      <c r="AM7" s="27"/>
      <c r="AN7" s="27"/>
      <c r="AO7" s="27"/>
      <c r="AP7" s="27"/>
      <c r="AQ7" s="27"/>
      <c r="AR7" s="25">
        <v>0</v>
      </c>
      <c r="AS7" s="25">
        <v>0</v>
      </c>
      <c r="AT7" s="25">
        <v>0</v>
      </c>
      <c r="AU7" s="25">
        <v>0</v>
      </c>
      <c r="AV7" s="25">
        <f t="shared" si="8"/>
        <v>0</v>
      </c>
      <c r="AW7" s="25">
        <v>0</v>
      </c>
      <c r="AX7" s="25">
        <f t="shared" si="4"/>
        <v>0</v>
      </c>
      <c r="AY7" s="25"/>
      <c r="AZ7" s="23"/>
      <c r="BA7" s="25"/>
      <c r="BB7" s="25"/>
      <c r="BC7" s="31"/>
      <c r="BD7" s="25"/>
      <c r="BE7" s="32"/>
      <c r="BF7" s="25"/>
      <c r="BG7" s="29" t="str">
        <f t="shared" si="9"/>
        <v>description: "Положение SA3", note: "Положение переключателя SA3 цепей управления", group: "input", minValue: null, maxValue: null, step: null, units: "null", defaultValue: null, eventRegistration: 0</v>
      </c>
      <c r="BH7" s="33"/>
    </row>
    <row r="8" spans="1:16379" s="34" customFormat="1" ht="15.75" x14ac:dyDescent="0.25">
      <c r="A8" s="18"/>
      <c r="B8" s="103" t="s">
        <v>313</v>
      </c>
      <c r="C8" s="19"/>
      <c r="D8" s="20"/>
      <c r="E8" s="21" t="s">
        <v>311</v>
      </c>
      <c r="F8" s="30" t="s">
        <v>130</v>
      </c>
      <c r="G8" s="30" t="s">
        <v>130</v>
      </c>
      <c r="H8" s="21"/>
      <c r="I8" s="21">
        <f t="shared" si="6"/>
        <v>13</v>
      </c>
      <c r="J8" s="21" t="str">
        <f t="shared" si="7"/>
        <v>Положение SA4</v>
      </c>
      <c r="K8" s="18" t="s">
        <v>131</v>
      </c>
      <c r="L8" s="22" t="s">
        <v>63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6"/>
      <c r="AJ8" s="27"/>
      <c r="AK8" s="27"/>
      <c r="AL8" s="27"/>
      <c r="AM8" s="27"/>
      <c r="AN8" s="27"/>
      <c r="AO8" s="27"/>
      <c r="AP8" s="27"/>
      <c r="AQ8" s="27"/>
      <c r="AR8" s="25">
        <v>0</v>
      </c>
      <c r="AS8" s="25">
        <v>0</v>
      </c>
      <c r="AT8" s="25">
        <v>0</v>
      </c>
      <c r="AU8" s="25">
        <v>0</v>
      </c>
      <c r="AV8" s="25">
        <f t="shared" si="8"/>
        <v>0</v>
      </c>
      <c r="AW8" s="25">
        <v>0</v>
      </c>
      <c r="AX8" s="25">
        <f t="shared" si="4"/>
        <v>0</v>
      </c>
      <c r="AY8" s="25"/>
      <c r="AZ8" s="23"/>
      <c r="BA8" s="25"/>
      <c r="BB8" s="25"/>
      <c r="BC8" s="31"/>
      <c r="BD8" s="25"/>
      <c r="BE8" s="32"/>
      <c r="BF8" s="25"/>
      <c r="BG8" s="29" t="str">
        <f t="shared" si="9"/>
        <v>description: "Положение SA4", note: "Положение переключателя SA4 цепей управления", group: "input", minValue: null, maxValue: null, step: null, units: "null", defaultValue: null, eventRegistration: 0</v>
      </c>
      <c r="BH8" s="33"/>
    </row>
    <row r="9" spans="1:16379" s="34" customFormat="1" ht="15.75" x14ac:dyDescent="0.25">
      <c r="A9" s="18"/>
      <c r="B9" s="103" t="s">
        <v>313</v>
      </c>
      <c r="C9" s="19"/>
      <c r="D9" s="20"/>
      <c r="E9" s="21" t="s">
        <v>132</v>
      </c>
      <c r="F9" s="30" t="s">
        <v>133</v>
      </c>
      <c r="G9" s="30" t="s">
        <v>133</v>
      </c>
      <c r="H9" s="21"/>
      <c r="I9" s="21">
        <f t="shared" si="6"/>
        <v>13</v>
      </c>
      <c r="J9" s="21" t="str">
        <f t="shared" si="7"/>
        <v>Положение SG1</v>
      </c>
      <c r="K9" s="18" t="s">
        <v>134</v>
      </c>
      <c r="L9" s="22" t="s">
        <v>63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/>
      <c r="AJ9" s="27"/>
      <c r="AK9" s="27"/>
      <c r="AL9" s="27"/>
      <c r="AM9" s="27"/>
      <c r="AN9" s="27"/>
      <c r="AO9" s="27"/>
      <c r="AP9" s="27"/>
      <c r="AQ9" s="27"/>
      <c r="AR9" s="25">
        <v>0</v>
      </c>
      <c r="AS9" s="25">
        <v>0</v>
      </c>
      <c r="AT9" s="25">
        <v>0</v>
      </c>
      <c r="AU9" s="25">
        <v>0</v>
      </c>
      <c r="AV9" s="25">
        <f t="shared" si="8"/>
        <v>0</v>
      </c>
      <c r="AW9" s="25">
        <v>0</v>
      </c>
      <c r="AX9" s="25">
        <f t="shared" si="4"/>
        <v>0</v>
      </c>
      <c r="AY9" s="25"/>
      <c r="AZ9" s="23"/>
      <c r="BA9" s="25"/>
      <c r="BB9" s="25"/>
      <c r="BC9" s="31"/>
      <c r="BD9" s="25"/>
      <c r="BE9" s="32"/>
      <c r="BF9" s="25"/>
      <c r="BG9" s="29" t="str">
        <f t="shared" si="9"/>
        <v>description: "Положение SG1", note: "Положение испытательного блока SG1", group: "input", minValue: null, maxValue: null, step: null, units: "null", defaultValue: null, eventRegistration: 0</v>
      </c>
      <c r="BH9" s="33"/>
    </row>
    <row r="10" spans="1:16379" s="34" customFormat="1" ht="15.75" x14ac:dyDescent="0.25">
      <c r="A10" s="18"/>
      <c r="B10" s="103" t="s">
        <v>313</v>
      </c>
      <c r="C10" s="19"/>
      <c r="D10" s="20"/>
      <c r="E10" s="21" t="s">
        <v>135</v>
      </c>
      <c r="F10" s="30" t="s">
        <v>136</v>
      </c>
      <c r="G10" s="30" t="s">
        <v>136</v>
      </c>
      <c r="H10" s="21"/>
      <c r="I10" s="21">
        <f t="shared" si="6"/>
        <v>13</v>
      </c>
      <c r="J10" s="21" t="str">
        <f t="shared" si="7"/>
        <v>Положение SG2</v>
      </c>
      <c r="K10" s="18" t="s">
        <v>137</v>
      </c>
      <c r="L10" s="22" t="s">
        <v>63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6"/>
      <c r="AJ10" s="27"/>
      <c r="AK10" s="27"/>
      <c r="AL10" s="27"/>
      <c r="AM10" s="27"/>
      <c r="AN10" s="27"/>
      <c r="AO10" s="27"/>
      <c r="AP10" s="27"/>
      <c r="AQ10" s="27"/>
      <c r="AR10" s="25">
        <v>0</v>
      </c>
      <c r="AS10" s="25">
        <v>0</v>
      </c>
      <c r="AT10" s="25">
        <v>0</v>
      </c>
      <c r="AU10" s="25">
        <v>0</v>
      </c>
      <c r="AV10" s="25">
        <f t="shared" si="8"/>
        <v>0</v>
      </c>
      <c r="AW10" s="25">
        <v>0</v>
      </c>
      <c r="AX10" s="25">
        <f t="shared" si="4"/>
        <v>0</v>
      </c>
      <c r="AY10" s="25"/>
      <c r="AZ10" s="23"/>
      <c r="BA10" s="25"/>
      <c r="BB10" s="25"/>
      <c r="BC10" s="31"/>
      <c r="BD10" s="25"/>
      <c r="BE10" s="32"/>
      <c r="BF10" s="25"/>
      <c r="BG10" s="29" t="str">
        <f t="shared" si="9"/>
        <v>description: "Положение SG2", note: "Положение испытательного блока SG2", group: "input", minValue: null, maxValue: null, step: null, units: "null", defaultValue: null, eventRegistration: 0</v>
      </c>
      <c r="BH10" s="33"/>
    </row>
    <row r="11" spans="1:16379" s="34" customFormat="1" ht="15.75" x14ac:dyDescent="0.25">
      <c r="A11" s="18"/>
      <c r="B11" s="103" t="s">
        <v>313</v>
      </c>
      <c r="C11" s="19"/>
      <c r="D11" s="20"/>
      <c r="E11" s="21" t="s">
        <v>254</v>
      </c>
      <c r="F11" s="30" t="s">
        <v>255</v>
      </c>
      <c r="G11" s="30" t="s">
        <v>255</v>
      </c>
      <c r="H11" s="21"/>
      <c r="I11" s="21">
        <f t="shared" ref="I11" si="10">LEN(F11)</f>
        <v>13</v>
      </c>
      <c r="J11" s="21" t="str">
        <f t="shared" ref="J11" si="11">IF(LEN(F11)&lt;=$J$1,F11,"")</f>
        <v>Положение SG3</v>
      </c>
      <c r="K11" s="18" t="s">
        <v>256</v>
      </c>
      <c r="L11" s="22" t="s">
        <v>63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19"/>
      <c r="W11" s="19"/>
      <c r="X11" s="19" t="s">
        <v>62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/>
      <c r="AJ11" s="27"/>
      <c r="AK11" s="27"/>
      <c r="AL11" s="27"/>
      <c r="AM11" s="27"/>
      <c r="AN11" s="27"/>
      <c r="AO11" s="27"/>
      <c r="AP11" s="27"/>
      <c r="AQ11" s="27"/>
      <c r="AR11" s="25">
        <v>0</v>
      </c>
      <c r="AS11" s="25">
        <v>0</v>
      </c>
      <c r="AT11" s="25">
        <v>0</v>
      </c>
      <c r="AU11" s="25">
        <v>0</v>
      </c>
      <c r="AV11" s="25">
        <f t="shared" ref="AV11" si="12">BIN2DEC(CONCATENATE(0,0,0,0,AR11,AS11,AT11,AU11))</f>
        <v>0</v>
      </c>
      <c r="AW11" s="25">
        <v>0</v>
      </c>
      <c r="AX11" s="25">
        <f t="shared" si="4"/>
        <v>0</v>
      </c>
      <c r="AY11" s="25"/>
      <c r="AZ11" s="23"/>
      <c r="BA11" s="25"/>
      <c r="BB11" s="25"/>
      <c r="BC11" s="31"/>
      <c r="BD11" s="25"/>
      <c r="BE11" s="32"/>
      <c r="BF11" s="25"/>
      <c r="BG11" s="29" t="str">
        <f t="shared" ref="BG11" si="13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"Положение SG3", note: "Положение испытательного блока SG3", group: "input", minValue: null, maxValue: null, step: null, units: "null", defaultValue: null, eventRegistration: 0</v>
      </c>
      <c r="BH11" s="33"/>
    </row>
    <row r="12" spans="1:16379" s="34" customFormat="1" ht="15.75" x14ac:dyDescent="0.25">
      <c r="A12" s="18"/>
      <c r="B12" s="103" t="s">
        <v>313</v>
      </c>
      <c r="C12" s="19"/>
      <c r="D12" s="20"/>
      <c r="E12" s="21" t="s">
        <v>138</v>
      </c>
      <c r="F12" s="30" t="s">
        <v>139</v>
      </c>
      <c r="G12" s="30" t="s">
        <v>139</v>
      </c>
      <c r="H12" s="21"/>
      <c r="I12" s="21">
        <f t="shared" si="6"/>
        <v>11</v>
      </c>
      <c r="J12" s="21" t="str">
        <f t="shared" si="7"/>
        <v>ОТ цепей ГЗ</v>
      </c>
      <c r="K12" s="18" t="s">
        <v>140</v>
      </c>
      <c r="L12" s="22" t="s">
        <v>63</v>
      </c>
      <c r="M12" s="19" t="s">
        <v>60</v>
      </c>
      <c r="N12" s="19" t="s">
        <v>61</v>
      </c>
      <c r="O12" s="19"/>
      <c r="P12" s="23"/>
      <c r="Q12" s="23"/>
      <c r="R12" s="19" t="s">
        <v>62</v>
      </c>
      <c r="S12" s="19" t="s">
        <v>62</v>
      </c>
      <c r="T12" s="19" t="s">
        <v>62</v>
      </c>
      <c r="U12" s="19" t="s">
        <v>62</v>
      </c>
      <c r="V12" s="19"/>
      <c r="W12" s="19"/>
      <c r="X12" s="19" t="s">
        <v>62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26"/>
      <c r="AJ12" s="27"/>
      <c r="AK12" s="27"/>
      <c r="AL12" s="27"/>
      <c r="AM12" s="27"/>
      <c r="AN12" s="27"/>
      <c r="AO12" s="27"/>
      <c r="AP12" s="27"/>
      <c r="AQ12" s="27"/>
      <c r="AR12" s="25">
        <v>0</v>
      </c>
      <c r="AS12" s="25">
        <v>0</v>
      </c>
      <c r="AT12" s="25">
        <v>0</v>
      </c>
      <c r="AU12" s="25">
        <v>0</v>
      </c>
      <c r="AV12" s="25">
        <f t="shared" si="8"/>
        <v>0</v>
      </c>
      <c r="AW12" s="25">
        <v>0</v>
      </c>
      <c r="AX12" s="25">
        <f t="shared" si="4"/>
        <v>0</v>
      </c>
      <c r="AY12" s="25"/>
      <c r="AZ12" s="23"/>
      <c r="BA12" s="25"/>
      <c r="BB12" s="25"/>
      <c r="BC12" s="31"/>
      <c r="BD12" s="25"/>
      <c r="BE12" s="32"/>
      <c r="BF12" s="25"/>
      <c r="BG12" s="29" t="str">
        <f t="shared" si="9"/>
        <v>description: "ОТ цепей ГЗ", note: "Контроль оперативного тока цепей ГЗ", group: "input", minValue: null, maxValue: null, step: null, units: "null", defaultValue: null, eventRegistration: 0</v>
      </c>
      <c r="BH12" s="33"/>
    </row>
    <row r="13" spans="1:16379" s="34" customFormat="1" ht="15.75" x14ac:dyDescent="0.25">
      <c r="A13" s="18"/>
      <c r="B13" s="103" t="s">
        <v>313</v>
      </c>
      <c r="C13" s="19"/>
      <c r="D13" s="20"/>
      <c r="E13" s="21" t="s">
        <v>141</v>
      </c>
      <c r="F13" s="30" t="s">
        <v>142</v>
      </c>
      <c r="G13" s="30" t="s">
        <v>142</v>
      </c>
      <c r="H13" s="21"/>
      <c r="I13" s="21">
        <f t="shared" si="6"/>
        <v>15</v>
      </c>
      <c r="J13" s="21" t="str">
        <f t="shared" si="7"/>
        <v>ОТ цепей ТЗ, ТС</v>
      </c>
      <c r="K13" s="18" t="s">
        <v>143</v>
      </c>
      <c r="L13" s="22" t="s">
        <v>63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19"/>
      <c r="W13" s="19"/>
      <c r="X13" s="19" t="s">
        <v>62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/>
      <c r="AJ13" s="27"/>
      <c r="AK13" s="27"/>
      <c r="AL13" s="27"/>
      <c r="AM13" s="27"/>
      <c r="AN13" s="27"/>
      <c r="AO13" s="27"/>
      <c r="AP13" s="27"/>
      <c r="AQ13" s="27"/>
      <c r="AR13" s="25">
        <v>0</v>
      </c>
      <c r="AS13" s="25">
        <v>0</v>
      </c>
      <c r="AT13" s="25">
        <v>0</v>
      </c>
      <c r="AU13" s="25">
        <v>0</v>
      </c>
      <c r="AV13" s="25">
        <f t="shared" si="8"/>
        <v>0</v>
      </c>
      <c r="AW13" s="25">
        <v>0</v>
      </c>
      <c r="AX13" s="25">
        <f t="shared" si="4"/>
        <v>0</v>
      </c>
      <c r="AY13" s="25"/>
      <c r="AZ13" s="23"/>
      <c r="BA13" s="25"/>
      <c r="BB13" s="25"/>
      <c r="BC13" s="31"/>
      <c r="BD13" s="25"/>
      <c r="BE13" s="32"/>
      <c r="BF13" s="25"/>
      <c r="BG13" s="29" t="str">
        <f t="shared" si="9"/>
        <v>description: "ОТ цепей ТЗ, ТС", note: "Контроль оперативного тока цепей ТЗ, ТС", group: "input", minValue: null, maxValue: null, step: null, units: "null", defaultValue: null, eventRegistration: 0</v>
      </c>
      <c r="BH13" s="33"/>
    </row>
    <row r="14" spans="1:16379" s="34" customFormat="1" ht="15.75" x14ac:dyDescent="0.25">
      <c r="A14" s="18"/>
      <c r="B14" s="103" t="s">
        <v>313</v>
      </c>
      <c r="C14" s="19"/>
      <c r="D14" s="20"/>
      <c r="E14" s="21" t="s">
        <v>261</v>
      </c>
      <c r="F14" s="30" t="s">
        <v>263</v>
      </c>
      <c r="G14" s="30" t="s">
        <v>263</v>
      </c>
      <c r="H14" s="21"/>
      <c r="I14" s="21">
        <f t="shared" si="6"/>
        <v>16</v>
      </c>
      <c r="J14" s="21" t="str">
        <f t="shared" si="7"/>
        <v>ОТ цепей ЗДЗ НН1</v>
      </c>
      <c r="K14" s="18" t="s">
        <v>257</v>
      </c>
      <c r="L14" s="22" t="s">
        <v>63</v>
      </c>
      <c r="M14" s="19" t="s">
        <v>60</v>
      </c>
      <c r="N14" s="19" t="s">
        <v>61</v>
      </c>
      <c r="O14" s="19"/>
      <c r="P14" s="23"/>
      <c r="Q14" s="23"/>
      <c r="R14" s="19" t="s">
        <v>62</v>
      </c>
      <c r="S14" s="19" t="s">
        <v>62</v>
      </c>
      <c r="T14" s="19" t="s">
        <v>62</v>
      </c>
      <c r="U14" s="19" t="s">
        <v>62</v>
      </c>
      <c r="V14" s="19"/>
      <c r="W14" s="19"/>
      <c r="X14" s="19" t="s">
        <v>62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26"/>
      <c r="AJ14" s="27"/>
      <c r="AK14" s="27"/>
      <c r="AL14" s="27"/>
      <c r="AM14" s="27"/>
      <c r="AN14" s="27"/>
      <c r="AO14" s="27"/>
      <c r="AP14" s="27"/>
      <c r="AQ14" s="27"/>
      <c r="AR14" s="25">
        <v>0</v>
      </c>
      <c r="AS14" s="25">
        <v>0</v>
      </c>
      <c r="AT14" s="25">
        <v>0</v>
      </c>
      <c r="AU14" s="25">
        <v>0</v>
      </c>
      <c r="AV14" s="25">
        <f t="shared" si="8"/>
        <v>0</v>
      </c>
      <c r="AW14" s="25">
        <v>0</v>
      </c>
      <c r="AX14" s="25">
        <f t="shared" si="4"/>
        <v>0</v>
      </c>
      <c r="AY14" s="25"/>
      <c r="AZ14" s="23"/>
      <c r="BA14" s="25"/>
      <c r="BB14" s="25"/>
      <c r="BC14" s="31"/>
      <c r="BD14" s="25"/>
      <c r="BE14" s="32"/>
      <c r="BF14" s="25"/>
      <c r="BG14" s="29" t="str">
        <f t="shared" si="9"/>
        <v>description: "ОТ цепей ЗДЗ НН1", note: "Контроль оперативного тока цепей ЗДЗ НН1", group: "input", minValue: null, maxValue: null, step: null, units: "null", defaultValue: null, eventRegistration: 0</v>
      </c>
      <c r="BH14" s="33"/>
    </row>
    <row r="15" spans="1:16379" s="34" customFormat="1" ht="15.75" x14ac:dyDescent="0.25">
      <c r="A15" s="18"/>
      <c r="B15" s="103" t="s">
        <v>313</v>
      </c>
      <c r="C15" s="19"/>
      <c r="D15" s="20"/>
      <c r="E15" s="21" t="s">
        <v>262</v>
      </c>
      <c r="F15" s="30" t="s">
        <v>264</v>
      </c>
      <c r="G15" s="30" t="s">
        <v>264</v>
      </c>
      <c r="H15" s="21"/>
      <c r="I15" s="21">
        <f t="shared" si="6"/>
        <v>17</v>
      </c>
      <c r="J15" s="21" t="str">
        <f t="shared" si="7"/>
        <v>ОТ цепей УРОВ НН1</v>
      </c>
      <c r="K15" s="18" t="s">
        <v>258</v>
      </c>
      <c r="L15" s="22" t="s">
        <v>63</v>
      </c>
      <c r="M15" s="19" t="s">
        <v>60</v>
      </c>
      <c r="N15" s="19" t="s">
        <v>61</v>
      </c>
      <c r="O15" s="19"/>
      <c r="P15" s="23"/>
      <c r="Q15" s="23"/>
      <c r="R15" s="19" t="s">
        <v>62</v>
      </c>
      <c r="S15" s="19" t="s">
        <v>62</v>
      </c>
      <c r="T15" s="19" t="s">
        <v>62</v>
      </c>
      <c r="U15" s="19" t="s">
        <v>62</v>
      </c>
      <c r="V15" s="19"/>
      <c r="W15" s="19"/>
      <c r="X15" s="19" t="s">
        <v>62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/>
      <c r="AJ15" s="27"/>
      <c r="AK15" s="27"/>
      <c r="AL15" s="27"/>
      <c r="AM15" s="27"/>
      <c r="AN15" s="27"/>
      <c r="AO15" s="27"/>
      <c r="AP15" s="27"/>
      <c r="AQ15" s="27"/>
      <c r="AR15" s="25">
        <v>0</v>
      </c>
      <c r="AS15" s="25">
        <v>0</v>
      </c>
      <c r="AT15" s="25">
        <v>0</v>
      </c>
      <c r="AU15" s="25">
        <v>0</v>
      </c>
      <c r="AV15" s="25">
        <f t="shared" si="8"/>
        <v>0</v>
      </c>
      <c r="AW15" s="25">
        <v>0</v>
      </c>
      <c r="AX15" s="25">
        <f t="shared" si="4"/>
        <v>0</v>
      </c>
      <c r="AY15" s="25"/>
      <c r="AZ15" s="23"/>
      <c r="BA15" s="25"/>
      <c r="BB15" s="25"/>
      <c r="BC15" s="31"/>
      <c r="BD15" s="25"/>
      <c r="BE15" s="32"/>
      <c r="BF15" s="25"/>
      <c r="BG15" s="29" t="str">
        <f t="shared" si="9"/>
        <v>description: "ОТ цепей УРОВ НН1", note: "Контроль оперативного тока цепей УРОВ НН1", group: "input", minValue: null, maxValue: null, step: null, units: "null", defaultValue: null, eventRegistration: 0</v>
      </c>
      <c r="BH15" s="33"/>
    </row>
    <row r="16" spans="1:16379" s="34" customFormat="1" ht="15.75" x14ac:dyDescent="0.25">
      <c r="A16" s="18"/>
      <c r="B16" s="103" t="s">
        <v>313</v>
      </c>
      <c r="C16" s="19"/>
      <c r="D16" s="20"/>
      <c r="E16" s="21" t="s">
        <v>265</v>
      </c>
      <c r="F16" s="30" t="s">
        <v>267</v>
      </c>
      <c r="G16" s="30" t="s">
        <v>267</v>
      </c>
      <c r="H16" s="21"/>
      <c r="I16" s="21">
        <f t="shared" ref="I16:I17" si="14">LEN(F16)</f>
        <v>16</v>
      </c>
      <c r="J16" s="21" t="str">
        <f t="shared" ref="J16:J17" si="15">IF(LEN(F16)&lt;=$J$1,F16,"")</f>
        <v>ОТ цепей ЗДЗ НН2</v>
      </c>
      <c r="K16" s="18" t="s">
        <v>259</v>
      </c>
      <c r="L16" s="22" t="s">
        <v>63</v>
      </c>
      <c r="M16" s="19" t="s">
        <v>60</v>
      </c>
      <c r="N16" s="19" t="s">
        <v>61</v>
      </c>
      <c r="O16" s="19"/>
      <c r="P16" s="23"/>
      <c r="Q16" s="23"/>
      <c r="R16" s="19" t="s">
        <v>62</v>
      </c>
      <c r="S16" s="19" t="s">
        <v>62</v>
      </c>
      <c r="T16" s="19" t="s">
        <v>62</v>
      </c>
      <c r="U16" s="19" t="s">
        <v>62</v>
      </c>
      <c r="V16" s="19"/>
      <c r="W16" s="19"/>
      <c r="X16" s="19" t="s">
        <v>62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26"/>
      <c r="AJ16" s="27"/>
      <c r="AK16" s="27"/>
      <c r="AL16" s="27"/>
      <c r="AM16" s="27"/>
      <c r="AN16" s="27"/>
      <c r="AO16" s="27"/>
      <c r="AP16" s="27"/>
      <c r="AQ16" s="27"/>
      <c r="AR16" s="25">
        <v>0</v>
      </c>
      <c r="AS16" s="25">
        <v>0</v>
      </c>
      <c r="AT16" s="25">
        <v>0</v>
      </c>
      <c r="AU16" s="25">
        <v>0</v>
      </c>
      <c r="AV16" s="25">
        <f t="shared" ref="AV16:AV17" si="16">BIN2DEC(CONCATENATE(0,0,0,0,AR16,AS16,AT16,AU16))</f>
        <v>0</v>
      </c>
      <c r="AW16" s="25">
        <v>0</v>
      </c>
      <c r="AX16" s="25">
        <f t="shared" si="4"/>
        <v>0</v>
      </c>
      <c r="AY16" s="25"/>
      <c r="AZ16" s="23"/>
      <c r="BA16" s="25"/>
      <c r="BB16" s="25"/>
      <c r="BC16" s="31"/>
      <c r="BD16" s="25"/>
      <c r="BE16" s="32"/>
      <c r="BF16" s="25"/>
      <c r="BG16" s="29" t="str">
        <f t="shared" ref="BG16:BG17" si="17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"ОТ цепей ЗДЗ НН2", note: "Контроль оперативного тока цепей ЗДЗ НН2", group: "input", minValue: null, maxValue: null, step: null, units: "null", defaultValue: null, eventRegistration: 0</v>
      </c>
      <c r="BH16" s="33"/>
    </row>
    <row r="17" spans="1:60" s="34" customFormat="1" ht="15.75" x14ac:dyDescent="0.25">
      <c r="A17" s="18"/>
      <c r="B17" s="103" t="s">
        <v>313</v>
      </c>
      <c r="C17" s="19"/>
      <c r="D17" s="20"/>
      <c r="E17" s="21" t="s">
        <v>266</v>
      </c>
      <c r="F17" s="30" t="s">
        <v>268</v>
      </c>
      <c r="G17" s="30" t="s">
        <v>268</v>
      </c>
      <c r="H17" s="21"/>
      <c r="I17" s="21">
        <f t="shared" si="14"/>
        <v>17</v>
      </c>
      <c r="J17" s="21" t="str">
        <f t="shared" si="15"/>
        <v>ОТ цепей УРОВ НН2</v>
      </c>
      <c r="K17" s="18" t="s">
        <v>260</v>
      </c>
      <c r="L17" s="22" t="s">
        <v>63</v>
      </c>
      <c r="M17" s="19" t="s">
        <v>60</v>
      </c>
      <c r="N17" s="19" t="s">
        <v>61</v>
      </c>
      <c r="O17" s="19"/>
      <c r="P17" s="23"/>
      <c r="Q17" s="23"/>
      <c r="R17" s="19" t="s">
        <v>62</v>
      </c>
      <c r="S17" s="19" t="s">
        <v>62</v>
      </c>
      <c r="T17" s="19" t="s">
        <v>62</v>
      </c>
      <c r="U17" s="19" t="s">
        <v>62</v>
      </c>
      <c r="V17" s="19"/>
      <c r="W17" s="19"/>
      <c r="X17" s="19" t="s">
        <v>62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/>
      <c r="AJ17" s="27"/>
      <c r="AK17" s="27"/>
      <c r="AL17" s="27"/>
      <c r="AM17" s="27"/>
      <c r="AN17" s="27"/>
      <c r="AO17" s="27"/>
      <c r="AP17" s="27"/>
      <c r="AQ17" s="27"/>
      <c r="AR17" s="25">
        <v>0</v>
      </c>
      <c r="AS17" s="25">
        <v>0</v>
      </c>
      <c r="AT17" s="25">
        <v>0</v>
      </c>
      <c r="AU17" s="25">
        <v>0</v>
      </c>
      <c r="AV17" s="25">
        <f t="shared" si="16"/>
        <v>0</v>
      </c>
      <c r="AW17" s="25">
        <v>0</v>
      </c>
      <c r="AX17" s="25">
        <f t="shared" si="4"/>
        <v>0</v>
      </c>
      <c r="AY17" s="25"/>
      <c r="AZ17" s="23"/>
      <c r="BA17" s="25"/>
      <c r="BB17" s="25"/>
      <c r="BC17" s="31"/>
      <c r="BD17" s="25"/>
      <c r="BE17" s="32"/>
      <c r="BF17" s="25"/>
      <c r="BG17" s="29" t="str">
        <f t="shared" si="17"/>
        <v>description: "ОТ цепей УРОВ НН2", note: "Контроль оперативного тока цепей УРОВ НН2", group: "input", minValue: null, maxValue: null, step: null, units: "null", defaultValue: null, eventRegistration: 0</v>
      </c>
      <c r="BH17" s="33"/>
    </row>
    <row r="18" spans="1:60" s="66" customFormat="1" ht="15.75" x14ac:dyDescent="0.25">
      <c r="A18" s="51"/>
      <c r="B18" s="52" t="s">
        <v>59</v>
      </c>
      <c r="C18" s="53"/>
      <c r="D18" s="54"/>
      <c r="E18" s="55" t="s">
        <v>64</v>
      </c>
      <c r="F18" s="55" t="s">
        <v>65</v>
      </c>
      <c r="G18" s="55" t="s">
        <v>65</v>
      </c>
      <c r="H18" s="54"/>
      <c r="I18" s="56">
        <f>LEN(F18)</f>
        <v>10</v>
      </c>
      <c r="J18" s="56" t="str">
        <f>IF(LEN(F18)&lt;=$J$1,F18,"")</f>
        <v>Насл.режим</v>
      </c>
      <c r="K18" s="57" t="s">
        <v>68</v>
      </c>
      <c r="L18" s="58" t="s">
        <v>66</v>
      </c>
      <c r="M18" s="59" t="s">
        <v>60</v>
      </c>
      <c r="N18" s="59" t="s">
        <v>61</v>
      </c>
      <c r="O18" s="59"/>
      <c r="P18" s="53"/>
      <c r="Q18" s="53"/>
      <c r="R18" s="59" t="s">
        <v>62</v>
      </c>
      <c r="S18" s="59" t="s">
        <v>62</v>
      </c>
      <c r="T18" s="59" t="s">
        <v>62</v>
      </c>
      <c r="U18" s="59" t="s">
        <v>62</v>
      </c>
      <c r="V18" s="53"/>
      <c r="W18" s="53"/>
      <c r="X18" s="59" t="s">
        <v>62</v>
      </c>
      <c r="Y18" s="60">
        <v>0</v>
      </c>
      <c r="Z18" s="53"/>
      <c r="AA18" s="61">
        <v>0</v>
      </c>
      <c r="AB18" s="61"/>
      <c r="AC18" s="61"/>
      <c r="AD18" s="61"/>
      <c r="AE18" s="61"/>
      <c r="AF18" s="61">
        <v>0</v>
      </c>
      <c r="AG18" s="61">
        <v>0</v>
      </c>
      <c r="AH18" s="61">
        <v>0</v>
      </c>
      <c r="AI18" s="62" t="s">
        <v>67</v>
      </c>
      <c r="AJ18" s="63" t="s">
        <v>110</v>
      </c>
      <c r="AK18" s="63" t="s">
        <v>69</v>
      </c>
      <c r="AL18" s="63" t="s">
        <v>70</v>
      </c>
      <c r="AM18" s="63" t="s">
        <v>71</v>
      </c>
      <c r="AN18" s="63"/>
      <c r="AO18" s="63" t="s">
        <v>72</v>
      </c>
      <c r="AP18" s="63" t="str">
        <f>CONCATENATE(AJ18, ".", AL18)</f>
        <v>LLN0.GrRef.setSrcRef</v>
      </c>
      <c r="AQ18" s="63" t="s">
        <v>73</v>
      </c>
      <c r="AR18" s="61">
        <v>0</v>
      </c>
      <c r="AS18" s="61">
        <v>0</v>
      </c>
      <c r="AT18" s="61">
        <v>0</v>
      </c>
      <c r="AU18" s="61">
        <v>0</v>
      </c>
      <c r="AV18" s="61">
        <f t="shared" ref="AV18" si="18">BIN2DEC(CONCATENATE(0,0,0,0,AR18,AS18,AT18,AU18))</f>
        <v>0</v>
      </c>
      <c r="AW18" s="61">
        <v>0</v>
      </c>
      <c r="AX18" s="61">
        <f t="shared" si="4"/>
        <v>0</v>
      </c>
      <c r="AY18" s="64"/>
      <c r="AZ18" s="53"/>
      <c r="BA18" s="53"/>
      <c r="BB18" s="53"/>
      <c r="BC18" s="53"/>
      <c r="BD18" s="53"/>
      <c r="BE18" s="53"/>
      <c r="BF18" s="53"/>
      <c r="BG18" s="65" t="str">
        <f t="shared" ref="BG18:BG20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"Насл.режим", note: "Наследуемый режим работы", group: "measurement", minValue: null, maxValue: null, step: null, units: "null", defaultValue: null, eventRegistration: 0</v>
      </c>
    </row>
    <row r="19" spans="1:60" s="66" customFormat="1" ht="15.75" x14ac:dyDescent="0.25">
      <c r="A19" s="51"/>
      <c r="B19" s="52" t="s">
        <v>59</v>
      </c>
      <c r="C19" s="53"/>
      <c r="D19" s="54"/>
      <c r="E19" s="55" t="s">
        <v>78</v>
      </c>
      <c r="F19" s="55" t="s">
        <v>79</v>
      </c>
      <c r="G19" s="55" t="s">
        <v>79</v>
      </c>
      <c r="H19" s="54"/>
      <c r="I19" s="56">
        <f>LEN(F19)</f>
        <v>8</v>
      </c>
      <c r="J19" s="56" t="str">
        <f>IF(LEN(F19)&lt;=$J$1,F19,"")</f>
        <v>Ош.крит.</v>
      </c>
      <c r="K19" s="57" t="s">
        <v>80</v>
      </c>
      <c r="L19" s="67" t="s">
        <v>63</v>
      </c>
      <c r="M19" s="59" t="s">
        <v>60</v>
      </c>
      <c r="N19" s="59" t="s">
        <v>61</v>
      </c>
      <c r="O19" s="59"/>
      <c r="P19" s="53"/>
      <c r="Q19" s="53"/>
      <c r="R19" s="59" t="s">
        <v>62</v>
      </c>
      <c r="S19" s="59" t="s">
        <v>62</v>
      </c>
      <c r="T19" s="59" t="s">
        <v>62</v>
      </c>
      <c r="U19" s="59" t="s">
        <v>62</v>
      </c>
      <c r="V19" s="53"/>
      <c r="W19" s="53"/>
      <c r="X19" s="59" t="s">
        <v>62</v>
      </c>
      <c r="Y19" s="60">
        <v>0</v>
      </c>
      <c r="Z19" s="53"/>
      <c r="AA19" s="61">
        <v>0</v>
      </c>
      <c r="AB19" s="61"/>
      <c r="AC19" s="61"/>
      <c r="AD19" s="61"/>
      <c r="AE19" s="61"/>
      <c r="AF19" s="61">
        <v>0</v>
      </c>
      <c r="AG19" s="61">
        <v>0</v>
      </c>
      <c r="AH19" s="61">
        <v>0</v>
      </c>
      <c r="AI19" s="68"/>
      <c r="AJ19" s="63"/>
      <c r="AK19" s="63"/>
      <c r="AL19" s="63"/>
      <c r="AM19" s="63"/>
      <c r="AN19" s="63"/>
      <c r="AO19" s="63"/>
      <c r="AP19" s="63"/>
      <c r="AQ19" s="63"/>
      <c r="AR19" s="61">
        <v>0</v>
      </c>
      <c r="AS19" s="61">
        <v>0</v>
      </c>
      <c r="AT19" s="61">
        <v>0</v>
      </c>
      <c r="AU19" s="61">
        <v>0</v>
      </c>
      <c r="AV19" s="61">
        <f t="shared" ref="AV19:AV20" si="20">BIN2DEC(CONCATENATE(0,0,0,0,AR19,AS19,AT19,AU19))</f>
        <v>0</v>
      </c>
      <c r="AW19" s="61">
        <v>0</v>
      </c>
      <c r="AX19" s="61">
        <f t="shared" si="4"/>
        <v>0</v>
      </c>
      <c r="AY19" s="64"/>
      <c r="AZ19" s="53"/>
      <c r="BA19" s="53"/>
      <c r="BB19" s="53"/>
      <c r="BC19" s="53"/>
      <c r="BD19" s="53"/>
      <c r="BE19" s="53"/>
      <c r="BF19" s="53"/>
      <c r="BG19" s="65" t="str">
        <f t="shared" si="19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20" spans="1:60" s="66" customFormat="1" ht="15.75" x14ac:dyDescent="0.25">
      <c r="A20" s="51"/>
      <c r="B20" s="52" t="s">
        <v>59</v>
      </c>
      <c r="C20" s="53"/>
      <c r="D20" s="54"/>
      <c r="E20" s="55" t="s">
        <v>81</v>
      </c>
      <c r="F20" s="55" t="s">
        <v>82</v>
      </c>
      <c r="G20" s="55" t="s">
        <v>82</v>
      </c>
      <c r="H20" s="54"/>
      <c r="I20" s="56">
        <f>LEN(F20)</f>
        <v>6</v>
      </c>
      <c r="J20" s="56" t="str">
        <f>IF(LEN(F20)&lt;=$J$1,F20,"")</f>
        <v>Ошибка</v>
      </c>
      <c r="K20" s="57" t="s">
        <v>83</v>
      </c>
      <c r="L20" s="67" t="s">
        <v>63</v>
      </c>
      <c r="M20" s="59" t="s">
        <v>60</v>
      </c>
      <c r="N20" s="59" t="s">
        <v>61</v>
      </c>
      <c r="O20" s="59"/>
      <c r="P20" s="53"/>
      <c r="Q20" s="53"/>
      <c r="R20" s="59" t="s">
        <v>62</v>
      </c>
      <c r="S20" s="59" t="s">
        <v>62</v>
      </c>
      <c r="T20" s="59" t="s">
        <v>62</v>
      </c>
      <c r="U20" s="59" t="s">
        <v>62</v>
      </c>
      <c r="V20" s="53"/>
      <c r="W20" s="53"/>
      <c r="X20" s="59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68"/>
      <c r="AJ20" s="63"/>
      <c r="AK20" s="63"/>
      <c r="AL20" s="63"/>
      <c r="AM20" s="63"/>
      <c r="AN20" s="63"/>
      <c r="AO20" s="63"/>
      <c r="AP20" s="63"/>
      <c r="AQ20" s="63"/>
      <c r="AR20" s="61">
        <v>0</v>
      </c>
      <c r="AS20" s="61">
        <v>0</v>
      </c>
      <c r="AT20" s="61">
        <v>0</v>
      </c>
      <c r="AU20" s="61">
        <v>0</v>
      </c>
      <c r="AV20" s="61">
        <f t="shared" si="20"/>
        <v>0</v>
      </c>
      <c r="AW20" s="61">
        <v>0</v>
      </c>
      <c r="AX20" s="61">
        <f t="shared" si="4"/>
        <v>0</v>
      </c>
      <c r="AY20" s="64"/>
      <c r="AZ20" s="53"/>
      <c r="BA20" s="53"/>
      <c r="BB20" s="53"/>
      <c r="BC20" s="53"/>
      <c r="BD20" s="53"/>
      <c r="BE20" s="53"/>
      <c r="BF20" s="53"/>
      <c r="BG20" s="65" t="str">
        <f t="shared" si="19"/>
        <v>description: "Ошибка", note: "Наличие некритической ошибки", group: "measurement", minValue: null, maxValue: null, step: null, units: "null", defaultValue: null, eventRegistration: 0</v>
      </c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2"/>
  <sheetViews>
    <sheetView zoomScale="80" zoomScaleNormal="80" workbookViewId="0">
      <selection activeCell="A3" sqref="A3:XFD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5.5703125" style="2" customWidth="1"/>
    <col min="6" max="7" width="28.42578125" style="2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6.7109375" style="2" customWidth="1"/>
    <col min="12" max="12" width="9.42578125" style="2" customWidth="1"/>
    <col min="13" max="14" width="14.85546875" style="2" customWidth="1" outlineLevel="1"/>
    <col min="15" max="15" width="8.85546875" style="2" customWidth="1" outlineLevel="1"/>
    <col min="16" max="17" width="19" style="2" customWidth="1" outlineLevel="1"/>
    <col min="18" max="18" width="7.85546875" style="3" customWidth="1" outlineLevel="1"/>
    <col min="19" max="19" width="9.5703125" style="4" customWidth="1" outlineLevel="1"/>
    <col min="20" max="20" width="12" style="4" customWidth="1" outlineLevel="1"/>
    <col min="21" max="21" width="6.42578125" style="4" customWidth="1" outlineLevel="1"/>
    <col min="22" max="23" width="13.5703125" style="4" customWidth="1" outlineLevel="1"/>
    <col min="24" max="24" width="14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.140625" style="1" bestFit="1" customWidth="1"/>
    <col min="36" max="36" width="26.42578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8.710937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04" t="s">
        <v>314</v>
      </c>
      <c r="AW2" s="104" t="s">
        <v>315</v>
      </c>
      <c r="AX2" s="104" t="s">
        <v>316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2" customFormat="1" ht="15.75" x14ac:dyDescent="0.25">
      <c r="A3" s="35"/>
      <c r="B3" s="105" t="s">
        <v>317</v>
      </c>
      <c r="C3" s="36"/>
      <c r="D3" s="20" t="s">
        <v>117</v>
      </c>
      <c r="E3" s="30" t="s">
        <v>84</v>
      </c>
      <c r="F3" s="46" t="s">
        <v>85</v>
      </c>
      <c r="G3" s="46" t="s">
        <v>85</v>
      </c>
      <c r="H3" s="8"/>
      <c r="I3" s="30">
        <f t="shared" ref="I3:I8" si="0">LEN(F3)</f>
        <v>4</v>
      </c>
      <c r="J3" s="30" t="str">
        <f t="shared" ref="J3:J8" si="1">IF(LEN(F3)&lt;=$J$1,F3,"")</f>
        <v>Ввод</v>
      </c>
      <c r="K3" s="37" t="s">
        <v>144</v>
      </c>
      <c r="L3" s="38" t="s">
        <v>63</v>
      </c>
      <c r="M3" s="39" t="s">
        <v>60</v>
      </c>
      <c r="N3" s="39" t="s">
        <v>61</v>
      </c>
      <c r="O3" s="39"/>
      <c r="P3" s="23"/>
      <c r="Q3" s="23"/>
      <c r="R3" s="39" t="s">
        <v>62</v>
      </c>
      <c r="S3" s="39" t="s">
        <v>62</v>
      </c>
      <c r="T3" s="39" t="s">
        <v>62</v>
      </c>
      <c r="U3" s="39" t="s">
        <v>62</v>
      </c>
      <c r="V3" s="36"/>
      <c r="W3" s="36"/>
      <c r="X3" s="39" t="s">
        <v>62</v>
      </c>
      <c r="Y3" s="39">
        <v>2</v>
      </c>
      <c r="Z3" s="36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6"/>
      <c r="AJ3" s="40"/>
      <c r="AK3" s="40"/>
      <c r="AL3" s="40"/>
      <c r="AM3" s="40"/>
      <c r="AN3" s="40"/>
      <c r="AO3" s="40"/>
      <c r="AP3" s="40"/>
      <c r="AQ3" s="40"/>
      <c r="AR3" s="36">
        <v>0</v>
      </c>
      <c r="AS3" s="36">
        <v>1</v>
      </c>
      <c r="AT3" s="36">
        <v>0</v>
      </c>
      <c r="AU3" s="36">
        <v>1</v>
      </c>
      <c r="AV3" s="36">
        <v>1</v>
      </c>
      <c r="AW3" s="36">
        <v>1</v>
      </c>
      <c r="AX3" s="36">
        <v>1</v>
      </c>
      <c r="AY3" s="47"/>
      <c r="AZ3" s="36"/>
      <c r="BA3" s="36"/>
      <c r="BB3" s="36"/>
      <c r="BC3" s="36"/>
      <c r="BD3" s="36"/>
      <c r="BE3" s="36"/>
      <c r="BF3" s="36"/>
      <c r="BG3" s="43" t="str">
        <f t="shared" ref="BG3:BG8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42" customFormat="1" ht="15.75" x14ac:dyDescent="0.25">
      <c r="A4" s="35"/>
      <c r="B4" s="105" t="s">
        <v>317</v>
      </c>
      <c r="C4" s="36"/>
      <c r="D4" s="35" t="s">
        <v>117</v>
      </c>
      <c r="E4" s="30" t="s">
        <v>86</v>
      </c>
      <c r="F4" s="46" t="s">
        <v>108</v>
      </c>
      <c r="G4" s="45" t="s">
        <v>108</v>
      </c>
      <c r="H4" s="8"/>
      <c r="I4" s="30">
        <f t="shared" si="0"/>
        <v>17</v>
      </c>
      <c r="J4" s="30" t="str">
        <f t="shared" si="1"/>
        <v>Оперативный вывод</v>
      </c>
      <c r="K4" s="37" t="s">
        <v>145</v>
      </c>
      <c r="L4" s="38" t="s">
        <v>63</v>
      </c>
      <c r="M4" s="39" t="s">
        <v>60</v>
      </c>
      <c r="N4" s="39" t="s">
        <v>61</v>
      </c>
      <c r="O4" s="39"/>
      <c r="P4" s="23"/>
      <c r="Q4" s="23"/>
      <c r="R4" s="39" t="s">
        <v>62</v>
      </c>
      <c r="S4" s="39" t="s">
        <v>62</v>
      </c>
      <c r="T4" s="39" t="s">
        <v>62</v>
      </c>
      <c r="U4" s="39" t="s">
        <v>62</v>
      </c>
      <c r="V4" s="36"/>
      <c r="W4" s="36"/>
      <c r="X4" s="39" t="s">
        <v>62</v>
      </c>
      <c r="Y4" s="39">
        <v>2</v>
      </c>
      <c r="Z4" s="36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6"/>
      <c r="AJ4" s="40"/>
      <c r="AK4" s="40"/>
      <c r="AL4" s="40"/>
      <c r="AM4" s="40"/>
      <c r="AN4" s="40"/>
      <c r="AO4" s="40"/>
      <c r="AP4" s="40"/>
      <c r="AQ4" s="40"/>
      <c r="AR4" s="36">
        <v>0</v>
      </c>
      <c r="AS4" s="36">
        <v>1</v>
      </c>
      <c r="AT4" s="36">
        <v>0</v>
      </c>
      <c r="AU4" s="36">
        <v>1</v>
      </c>
      <c r="AV4" s="36">
        <v>1</v>
      </c>
      <c r="AW4" s="36">
        <v>1</v>
      </c>
      <c r="AX4" s="36">
        <v>1</v>
      </c>
      <c r="AY4" s="47"/>
      <c r="AZ4" s="36"/>
      <c r="BA4" s="36"/>
      <c r="BB4" s="36"/>
      <c r="BC4" s="36"/>
      <c r="BD4" s="36"/>
      <c r="BE4" s="36"/>
      <c r="BF4" s="36"/>
      <c r="BG4" s="43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8" customFormat="1" ht="15.75" x14ac:dyDescent="0.25">
      <c r="A5" s="72"/>
      <c r="B5" s="105" t="s">
        <v>317</v>
      </c>
      <c r="C5" s="73"/>
      <c r="D5" s="74" t="s">
        <v>251</v>
      </c>
      <c r="E5" s="75" t="s">
        <v>146</v>
      </c>
      <c r="F5" s="76" t="s">
        <v>147</v>
      </c>
      <c r="G5" s="77" t="s">
        <v>147</v>
      </c>
      <c r="H5" s="78"/>
      <c r="I5" s="75">
        <f t="shared" si="0"/>
        <v>11</v>
      </c>
      <c r="J5" s="75" t="str">
        <f t="shared" si="1"/>
        <v>Шкаф закрыт</v>
      </c>
      <c r="K5" s="79" t="s">
        <v>148</v>
      </c>
      <c r="L5" s="80" t="s">
        <v>63</v>
      </c>
      <c r="M5" s="81" t="s">
        <v>60</v>
      </c>
      <c r="N5" s="81" t="s">
        <v>61</v>
      </c>
      <c r="O5" s="81"/>
      <c r="P5" s="82"/>
      <c r="Q5" s="82"/>
      <c r="R5" s="81" t="s">
        <v>62</v>
      </c>
      <c r="S5" s="81" t="s">
        <v>62</v>
      </c>
      <c r="T5" s="81" t="s">
        <v>62</v>
      </c>
      <c r="U5" s="81" t="s">
        <v>62</v>
      </c>
      <c r="V5" s="73"/>
      <c r="W5" s="73"/>
      <c r="X5" s="81" t="s">
        <v>62</v>
      </c>
      <c r="Y5" s="81">
        <v>2</v>
      </c>
      <c r="Z5" s="73"/>
      <c r="AA5" s="83">
        <v>0</v>
      </c>
      <c r="AB5" s="83"/>
      <c r="AC5" s="83"/>
      <c r="AD5" s="83"/>
      <c r="AE5" s="83"/>
      <c r="AF5" s="83">
        <v>0</v>
      </c>
      <c r="AG5" s="83">
        <v>0</v>
      </c>
      <c r="AH5" s="83">
        <v>0</v>
      </c>
      <c r="AI5" s="84" t="s">
        <v>213</v>
      </c>
      <c r="AJ5" s="85" t="s">
        <v>217</v>
      </c>
      <c r="AK5" s="85" t="s">
        <v>116</v>
      </c>
      <c r="AL5" s="85" t="s">
        <v>74</v>
      </c>
      <c r="AM5" s="85" t="s">
        <v>87</v>
      </c>
      <c r="AN5" s="85"/>
      <c r="AO5" s="85" t="s">
        <v>77</v>
      </c>
      <c r="AP5" s="85" t="str">
        <f t="shared" ref="AP5" si="3">CONCATENATE(AJ5, ".", AL5)</f>
        <v>IDOR1.DCls.stVal</v>
      </c>
      <c r="AQ5" s="85" t="s">
        <v>73</v>
      </c>
      <c r="AR5" s="73">
        <v>0</v>
      </c>
      <c r="AS5" s="73">
        <v>1</v>
      </c>
      <c r="AT5" s="73">
        <v>0</v>
      </c>
      <c r="AU5" s="73">
        <v>1</v>
      </c>
      <c r="AV5" s="73">
        <v>1</v>
      </c>
      <c r="AW5" s="73">
        <v>1</v>
      </c>
      <c r="AX5" s="73">
        <v>1</v>
      </c>
      <c r="AY5" s="86"/>
      <c r="AZ5" s="73"/>
      <c r="BA5" s="73"/>
      <c r="BB5" s="73"/>
      <c r="BC5" s="73"/>
      <c r="BD5" s="73"/>
      <c r="BE5" s="73"/>
      <c r="BF5" s="73"/>
      <c r="BG5" s="87" t="str">
        <f t="shared" ref="BG5" si="4">CONCATENATE("description: """,F5,"""", ", ", "note: """,E5,"""",", ","group: """, B5, """",", ","minValue: ", S5,", ","maxValue: ", T5,", ","step: ", U5,", ","units: """, R5, """",", ","defaultValue: ", X5,", ","eventRegistration: ", Y5,)</f>
        <v>description: "Шкаф закрыт", note: "Дверь шкафа закрыта", group: "status", minValue: null, maxValue: null, step: null, units: "null", defaultValue: null, eventRegistration: 2</v>
      </c>
    </row>
    <row r="6" spans="1:16379" s="88" customFormat="1" ht="15.75" x14ac:dyDescent="0.25">
      <c r="A6" s="72"/>
      <c r="B6" s="105" t="s">
        <v>317</v>
      </c>
      <c r="C6" s="81"/>
      <c r="D6" s="74" t="s">
        <v>251</v>
      </c>
      <c r="E6" s="75" t="s">
        <v>149</v>
      </c>
      <c r="F6" s="75" t="s">
        <v>150</v>
      </c>
      <c r="G6" s="75" t="s">
        <v>150</v>
      </c>
      <c r="H6" s="75"/>
      <c r="I6" s="75">
        <f t="shared" si="0"/>
        <v>11</v>
      </c>
      <c r="J6" s="75" t="str">
        <f t="shared" si="1"/>
        <v>Шкаф открыт</v>
      </c>
      <c r="K6" s="72" t="s">
        <v>151</v>
      </c>
      <c r="L6" s="80" t="s">
        <v>63</v>
      </c>
      <c r="M6" s="81" t="s">
        <v>60</v>
      </c>
      <c r="N6" s="81" t="s">
        <v>61</v>
      </c>
      <c r="O6" s="81"/>
      <c r="P6" s="86"/>
      <c r="Q6" s="86"/>
      <c r="R6" s="81" t="s">
        <v>62</v>
      </c>
      <c r="S6" s="81" t="s">
        <v>62</v>
      </c>
      <c r="T6" s="81" t="s">
        <v>62</v>
      </c>
      <c r="U6" s="81" t="s">
        <v>62</v>
      </c>
      <c r="V6" s="81"/>
      <c r="W6" s="81"/>
      <c r="X6" s="81" t="s">
        <v>62</v>
      </c>
      <c r="Y6" s="81">
        <v>2</v>
      </c>
      <c r="Z6" s="79"/>
      <c r="AA6" s="83">
        <v>0</v>
      </c>
      <c r="AB6" s="83"/>
      <c r="AC6" s="83"/>
      <c r="AD6" s="83"/>
      <c r="AE6" s="83"/>
      <c r="AF6" s="83">
        <v>0</v>
      </c>
      <c r="AG6" s="83">
        <v>0</v>
      </c>
      <c r="AH6" s="83">
        <v>0</v>
      </c>
      <c r="AI6" s="84" t="s">
        <v>213</v>
      </c>
      <c r="AJ6" s="85" t="s">
        <v>218</v>
      </c>
      <c r="AK6" s="85" t="s">
        <v>116</v>
      </c>
      <c r="AL6" s="85" t="s">
        <v>74</v>
      </c>
      <c r="AM6" s="85" t="s">
        <v>87</v>
      </c>
      <c r="AN6" s="85"/>
      <c r="AO6" s="85" t="s">
        <v>77</v>
      </c>
      <c r="AP6" s="85" t="str">
        <f t="shared" ref="AP6" si="5">CONCATENATE(AJ6, ".", AL6)</f>
        <v>IDOR1.DOpn.stVal</v>
      </c>
      <c r="AQ6" s="85" t="s">
        <v>73</v>
      </c>
      <c r="AR6" s="73">
        <v>0</v>
      </c>
      <c r="AS6" s="73">
        <v>1</v>
      </c>
      <c r="AT6" s="73">
        <v>0</v>
      </c>
      <c r="AU6" s="73">
        <v>1</v>
      </c>
      <c r="AV6" s="73">
        <v>1</v>
      </c>
      <c r="AW6" s="73">
        <v>1</v>
      </c>
      <c r="AX6" s="73">
        <v>1</v>
      </c>
      <c r="AY6" s="86"/>
      <c r="AZ6" s="73"/>
      <c r="BA6" s="73"/>
      <c r="BB6" s="73"/>
      <c r="BC6" s="73"/>
      <c r="BD6" s="73"/>
      <c r="BE6" s="73"/>
      <c r="BF6" s="73"/>
      <c r="BG6" s="87" t="str">
        <f t="shared" si="2"/>
        <v>description: "Шкаф открыт", note: "Дверь шкафа открыта", group: "status", minValue: null, maxValue: null, step: null, units: "null", defaultValue: null, eventRegistration: 2</v>
      </c>
    </row>
    <row r="7" spans="1:16379" s="42" customFormat="1" ht="15.75" x14ac:dyDescent="0.25">
      <c r="A7" s="35"/>
      <c r="B7" s="105" t="s">
        <v>317</v>
      </c>
      <c r="C7" s="39"/>
      <c r="D7" s="20" t="s">
        <v>166</v>
      </c>
      <c r="E7" s="30" t="s">
        <v>306</v>
      </c>
      <c r="F7" s="30" t="s">
        <v>152</v>
      </c>
      <c r="G7" s="30" t="s">
        <v>152</v>
      </c>
      <c r="H7" s="30"/>
      <c r="I7" s="30">
        <f t="shared" si="0"/>
        <v>12</v>
      </c>
      <c r="J7" s="30" t="str">
        <f t="shared" si="1"/>
        <v>Цепь введена</v>
      </c>
      <c r="K7" s="35" t="s">
        <v>153</v>
      </c>
      <c r="L7" s="38" t="s">
        <v>63</v>
      </c>
      <c r="M7" s="39" t="s">
        <v>60</v>
      </c>
      <c r="N7" s="39" t="s">
        <v>61</v>
      </c>
      <c r="O7" s="39"/>
      <c r="P7" s="47"/>
      <c r="Q7" s="47"/>
      <c r="R7" s="39" t="s">
        <v>62</v>
      </c>
      <c r="S7" s="39" t="s">
        <v>62</v>
      </c>
      <c r="T7" s="39" t="s">
        <v>62</v>
      </c>
      <c r="U7" s="39" t="s">
        <v>62</v>
      </c>
      <c r="V7" s="39"/>
      <c r="W7" s="39"/>
      <c r="X7" s="39" t="s">
        <v>62</v>
      </c>
      <c r="Y7" s="39">
        <v>2</v>
      </c>
      <c r="Z7" s="37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6" t="s">
        <v>214</v>
      </c>
      <c r="AJ7" s="40" t="s">
        <v>219</v>
      </c>
      <c r="AK7" s="40" t="s">
        <v>116</v>
      </c>
      <c r="AL7" s="40" t="s">
        <v>74</v>
      </c>
      <c r="AM7" s="40" t="s">
        <v>87</v>
      </c>
      <c r="AN7" s="40"/>
      <c r="AO7" s="40" t="s">
        <v>77</v>
      </c>
      <c r="AP7" s="40" t="str">
        <f t="shared" ref="AP7" si="6">CONCATENATE(AJ7, ".", AL7)</f>
        <v>SELSWISOCC1.ClsCir.stVal</v>
      </c>
      <c r="AQ7" s="40" t="s">
        <v>73</v>
      </c>
      <c r="AR7" s="36">
        <v>0</v>
      </c>
      <c r="AS7" s="36">
        <v>1</v>
      </c>
      <c r="AT7" s="36">
        <v>0</v>
      </c>
      <c r="AU7" s="36">
        <v>1</v>
      </c>
      <c r="AV7" s="36">
        <v>1</v>
      </c>
      <c r="AW7" s="36">
        <v>1</v>
      </c>
      <c r="AX7" s="36">
        <v>1</v>
      </c>
      <c r="AY7" s="47"/>
      <c r="AZ7" s="36"/>
      <c r="BA7" s="36"/>
      <c r="BB7" s="36"/>
      <c r="BC7" s="36"/>
      <c r="BD7" s="36"/>
      <c r="BE7" s="36"/>
      <c r="BF7" s="36"/>
      <c r="BG7" s="43" t="str">
        <f t="shared" ref="BG7" si="7">CONCATENATE("description: """,F7,"""", ", ", "note: """,E7,"""",", ","group: """, B7, """",", ","minValue: ", S7,", ","maxValue: ", T7,", ","step: ", U7,", ","units: """, R7, """",", ","defaultValue: ", X7,", ","eventRegistration: ", Y7,)</f>
        <v>description: "Цепь введена", note: "Цепь управления введена", group: "status", minValue: null, maxValue: null, step: null, units: "null", defaultValue: null, eventRegistration: 2</v>
      </c>
    </row>
    <row r="8" spans="1:16379" s="88" customFormat="1" ht="15.75" x14ac:dyDescent="0.25">
      <c r="A8" s="72"/>
      <c r="B8" s="105" t="s">
        <v>317</v>
      </c>
      <c r="C8" s="81"/>
      <c r="D8" s="74" t="s">
        <v>167</v>
      </c>
      <c r="E8" s="75" t="s">
        <v>306</v>
      </c>
      <c r="F8" s="75" t="s">
        <v>152</v>
      </c>
      <c r="G8" s="75" t="s">
        <v>152</v>
      </c>
      <c r="H8" s="75"/>
      <c r="I8" s="75">
        <f t="shared" si="0"/>
        <v>12</v>
      </c>
      <c r="J8" s="75" t="str">
        <f t="shared" si="1"/>
        <v>Цепь введена</v>
      </c>
      <c r="K8" s="72" t="s">
        <v>154</v>
      </c>
      <c r="L8" s="80" t="s">
        <v>63</v>
      </c>
      <c r="M8" s="81" t="s">
        <v>60</v>
      </c>
      <c r="N8" s="81" t="s">
        <v>61</v>
      </c>
      <c r="O8" s="81"/>
      <c r="P8" s="86"/>
      <c r="Q8" s="86"/>
      <c r="R8" s="81" t="s">
        <v>62</v>
      </c>
      <c r="S8" s="81" t="s">
        <v>62</v>
      </c>
      <c r="T8" s="81" t="s">
        <v>62</v>
      </c>
      <c r="U8" s="81" t="s">
        <v>62</v>
      </c>
      <c r="V8" s="81"/>
      <c r="W8" s="81"/>
      <c r="X8" s="81" t="s">
        <v>62</v>
      </c>
      <c r="Y8" s="81">
        <v>2</v>
      </c>
      <c r="Z8" s="79"/>
      <c r="AA8" s="83">
        <v>0</v>
      </c>
      <c r="AB8" s="83"/>
      <c r="AC8" s="83"/>
      <c r="AD8" s="83"/>
      <c r="AE8" s="83"/>
      <c r="AF8" s="83">
        <v>0</v>
      </c>
      <c r="AG8" s="83">
        <v>0</v>
      </c>
      <c r="AH8" s="83">
        <v>0</v>
      </c>
      <c r="AI8" s="84" t="s">
        <v>214</v>
      </c>
      <c r="AJ8" s="85" t="s">
        <v>220</v>
      </c>
      <c r="AK8" s="85" t="s">
        <v>116</v>
      </c>
      <c r="AL8" s="85" t="s">
        <v>74</v>
      </c>
      <c r="AM8" s="85" t="s">
        <v>87</v>
      </c>
      <c r="AN8" s="85"/>
      <c r="AO8" s="85" t="s">
        <v>77</v>
      </c>
      <c r="AP8" s="85" t="str">
        <f t="shared" ref="AP8:AP17" si="8">CONCATENATE(AJ8, ".", AL8)</f>
        <v>SELSWISOCC2.ClsCir.stVal</v>
      </c>
      <c r="AQ8" s="85" t="s">
        <v>73</v>
      </c>
      <c r="AR8" s="73">
        <v>0</v>
      </c>
      <c r="AS8" s="73">
        <v>1</v>
      </c>
      <c r="AT8" s="73">
        <v>0</v>
      </c>
      <c r="AU8" s="73">
        <v>1</v>
      </c>
      <c r="AV8" s="73">
        <v>1</v>
      </c>
      <c r="AW8" s="73">
        <v>1</v>
      </c>
      <c r="AX8" s="73">
        <v>1</v>
      </c>
      <c r="AY8" s="86"/>
      <c r="AZ8" s="73"/>
      <c r="BA8" s="73"/>
      <c r="BB8" s="73"/>
      <c r="BC8" s="73"/>
      <c r="BD8" s="73"/>
      <c r="BE8" s="73"/>
      <c r="BF8" s="73"/>
      <c r="BG8" s="87" t="str">
        <f t="shared" si="2"/>
        <v>description: "Цепь введена", note: "Цепь управления введена", group: "status", minValue: null, maxValue: null, step: null, units: "null", defaultValue: null, eventRegistration: 2</v>
      </c>
    </row>
    <row r="9" spans="1:16379" s="42" customFormat="1" ht="15.75" x14ac:dyDescent="0.25">
      <c r="A9" s="35"/>
      <c r="B9" s="105" t="s">
        <v>317</v>
      </c>
      <c r="C9" s="39"/>
      <c r="D9" s="20" t="s">
        <v>168</v>
      </c>
      <c r="E9" s="30" t="s">
        <v>306</v>
      </c>
      <c r="F9" s="30" t="s">
        <v>152</v>
      </c>
      <c r="G9" s="30" t="s">
        <v>152</v>
      </c>
      <c r="H9" s="30"/>
      <c r="I9" s="30">
        <f t="shared" ref="I9:I17" si="9">LEN(F9)</f>
        <v>12</v>
      </c>
      <c r="J9" s="30" t="str">
        <f t="shared" ref="J9:J17" si="10">IF(LEN(F9)&lt;=$J$1,F9,"")</f>
        <v>Цепь введена</v>
      </c>
      <c r="K9" s="35" t="s">
        <v>155</v>
      </c>
      <c r="L9" s="38" t="s">
        <v>63</v>
      </c>
      <c r="M9" s="39" t="s">
        <v>60</v>
      </c>
      <c r="N9" s="39" t="s">
        <v>61</v>
      </c>
      <c r="O9" s="39"/>
      <c r="P9" s="47"/>
      <c r="Q9" s="47"/>
      <c r="R9" s="39" t="s">
        <v>62</v>
      </c>
      <c r="S9" s="39" t="s">
        <v>62</v>
      </c>
      <c r="T9" s="39" t="s">
        <v>62</v>
      </c>
      <c r="U9" s="39" t="s">
        <v>62</v>
      </c>
      <c r="V9" s="39"/>
      <c r="W9" s="39"/>
      <c r="X9" s="39" t="s">
        <v>62</v>
      </c>
      <c r="Y9" s="39">
        <v>2</v>
      </c>
      <c r="Z9" s="37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6" t="s">
        <v>214</v>
      </c>
      <c r="AJ9" s="40" t="s">
        <v>221</v>
      </c>
      <c r="AK9" s="40" t="s">
        <v>116</v>
      </c>
      <c r="AL9" s="40" t="s">
        <v>74</v>
      </c>
      <c r="AM9" s="40" t="s">
        <v>87</v>
      </c>
      <c r="AN9" s="40"/>
      <c r="AO9" s="40" t="s">
        <v>77</v>
      </c>
      <c r="AP9" s="40" t="str">
        <f t="shared" si="8"/>
        <v>SELSWISOCC3.ClsCir.stVal</v>
      </c>
      <c r="AQ9" s="40" t="s">
        <v>73</v>
      </c>
      <c r="AR9" s="36">
        <v>0</v>
      </c>
      <c r="AS9" s="36">
        <v>1</v>
      </c>
      <c r="AT9" s="36">
        <v>0</v>
      </c>
      <c r="AU9" s="36">
        <v>1</v>
      </c>
      <c r="AV9" s="36">
        <v>1</v>
      </c>
      <c r="AW9" s="36">
        <v>1</v>
      </c>
      <c r="AX9" s="36">
        <v>1</v>
      </c>
      <c r="AY9" s="47"/>
      <c r="AZ9" s="36"/>
      <c r="BA9" s="36"/>
      <c r="BB9" s="36"/>
      <c r="BC9" s="36"/>
      <c r="BD9" s="36"/>
      <c r="BE9" s="36"/>
      <c r="BF9" s="36"/>
      <c r="BG9" s="43" t="str">
        <f t="shared" ref="BG9:BG17" si="11">CONCATENATE("description: """,F9,"""", ", ", "note: """,E9,"""",", ","group: """, B9, """",", ","minValue: ", S9,", ","maxValue: ", T9,", ","step: ", U9,", ","units: """, R9, """",", ","defaultValue: ", X9,", ","eventRegistration: ", Y9,)</f>
        <v>description: "Цепь введена", note: "Цепь управления введена", group: "status", minValue: null, maxValue: null, step: null, units: "null", defaultValue: null, eventRegistration: 2</v>
      </c>
    </row>
    <row r="10" spans="1:16379" s="88" customFormat="1" ht="15.75" x14ac:dyDescent="0.25">
      <c r="A10" s="72"/>
      <c r="B10" s="105" t="s">
        <v>317</v>
      </c>
      <c r="C10" s="81"/>
      <c r="D10" s="74" t="s">
        <v>169</v>
      </c>
      <c r="E10" s="75" t="s">
        <v>306</v>
      </c>
      <c r="F10" s="75" t="s">
        <v>152</v>
      </c>
      <c r="G10" s="75" t="s">
        <v>152</v>
      </c>
      <c r="H10" s="75"/>
      <c r="I10" s="75">
        <f t="shared" si="9"/>
        <v>12</v>
      </c>
      <c r="J10" s="75" t="str">
        <f t="shared" si="10"/>
        <v>Цепь введена</v>
      </c>
      <c r="K10" s="72" t="s">
        <v>156</v>
      </c>
      <c r="L10" s="80" t="s">
        <v>63</v>
      </c>
      <c r="M10" s="81" t="s">
        <v>60</v>
      </c>
      <c r="N10" s="81" t="s">
        <v>61</v>
      </c>
      <c r="O10" s="81"/>
      <c r="P10" s="86"/>
      <c r="Q10" s="86"/>
      <c r="R10" s="81" t="s">
        <v>62</v>
      </c>
      <c r="S10" s="81" t="s">
        <v>62</v>
      </c>
      <c r="T10" s="81" t="s">
        <v>62</v>
      </c>
      <c r="U10" s="81" t="s">
        <v>62</v>
      </c>
      <c r="V10" s="81"/>
      <c r="W10" s="81"/>
      <c r="X10" s="81" t="s">
        <v>62</v>
      </c>
      <c r="Y10" s="81">
        <v>2</v>
      </c>
      <c r="Z10" s="79"/>
      <c r="AA10" s="83">
        <v>0</v>
      </c>
      <c r="AB10" s="83"/>
      <c r="AC10" s="83"/>
      <c r="AD10" s="83"/>
      <c r="AE10" s="83"/>
      <c r="AF10" s="83">
        <v>0</v>
      </c>
      <c r="AG10" s="83">
        <v>0</v>
      </c>
      <c r="AH10" s="83">
        <v>0</v>
      </c>
      <c r="AI10" s="84" t="s">
        <v>214</v>
      </c>
      <c r="AJ10" s="85" t="s">
        <v>222</v>
      </c>
      <c r="AK10" s="85" t="s">
        <v>116</v>
      </c>
      <c r="AL10" s="85" t="s">
        <v>74</v>
      </c>
      <c r="AM10" s="85" t="s">
        <v>87</v>
      </c>
      <c r="AN10" s="85"/>
      <c r="AO10" s="85" t="s">
        <v>77</v>
      </c>
      <c r="AP10" s="85" t="str">
        <f t="shared" si="8"/>
        <v>SELSWISOCC4.ClsCir.stVal</v>
      </c>
      <c r="AQ10" s="85" t="s">
        <v>73</v>
      </c>
      <c r="AR10" s="73">
        <v>0</v>
      </c>
      <c r="AS10" s="73">
        <v>1</v>
      </c>
      <c r="AT10" s="73">
        <v>0</v>
      </c>
      <c r="AU10" s="73">
        <v>1</v>
      </c>
      <c r="AV10" s="73">
        <v>1</v>
      </c>
      <c r="AW10" s="73">
        <v>1</v>
      </c>
      <c r="AX10" s="73">
        <v>1</v>
      </c>
      <c r="AY10" s="86"/>
      <c r="AZ10" s="73"/>
      <c r="BA10" s="73"/>
      <c r="BB10" s="73"/>
      <c r="BC10" s="73"/>
      <c r="BD10" s="73"/>
      <c r="BE10" s="73"/>
      <c r="BF10" s="73"/>
      <c r="BG10" s="87" t="str">
        <f t="shared" si="11"/>
        <v>description: "Цепь введена", note: "Цепь управления введена", group: "status", minValue: null, maxValue: null, step: null, units: "null", defaultValue: null, eventRegistration: 2</v>
      </c>
    </row>
    <row r="11" spans="1:16379" s="42" customFormat="1" ht="15.75" x14ac:dyDescent="0.25">
      <c r="A11" s="35"/>
      <c r="B11" s="105" t="s">
        <v>317</v>
      </c>
      <c r="C11" s="39"/>
      <c r="D11" s="20" t="s">
        <v>170</v>
      </c>
      <c r="E11" s="30" t="s">
        <v>307</v>
      </c>
      <c r="F11" s="30" t="s">
        <v>157</v>
      </c>
      <c r="G11" s="30" t="s">
        <v>157</v>
      </c>
      <c r="H11" s="30"/>
      <c r="I11" s="30">
        <f t="shared" si="9"/>
        <v>17</v>
      </c>
      <c r="J11" s="30" t="str">
        <f t="shared" si="10"/>
        <v>Рабочее положение</v>
      </c>
      <c r="K11" s="35" t="s">
        <v>158</v>
      </c>
      <c r="L11" s="38" t="s">
        <v>63</v>
      </c>
      <c r="M11" s="39" t="s">
        <v>60</v>
      </c>
      <c r="N11" s="39" t="s">
        <v>61</v>
      </c>
      <c r="O11" s="39"/>
      <c r="P11" s="47"/>
      <c r="Q11" s="47"/>
      <c r="R11" s="39" t="s">
        <v>62</v>
      </c>
      <c r="S11" s="39" t="s">
        <v>62</v>
      </c>
      <c r="T11" s="39" t="s">
        <v>62</v>
      </c>
      <c r="U11" s="39" t="s">
        <v>62</v>
      </c>
      <c r="V11" s="39"/>
      <c r="W11" s="39"/>
      <c r="X11" s="39" t="s">
        <v>62</v>
      </c>
      <c r="Y11" s="39">
        <v>2</v>
      </c>
      <c r="Z11" s="37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6" t="s">
        <v>215</v>
      </c>
      <c r="AJ11" s="40" t="s">
        <v>223</v>
      </c>
      <c r="AK11" s="40" t="s">
        <v>116</v>
      </c>
      <c r="AL11" s="40" t="s">
        <v>74</v>
      </c>
      <c r="AM11" s="40" t="s">
        <v>87</v>
      </c>
      <c r="AN11" s="40"/>
      <c r="AO11" s="40" t="s">
        <v>77</v>
      </c>
      <c r="AP11" s="40" t="str">
        <f t="shared" si="8"/>
        <v>PLGSOCC1.PwrPlgSupr.stVal</v>
      </c>
      <c r="AQ11" s="40" t="s">
        <v>73</v>
      </c>
      <c r="AR11" s="36">
        <v>0</v>
      </c>
      <c r="AS11" s="36">
        <v>1</v>
      </c>
      <c r="AT11" s="36">
        <v>0</v>
      </c>
      <c r="AU11" s="36">
        <v>1</v>
      </c>
      <c r="AV11" s="36">
        <v>1</v>
      </c>
      <c r="AW11" s="36">
        <v>1</v>
      </c>
      <c r="AX11" s="36">
        <v>1</v>
      </c>
      <c r="AY11" s="47"/>
      <c r="AZ11" s="36"/>
      <c r="BA11" s="36"/>
      <c r="BB11" s="36"/>
      <c r="BC11" s="36"/>
      <c r="BD11" s="36"/>
      <c r="BE11" s="36"/>
      <c r="BF11" s="36"/>
      <c r="BG11" s="43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2" spans="1:16379" s="88" customFormat="1" ht="15.75" x14ac:dyDescent="0.25">
      <c r="A12" s="72"/>
      <c r="B12" s="105" t="s">
        <v>317</v>
      </c>
      <c r="C12" s="81"/>
      <c r="D12" s="74" t="s">
        <v>171</v>
      </c>
      <c r="E12" s="75" t="s">
        <v>307</v>
      </c>
      <c r="F12" s="75" t="s">
        <v>157</v>
      </c>
      <c r="G12" s="75" t="s">
        <v>157</v>
      </c>
      <c r="H12" s="75"/>
      <c r="I12" s="75">
        <f t="shared" si="9"/>
        <v>17</v>
      </c>
      <c r="J12" s="75" t="str">
        <f t="shared" si="10"/>
        <v>Рабочее положение</v>
      </c>
      <c r="K12" s="72" t="s">
        <v>159</v>
      </c>
      <c r="L12" s="80" t="s">
        <v>63</v>
      </c>
      <c r="M12" s="81" t="s">
        <v>60</v>
      </c>
      <c r="N12" s="81" t="s">
        <v>61</v>
      </c>
      <c r="O12" s="81"/>
      <c r="P12" s="86"/>
      <c r="Q12" s="86"/>
      <c r="R12" s="81" t="s">
        <v>62</v>
      </c>
      <c r="S12" s="81" t="s">
        <v>62</v>
      </c>
      <c r="T12" s="81" t="s">
        <v>62</v>
      </c>
      <c r="U12" s="81" t="s">
        <v>62</v>
      </c>
      <c r="V12" s="81"/>
      <c r="W12" s="81"/>
      <c r="X12" s="81" t="s">
        <v>62</v>
      </c>
      <c r="Y12" s="81">
        <v>2</v>
      </c>
      <c r="Z12" s="79"/>
      <c r="AA12" s="83">
        <v>0</v>
      </c>
      <c r="AB12" s="83"/>
      <c r="AC12" s="83"/>
      <c r="AD12" s="83"/>
      <c r="AE12" s="83"/>
      <c r="AF12" s="83">
        <v>0</v>
      </c>
      <c r="AG12" s="83">
        <v>0</v>
      </c>
      <c r="AH12" s="83">
        <v>0</v>
      </c>
      <c r="AI12" s="84" t="s">
        <v>215</v>
      </c>
      <c r="AJ12" s="85" t="s">
        <v>224</v>
      </c>
      <c r="AK12" s="85" t="s">
        <v>116</v>
      </c>
      <c r="AL12" s="85" t="s">
        <v>74</v>
      </c>
      <c r="AM12" s="85" t="s">
        <v>87</v>
      </c>
      <c r="AN12" s="85"/>
      <c r="AO12" s="85" t="s">
        <v>77</v>
      </c>
      <c r="AP12" s="85" t="str">
        <f t="shared" si="8"/>
        <v>PLGSOCC2.PwrPlgSupr.stVal</v>
      </c>
      <c r="AQ12" s="85" t="s">
        <v>73</v>
      </c>
      <c r="AR12" s="73">
        <v>0</v>
      </c>
      <c r="AS12" s="73">
        <v>1</v>
      </c>
      <c r="AT12" s="73">
        <v>0</v>
      </c>
      <c r="AU12" s="73">
        <v>1</v>
      </c>
      <c r="AV12" s="73">
        <v>1</v>
      </c>
      <c r="AW12" s="73">
        <v>1</v>
      </c>
      <c r="AX12" s="73">
        <v>1</v>
      </c>
      <c r="AY12" s="86"/>
      <c r="AZ12" s="73"/>
      <c r="BA12" s="73"/>
      <c r="BB12" s="73"/>
      <c r="BC12" s="73"/>
      <c r="BD12" s="73"/>
      <c r="BE12" s="73"/>
      <c r="BF12" s="73"/>
      <c r="BG12" s="87" t="str">
        <f t="shared" si="11"/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3" spans="1:16379" s="42" customFormat="1" ht="15.75" x14ac:dyDescent="0.25">
      <c r="A13" s="35"/>
      <c r="B13" s="105" t="s">
        <v>317</v>
      </c>
      <c r="C13" s="39"/>
      <c r="D13" s="20" t="s">
        <v>269</v>
      </c>
      <c r="E13" s="30" t="s">
        <v>307</v>
      </c>
      <c r="F13" s="30" t="s">
        <v>157</v>
      </c>
      <c r="G13" s="30" t="s">
        <v>157</v>
      </c>
      <c r="H13" s="30"/>
      <c r="I13" s="30">
        <f t="shared" ref="I13" si="12">LEN(F13)</f>
        <v>17</v>
      </c>
      <c r="J13" s="30" t="str">
        <f t="shared" ref="J13" si="13">IF(LEN(F13)&lt;=$J$1,F13,"")</f>
        <v>Рабочее положение</v>
      </c>
      <c r="K13" s="35" t="s">
        <v>270</v>
      </c>
      <c r="L13" s="38" t="s">
        <v>63</v>
      </c>
      <c r="M13" s="39" t="s">
        <v>60</v>
      </c>
      <c r="N13" s="39" t="s">
        <v>61</v>
      </c>
      <c r="O13" s="39"/>
      <c r="P13" s="47"/>
      <c r="Q13" s="47"/>
      <c r="R13" s="39" t="s">
        <v>62</v>
      </c>
      <c r="S13" s="39" t="s">
        <v>62</v>
      </c>
      <c r="T13" s="39" t="s">
        <v>62</v>
      </c>
      <c r="U13" s="39" t="s">
        <v>62</v>
      </c>
      <c r="V13" s="39"/>
      <c r="W13" s="39"/>
      <c r="X13" s="39" t="s">
        <v>62</v>
      </c>
      <c r="Y13" s="39">
        <v>2</v>
      </c>
      <c r="Z13" s="37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26" t="s">
        <v>215</v>
      </c>
      <c r="AJ13" s="40" t="s">
        <v>297</v>
      </c>
      <c r="AK13" s="40" t="s">
        <v>116</v>
      </c>
      <c r="AL13" s="40" t="s">
        <v>74</v>
      </c>
      <c r="AM13" s="40" t="s">
        <v>87</v>
      </c>
      <c r="AN13" s="40"/>
      <c r="AO13" s="40" t="s">
        <v>77</v>
      </c>
      <c r="AP13" s="40" t="str">
        <f t="shared" ref="AP13" si="14">CONCATENATE(AJ13, ".", AL13)</f>
        <v>PLGSOCC3.PwrPlgSupr.stVal</v>
      </c>
      <c r="AQ13" s="40" t="s">
        <v>73</v>
      </c>
      <c r="AR13" s="36">
        <v>0</v>
      </c>
      <c r="AS13" s="36">
        <v>1</v>
      </c>
      <c r="AT13" s="36">
        <v>0</v>
      </c>
      <c r="AU13" s="36">
        <v>1</v>
      </c>
      <c r="AV13" s="36">
        <v>1</v>
      </c>
      <c r="AW13" s="36">
        <v>1</v>
      </c>
      <c r="AX13" s="36">
        <v>1</v>
      </c>
      <c r="AY13" s="47"/>
      <c r="AZ13" s="36"/>
      <c r="BA13" s="36"/>
      <c r="BB13" s="36"/>
      <c r="BC13" s="36"/>
      <c r="BD13" s="36"/>
      <c r="BE13" s="36"/>
      <c r="BF13" s="36"/>
      <c r="BG13" s="43" t="str">
        <f t="shared" ref="BG13" si="15"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"Рабочее положение", note: "Рабочее положение испытательного блока", group: "status", minValue: null, maxValue: null, step: null, units: "null", defaultValue: null, eventRegistration: 2</v>
      </c>
    </row>
    <row r="14" spans="1:16379" s="88" customFormat="1" ht="15.75" x14ac:dyDescent="0.25">
      <c r="A14" s="72"/>
      <c r="B14" s="105" t="s">
        <v>317</v>
      </c>
      <c r="C14" s="81"/>
      <c r="D14" s="74" t="s">
        <v>172</v>
      </c>
      <c r="E14" s="75" t="s">
        <v>160</v>
      </c>
      <c r="F14" s="75" t="s">
        <v>115</v>
      </c>
      <c r="G14" s="75" t="s">
        <v>115</v>
      </c>
      <c r="H14" s="75"/>
      <c r="I14" s="75">
        <f t="shared" si="9"/>
        <v>13</v>
      </c>
      <c r="J14" s="75" t="str">
        <f t="shared" si="10"/>
        <v>Неисправность</v>
      </c>
      <c r="K14" s="72" t="s">
        <v>161</v>
      </c>
      <c r="L14" s="80" t="s">
        <v>63</v>
      </c>
      <c r="M14" s="81" t="s">
        <v>60</v>
      </c>
      <c r="N14" s="81" t="s">
        <v>61</v>
      </c>
      <c r="O14" s="81"/>
      <c r="P14" s="86"/>
      <c r="Q14" s="86"/>
      <c r="R14" s="81" t="s">
        <v>62</v>
      </c>
      <c r="S14" s="81" t="s">
        <v>62</v>
      </c>
      <c r="T14" s="81" t="s">
        <v>62</v>
      </c>
      <c r="U14" s="81" t="s">
        <v>62</v>
      </c>
      <c r="V14" s="81"/>
      <c r="W14" s="81"/>
      <c r="X14" s="81" t="s">
        <v>62</v>
      </c>
      <c r="Y14" s="81">
        <v>2</v>
      </c>
      <c r="Z14" s="79"/>
      <c r="AA14" s="83">
        <v>0</v>
      </c>
      <c r="AB14" s="83"/>
      <c r="AC14" s="83"/>
      <c r="AD14" s="83"/>
      <c r="AE14" s="83"/>
      <c r="AF14" s="83">
        <v>0</v>
      </c>
      <c r="AG14" s="83">
        <v>0</v>
      </c>
      <c r="AH14" s="83">
        <v>0</v>
      </c>
      <c r="AI14" s="84" t="s">
        <v>216</v>
      </c>
      <c r="AJ14" s="85" t="s">
        <v>225</v>
      </c>
      <c r="AK14" s="85" t="s">
        <v>116</v>
      </c>
      <c r="AL14" s="85" t="s">
        <v>74</v>
      </c>
      <c r="AM14" s="85" t="s">
        <v>87</v>
      </c>
      <c r="AN14" s="85"/>
      <c r="AO14" s="85" t="s">
        <v>77</v>
      </c>
      <c r="AP14" s="85" t="str">
        <f t="shared" si="8"/>
        <v>AUXGASSOCC1.OCAlm.stVal</v>
      </c>
      <c r="AQ14" s="85" t="s">
        <v>73</v>
      </c>
      <c r="AR14" s="73">
        <v>0</v>
      </c>
      <c r="AS14" s="73">
        <v>1</v>
      </c>
      <c r="AT14" s="73">
        <v>0</v>
      </c>
      <c r="AU14" s="73">
        <v>1</v>
      </c>
      <c r="AV14" s="73">
        <v>1</v>
      </c>
      <c r="AW14" s="73">
        <v>1</v>
      </c>
      <c r="AX14" s="73">
        <v>1</v>
      </c>
      <c r="AY14" s="86"/>
      <c r="AZ14" s="73"/>
      <c r="BA14" s="73"/>
      <c r="BB14" s="73"/>
      <c r="BC14" s="73"/>
      <c r="BD14" s="73"/>
      <c r="BE14" s="73"/>
      <c r="BF14" s="73"/>
      <c r="BG14" s="87" t="str">
        <f t="shared" si="11"/>
        <v>description: "Неисправность", note: "Неисправность оперативного тока цепей ГЗ", group: "status", minValue: null, maxValue: null, step: null, units: "null", defaultValue: null, eventRegistration: 2</v>
      </c>
    </row>
    <row r="15" spans="1:16379" s="42" customFormat="1" ht="15.75" x14ac:dyDescent="0.25">
      <c r="A15" s="35"/>
      <c r="B15" s="105" t="s">
        <v>317</v>
      </c>
      <c r="C15" s="39"/>
      <c r="D15" s="20" t="s">
        <v>173</v>
      </c>
      <c r="E15" s="30" t="s">
        <v>162</v>
      </c>
      <c r="F15" s="30" t="s">
        <v>115</v>
      </c>
      <c r="G15" s="30" t="s">
        <v>115</v>
      </c>
      <c r="H15" s="30"/>
      <c r="I15" s="30">
        <f t="shared" si="9"/>
        <v>13</v>
      </c>
      <c r="J15" s="30" t="str">
        <f t="shared" si="10"/>
        <v>Неисправность</v>
      </c>
      <c r="K15" s="35" t="s">
        <v>163</v>
      </c>
      <c r="L15" s="38" t="s">
        <v>63</v>
      </c>
      <c r="M15" s="39" t="s">
        <v>60</v>
      </c>
      <c r="N15" s="39" t="s">
        <v>61</v>
      </c>
      <c r="O15" s="39"/>
      <c r="P15" s="47"/>
      <c r="Q15" s="47"/>
      <c r="R15" s="39" t="s">
        <v>62</v>
      </c>
      <c r="S15" s="39" t="s">
        <v>62</v>
      </c>
      <c r="T15" s="39" t="s">
        <v>62</v>
      </c>
      <c r="U15" s="39" t="s">
        <v>62</v>
      </c>
      <c r="V15" s="39"/>
      <c r="W15" s="39"/>
      <c r="X15" s="39" t="s">
        <v>62</v>
      </c>
      <c r="Y15" s="39">
        <v>2</v>
      </c>
      <c r="Z15" s="37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26" t="s">
        <v>216</v>
      </c>
      <c r="AJ15" s="40" t="s">
        <v>226</v>
      </c>
      <c r="AK15" s="40" t="s">
        <v>116</v>
      </c>
      <c r="AL15" s="40" t="s">
        <v>74</v>
      </c>
      <c r="AM15" s="40" t="s">
        <v>87</v>
      </c>
      <c r="AN15" s="40"/>
      <c r="AO15" s="40" t="s">
        <v>77</v>
      </c>
      <c r="AP15" s="40" t="str">
        <f t="shared" si="8"/>
        <v>AUXTECSOCC1.OCAlm.stVal</v>
      </c>
      <c r="AQ15" s="40" t="s">
        <v>73</v>
      </c>
      <c r="AR15" s="36">
        <v>0</v>
      </c>
      <c r="AS15" s="36">
        <v>1</v>
      </c>
      <c r="AT15" s="36">
        <v>0</v>
      </c>
      <c r="AU15" s="36">
        <v>1</v>
      </c>
      <c r="AV15" s="36">
        <v>1</v>
      </c>
      <c r="AW15" s="36">
        <v>1</v>
      </c>
      <c r="AX15" s="36">
        <v>1</v>
      </c>
      <c r="AY15" s="47"/>
      <c r="AZ15" s="36"/>
      <c r="BA15" s="36"/>
      <c r="BB15" s="36"/>
      <c r="BC15" s="36"/>
      <c r="BD15" s="36"/>
      <c r="BE15" s="36"/>
      <c r="BF15" s="36"/>
      <c r="BG15" s="43" t="str">
        <f t="shared" si="11"/>
        <v>description: "Неисправность", note: "Неисправность оперативного тока цепей ТЗ, ТС", group: "status", minValue: null, maxValue: null, step: null, units: "null", defaultValue: null, eventRegistration: 2</v>
      </c>
    </row>
    <row r="16" spans="1:16379" s="88" customFormat="1" ht="15.75" x14ac:dyDescent="0.25">
      <c r="A16" s="72"/>
      <c r="B16" s="105" t="s">
        <v>317</v>
      </c>
      <c r="C16" s="81"/>
      <c r="D16" s="74" t="s">
        <v>281</v>
      </c>
      <c r="E16" s="75" t="s">
        <v>271</v>
      </c>
      <c r="F16" s="75" t="s">
        <v>115</v>
      </c>
      <c r="G16" s="75" t="s">
        <v>115</v>
      </c>
      <c r="H16" s="75"/>
      <c r="I16" s="75">
        <f t="shared" si="9"/>
        <v>13</v>
      </c>
      <c r="J16" s="75" t="str">
        <f t="shared" si="10"/>
        <v>Неисправность</v>
      </c>
      <c r="K16" s="72" t="s">
        <v>164</v>
      </c>
      <c r="L16" s="80" t="s">
        <v>63</v>
      </c>
      <c r="M16" s="81" t="s">
        <v>60</v>
      </c>
      <c r="N16" s="81" t="s">
        <v>61</v>
      </c>
      <c r="O16" s="81"/>
      <c r="P16" s="86"/>
      <c r="Q16" s="86"/>
      <c r="R16" s="81" t="s">
        <v>62</v>
      </c>
      <c r="S16" s="81" t="s">
        <v>62</v>
      </c>
      <c r="T16" s="81" t="s">
        <v>62</v>
      </c>
      <c r="U16" s="81" t="s">
        <v>62</v>
      </c>
      <c r="V16" s="81"/>
      <c r="W16" s="81"/>
      <c r="X16" s="81" t="s">
        <v>62</v>
      </c>
      <c r="Y16" s="81">
        <v>2</v>
      </c>
      <c r="Z16" s="79"/>
      <c r="AA16" s="83">
        <v>0</v>
      </c>
      <c r="AB16" s="83"/>
      <c r="AC16" s="83"/>
      <c r="AD16" s="83"/>
      <c r="AE16" s="83"/>
      <c r="AF16" s="83">
        <v>0</v>
      </c>
      <c r="AG16" s="83">
        <v>0</v>
      </c>
      <c r="AH16" s="83">
        <v>0</v>
      </c>
      <c r="AI16" s="84" t="s">
        <v>216</v>
      </c>
      <c r="AJ16" s="85" t="s">
        <v>227</v>
      </c>
      <c r="AK16" s="85" t="s">
        <v>116</v>
      </c>
      <c r="AL16" s="85" t="s">
        <v>74</v>
      </c>
      <c r="AM16" s="85" t="s">
        <v>87</v>
      </c>
      <c r="AN16" s="85"/>
      <c r="AO16" s="85" t="s">
        <v>77</v>
      </c>
      <c r="AP16" s="85" t="str">
        <f t="shared" si="8"/>
        <v>ARCSOCC1.OCAlm.stVal</v>
      </c>
      <c r="AQ16" s="85" t="s">
        <v>73</v>
      </c>
      <c r="AR16" s="73">
        <v>0</v>
      </c>
      <c r="AS16" s="73">
        <v>1</v>
      </c>
      <c r="AT16" s="73">
        <v>0</v>
      </c>
      <c r="AU16" s="73">
        <v>1</v>
      </c>
      <c r="AV16" s="73">
        <v>1</v>
      </c>
      <c r="AW16" s="73">
        <v>1</v>
      </c>
      <c r="AX16" s="73">
        <v>1</v>
      </c>
      <c r="AY16" s="86"/>
      <c r="AZ16" s="73"/>
      <c r="BA16" s="73"/>
      <c r="BB16" s="73"/>
      <c r="BC16" s="73"/>
      <c r="BD16" s="73"/>
      <c r="BE16" s="73"/>
      <c r="BF16" s="73"/>
      <c r="BG16" s="87" t="str">
        <f t="shared" si="11"/>
        <v>description: "Неисправность", note: "Неисправность оперативного тока цепей ЗДЗ НН1", group: "status", minValue: null, maxValue: null, step: null, units: "null", defaultValue: null, eventRegistration: 2</v>
      </c>
    </row>
    <row r="17" spans="1:59" s="42" customFormat="1" ht="15.75" x14ac:dyDescent="0.25">
      <c r="A17" s="35"/>
      <c r="B17" s="105" t="s">
        <v>317</v>
      </c>
      <c r="C17" s="39"/>
      <c r="D17" s="20" t="s">
        <v>282</v>
      </c>
      <c r="E17" s="30" t="s">
        <v>272</v>
      </c>
      <c r="F17" s="30" t="s">
        <v>115</v>
      </c>
      <c r="G17" s="30" t="s">
        <v>115</v>
      </c>
      <c r="H17" s="30"/>
      <c r="I17" s="30">
        <f t="shared" si="9"/>
        <v>13</v>
      </c>
      <c r="J17" s="30" t="str">
        <f t="shared" si="10"/>
        <v>Неисправность</v>
      </c>
      <c r="K17" s="35" t="s">
        <v>165</v>
      </c>
      <c r="L17" s="38" t="s">
        <v>63</v>
      </c>
      <c r="M17" s="39" t="s">
        <v>60</v>
      </c>
      <c r="N17" s="39" t="s">
        <v>61</v>
      </c>
      <c r="O17" s="39"/>
      <c r="P17" s="47"/>
      <c r="Q17" s="47"/>
      <c r="R17" s="39" t="s">
        <v>62</v>
      </c>
      <c r="S17" s="39" t="s">
        <v>62</v>
      </c>
      <c r="T17" s="39" t="s">
        <v>62</v>
      </c>
      <c r="U17" s="39" t="s">
        <v>62</v>
      </c>
      <c r="V17" s="39"/>
      <c r="W17" s="39"/>
      <c r="X17" s="39" t="s">
        <v>62</v>
      </c>
      <c r="Y17" s="39">
        <v>2</v>
      </c>
      <c r="Z17" s="37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26" t="s">
        <v>216</v>
      </c>
      <c r="AJ17" s="40" t="s">
        <v>228</v>
      </c>
      <c r="AK17" s="40" t="s">
        <v>116</v>
      </c>
      <c r="AL17" s="40" t="s">
        <v>74</v>
      </c>
      <c r="AM17" s="40" t="s">
        <v>87</v>
      </c>
      <c r="AN17" s="40"/>
      <c r="AO17" s="40" t="s">
        <v>77</v>
      </c>
      <c r="AP17" s="40" t="str">
        <f t="shared" si="8"/>
        <v>BRFSOCC1.OCAlm.stVal</v>
      </c>
      <c r="AQ17" s="40" t="s">
        <v>73</v>
      </c>
      <c r="AR17" s="36">
        <v>0</v>
      </c>
      <c r="AS17" s="36">
        <v>1</v>
      </c>
      <c r="AT17" s="36">
        <v>0</v>
      </c>
      <c r="AU17" s="36">
        <v>1</v>
      </c>
      <c r="AV17" s="36">
        <v>1</v>
      </c>
      <c r="AW17" s="36">
        <v>1</v>
      </c>
      <c r="AX17" s="36">
        <v>1</v>
      </c>
      <c r="AY17" s="47"/>
      <c r="AZ17" s="36"/>
      <c r="BA17" s="36"/>
      <c r="BB17" s="36"/>
      <c r="BC17" s="36"/>
      <c r="BD17" s="36"/>
      <c r="BE17" s="36"/>
      <c r="BF17" s="36"/>
      <c r="BG17" s="43" t="str">
        <f t="shared" si="11"/>
        <v>description: "Неисправность", note: "Неисправность оперативного тока цепей УРОВ НН1", group: "status", minValue: null, maxValue: null, step: null, units: "null", defaultValue: null, eventRegistration: 2</v>
      </c>
    </row>
    <row r="18" spans="1:59" s="88" customFormat="1" ht="15.75" x14ac:dyDescent="0.25">
      <c r="A18" s="72"/>
      <c r="B18" s="105" t="s">
        <v>317</v>
      </c>
      <c r="C18" s="81"/>
      <c r="D18" s="74" t="s">
        <v>287</v>
      </c>
      <c r="E18" s="75" t="s">
        <v>273</v>
      </c>
      <c r="F18" s="75" t="s">
        <v>115</v>
      </c>
      <c r="G18" s="75" t="s">
        <v>115</v>
      </c>
      <c r="H18" s="75"/>
      <c r="I18" s="75">
        <f t="shared" ref="I18:I19" si="16">LEN(F18)</f>
        <v>13</v>
      </c>
      <c r="J18" s="75" t="str">
        <f t="shared" ref="J18:J19" si="17">IF(LEN(F18)&lt;=$J$1,F18,"")</f>
        <v>Неисправность</v>
      </c>
      <c r="K18" s="72" t="s">
        <v>275</v>
      </c>
      <c r="L18" s="80" t="s">
        <v>63</v>
      </c>
      <c r="M18" s="81" t="s">
        <v>60</v>
      </c>
      <c r="N18" s="81" t="s">
        <v>61</v>
      </c>
      <c r="O18" s="81"/>
      <c r="P18" s="86"/>
      <c r="Q18" s="86"/>
      <c r="R18" s="81" t="s">
        <v>62</v>
      </c>
      <c r="S18" s="81" t="s">
        <v>62</v>
      </c>
      <c r="T18" s="81" t="s">
        <v>62</v>
      </c>
      <c r="U18" s="81" t="s">
        <v>62</v>
      </c>
      <c r="V18" s="81"/>
      <c r="W18" s="81"/>
      <c r="X18" s="81" t="s">
        <v>62</v>
      </c>
      <c r="Y18" s="81">
        <v>2</v>
      </c>
      <c r="Z18" s="79"/>
      <c r="AA18" s="83">
        <v>0</v>
      </c>
      <c r="AB18" s="83"/>
      <c r="AC18" s="83"/>
      <c r="AD18" s="83"/>
      <c r="AE18" s="83"/>
      <c r="AF18" s="83">
        <v>0</v>
      </c>
      <c r="AG18" s="83">
        <v>0</v>
      </c>
      <c r="AH18" s="83">
        <v>0</v>
      </c>
      <c r="AI18" s="84" t="s">
        <v>216</v>
      </c>
      <c r="AJ18" s="85" t="s">
        <v>300</v>
      </c>
      <c r="AK18" s="85" t="s">
        <v>116</v>
      </c>
      <c r="AL18" s="85" t="s">
        <v>74</v>
      </c>
      <c r="AM18" s="85" t="s">
        <v>87</v>
      </c>
      <c r="AN18" s="85"/>
      <c r="AO18" s="85" t="s">
        <v>77</v>
      </c>
      <c r="AP18" s="85" t="str">
        <f t="shared" ref="AP18:AP19" si="18">CONCATENATE(AJ18, ".", AL18)</f>
        <v>ARCSOCC2.OCAlm.stVal</v>
      </c>
      <c r="AQ18" s="85" t="s">
        <v>73</v>
      </c>
      <c r="AR18" s="73">
        <v>0</v>
      </c>
      <c r="AS18" s="73">
        <v>1</v>
      </c>
      <c r="AT18" s="73">
        <v>0</v>
      </c>
      <c r="AU18" s="73">
        <v>1</v>
      </c>
      <c r="AV18" s="73">
        <v>1</v>
      </c>
      <c r="AW18" s="73">
        <v>1</v>
      </c>
      <c r="AX18" s="73">
        <v>1</v>
      </c>
      <c r="AY18" s="86"/>
      <c r="AZ18" s="73"/>
      <c r="BA18" s="73"/>
      <c r="BB18" s="73"/>
      <c r="BC18" s="73"/>
      <c r="BD18" s="73"/>
      <c r="BE18" s="73"/>
      <c r="BF18" s="73"/>
      <c r="BG18" s="87" t="str">
        <f t="shared" ref="BG18:BG19" si="19">CONCATENATE("description: """,F18,"""", ", ", "note: """,E18,"""",", ","group: """, B18, """",", ","minValue: ", S18,", ","maxValue: ", T18,", ","step: ", U18,", ","units: """, R18, """",", ","defaultValue: ", X18,", ","eventRegistration: ", Y18,)</f>
        <v>description: "Неисправность", note: "Неисправность оперативного тока цепей ЗДЗ НН2", group: "status", minValue: null, maxValue: null, step: null, units: "null", defaultValue: null, eventRegistration: 2</v>
      </c>
    </row>
    <row r="19" spans="1:59" s="42" customFormat="1" ht="15.75" x14ac:dyDescent="0.25">
      <c r="A19" s="35"/>
      <c r="B19" s="105" t="s">
        <v>317</v>
      </c>
      <c r="C19" s="39"/>
      <c r="D19" s="20" t="s">
        <v>288</v>
      </c>
      <c r="E19" s="30" t="s">
        <v>274</v>
      </c>
      <c r="F19" s="30" t="s">
        <v>115</v>
      </c>
      <c r="G19" s="30" t="s">
        <v>115</v>
      </c>
      <c r="H19" s="30"/>
      <c r="I19" s="30">
        <f t="shared" si="16"/>
        <v>13</v>
      </c>
      <c r="J19" s="30" t="str">
        <f t="shared" si="17"/>
        <v>Неисправность</v>
      </c>
      <c r="K19" s="35" t="s">
        <v>276</v>
      </c>
      <c r="L19" s="38" t="s">
        <v>63</v>
      </c>
      <c r="M19" s="39" t="s">
        <v>60</v>
      </c>
      <c r="N19" s="39" t="s">
        <v>61</v>
      </c>
      <c r="O19" s="39"/>
      <c r="P19" s="47"/>
      <c r="Q19" s="47"/>
      <c r="R19" s="39" t="s">
        <v>62</v>
      </c>
      <c r="S19" s="39" t="s">
        <v>62</v>
      </c>
      <c r="T19" s="39" t="s">
        <v>62</v>
      </c>
      <c r="U19" s="39" t="s">
        <v>62</v>
      </c>
      <c r="V19" s="39"/>
      <c r="W19" s="39"/>
      <c r="X19" s="39" t="s">
        <v>62</v>
      </c>
      <c r="Y19" s="39">
        <v>2</v>
      </c>
      <c r="Z19" s="37"/>
      <c r="AA19" s="25">
        <v>0</v>
      </c>
      <c r="AB19" s="25"/>
      <c r="AC19" s="25"/>
      <c r="AD19" s="25"/>
      <c r="AE19" s="25"/>
      <c r="AF19" s="25">
        <v>0</v>
      </c>
      <c r="AG19" s="25">
        <v>0</v>
      </c>
      <c r="AH19" s="25">
        <v>0</v>
      </c>
      <c r="AI19" s="26" t="s">
        <v>216</v>
      </c>
      <c r="AJ19" s="40" t="s">
        <v>301</v>
      </c>
      <c r="AK19" s="40" t="s">
        <v>116</v>
      </c>
      <c r="AL19" s="40" t="s">
        <v>74</v>
      </c>
      <c r="AM19" s="40" t="s">
        <v>87</v>
      </c>
      <c r="AN19" s="40"/>
      <c r="AO19" s="40" t="s">
        <v>77</v>
      </c>
      <c r="AP19" s="40" t="str">
        <f t="shared" si="18"/>
        <v>BRFSOCC2.OCAlm.stVal</v>
      </c>
      <c r="AQ19" s="40" t="s">
        <v>73</v>
      </c>
      <c r="AR19" s="36">
        <v>0</v>
      </c>
      <c r="AS19" s="36">
        <v>1</v>
      </c>
      <c r="AT19" s="36">
        <v>0</v>
      </c>
      <c r="AU19" s="36">
        <v>1</v>
      </c>
      <c r="AV19" s="36">
        <v>1</v>
      </c>
      <c r="AW19" s="36">
        <v>1</v>
      </c>
      <c r="AX19" s="36">
        <v>1</v>
      </c>
      <c r="AY19" s="47"/>
      <c r="AZ19" s="36"/>
      <c r="BA19" s="36"/>
      <c r="BB19" s="36"/>
      <c r="BC19" s="36"/>
      <c r="BD19" s="36"/>
      <c r="BE19" s="36"/>
      <c r="BF19" s="36"/>
      <c r="BG19" s="43" t="str">
        <f t="shared" si="19"/>
        <v>description: "Неисправность", note: "Неисправность оперативного тока цепей УРОВ НН2", group: "status", minValue: null, maxValue: null, step: null, units: "null", defaultValue: null, eventRegistration: 2</v>
      </c>
    </row>
    <row r="20" spans="1:59" s="66" customFormat="1" ht="15.75" x14ac:dyDescent="0.25">
      <c r="A20" s="51"/>
      <c r="B20" s="105" t="s">
        <v>317</v>
      </c>
      <c r="C20" s="53"/>
      <c r="D20" s="69"/>
      <c r="E20" s="55" t="s">
        <v>88</v>
      </c>
      <c r="F20" s="55" t="s">
        <v>89</v>
      </c>
      <c r="G20" s="55" t="s">
        <v>89</v>
      </c>
      <c r="H20" s="53"/>
      <c r="I20" s="55">
        <f t="shared" ref="I20:I35" si="20">LEN(F20)</f>
        <v>12</v>
      </c>
      <c r="J20" s="55" t="str">
        <f t="shared" ref="J20:J35" si="21">IF(LEN(F20)&lt;=$J$1,F20,"")</f>
        <v>Поведение LD</v>
      </c>
      <c r="K20" s="57" t="s">
        <v>90</v>
      </c>
      <c r="L20" s="58" t="s">
        <v>66</v>
      </c>
      <c r="M20" s="60" t="s">
        <v>60</v>
      </c>
      <c r="N20" s="60" t="s">
        <v>61</v>
      </c>
      <c r="O20" s="60"/>
      <c r="P20" s="53"/>
      <c r="Q20" s="53"/>
      <c r="R20" s="60" t="s">
        <v>62</v>
      </c>
      <c r="S20" s="60" t="s">
        <v>62</v>
      </c>
      <c r="T20" s="60" t="s">
        <v>62</v>
      </c>
      <c r="U20" s="60" t="s">
        <v>62</v>
      </c>
      <c r="V20" s="53"/>
      <c r="W20" s="53"/>
      <c r="X20" s="60" t="s">
        <v>62</v>
      </c>
      <c r="Y20" s="60">
        <v>0</v>
      </c>
      <c r="Z20" s="53"/>
      <c r="AA20" s="61">
        <v>0</v>
      </c>
      <c r="AB20" s="61"/>
      <c r="AC20" s="61"/>
      <c r="AD20" s="61"/>
      <c r="AE20" s="61"/>
      <c r="AF20" s="61">
        <v>0</v>
      </c>
      <c r="AG20" s="61">
        <v>0</v>
      </c>
      <c r="AH20" s="61">
        <v>0</v>
      </c>
      <c r="AI20" s="62" t="s">
        <v>67</v>
      </c>
      <c r="AJ20" s="63" t="s">
        <v>111</v>
      </c>
      <c r="AK20" s="63" t="s">
        <v>91</v>
      </c>
      <c r="AL20" s="63" t="s">
        <v>74</v>
      </c>
      <c r="AM20" s="63" t="s">
        <v>75</v>
      </c>
      <c r="AN20" s="63" t="s">
        <v>76</v>
      </c>
      <c r="AO20" s="63" t="s">
        <v>77</v>
      </c>
      <c r="AP20" s="63" t="str">
        <f t="shared" ref="AP20:AP35" si="22">CONCATENATE(AJ20, ".", AL20)</f>
        <v>LLN0.Beh.stVal</v>
      </c>
      <c r="AQ20" s="63" t="s">
        <v>73</v>
      </c>
      <c r="AR20" s="53">
        <v>0</v>
      </c>
      <c r="AS20" s="53">
        <v>0</v>
      </c>
      <c r="AT20" s="53">
        <v>0</v>
      </c>
      <c r="AU20" s="53">
        <v>0</v>
      </c>
      <c r="AV20" s="53">
        <f t="shared" ref="AV20:AV35" si="23">BIN2DEC(CONCATENATE(0,0,0,0,AR20,AS20,AT20,AU20))</f>
        <v>0</v>
      </c>
      <c r="AW20" s="53">
        <v>0</v>
      </c>
      <c r="AX20" s="53">
        <v>0</v>
      </c>
      <c r="AY20" s="64"/>
      <c r="AZ20" s="53"/>
      <c r="BA20" s="53"/>
      <c r="BB20" s="53"/>
      <c r="BC20" s="53"/>
      <c r="BD20" s="53"/>
      <c r="BE20" s="53"/>
      <c r="BF20" s="53"/>
      <c r="BG20" s="70" t="str">
        <f t="shared" ref="BG20:BG35" si="2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21" spans="1:59" s="66" customFormat="1" ht="15.75" x14ac:dyDescent="0.25">
      <c r="A21" s="51"/>
      <c r="B21" s="105" t="s">
        <v>317</v>
      </c>
      <c r="C21" s="53"/>
      <c r="D21" s="69"/>
      <c r="E21" s="55" t="s">
        <v>92</v>
      </c>
      <c r="F21" s="55" t="s">
        <v>93</v>
      </c>
      <c r="G21" s="55" t="s">
        <v>93</v>
      </c>
      <c r="H21" s="53"/>
      <c r="I21" s="55">
        <f t="shared" si="20"/>
        <v>14</v>
      </c>
      <c r="J21" s="55" t="str">
        <f t="shared" si="21"/>
        <v>Исправность LD</v>
      </c>
      <c r="K21" s="57" t="s">
        <v>94</v>
      </c>
      <c r="L21" s="58" t="s">
        <v>66</v>
      </c>
      <c r="M21" s="60" t="s">
        <v>60</v>
      </c>
      <c r="N21" s="60" t="s">
        <v>61</v>
      </c>
      <c r="O21" s="60"/>
      <c r="P21" s="71"/>
      <c r="Q21" s="71"/>
      <c r="R21" s="60" t="s">
        <v>62</v>
      </c>
      <c r="S21" s="60" t="s">
        <v>62</v>
      </c>
      <c r="T21" s="60" t="s">
        <v>62</v>
      </c>
      <c r="U21" s="60" t="s">
        <v>62</v>
      </c>
      <c r="V21" s="53"/>
      <c r="W21" s="53"/>
      <c r="X21" s="60" t="s">
        <v>62</v>
      </c>
      <c r="Y21" s="60">
        <v>0</v>
      </c>
      <c r="Z21" s="53"/>
      <c r="AA21" s="61">
        <v>0</v>
      </c>
      <c r="AB21" s="61"/>
      <c r="AC21" s="61"/>
      <c r="AD21" s="61"/>
      <c r="AE21" s="61"/>
      <c r="AF21" s="61">
        <v>0</v>
      </c>
      <c r="AG21" s="61">
        <v>0</v>
      </c>
      <c r="AH21" s="61">
        <v>0</v>
      </c>
      <c r="AI21" s="62" t="s">
        <v>67</v>
      </c>
      <c r="AJ21" s="63" t="s">
        <v>112</v>
      </c>
      <c r="AK21" s="63" t="s">
        <v>91</v>
      </c>
      <c r="AL21" s="63" t="s">
        <v>74</v>
      </c>
      <c r="AM21" s="63" t="s">
        <v>75</v>
      </c>
      <c r="AN21" s="63" t="s">
        <v>95</v>
      </c>
      <c r="AO21" s="63" t="s">
        <v>77</v>
      </c>
      <c r="AP21" s="63" t="str">
        <f t="shared" si="22"/>
        <v>LLN0.Health.stVal</v>
      </c>
      <c r="AQ21" s="63" t="s">
        <v>73</v>
      </c>
      <c r="AR21" s="53">
        <v>0</v>
      </c>
      <c r="AS21" s="53">
        <v>0</v>
      </c>
      <c r="AT21" s="53">
        <v>0</v>
      </c>
      <c r="AU21" s="53">
        <v>0</v>
      </c>
      <c r="AV21" s="53">
        <f t="shared" si="23"/>
        <v>0</v>
      </c>
      <c r="AW21" s="53">
        <v>0</v>
      </c>
      <c r="AX21" s="53">
        <v>0</v>
      </c>
      <c r="AY21" s="64"/>
      <c r="AZ21" s="53"/>
      <c r="BA21" s="53"/>
      <c r="BB21" s="53"/>
      <c r="BC21" s="53"/>
      <c r="BD21" s="53"/>
      <c r="BE21" s="53"/>
      <c r="BF21" s="53"/>
      <c r="BG21" s="70" t="str">
        <f t="shared" si="2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22" spans="1:59" s="42" customFormat="1" ht="15.75" x14ac:dyDescent="0.25">
      <c r="A22" s="35"/>
      <c r="B22" s="105" t="s">
        <v>317</v>
      </c>
      <c r="C22" s="36"/>
      <c r="D22" s="20" t="s">
        <v>251</v>
      </c>
      <c r="E22" s="30" t="s">
        <v>252</v>
      </c>
      <c r="F22" s="30" t="s">
        <v>96</v>
      </c>
      <c r="G22" s="30" t="s">
        <v>96</v>
      </c>
      <c r="H22" s="36"/>
      <c r="I22" s="30">
        <f t="shared" si="20"/>
        <v>9</v>
      </c>
      <c r="J22" s="30" t="str">
        <f t="shared" si="21"/>
        <v>Поведение</v>
      </c>
      <c r="K22" s="37" t="s">
        <v>174</v>
      </c>
      <c r="L22" s="38" t="s">
        <v>66</v>
      </c>
      <c r="M22" s="39" t="s">
        <v>60</v>
      </c>
      <c r="N22" s="39" t="s">
        <v>61</v>
      </c>
      <c r="O22" s="39"/>
      <c r="P22" s="36"/>
      <c r="Q22" s="36"/>
      <c r="R22" s="39" t="s">
        <v>62</v>
      </c>
      <c r="S22" s="39" t="s">
        <v>62</v>
      </c>
      <c r="T22" s="39" t="s">
        <v>62</v>
      </c>
      <c r="U22" s="39" t="s">
        <v>62</v>
      </c>
      <c r="V22" s="36"/>
      <c r="W22" s="36"/>
      <c r="X22" s="39" t="s">
        <v>62</v>
      </c>
      <c r="Y22" s="39">
        <v>0</v>
      </c>
      <c r="Z22" s="36"/>
      <c r="AA22" s="25">
        <v>0</v>
      </c>
      <c r="AB22" s="25"/>
      <c r="AC22" s="25"/>
      <c r="AD22" s="25"/>
      <c r="AE22" s="25"/>
      <c r="AF22" s="25">
        <v>0</v>
      </c>
      <c r="AG22" s="25">
        <v>0</v>
      </c>
      <c r="AH22" s="25">
        <v>0</v>
      </c>
      <c r="AI22" s="26" t="s">
        <v>213</v>
      </c>
      <c r="AJ22" s="40" t="s">
        <v>229</v>
      </c>
      <c r="AK22" s="40" t="s">
        <v>91</v>
      </c>
      <c r="AL22" s="40" t="s">
        <v>74</v>
      </c>
      <c r="AM22" s="40" t="s">
        <v>75</v>
      </c>
      <c r="AN22" s="40" t="s">
        <v>76</v>
      </c>
      <c r="AO22" s="40" t="s">
        <v>77</v>
      </c>
      <c r="AP22" s="40" t="str">
        <f t="shared" si="22"/>
        <v>IDOR1.Beh.stVal</v>
      </c>
      <c r="AQ22" s="40" t="s">
        <v>73</v>
      </c>
      <c r="AR22" s="36">
        <v>0</v>
      </c>
      <c r="AS22" s="36">
        <v>0</v>
      </c>
      <c r="AT22" s="36">
        <v>0</v>
      </c>
      <c r="AU22" s="36">
        <v>0</v>
      </c>
      <c r="AV22" s="36">
        <f t="shared" si="23"/>
        <v>0</v>
      </c>
      <c r="AW22" s="36">
        <v>0</v>
      </c>
      <c r="AX22" s="36">
        <v>0</v>
      </c>
      <c r="AY22" s="47"/>
      <c r="AZ22" s="41"/>
      <c r="BA22" s="41"/>
      <c r="BB22" s="41"/>
      <c r="BC22" s="41"/>
      <c r="BD22" s="41"/>
      <c r="BE22" s="41"/>
      <c r="BF22" s="41"/>
      <c r="BG22" s="43" t="str">
        <f t="shared" si="24"/>
        <v>description: "Поведение", note: "Индикация поведения логического узла Дверь", group: "status", minValue: null, maxValue: null, step: null, units: "null", defaultValue: null, eventRegistration: 0</v>
      </c>
    </row>
    <row r="23" spans="1:59" s="42" customFormat="1" ht="15.75" x14ac:dyDescent="0.25">
      <c r="A23" s="35"/>
      <c r="B23" s="105" t="s">
        <v>317</v>
      </c>
      <c r="C23" s="36"/>
      <c r="D23" s="20" t="s">
        <v>251</v>
      </c>
      <c r="E23" s="30" t="s">
        <v>253</v>
      </c>
      <c r="F23" s="30" t="s">
        <v>97</v>
      </c>
      <c r="G23" s="30" t="s">
        <v>97</v>
      </c>
      <c r="H23" s="36"/>
      <c r="I23" s="30">
        <f t="shared" si="20"/>
        <v>11</v>
      </c>
      <c r="J23" s="30" t="str">
        <f t="shared" si="21"/>
        <v>Исправность</v>
      </c>
      <c r="K23" s="37" t="s">
        <v>175</v>
      </c>
      <c r="L23" s="38" t="s">
        <v>66</v>
      </c>
      <c r="M23" s="39" t="s">
        <v>60</v>
      </c>
      <c r="N23" s="39" t="s">
        <v>61</v>
      </c>
      <c r="O23" s="39"/>
      <c r="P23" s="23"/>
      <c r="Q23" s="23"/>
      <c r="R23" s="39" t="s">
        <v>62</v>
      </c>
      <c r="S23" s="39" t="s">
        <v>62</v>
      </c>
      <c r="T23" s="39" t="s">
        <v>62</v>
      </c>
      <c r="U23" s="39" t="s">
        <v>62</v>
      </c>
      <c r="V23" s="36"/>
      <c r="W23" s="36"/>
      <c r="X23" s="39" t="s">
        <v>62</v>
      </c>
      <c r="Y23" s="39">
        <v>0</v>
      </c>
      <c r="Z23" s="36"/>
      <c r="AA23" s="25">
        <v>0</v>
      </c>
      <c r="AB23" s="25"/>
      <c r="AC23" s="25"/>
      <c r="AD23" s="25"/>
      <c r="AE23" s="25"/>
      <c r="AF23" s="25">
        <v>0</v>
      </c>
      <c r="AG23" s="25">
        <v>0</v>
      </c>
      <c r="AH23" s="25">
        <v>0</v>
      </c>
      <c r="AI23" s="26" t="s">
        <v>213</v>
      </c>
      <c r="AJ23" s="40" t="s">
        <v>230</v>
      </c>
      <c r="AK23" s="40" t="s">
        <v>91</v>
      </c>
      <c r="AL23" s="40" t="s">
        <v>74</v>
      </c>
      <c r="AM23" s="40" t="s">
        <v>75</v>
      </c>
      <c r="AN23" s="40" t="s">
        <v>95</v>
      </c>
      <c r="AO23" s="40" t="s">
        <v>77</v>
      </c>
      <c r="AP23" s="40" t="str">
        <f t="shared" si="22"/>
        <v>IDOR1.Health.stVal</v>
      </c>
      <c r="AQ23" s="40" t="s">
        <v>73</v>
      </c>
      <c r="AR23" s="36">
        <v>0</v>
      </c>
      <c r="AS23" s="36">
        <v>0</v>
      </c>
      <c r="AT23" s="36">
        <v>0</v>
      </c>
      <c r="AU23" s="36">
        <v>0</v>
      </c>
      <c r="AV23" s="36">
        <f t="shared" si="23"/>
        <v>0</v>
      </c>
      <c r="AW23" s="36">
        <v>0</v>
      </c>
      <c r="AX23" s="36">
        <v>0</v>
      </c>
      <c r="AY23" s="47"/>
      <c r="AZ23" s="41"/>
      <c r="BA23" s="41"/>
      <c r="BB23" s="41"/>
      <c r="BC23" s="41"/>
      <c r="BD23" s="41"/>
      <c r="BE23" s="41"/>
      <c r="BF23" s="41"/>
      <c r="BG23" s="43" t="str">
        <f t="shared" si="24"/>
        <v>description: "Исправность", note: "Индикация исправности логического узла Дверь", group: "status", minValue: null, maxValue: null, step: null, units: "null", defaultValue: null, eventRegistration: 0</v>
      </c>
    </row>
    <row r="24" spans="1:59" s="66" customFormat="1" ht="15.75" x14ac:dyDescent="0.25">
      <c r="A24" s="51"/>
      <c r="B24" s="105" t="s">
        <v>317</v>
      </c>
      <c r="C24" s="53"/>
      <c r="D24" s="101" t="s">
        <v>166</v>
      </c>
      <c r="E24" s="55" t="s">
        <v>176</v>
      </c>
      <c r="F24" s="55" t="s">
        <v>96</v>
      </c>
      <c r="G24" s="55" t="s">
        <v>96</v>
      </c>
      <c r="H24" s="53"/>
      <c r="I24" s="55">
        <f t="shared" si="20"/>
        <v>9</v>
      </c>
      <c r="J24" s="55" t="str">
        <f t="shared" si="21"/>
        <v>Поведение</v>
      </c>
      <c r="K24" s="57" t="s">
        <v>178</v>
      </c>
      <c r="L24" s="58" t="s">
        <v>66</v>
      </c>
      <c r="M24" s="60" t="s">
        <v>60</v>
      </c>
      <c r="N24" s="60" t="s">
        <v>61</v>
      </c>
      <c r="O24" s="60"/>
      <c r="P24" s="53"/>
      <c r="Q24" s="53"/>
      <c r="R24" s="60" t="s">
        <v>62</v>
      </c>
      <c r="S24" s="60" t="s">
        <v>62</v>
      </c>
      <c r="T24" s="60" t="s">
        <v>62</v>
      </c>
      <c r="U24" s="60" t="s">
        <v>62</v>
      </c>
      <c r="V24" s="53"/>
      <c r="W24" s="53"/>
      <c r="X24" s="60" t="s">
        <v>62</v>
      </c>
      <c r="Y24" s="60">
        <v>0</v>
      </c>
      <c r="Z24" s="53"/>
      <c r="AA24" s="61">
        <v>0</v>
      </c>
      <c r="AB24" s="61"/>
      <c r="AC24" s="61"/>
      <c r="AD24" s="61"/>
      <c r="AE24" s="61"/>
      <c r="AF24" s="61">
        <v>0</v>
      </c>
      <c r="AG24" s="61">
        <v>0</v>
      </c>
      <c r="AH24" s="61">
        <v>0</v>
      </c>
      <c r="AI24" s="62" t="s">
        <v>214</v>
      </c>
      <c r="AJ24" s="63" t="s">
        <v>231</v>
      </c>
      <c r="AK24" s="63" t="s">
        <v>91</v>
      </c>
      <c r="AL24" s="63" t="s">
        <v>74</v>
      </c>
      <c r="AM24" s="63" t="s">
        <v>75</v>
      </c>
      <c r="AN24" s="63" t="s">
        <v>76</v>
      </c>
      <c r="AO24" s="63" t="s">
        <v>77</v>
      </c>
      <c r="AP24" s="63" t="str">
        <f t="shared" si="22"/>
        <v>SELSWISOCC1.Beh.stVal</v>
      </c>
      <c r="AQ24" s="63" t="s">
        <v>73</v>
      </c>
      <c r="AR24" s="53">
        <v>0</v>
      </c>
      <c r="AS24" s="53">
        <v>0</v>
      </c>
      <c r="AT24" s="53">
        <v>0</v>
      </c>
      <c r="AU24" s="53">
        <v>0</v>
      </c>
      <c r="AV24" s="53">
        <f t="shared" si="23"/>
        <v>0</v>
      </c>
      <c r="AW24" s="53">
        <v>0</v>
      </c>
      <c r="AX24" s="53">
        <v>0</v>
      </c>
      <c r="AY24" s="64"/>
      <c r="AZ24" s="53"/>
      <c r="BA24" s="53"/>
      <c r="BB24" s="53"/>
      <c r="BC24" s="53"/>
      <c r="BD24" s="53"/>
      <c r="BE24" s="53"/>
      <c r="BF24" s="53"/>
      <c r="BG24" s="70" t="str">
        <f t="shared" si="24"/>
        <v>description: "Поведение", note: "Индикация поведения логического узла SA1", group: "status", minValue: null, maxValue: null, step: null, units: "null", defaultValue: null, eventRegistration: 0</v>
      </c>
    </row>
    <row r="25" spans="1:59" s="66" customFormat="1" ht="15.75" x14ac:dyDescent="0.25">
      <c r="A25" s="51"/>
      <c r="B25" s="105" t="s">
        <v>317</v>
      </c>
      <c r="C25" s="53"/>
      <c r="D25" s="101" t="s">
        <v>166</v>
      </c>
      <c r="E25" s="55" t="s">
        <v>177</v>
      </c>
      <c r="F25" s="55" t="s">
        <v>97</v>
      </c>
      <c r="G25" s="55" t="s">
        <v>97</v>
      </c>
      <c r="H25" s="53"/>
      <c r="I25" s="55">
        <f t="shared" si="20"/>
        <v>11</v>
      </c>
      <c r="J25" s="55" t="str">
        <f t="shared" si="21"/>
        <v>Исправность</v>
      </c>
      <c r="K25" s="57" t="s">
        <v>179</v>
      </c>
      <c r="L25" s="58" t="s">
        <v>66</v>
      </c>
      <c r="M25" s="60" t="s">
        <v>60</v>
      </c>
      <c r="N25" s="60" t="s">
        <v>61</v>
      </c>
      <c r="O25" s="60"/>
      <c r="P25" s="71"/>
      <c r="Q25" s="71"/>
      <c r="R25" s="60" t="s">
        <v>62</v>
      </c>
      <c r="S25" s="60" t="s">
        <v>62</v>
      </c>
      <c r="T25" s="60" t="s">
        <v>62</v>
      </c>
      <c r="U25" s="60" t="s">
        <v>62</v>
      </c>
      <c r="V25" s="53"/>
      <c r="W25" s="53"/>
      <c r="X25" s="60" t="s">
        <v>62</v>
      </c>
      <c r="Y25" s="60">
        <v>0</v>
      </c>
      <c r="Z25" s="53"/>
      <c r="AA25" s="61">
        <v>0</v>
      </c>
      <c r="AB25" s="61"/>
      <c r="AC25" s="61"/>
      <c r="AD25" s="61"/>
      <c r="AE25" s="61"/>
      <c r="AF25" s="61">
        <v>0</v>
      </c>
      <c r="AG25" s="61">
        <v>0</v>
      </c>
      <c r="AH25" s="61">
        <v>0</v>
      </c>
      <c r="AI25" s="62" t="s">
        <v>214</v>
      </c>
      <c r="AJ25" s="63" t="s">
        <v>232</v>
      </c>
      <c r="AK25" s="63" t="s">
        <v>91</v>
      </c>
      <c r="AL25" s="63" t="s">
        <v>74</v>
      </c>
      <c r="AM25" s="63" t="s">
        <v>75</v>
      </c>
      <c r="AN25" s="63" t="s">
        <v>95</v>
      </c>
      <c r="AO25" s="63" t="s">
        <v>77</v>
      </c>
      <c r="AP25" s="63" t="str">
        <f t="shared" si="22"/>
        <v>SELSWISOCC1.Health.stVal</v>
      </c>
      <c r="AQ25" s="63" t="s">
        <v>73</v>
      </c>
      <c r="AR25" s="53">
        <v>0</v>
      </c>
      <c r="AS25" s="53">
        <v>0</v>
      </c>
      <c r="AT25" s="53">
        <v>0</v>
      </c>
      <c r="AU25" s="53">
        <v>0</v>
      </c>
      <c r="AV25" s="53">
        <f t="shared" si="23"/>
        <v>0</v>
      </c>
      <c r="AW25" s="53">
        <v>0</v>
      </c>
      <c r="AX25" s="53">
        <v>0</v>
      </c>
      <c r="AY25" s="64"/>
      <c r="AZ25" s="53"/>
      <c r="BA25" s="53"/>
      <c r="BB25" s="53"/>
      <c r="BC25" s="53"/>
      <c r="BD25" s="53"/>
      <c r="BE25" s="53"/>
      <c r="BF25" s="53"/>
      <c r="BG25" s="70" t="str">
        <f t="shared" si="24"/>
        <v>description: "Исправность", note: "Индикация исправности логического узла SA1", group: "status", minValue: null, maxValue: null, step: null, units: "null", defaultValue: null, eventRegistration: 0</v>
      </c>
    </row>
    <row r="26" spans="1:59" s="42" customFormat="1" ht="15.75" x14ac:dyDescent="0.25">
      <c r="A26" s="35"/>
      <c r="B26" s="105" t="s">
        <v>317</v>
      </c>
      <c r="C26" s="36"/>
      <c r="D26" s="20" t="s">
        <v>167</v>
      </c>
      <c r="E26" s="30" t="s">
        <v>180</v>
      </c>
      <c r="F26" s="30" t="s">
        <v>96</v>
      </c>
      <c r="G26" s="30" t="s">
        <v>96</v>
      </c>
      <c r="H26" s="36"/>
      <c r="I26" s="30">
        <f t="shared" si="20"/>
        <v>9</v>
      </c>
      <c r="J26" s="30" t="str">
        <f t="shared" si="21"/>
        <v>Поведение</v>
      </c>
      <c r="K26" s="37" t="s">
        <v>182</v>
      </c>
      <c r="L26" s="38" t="s">
        <v>66</v>
      </c>
      <c r="M26" s="39" t="s">
        <v>60</v>
      </c>
      <c r="N26" s="39" t="s">
        <v>61</v>
      </c>
      <c r="O26" s="39"/>
      <c r="P26" s="36"/>
      <c r="Q26" s="36"/>
      <c r="R26" s="39" t="s">
        <v>62</v>
      </c>
      <c r="S26" s="39" t="s">
        <v>62</v>
      </c>
      <c r="T26" s="39" t="s">
        <v>62</v>
      </c>
      <c r="U26" s="39" t="s">
        <v>62</v>
      </c>
      <c r="V26" s="36"/>
      <c r="W26" s="36"/>
      <c r="X26" s="39" t="s">
        <v>62</v>
      </c>
      <c r="Y26" s="39">
        <v>0</v>
      </c>
      <c r="Z26" s="36"/>
      <c r="AA26" s="25">
        <v>0</v>
      </c>
      <c r="AB26" s="25"/>
      <c r="AC26" s="25"/>
      <c r="AD26" s="25"/>
      <c r="AE26" s="25"/>
      <c r="AF26" s="25">
        <v>0</v>
      </c>
      <c r="AG26" s="25">
        <v>0</v>
      </c>
      <c r="AH26" s="25">
        <v>0</v>
      </c>
      <c r="AI26" s="26" t="s">
        <v>214</v>
      </c>
      <c r="AJ26" s="40" t="s">
        <v>233</v>
      </c>
      <c r="AK26" s="40" t="s">
        <v>91</v>
      </c>
      <c r="AL26" s="40" t="s">
        <v>74</v>
      </c>
      <c r="AM26" s="40" t="s">
        <v>75</v>
      </c>
      <c r="AN26" s="40" t="s">
        <v>76</v>
      </c>
      <c r="AO26" s="40" t="s">
        <v>77</v>
      </c>
      <c r="AP26" s="40" t="str">
        <f t="shared" si="22"/>
        <v>SELSWISOCC2.Beh.stVal</v>
      </c>
      <c r="AQ26" s="40" t="s">
        <v>73</v>
      </c>
      <c r="AR26" s="36">
        <v>0</v>
      </c>
      <c r="AS26" s="36">
        <v>0</v>
      </c>
      <c r="AT26" s="36">
        <v>0</v>
      </c>
      <c r="AU26" s="36">
        <v>0</v>
      </c>
      <c r="AV26" s="36">
        <f t="shared" si="23"/>
        <v>0</v>
      </c>
      <c r="AW26" s="36">
        <v>0</v>
      </c>
      <c r="AX26" s="36">
        <v>0</v>
      </c>
      <c r="AY26" s="47"/>
      <c r="AZ26" s="41"/>
      <c r="BA26" s="41"/>
      <c r="BB26" s="41"/>
      <c r="BC26" s="41"/>
      <c r="BD26" s="41"/>
      <c r="BE26" s="41"/>
      <c r="BF26" s="41"/>
      <c r="BG26" s="43" t="str">
        <f t="shared" si="24"/>
        <v>description: "Поведение", note: "Индикация поведения логического узла SA2", group: "status", minValue: null, maxValue: null, step: null, units: "null", defaultValue: null, eventRegistration: 0</v>
      </c>
    </row>
    <row r="27" spans="1:59" s="42" customFormat="1" ht="15.75" x14ac:dyDescent="0.25">
      <c r="A27" s="35"/>
      <c r="B27" s="105" t="s">
        <v>317</v>
      </c>
      <c r="C27" s="36"/>
      <c r="D27" s="20" t="s">
        <v>167</v>
      </c>
      <c r="E27" s="30" t="s">
        <v>181</v>
      </c>
      <c r="F27" s="30" t="s">
        <v>97</v>
      </c>
      <c r="G27" s="30" t="s">
        <v>97</v>
      </c>
      <c r="H27" s="36"/>
      <c r="I27" s="30">
        <f t="shared" si="20"/>
        <v>11</v>
      </c>
      <c r="J27" s="30" t="str">
        <f t="shared" si="21"/>
        <v>Исправность</v>
      </c>
      <c r="K27" s="37" t="s">
        <v>183</v>
      </c>
      <c r="L27" s="38" t="s">
        <v>66</v>
      </c>
      <c r="M27" s="39" t="s">
        <v>60</v>
      </c>
      <c r="N27" s="39" t="s">
        <v>61</v>
      </c>
      <c r="O27" s="39"/>
      <c r="P27" s="23"/>
      <c r="Q27" s="23"/>
      <c r="R27" s="39" t="s">
        <v>62</v>
      </c>
      <c r="S27" s="39" t="s">
        <v>62</v>
      </c>
      <c r="T27" s="39" t="s">
        <v>62</v>
      </c>
      <c r="U27" s="39" t="s">
        <v>62</v>
      </c>
      <c r="V27" s="36"/>
      <c r="W27" s="36"/>
      <c r="X27" s="39" t="s">
        <v>62</v>
      </c>
      <c r="Y27" s="39">
        <v>0</v>
      </c>
      <c r="Z27" s="36"/>
      <c r="AA27" s="25">
        <v>0</v>
      </c>
      <c r="AB27" s="25"/>
      <c r="AC27" s="25"/>
      <c r="AD27" s="25"/>
      <c r="AE27" s="25"/>
      <c r="AF27" s="25">
        <v>0</v>
      </c>
      <c r="AG27" s="25">
        <v>0</v>
      </c>
      <c r="AH27" s="25">
        <v>0</v>
      </c>
      <c r="AI27" s="26" t="s">
        <v>214</v>
      </c>
      <c r="AJ27" s="40" t="s">
        <v>234</v>
      </c>
      <c r="AK27" s="40" t="s">
        <v>91</v>
      </c>
      <c r="AL27" s="40" t="s">
        <v>74</v>
      </c>
      <c r="AM27" s="40" t="s">
        <v>75</v>
      </c>
      <c r="AN27" s="40" t="s">
        <v>95</v>
      </c>
      <c r="AO27" s="40" t="s">
        <v>77</v>
      </c>
      <c r="AP27" s="40" t="str">
        <f t="shared" si="22"/>
        <v>SELSWISOCC2.Health.stVal</v>
      </c>
      <c r="AQ27" s="40" t="s">
        <v>73</v>
      </c>
      <c r="AR27" s="36">
        <v>0</v>
      </c>
      <c r="AS27" s="36">
        <v>0</v>
      </c>
      <c r="AT27" s="36">
        <v>0</v>
      </c>
      <c r="AU27" s="36">
        <v>0</v>
      </c>
      <c r="AV27" s="36">
        <f t="shared" si="23"/>
        <v>0</v>
      </c>
      <c r="AW27" s="36">
        <v>0</v>
      </c>
      <c r="AX27" s="36">
        <v>0</v>
      </c>
      <c r="AY27" s="47"/>
      <c r="AZ27" s="41"/>
      <c r="BA27" s="41"/>
      <c r="BB27" s="41"/>
      <c r="BC27" s="41"/>
      <c r="BD27" s="41"/>
      <c r="BE27" s="41"/>
      <c r="BF27" s="41"/>
      <c r="BG27" s="43" t="str">
        <f t="shared" si="24"/>
        <v>description: "Исправность", note: "Индикация исправности логического узла SA2", group: "status", minValue: null, maxValue: null, step: null, units: "null", defaultValue: null, eventRegistration: 0</v>
      </c>
    </row>
    <row r="28" spans="1:59" s="66" customFormat="1" ht="15.75" x14ac:dyDescent="0.25">
      <c r="A28" s="51"/>
      <c r="B28" s="105" t="s">
        <v>317</v>
      </c>
      <c r="C28" s="53"/>
      <c r="D28" s="101" t="s">
        <v>168</v>
      </c>
      <c r="E28" s="55" t="s">
        <v>184</v>
      </c>
      <c r="F28" s="55" t="s">
        <v>96</v>
      </c>
      <c r="G28" s="55" t="s">
        <v>96</v>
      </c>
      <c r="H28" s="53"/>
      <c r="I28" s="55">
        <f t="shared" si="20"/>
        <v>9</v>
      </c>
      <c r="J28" s="55" t="str">
        <f t="shared" si="21"/>
        <v>Поведение</v>
      </c>
      <c r="K28" s="57" t="s">
        <v>186</v>
      </c>
      <c r="L28" s="58" t="s">
        <v>66</v>
      </c>
      <c r="M28" s="60" t="s">
        <v>60</v>
      </c>
      <c r="N28" s="60" t="s">
        <v>61</v>
      </c>
      <c r="O28" s="60"/>
      <c r="P28" s="53"/>
      <c r="Q28" s="53"/>
      <c r="R28" s="60" t="s">
        <v>62</v>
      </c>
      <c r="S28" s="60" t="s">
        <v>62</v>
      </c>
      <c r="T28" s="60" t="s">
        <v>62</v>
      </c>
      <c r="U28" s="60" t="s">
        <v>62</v>
      </c>
      <c r="V28" s="53"/>
      <c r="W28" s="53"/>
      <c r="X28" s="60" t="s">
        <v>62</v>
      </c>
      <c r="Y28" s="60">
        <v>0</v>
      </c>
      <c r="Z28" s="53"/>
      <c r="AA28" s="61">
        <v>0</v>
      </c>
      <c r="AB28" s="61"/>
      <c r="AC28" s="61"/>
      <c r="AD28" s="61"/>
      <c r="AE28" s="61"/>
      <c r="AF28" s="61">
        <v>0</v>
      </c>
      <c r="AG28" s="61">
        <v>0</v>
      </c>
      <c r="AH28" s="61">
        <v>0</v>
      </c>
      <c r="AI28" s="62" t="s">
        <v>214</v>
      </c>
      <c r="AJ28" s="63" t="s">
        <v>235</v>
      </c>
      <c r="AK28" s="63" t="s">
        <v>91</v>
      </c>
      <c r="AL28" s="63" t="s">
        <v>74</v>
      </c>
      <c r="AM28" s="63" t="s">
        <v>75</v>
      </c>
      <c r="AN28" s="63" t="s">
        <v>76</v>
      </c>
      <c r="AO28" s="63" t="s">
        <v>77</v>
      </c>
      <c r="AP28" s="63" t="str">
        <f t="shared" si="22"/>
        <v>SELSWISOCC3.Beh.stVal</v>
      </c>
      <c r="AQ28" s="63" t="s">
        <v>73</v>
      </c>
      <c r="AR28" s="53">
        <v>0</v>
      </c>
      <c r="AS28" s="53">
        <v>0</v>
      </c>
      <c r="AT28" s="53">
        <v>0</v>
      </c>
      <c r="AU28" s="53">
        <v>0</v>
      </c>
      <c r="AV28" s="53">
        <f t="shared" si="23"/>
        <v>0</v>
      </c>
      <c r="AW28" s="53">
        <v>0</v>
      </c>
      <c r="AX28" s="53">
        <v>0</v>
      </c>
      <c r="AY28" s="64"/>
      <c r="AZ28" s="53"/>
      <c r="BA28" s="53"/>
      <c r="BB28" s="53"/>
      <c r="BC28" s="53"/>
      <c r="BD28" s="53"/>
      <c r="BE28" s="53"/>
      <c r="BF28" s="53"/>
      <c r="BG28" s="70" t="str">
        <f t="shared" si="24"/>
        <v>description: "Поведение", note: "Индикация поведения логического узла SA3", group: "status", minValue: null, maxValue: null, step: null, units: "null", defaultValue: null, eventRegistration: 0</v>
      </c>
    </row>
    <row r="29" spans="1:59" s="66" customFormat="1" ht="15.75" x14ac:dyDescent="0.25">
      <c r="A29" s="51"/>
      <c r="B29" s="105" t="s">
        <v>317</v>
      </c>
      <c r="C29" s="53"/>
      <c r="D29" s="101" t="s">
        <v>168</v>
      </c>
      <c r="E29" s="55" t="s">
        <v>185</v>
      </c>
      <c r="F29" s="55" t="s">
        <v>97</v>
      </c>
      <c r="G29" s="55" t="s">
        <v>97</v>
      </c>
      <c r="H29" s="53"/>
      <c r="I29" s="55">
        <f t="shared" si="20"/>
        <v>11</v>
      </c>
      <c r="J29" s="55" t="str">
        <f t="shared" si="21"/>
        <v>Исправность</v>
      </c>
      <c r="K29" s="57" t="s">
        <v>187</v>
      </c>
      <c r="L29" s="58" t="s">
        <v>66</v>
      </c>
      <c r="M29" s="60" t="s">
        <v>60</v>
      </c>
      <c r="N29" s="60" t="s">
        <v>61</v>
      </c>
      <c r="O29" s="60"/>
      <c r="P29" s="71"/>
      <c r="Q29" s="71"/>
      <c r="R29" s="60" t="s">
        <v>62</v>
      </c>
      <c r="S29" s="60" t="s">
        <v>62</v>
      </c>
      <c r="T29" s="60" t="s">
        <v>62</v>
      </c>
      <c r="U29" s="60" t="s">
        <v>62</v>
      </c>
      <c r="V29" s="53"/>
      <c r="W29" s="53"/>
      <c r="X29" s="60" t="s">
        <v>62</v>
      </c>
      <c r="Y29" s="60">
        <v>0</v>
      </c>
      <c r="Z29" s="53"/>
      <c r="AA29" s="61">
        <v>0</v>
      </c>
      <c r="AB29" s="61"/>
      <c r="AC29" s="61"/>
      <c r="AD29" s="61"/>
      <c r="AE29" s="61"/>
      <c r="AF29" s="61">
        <v>0</v>
      </c>
      <c r="AG29" s="61">
        <v>0</v>
      </c>
      <c r="AH29" s="61">
        <v>0</v>
      </c>
      <c r="AI29" s="62" t="s">
        <v>214</v>
      </c>
      <c r="AJ29" s="63" t="s">
        <v>236</v>
      </c>
      <c r="AK29" s="63" t="s">
        <v>91</v>
      </c>
      <c r="AL29" s="63" t="s">
        <v>74</v>
      </c>
      <c r="AM29" s="63" t="s">
        <v>75</v>
      </c>
      <c r="AN29" s="63" t="s">
        <v>95</v>
      </c>
      <c r="AO29" s="63" t="s">
        <v>77</v>
      </c>
      <c r="AP29" s="63" t="str">
        <f t="shared" si="22"/>
        <v>SELSWISOCC3.Health.stVal</v>
      </c>
      <c r="AQ29" s="63" t="s">
        <v>73</v>
      </c>
      <c r="AR29" s="53">
        <v>0</v>
      </c>
      <c r="AS29" s="53">
        <v>0</v>
      </c>
      <c r="AT29" s="53">
        <v>0</v>
      </c>
      <c r="AU29" s="53">
        <v>0</v>
      </c>
      <c r="AV29" s="53">
        <f t="shared" si="23"/>
        <v>0</v>
      </c>
      <c r="AW29" s="53">
        <v>0</v>
      </c>
      <c r="AX29" s="53">
        <v>0</v>
      </c>
      <c r="AY29" s="64"/>
      <c r="AZ29" s="53"/>
      <c r="BA29" s="53"/>
      <c r="BB29" s="53"/>
      <c r="BC29" s="53"/>
      <c r="BD29" s="53"/>
      <c r="BE29" s="53"/>
      <c r="BF29" s="53"/>
      <c r="BG29" s="70" t="str">
        <f t="shared" si="24"/>
        <v>description: "Исправность", note: "Индикация исправности логического узла SA3", group: "status", minValue: null, maxValue: null, step: null, units: "null", defaultValue: null, eventRegistration: 0</v>
      </c>
    </row>
    <row r="30" spans="1:59" s="42" customFormat="1" ht="15.75" x14ac:dyDescent="0.25">
      <c r="A30" s="35"/>
      <c r="B30" s="105" t="s">
        <v>317</v>
      </c>
      <c r="C30" s="36"/>
      <c r="D30" s="20" t="s">
        <v>169</v>
      </c>
      <c r="E30" s="30" t="s">
        <v>188</v>
      </c>
      <c r="F30" s="30" t="s">
        <v>96</v>
      </c>
      <c r="G30" s="30" t="s">
        <v>96</v>
      </c>
      <c r="H30" s="36"/>
      <c r="I30" s="30">
        <f t="shared" si="20"/>
        <v>9</v>
      </c>
      <c r="J30" s="30" t="str">
        <f t="shared" si="21"/>
        <v>Поведение</v>
      </c>
      <c r="K30" s="37" t="s">
        <v>190</v>
      </c>
      <c r="L30" s="38" t="s">
        <v>66</v>
      </c>
      <c r="M30" s="39" t="s">
        <v>60</v>
      </c>
      <c r="N30" s="39" t="s">
        <v>61</v>
      </c>
      <c r="O30" s="39"/>
      <c r="P30" s="36"/>
      <c r="Q30" s="36"/>
      <c r="R30" s="39" t="s">
        <v>62</v>
      </c>
      <c r="S30" s="39" t="s">
        <v>62</v>
      </c>
      <c r="T30" s="39" t="s">
        <v>62</v>
      </c>
      <c r="U30" s="39" t="s">
        <v>62</v>
      </c>
      <c r="V30" s="36"/>
      <c r="W30" s="36"/>
      <c r="X30" s="39" t="s">
        <v>62</v>
      </c>
      <c r="Y30" s="39">
        <v>0</v>
      </c>
      <c r="Z30" s="36"/>
      <c r="AA30" s="25">
        <v>0</v>
      </c>
      <c r="AB30" s="25"/>
      <c r="AC30" s="25"/>
      <c r="AD30" s="25"/>
      <c r="AE30" s="25"/>
      <c r="AF30" s="25">
        <v>0</v>
      </c>
      <c r="AG30" s="25">
        <v>0</v>
      </c>
      <c r="AH30" s="25">
        <v>0</v>
      </c>
      <c r="AI30" s="26" t="s">
        <v>214</v>
      </c>
      <c r="AJ30" s="40" t="s">
        <v>237</v>
      </c>
      <c r="AK30" s="40" t="s">
        <v>91</v>
      </c>
      <c r="AL30" s="40" t="s">
        <v>74</v>
      </c>
      <c r="AM30" s="40" t="s">
        <v>75</v>
      </c>
      <c r="AN30" s="40" t="s">
        <v>76</v>
      </c>
      <c r="AO30" s="40" t="s">
        <v>77</v>
      </c>
      <c r="AP30" s="40" t="str">
        <f t="shared" si="22"/>
        <v>SELSWISOCC4.Beh.stVal</v>
      </c>
      <c r="AQ30" s="40" t="s">
        <v>73</v>
      </c>
      <c r="AR30" s="36">
        <v>0</v>
      </c>
      <c r="AS30" s="36">
        <v>0</v>
      </c>
      <c r="AT30" s="36">
        <v>0</v>
      </c>
      <c r="AU30" s="36">
        <v>0</v>
      </c>
      <c r="AV30" s="36">
        <f t="shared" si="23"/>
        <v>0</v>
      </c>
      <c r="AW30" s="36">
        <v>0</v>
      </c>
      <c r="AX30" s="36">
        <v>0</v>
      </c>
      <c r="AY30" s="47"/>
      <c r="AZ30" s="41"/>
      <c r="BA30" s="41"/>
      <c r="BB30" s="41"/>
      <c r="BC30" s="41"/>
      <c r="BD30" s="41"/>
      <c r="BE30" s="41"/>
      <c r="BF30" s="41"/>
      <c r="BG30" s="43" t="str">
        <f t="shared" si="24"/>
        <v>description: "Поведение", note: "Индикация поведения логического узла SA4", group: "status", minValue: null, maxValue: null, step: null, units: "null", defaultValue: null, eventRegistration: 0</v>
      </c>
    </row>
    <row r="31" spans="1:59" s="42" customFormat="1" ht="15.75" x14ac:dyDescent="0.25">
      <c r="A31" s="35"/>
      <c r="B31" s="105" t="s">
        <v>317</v>
      </c>
      <c r="C31" s="36"/>
      <c r="D31" s="20" t="s">
        <v>169</v>
      </c>
      <c r="E31" s="30" t="s">
        <v>189</v>
      </c>
      <c r="F31" s="30" t="s">
        <v>97</v>
      </c>
      <c r="G31" s="30" t="s">
        <v>97</v>
      </c>
      <c r="H31" s="36"/>
      <c r="I31" s="30">
        <f t="shared" si="20"/>
        <v>11</v>
      </c>
      <c r="J31" s="30" t="str">
        <f t="shared" si="21"/>
        <v>Исправность</v>
      </c>
      <c r="K31" s="37" t="s">
        <v>191</v>
      </c>
      <c r="L31" s="38" t="s">
        <v>66</v>
      </c>
      <c r="M31" s="39" t="s">
        <v>60</v>
      </c>
      <c r="N31" s="39" t="s">
        <v>61</v>
      </c>
      <c r="O31" s="39"/>
      <c r="P31" s="23"/>
      <c r="Q31" s="23"/>
      <c r="R31" s="39" t="s">
        <v>62</v>
      </c>
      <c r="S31" s="39" t="s">
        <v>62</v>
      </c>
      <c r="T31" s="39" t="s">
        <v>62</v>
      </c>
      <c r="U31" s="39" t="s">
        <v>62</v>
      </c>
      <c r="V31" s="36"/>
      <c r="W31" s="36"/>
      <c r="X31" s="39" t="s">
        <v>62</v>
      </c>
      <c r="Y31" s="39">
        <v>0</v>
      </c>
      <c r="Z31" s="36"/>
      <c r="AA31" s="25">
        <v>0</v>
      </c>
      <c r="AB31" s="25"/>
      <c r="AC31" s="25"/>
      <c r="AD31" s="25"/>
      <c r="AE31" s="25"/>
      <c r="AF31" s="25">
        <v>0</v>
      </c>
      <c r="AG31" s="25">
        <v>0</v>
      </c>
      <c r="AH31" s="25">
        <v>0</v>
      </c>
      <c r="AI31" s="26" t="s">
        <v>214</v>
      </c>
      <c r="AJ31" s="40" t="s">
        <v>238</v>
      </c>
      <c r="AK31" s="40" t="s">
        <v>91</v>
      </c>
      <c r="AL31" s="40" t="s">
        <v>74</v>
      </c>
      <c r="AM31" s="40" t="s">
        <v>75</v>
      </c>
      <c r="AN31" s="40" t="s">
        <v>95</v>
      </c>
      <c r="AO31" s="40" t="s">
        <v>77</v>
      </c>
      <c r="AP31" s="40" t="str">
        <f t="shared" si="22"/>
        <v>SELSWISOCC4.Health.stVal</v>
      </c>
      <c r="AQ31" s="40" t="s">
        <v>73</v>
      </c>
      <c r="AR31" s="36">
        <v>0</v>
      </c>
      <c r="AS31" s="36">
        <v>0</v>
      </c>
      <c r="AT31" s="36">
        <v>0</v>
      </c>
      <c r="AU31" s="36">
        <v>0</v>
      </c>
      <c r="AV31" s="36">
        <f t="shared" si="23"/>
        <v>0</v>
      </c>
      <c r="AW31" s="36">
        <v>0</v>
      </c>
      <c r="AX31" s="36">
        <v>0</v>
      </c>
      <c r="AY31" s="47"/>
      <c r="AZ31" s="41"/>
      <c r="BA31" s="41"/>
      <c r="BB31" s="41"/>
      <c r="BC31" s="41"/>
      <c r="BD31" s="41"/>
      <c r="BE31" s="41"/>
      <c r="BF31" s="41"/>
      <c r="BG31" s="43" t="str">
        <f t="shared" si="24"/>
        <v>description: "Исправность", note: "Индикация исправности логического узла SA4", group: "status", minValue: null, maxValue: null, step: null, units: "null", defaultValue: null, eventRegistration: 0</v>
      </c>
    </row>
    <row r="32" spans="1:59" s="66" customFormat="1" ht="15.75" x14ac:dyDescent="0.25">
      <c r="A32" s="51"/>
      <c r="B32" s="105" t="s">
        <v>317</v>
      </c>
      <c r="C32" s="53"/>
      <c r="D32" s="101" t="s">
        <v>170</v>
      </c>
      <c r="E32" s="55" t="s">
        <v>192</v>
      </c>
      <c r="F32" s="55" t="s">
        <v>96</v>
      </c>
      <c r="G32" s="55" t="s">
        <v>96</v>
      </c>
      <c r="H32" s="53"/>
      <c r="I32" s="55">
        <f t="shared" si="20"/>
        <v>9</v>
      </c>
      <c r="J32" s="55" t="str">
        <f t="shared" si="21"/>
        <v>Поведение</v>
      </c>
      <c r="K32" s="57" t="s">
        <v>194</v>
      </c>
      <c r="L32" s="58" t="s">
        <v>66</v>
      </c>
      <c r="M32" s="60" t="s">
        <v>60</v>
      </c>
      <c r="N32" s="60" t="s">
        <v>61</v>
      </c>
      <c r="O32" s="60"/>
      <c r="P32" s="53"/>
      <c r="Q32" s="53"/>
      <c r="R32" s="60" t="s">
        <v>62</v>
      </c>
      <c r="S32" s="60" t="s">
        <v>62</v>
      </c>
      <c r="T32" s="60" t="s">
        <v>62</v>
      </c>
      <c r="U32" s="60" t="s">
        <v>62</v>
      </c>
      <c r="V32" s="53"/>
      <c r="W32" s="53"/>
      <c r="X32" s="60" t="s">
        <v>62</v>
      </c>
      <c r="Y32" s="60">
        <v>0</v>
      </c>
      <c r="Z32" s="53"/>
      <c r="AA32" s="61">
        <v>0</v>
      </c>
      <c r="AB32" s="61"/>
      <c r="AC32" s="61"/>
      <c r="AD32" s="61"/>
      <c r="AE32" s="61"/>
      <c r="AF32" s="61">
        <v>0</v>
      </c>
      <c r="AG32" s="61">
        <v>0</v>
      </c>
      <c r="AH32" s="61">
        <v>0</v>
      </c>
      <c r="AI32" s="62" t="s">
        <v>215</v>
      </c>
      <c r="AJ32" s="63" t="s">
        <v>239</v>
      </c>
      <c r="AK32" s="63" t="s">
        <v>91</v>
      </c>
      <c r="AL32" s="63" t="s">
        <v>74</v>
      </c>
      <c r="AM32" s="63" t="s">
        <v>75</v>
      </c>
      <c r="AN32" s="63" t="s">
        <v>76</v>
      </c>
      <c r="AO32" s="63" t="s">
        <v>77</v>
      </c>
      <c r="AP32" s="63" t="str">
        <f t="shared" si="22"/>
        <v>PLGSOCC1.Beh.stVal</v>
      </c>
      <c r="AQ32" s="63" t="s">
        <v>73</v>
      </c>
      <c r="AR32" s="53">
        <v>0</v>
      </c>
      <c r="AS32" s="53">
        <v>0</v>
      </c>
      <c r="AT32" s="53">
        <v>0</v>
      </c>
      <c r="AU32" s="53">
        <v>0</v>
      </c>
      <c r="AV32" s="53">
        <f t="shared" si="23"/>
        <v>0</v>
      </c>
      <c r="AW32" s="53">
        <v>0</v>
      </c>
      <c r="AX32" s="53">
        <v>0</v>
      </c>
      <c r="AY32" s="64"/>
      <c r="AZ32" s="53"/>
      <c r="BA32" s="53"/>
      <c r="BB32" s="53"/>
      <c r="BC32" s="53"/>
      <c r="BD32" s="53"/>
      <c r="BE32" s="53"/>
      <c r="BF32" s="53"/>
      <c r="BG32" s="70" t="str">
        <f t="shared" si="24"/>
        <v>description: "Поведение", note: "Индикация поведения логического узла SG1", group: "status", minValue: null, maxValue: null, step: null, units: "null", defaultValue: null, eventRegistration: 0</v>
      </c>
    </row>
    <row r="33" spans="1:59" s="66" customFormat="1" ht="15.75" x14ac:dyDescent="0.25">
      <c r="A33" s="51"/>
      <c r="B33" s="105" t="s">
        <v>317</v>
      </c>
      <c r="C33" s="53"/>
      <c r="D33" s="101" t="s">
        <v>170</v>
      </c>
      <c r="E33" s="55" t="s">
        <v>193</v>
      </c>
      <c r="F33" s="55" t="s">
        <v>97</v>
      </c>
      <c r="G33" s="55" t="s">
        <v>97</v>
      </c>
      <c r="H33" s="53"/>
      <c r="I33" s="55">
        <f t="shared" si="20"/>
        <v>11</v>
      </c>
      <c r="J33" s="55" t="str">
        <f t="shared" si="21"/>
        <v>Исправность</v>
      </c>
      <c r="K33" s="57" t="s">
        <v>195</v>
      </c>
      <c r="L33" s="58" t="s">
        <v>66</v>
      </c>
      <c r="M33" s="60" t="s">
        <v>60</v>
      </c>
      <c r="N33" s="60" t="s">
        <v>61</v>
      </c>
      <c r="O33" s="60"/>
      <c r="P33" s="71"/>
      <c r="Q33" s="71"/>
      <c r="R33" s="60" t="s">
        <v>62</v>
      </c>
      <c r="S33" s="60" t="s">
        <v>62</v>
      </c>
      <c r="T33" s="60" t="s">
        <v>62</v>
      </c>
      <c r="U33" s="60" t="s">
        <v>62</v>
      </c>
      <c r="V33" s="53"/>
      <c r="W33" s="53"/>
      <c r="X33" s="60" t="s">
        <v>62</v>
      </c>
      <c r="Y33" s="60">
        <v>0</v>
      </c>
      <c r="Z33" s="53"/>
      <c r="AA33" s="61">
        <v>0</v>
      </c>
      <c r="AB33" s="61"/>
      <c r="AC33" s="61"/>
      <c r="AD33" s="61"/>
      <c r="AE33" s="61"/>
      <c r="AF33" s="61">
        <v>0</v>
      </c>
      <c r="AG33" s="61">
        <v>0</v>
      </c>
      <c r="AH33" s="61">
        <v>0</v>
      </c>
      <c r="AI33" s="62" t="s">
        <v>215</v>
      </c>
      <c r="AJ33" s="63" t="s">
        <v>240</v>
      </c>
      <c r="AK33" s="63" t="s">
        <v>91</v>
      </c>
      <c r="AL33" s="63" t="s">
        <v>74</v>
      </c>
      <c r="AM33" s="63" t="s">
        <v>75</v>
      </c>
      <c r="AN33" s="63" t="s">
        <v>95</v>
      </c>
      <c r="AO33" s="63" t="s">
        <v>77</v>
      </c>
      <c r="AP33" s="63" t="str">
        <f t="shared" si="22"/>
        <v>PLGSOCC1.Health.stVal</v>
      </c>
      <c r="AQ33" s="63" t="s">
        <v>73</v>
      </c>
      <c r="AR33" s="53">
        <v>0</v>
      </c>
      <c r="AS33" s="53">
        <v>0</v>
      </c>
      <c r="AT33" s="53">
        <v>0</v>
      </c>
      <c r="AU33" s="53">
        <v>0</v>
      </c>
      <c r="AV33" s="53">
        <f t="shared" si="23"/>
        <v>0</v>
      </c>
      <c r="AW33" s="53">
        <v>0</v>
      </c>
      <c r="AX33" s="53">
        <v>0</v>
      </c>
      <c r="AY33" s="64"/>
      <c r="AZ33" s="53"/>
      <c r="BA33" s="53"/>
      <c r="BB33" s="53"/>
      <c r="BC33" s="53"/>
      <c r="BD33" s="53"/>
      <c r="BE33" s="53"/>
      <c r="BF33" s="53"/>
      <c r="BG33" s="70" t="str">
        <f t="shared" si="24"/>
        <v>description: "Исправность", note: "Индикация исправности логического узла SG1", group: "status", minValue: null, maxValue: null, step: null, units: "null", defaultValue: null, eventRegistration: 0</v>
      </c>
    </row>
    <row r="34" spans="1:59" s="42" customFormat="1" ht="15.75" x14ac:dyDescent="0.25">
      <c r="A34" s="35"/>
      <c r="B34" s="105" t="s">
        <v>317</v>
      </c>
      <c r="C34" s="36"/>
      <c r="D34" s="20" t="s">
        <v>171</v>
      </c>
      <c r="E34" s="30" t="s">
        <v>196</v>
      </c>
      <c r="F34" s="30" t="s">
        <v>96</v>
      </c>
      <c r="G34" s="30" t="s">
        <v>96</v>
      </c>
      <c r="H34" s="36"/>
      <c r="I34" s="30">
        <f t="shared" si="20"/>
        <v>9</v>
      </c>
      <c r="J34" s="30" t="str">
        <f t="shared" si="21"/>
        <v>Поведение</v>
      </c>
      <c r="K34" s="37" t="s">
        <v>198</v>
      </c>
      <c r="L34" s="38" t="s">
        <v>66</v>
      </c>
      <c r="M34" s="39" t="s">
        <v>60</v>
      </c>
      <c r="N34" s="39" t="s">
        <v>61</v>
      </c>
      <c r="O34" s="39"/>
      <c r="P34" s="36"/>
      <c r="Q34" s="36"/>
      <c r="R34" s="39" t="s">
        <v>62</v>
      </c>
      <c r="S34" s="39" t="s">
        <v>62</v>
      </c>
      <c r="T34" s="39" t="s">
        <v>62</v>
      </c>
      <c r="U34" s="39" t="s">
        <v>62</v>
      </c>
      <c r="V34" s="36"/>
      <c r="W34" s="36"/>
      <c r="X34" s="39" t="s">
        <v>62</v>
      </c>
      <c r="Y34" s="39">
        <v>0</v>
      </c>
      <c r="Z34" s="36"/>
      <c r="AA34" s="25">
        <v>0</v>
      </c>
      <c r="AB34" s="25"/>
      <c r="AC34" s="25"/>
      <c r="AD34" s="25"/>
      <c r="AE34" s="25"/>
      <c r="AF34" s="25">
        <v>0</v>
      </c>
      <c r="AG34" s="25">
        <v>0</v>
      </c>
      <c r="AH34" s="25">
        <v>0</v>
      </c>
      <c r="AI34" s="26" t="s">
        <v>215</v>
      </c>
      <c r="AJ34" s="40" t="s">
        <v>241</v>
      </c>
      <c r="AK34" s="40" t="s">
        <v>91</v>
      </c>
      <c r="AL34" s="40" t="s">
        <v>74</v>
      </c>
      <c r="AM34" s="40" t="s">
        <v>75</v>
      </c>
      <c r="AN34" s="40" t="s">
        <v>76</v>
      </c>
      <c r="AO34" s="40" t="s">
        <v>77</v>
      </c>
      <c r="AP34" s="40" t="str">
        <f t="shared" si="22"/>
        <v>PLGSOCC2.Beh.stVal</v>
      </c>
      <c r="AQ34" s="40" t="s">
        <v>73</v>
      </c>
      <c r="AR34" s="36">
        <v>0</v>
      </c>
      <c r="AS34" s="36">
        <v>0</v>
      </c>
      <c r="AT34" s="36">
        <v>0</v>
      </c>
      <c r="AU34" s="36">
        <v>0</v>
      </c>
      <c r="AV34" s="36">
        <f t="shared" si="23"/>
        <v>0</v>
      </c>
      <c r="AW34" s="36">
        <v>0</v>
      </c>
      <c r="AX34" s="36">
        <v>0</v>
      </c>
      <c r="AY34" s="47"/>
      <c r="AZ34" s="36"/>
      <c r="BA34" s="36"/>
      <c r="BB34" s="36"/>
      <c r="BC34" s="36"/>
      <c r="BD34" s="36"/>
      <c r="BE34" s="36"/>
      <c r="BF34" s="36"/>
      <c r="BG34" s="43" t="str">
        <f t="shared" si="24"/>
        <v>description: "Поведение", note: "Индикация поведения логического узла SG2", group: "status", minValue: null, maxValue: null, step: null, units: "null", defaultValue: null, eventRegistration: 0</v>
      </c>
    </row>
    <row r="35" spans="1:59" s="42" customFormat="1" ht="15.75" x14ac:dyDescent="0.25">
      <c r="A35" s="35"/>
      <c r="B35" s="105" t="s">
        <v>317</v>
      </c>
      <c r="C35" s="36"/>
      <c r="D35" s="20" t="s">
        <v>171</v>
      </c>
      <c r="E35" s="30" t="s">
        <v>197</v>
      </c>
      <c r="F35" s="30" t="s">
        <v>97</v>
      </c>
      <c r="G35" s="30" t="s">
        <v>97</v>
      </c>
      <c r="H35" s="36"/>
      <c r="I35" s="30">
        <f t="shared" si="20"/>
        <v>11</v>
      </c>
      <c r="J35" s="30" t="str">
        <f t="shared" si="21"/>
        <v>Исправность</v>
      </c>
      <c r="K35" s="37" t="s">
        <v>199</v>
      </c>
      <c r="L35" s="38" t="s">
        <v>66</v>
      </c>
      <c r="M35" s="39" t="s">
        <v>60</v>
      </c>
      <c r="N35" s="39" t="s">
        <v>61</v>
      </c>
      <c r="O35" s="39"/>
      <c r="P35" s="23"/>
      <c r="Q35" s="23"/>
      <c r="R35" s="39" t="s">
        <v>62</v>
      </c>
      <c r="S35" s="39" t="s">
        <v>62</v>
      </c>
      <c r="T35" s="39" t="s">
        <v>62</v>
      </c>
      <c r="U35" s="39" t="s">
        <v>62</v>
      </c>
      <c r="V35" s="36"/>
      <c r="W35" s="36"/>
      <c r="X35" s="39" t="s">
        <v>62</v>
      </c>
      <c r="Y35" s="39">
        <v>0</v>
      </c>
      <c r="Z35" s="36"/>
      <c r="AA35" s="25">
        <v>0</v>
      </c>
      <c r="AB35" s="25"/>
      <c r="AC35" s="25"/>
      <c r="AD35" s="25"/>
      <c r="AE35" s="25"/>
      <c r="AF35" s="25">
        <v>0</v>
      </c>
      <c r="AG35" s="25">
        <v>0</v>
      </c>
      <c r="AH35" s="25">
        <v>0</v>
      </c>
      <c r="AI35" s="26" t="s">
        <v>215</v>
      </c>
      <c r="AJ35" s="40" t="s">
        <v>242</v>
      </c>
      <c r="AK35" s="40" t="s">
        <v>91</v>
      </c>
      <c r="AL35" s="40" t="s">
        <v>74</v>
      </c>
      <c r="AM35" s="40" t="s">
        <v>75</v>
      </c>
      <c r="AN35" s="40" t="s">
        <v>95</v>
      </c>
      <c r="AO35" s="40" t="s">
        <v>77</v>
      </c>
      <c r="AP35" s="40" t="str">
        <f t="shared" si="22"/>
        <v>PLGSOCC2.Health.stVal</v>
      </c>
      <c r="AQ35" s="40" t="s">
        <v>73</v>
      </c>
      <c r="AR35" s="36">
        <v>0</v>
      </c>
      <c r="AS35" s="36">
        <v>0</v>
      </c>
      <c r="AT35" s="36">
        <v>0</v>
      </c>
      <c r="AU35" s="36">
        <v>0</v>
      </c>
      <c r="AV35" s="36">
        <f t="shared" si="23"/>
        <v>0</v>
      </c>
      <c r="AW35" s="36">
        <v>0</v>
      </c>
      <c r="AX35" s="36">
        <v>0</v>
      </c>
      <c r="AY35" s="47"/>
      <c r="AZ35" s="36"/>
      <c r="BA35" s="36"/>
      <c r="BB35" s="36"/>
      <c r="BC35" s="36"/>
      <c r="BD35" s="36"/>
      <c r="BE35" s="36"/>
      <c r="BF35" s="36"/>
      <c r="BG35" s="43" t="str">
        <f t="shared" si="24"/>
        <v>description: "Исправность", note: "Индикация исправности логического узла SG2", group: "status", minValue: null, maxValue: null, step: null, units: "null", defaultValue: null, eventRegistration: 0</v>
      </c>
    </row>
    <row r="36" spans="1:59" s="66" customFormat="1" ht="15.75" x14ac:dyDescent="0.25">
      <c r="A36" s="51"/>
      <c r="B36" s="105" t="s">
        <v>317</v>
      </c>
      <c r="C36" s="53"/>
      <c r="D36" s="101" t="s">
        <v>269</v>
      </c>
      <c r="E36" s="55" t="s">
        <v>277</v>
      </c>
      <c r="F36" s="55" t="s">
        <v>96</v>
      </c>
      <c r="G36" s="55" t="s">
        <v>96</v>
      </c>
      <c r="H36" s="53"/>
      <c r="I36" s="55">
        <f t="shared" ref="I36:I37" si="25">LEN(F36)</f>
        <v>9</v>
      </c>
      <c r="J36" s="55" t="str">
        <f t="shared" ref="J36:J37" si="26">IF(LEN(F36)&lt;=$J$1,F36,"")</f>
        <v>Поведение</v>
      </c>
      <c r="K36" s="57" t="s">
        <v>279</v>
      </c>
      <c r="L36" s="58" t="s">
        <v>66</v>
      </c>
      <c r="M36" s="60" t="s">
        <v>60</v>
      </c>
      <c r="N36" s="60" t="s">
        <v>61</v>
      </c>
      <c r="O36" s="60"/>
      <c r="P36" s="53"/>
      <c r="Q36" s="53"/>
      <c r="R36" s="60" t="s">
        <v>62</v>
      </c>
      <c r="S36" s="60" t="s">
        <v>62</v>
      </c>
      <c r="T36" s="60" t="s">
        <v>62</v>
      </c>
      <c r="U36" s="60" t="s">
        <v>62</v>
      </c>
      <c r="V36" s="53"/>
      <c r="W36" s="53"/>
      <c r="X36" s="60" t="s">
        <v>62</v>
      </c>
      <c r="Y36" s="60">
        <v>0</v>
      </c>
      <c r="Z36" s="53"/>
      <c r="AA36" s="61">
        <v>0</v>
      </c>
      <c r="AB36" s="61"/>
      <c r="AC36" s="61"/>
      <c r="AD36" s="61"/>
      <c r="AE36" s="61"/>
      <c r="AF36" s="61">
        <v>0</v>
      </c>
      <c r="AG36" s="61">
        <v>0</v>
      </c>
      <c r="AH36" s="61">
        <v>0</v>
      </c>
      <c r="AI36" s="62" t="s">
        <v>215</v>
      </c>
      <c r="AJ36" s="63" t="s">
        <v>298</v>
      </c>
      <c r="AK36" s="63" t="s">
        <v>91</v>
      </c>
      <c r="AL36" s="63" t="s">
        <v>74</v>
      </c>
      <c r="AM36" s="63" t="s">
        <v>75</v>
      </c>
      <c r="AN36" s="63" t="s">
        <v>76</v>
      </c>
      <c r="AO36" s="63" t="s">
        <v>77</v>
      </c>
      <c r="AP36" s="63" t="str">
        <f t="shared" ref="AP36:AP37" si="27">CONCATENATE(AJ36, ".", AL36)</f>
        <v>PLGSOCC3.Beh.stVal</v>
      </c>
      <c r="AQ36" s="63" t="s">
        <v>73</v>
      </c>
      <c r="AR36" s="53">
        <v>0</v>
      </c>
      <c r="AS36" s="53">
        <v>0</v>
      </c>
      <c r="AT36" s="53">
        <v>0</v>
      </c>
      <c r="AU36" s="53">
        <v>0</v>
      </c>
      <c r="AV36" s="53">
        <f t="shared" ref="AV36:AV37" si="28">BIN2DEC(CONCATENATE(0,0,0,0,AR36,AS36,AT36,AU36))</f>
        <v>0</v>
      </c>
      <c r="AW36" s="53">
        <v>0</v>
      </c>
      <c r="AX36" s="53">
        <v>0</v>
      </c>
      <c r="AY36" s="64"/>
      <c r="AZ36" s="53"/>
      <c r="BA36" s="53"/>
      <c r="BB36" s="53"/>
      <c r="BC36" s="53"/>
      <c r="BD36" s="53"/>
      <c r="BE36" s="53"/>
      <c r="BF36" s="53"/>
      <c r="BG36" s="70" t="str">
        <f t="shared" ref="BG36:BG37" si="29">CONCATENATE("description: """,F36,"""", ", ", "note: """,E36,"""",", ","group: """, B36, """",", ","minValue: ", S36,", ","maxValue: ", T36,", ","step: ", U36,", ","units: """, R36, """",", ","defaultValue: ", X36,", ","eventRegistration: ", Y36,)</f>
        <v>description: "Поведение", note: "Индикация поведения логического узла SG3", group: "status", minValue: null, maxValue: null, step: null, units: "null", defaultValue: null, eventRegistration: 0</v>
      </c>
    </row>
    <row r="37" spans="1:59" s="66" customFormat="1" ht="15.75" x14ac:dyDescent="0.25">
      <c r="A37" s="51"/>
      <c r="B37" s="105" t="s">
        <v>317</v>
      </c>
      <c r="C37" s="53"/>
      <c r="D37" s="101" t="s">
        <v>269</v>
      </c>
      <c r="E37" s="55" t="s">
        <v>278</v>
      </c>
      <c r="F37" s="55" t="s">
        <v>97</v>
      </c>
      <c r="G37" s="55" t="s">
        <v>97</v>
      </c>
      <c r="H37" s="53"/>
      <c r="I37" s="55">
        <f t="shared" si="25"/>
        <v>11</v>
      </c>
      <c r="J37" s="55" t="str">
        <f t="shared" si="26"/>
        <v>Исправность</v>
      </c>
      <c r="K37" s="57" t="s">
        <v>280</v>
      </c>
      <c r="L37" s="58" t="s">
        <v>66</v>
      </c>
      <c r="M37" s="60" t="s">
        <v>60</v>
      </c>
      <c r="N37" s="60" t="s">
        <v>61</v>
      </c>
      <c r="O37" s="60"/>
      <c r="P37" s="71"/>
      <c r="Q37" s="71"/>
      <c r="R37" s="60" t="s">
        <v>62</v>
      </c>
      <c r="S37" s="60" t="s">
        <v>62</v>
      </c>
      <c r="T37" s="60" t="s">
        <v>62</v>
      </c>
      <c r="U37" s="60" t="s">
        <v>62</v>
      </c>
      <c r="V37" s="53"/>
      <c r="W37" s="53"/>
      <c r="X37" s="60" t="s">
        <v>62</v>
      </c>
      <c r="Y37" s="60">
        <v>0</v>
      </c>
      <c r="Z37" s="53"/>
      <c r="AA37" s="61">
        <v>0</v>
      </c>
      <c r="AB37" s="61"/>
      <c r="AC37" s="61"/>
      <c r="AD37" s="61"/>
      <c r="AE37" s="61"/>
      <c r="AF37" s="61">
        <v>0</v>
      </c>
      <c r="AG37" s="61">
        <v>0</v>
      </c>
      <c r="AH37" s="61">
        <v>0</v>
      </c>
      <c r="AI37" s="62" t="s">
        <v>215</v>
      </c>
      <c r="AJ37" s="63" t="s">
        <v>299</v>
      </c>
      <c r="AK37" s="63" t="s">
        <v>91</v>
      </c>
      <c r="AL37" s="63" t="s">
        <v>74</v>
      </c>
      <c r="AM37" s="63" t="s">
        <v>75</v>
      </c>
      <c r="AN37" s="63" t="s">
        <v>95</v>
      </c>
      <c r="AO37" s="63" t="s">
        <v>77</v>
      </c>
      <c r="AP37" s="63" t="str">
        <f t="shared" si="27"/>
        <v>PLGSOCC3.Health.stVal</v>
      </c>
      <c r="AQ37" s="63" t="s">
        <v>73</v>
      </c>
      <c r="AR37" s="53">
        <v>0</v>
      </c>
      <c r="AS37" s="53">
        <v>0</v>
      </c>
      <c r="AT37" s="53">
        <v>0</v>
      </c>
      <c r="AU37" s="53">
        <v>0</v>
      </c>
      <c r="AV37" s="53">
        <f t="shared" si="28"/>
        <v>0</v>
      </c>
      <c r="AW37" s="53">
        <v>0</v>
      </c>
      <c r="AX37" s="53">
        <v>0</v>
      </c>
      <c r="AY37" s="64"/>
      <c r="AZ37" s="53"/>
      <c r="BA37" s="53"/>
      <c r="BB37" s="53"/>
      <c r="BC37" s="53"/>
      <c r="BD37" s="53"/>
      <c r="BE37" s="53"/>
      <c r="BF37" s="53"/>
      <c r="BG37" s="70" t="str">
        <f t="shared" si="29"/>
        <v>description: "Исправность", note: "Индикация исправности логического узла SG3", group: "status", minValue: null, maxValue: null, step: null, units: "null", defaultValue: null, eventRegistration: 0</v>
      </c>
    </row>
    <row r="38" spans="1:59" s="42" customFormat="1" ht="15.75" x14ac:dyDescent="0.25">
      <c r="A38" s="35"/>
      <c r="B38" s="105" t="s">
        <v>317</v>
      </c>
      <c r="C38" s="36"/>
      <c r="D38" s="20" t="s">
        <v>172</v>
      </c>
      <c r="E38" s="30" t="s">
        <v>200</v>
      </c>
      <c r="F38" s="30" t="s">
        <v>96</v>
      </c>
      <c r="G38" s="30" t="s">
        <v>96</v>
      </c>
      <c r="H38" s="36"/>
      <c r="I38" s="30">
        <f t="shared" ref="I38:I45" si="30">LEN(F38)</f>
        <v>9</v>
      </c>
      <c r="J38" s="30" t="str">
        <f t="shared" ref="J38:J45" si="31">IF(LEN(F38)&lt;=$J$1,F38,"")</f>
        <v>Поведение</v>
      </c>
      <c r="K38" s="37" t="s">
        <v>202</v>
      </c>
      <c r="L38" s="38" t="s">
        <v>66</v>
      </c>
      <c r="M38" s="39" t="s">
        <v>60</v>
      </c>
      <c r="N38" s="39" t="s">
        <v>61</v>
      </c>
      <c r="O38" s="39"/>
      <c r="P38" s="36"/>
      <c r="Q38" s="36"/>
      <c r="R38" s="39" t="s">
        <v>62</v>
      </c>
      <c r="S38" s="39" t="s">
        <v>62</v>
      </c>
      <c r="T38" s="39" t="s">
        <v>62</v>
      </c>
      <c r="U38" s="39" t="s">
        <v>62</v>
      </c>
      <c r="V38" s="36"/>
      <c r="W38" s="36"/>
      <c r="X38" s="39" t="s">
        <v>62</v>
      </c>
      <c r="Y38" s="39">
        <v>0</v>
      </c>
      <c r="Z38" s="36"/>
      <c r="AA38" s="25">
        <v>0</v>
      </c>
      <c r="AB38" s="25"/>
      <c r="AC38" s="25"/>
      <c r="AD38" s="25"/>
      <c r="AE38" s="25"/>
      <c r="AF38" s="25">
        <v>0</v>
      </c>
      <c r="AG38" s="25">
        <v>0</v>
      </c>
      <c r="AH38" s="25">
        <v>0</v>
      </c>
      <c r="AI38" s="26" t="s">
        <v>216</v>
      </c>
      <c r="AJ38" s="40" t="s">
        <v>243</v>
      </c>
      <c r="AK38" s="40" t="s">
        <v>91</v>
      </c>
      <c r="AL38" s="40" t="s">
        <v>74</v>
      </c>
      <c r="AM38" s="40" t="s">
        <v>75</v>
      </c>
      <c r="AN38" s="40" t="s">
        <v>76</v>
      </c>
      <c r="AO38" s="40" t="s">
        <v>77</v>
      </c>
      <c r="AP38" s="40" t="str">
        <f t="shared" ref="AP38:AP45" si="32">CONCATENATE(AJ38, ".", AL38)</f>
        <v>AUXGASSOCC1.Beh.stVal</v>
      </c>
      <c r="AQ38" s="40" t="s">
        <v>73</v>
      </c>
      <c r="AR38" s="36">
        <v>0</v>
      </c>
      <c r="AS38" s="36">
        <v>0</v>
      </c>
      <c r="AT38" s="36">
        <v>0</v>
      </c>
      <c r="AU38" s="36">
        <v>0</v>
      </c>
      <c r="AV38" s="36">
        <f t="shared" ref="AV38:AV45" si="33">BIN2DEC(CONCATENATE(0,0,0,0,AR38,AS38,AT38,AU38))</f>
        <v>0</v>
      </c>
      <c r="AW38" s="36">
        <v>0</v>
      </c>
      <c r="AX38" s="36">
        <v>0</v>
      </c>
      <c r="AY38" s="47"/>
      <c r="AZ38" s="36"/>
      <c r="BA38" s="36"/>
      <c r="BB38" s="36"/>
      <c r="BC38" s="36"/>
      <c r="BD38" s="36"/>
      <c r="BE38" s="36"/>
      <c r="BF38" s="36"/>
      <c r="BG38" s="43" t="str">
        <f t="shared" ref="BG38:BG45" si="34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"Поведение", note: "Индикация поведения логического узла ОТ ГЗ", group: "status", minValue: null, maxValue: null, step: null, units: "null", defaultValue: null, eventRegistration: 0</v>
      </c>
    </row>
    <row r="39" spans="1:59" s="42" customFormat="1" ht="15.75" x14ac:dyDescent="0.25">
      <c r="A39" s="35"/>
      <c r="B39" s="105" t="s">
        <v>317</v>
      </c>
      <c r="C39" s="36"/>
      <c r="D39" s="20" t="s">
        <v>172</v>
      </c>
      <c r="E39" s="30" t="s">
        <v>201</v>
      </c>
      <c r="F39" s="30" t="s">
        <v>97</v>
      </c>
      <c r="G39" s="30" t="s">
        <v>97</v>
      </c>
      <c r="H39" s="36"/>
      <c r="I39" s="30">
        <f t="shared" si="30"/>
        <v>11</v>
      </c>
      <c r="J39" s="30" t="str">
        <f t="shared" si="31"/>
        <v>Исправность</v>
      </c>
      <c r="K39" s="37" t="s">
        <v>203</v>
      </c>
      <c r="L39" s="38" t="s">
        <v>66</v>
      </c>
      <c r="M39" s="39" t="s">
        <v>60</v>
      </c>
      <c r="N39" s="39" t="s">
        <v>61</v>
      </c>
      <c r="O39" s="39"/>
      <c r="P39" s="23"/>
      <c r="Q39" s="23"/>
      <c r="R39" s="39" t="s">
        <v>62</v>
      </c>
      <c r="S39" s="39" t="s">
        <v>62</v>
      </c>
      <c r="T39" s="39" t="s">
        <v>62</v>
      </c>
      <c r="U39" s="39" t="s">
        <v>62</v>
      </c>
      <c r="V39" s="36"/>
      <c r="W39" s="36"/>
      <c r="X39" s="39" t="s">
        <v>62</v>
      </c>
      <c r="Y39" s="39">
        <v>0</v>
      </c>
      <c r="Z39" s="36"/>
      <c r="AA39" s="25">
        <v>0</v>
      </c>
      <c r="AB39" s="25"/>
      <c r="AC39" s="25"/>
      <c r="AD39" s="25"/>
      <c r="AE39" s="25"/>
      <c r="AF39" s="25">
        <v>0</v>
      </c>
      <c r="AG39" s="25">
        <v>0</v>
      </c>
      <c r="AH39" s="25">
        <v>0</v>
      </c>
      <c r="AI39" s="26" t="s">
        <v>216</v>
      </c>
      <c r="AJ39" s="40" t="s">
        <v>244</v>
      </c>
      <c r="AK39" s="40" t="s">
        <v>91</v>
      </c>
      <c r="AL39" s="40" t="s">
        <v>74</v>
      </c>
      <c r="AM39" s="40" t="s">
        <v>75</v>
      </c>
      <c r="AN39" s="40" t="s">
        <v>95</v>
      </c>
      <c r="AO39" s="40" t="s">
        <v>77</v>
      </c>
      <c r="AP39" s="40" t="str">
        <f t="shared" si="32"/>
        <v>AUXGASSOCC1.Health.stVal</v>
      </c>
      <c r="AQ39" s="40" t="s">
        <v>73</v>
      </c>
      <c r="AR39" s="36">
        <v>0</v>
      </c>
      <c r="AS39" s="36">
        <v>0</v>
      </c>
      <c r="AT39" s="36">
        <v>0</v>
      </c>
      <c r="AU39" s="36">
        <v>0</v>
      </c>
      <c r="AV39" s="36">
        <f t="shared" si="33"/>
        <v>0</v>
      </c>
      <c r="AW39" s="36">
        <v>0</v>
      </c>
      <c r="AX39" s="36">
        <v>0</v>
      </c>
      <c r="AY39" s="47"/>
      <c r="AZ39" s="36"/>
      <c r="BA39" s="36"/>
      <c r="BB39" s="36"/>
      <c r="BC39" s="36"/>
      <c r="BD39" s="36"/>
      <c r="BE39" s="36"/>
      <c r="BF39" s="36"/>
      <c r="BG39" s="43" t="str">
        <f t="shared" si="34"/>
        <v>description: "Исправность", note: "Индикация исправности логического узла ОТ ГЗ", group: "status", minValue: null, maxValue: null, step: null, units: "null", defaultValue: null, eventRegistration: 0</v>
      </c>
    </row>
    <row r="40" spans="1:59" s="66" customFormat="1" ht="15.75" x14ac:dyDescent="0.25">
      <c r="A40" s="51"/>
      <c r="B40" s="105" t="s">
        <v>317</v>
      </c>
      <c r="C40" s="53"/>
      <c r="D40" s="101" t="s">
        <v>173</v>
      </c>
      <c r="E40" s="55" t="s">
        <v>204</v>
      </c>
      <c r="F40" s="55" t="s">
        <v>96</v>
      </c>
      <c r="G40" s="55" t="s">
        <v>96</v>
      </c>
      <c r="H40" s="53"/>
      <c r="I40" s="55">
        <f t="shared" si="30"/>
        <v>9</v>
      </c>
      <c r="J40" s="55" t="str">
        <f t="shared" si="31"/>
        <v>Поведение</v>
      </c>
      <c r="K40" s="57" t="s">
        <v>206</v>
      </c>
      <c r="L40" s="58" t="s">
        <v>66</v>
      </c>
      <c r="M40" s="60" t="s">
        <v>60</v>
      </c>
      <c r="N40" s="60" t="s">
        <v>61</v>
      </c>
      <c r="O40" s="60"/>
      <c r="P40" s="53"/>
      <c r="Q40" s="53"/>
      <c r="R40" s="60" t="s">
        <v>62</v>
      </c>
      <c r="S40" s="60" t="s">
        <v>62</v>
      </c>
      <c r="T40" s="60" t="s">
        <v>62</v>
      </c>
      <c r="U40" s="60" t="s">
        <v>62</v>
      </c>
      <c r="V40" s="53"/>
      <c r="W40" s="53"/>
      <c r="X40" s="60" t="s">
        <v>62</v>
      </c>
      <c r="Y40" s="60">
        <v>0</v>
      </c>
      <c r="Z40" s="53"/>
      <c r="AA40" s="61">
        <v>0</v>
      </c>
      <c r="AB40" s="61"/>
      <c r="AC40" s="61"/>
      <c r="AD40" s="61"/>
      <c r="AE40" s="61"/>
      <c r="AF40" s="61">
        <v>0</v>
      </c>
      <c r="AG40" s="61">
        <v>0</v>
      </c>
      <c r="AH40" s="61">
        <v>0</v>
      </c>
      <c r="AI40" s="62" t="s">
        <v>216</v>
      </c>
      <c r="AJ40" s="63" t="s">
        <v>245</v>
      </c>
      <c r="AK40" s="63" t="s">
        <v>91</v>
      </c>
      <c r="AL40" s="63" t="s">
        <v>74</v>
      </c>
      <c r="AM40" s="63" t="s">
        <v>75</v>
      </c>
      <c r="AN40" s="63" t="s">
        <v>76</v>
      </c>
      <c r="AO40" s="63" t="s">
        <v>77</v>
      </c>
      <c r="AP40" s="63" t="str">
        <f t="shared" si="32"/>
        <v>AUXTECSOCC1.Beh.stVal</v>
      </c>
      <c r="AQ40" s="63" t="s">
        <v>73</v>
      </c>
      <c r="AR40" s="53">
        <v>0</v>
      </c>
      <c r="AS40" s="53">
        <v>0</v>
      </c>
      <c r="AT40" s="53">
        <v>0</v>
      </c>
      <c r="AU40" s="53">
        <v>0</v>
      </c>
      <c r="AV40" s="53">
        <f t="shared" si="33"/>
        <v>0</v>
      </c>
      <c r="AW40" s="53">
        <v>0</v>
      </c>
      <c r="AX40" s="53">
        <v>0</v>
      </c>
      <c r="AY40" s="64"/>
      <c r="AZ40" s="53"/>
      <c r="BA40" s="53"/>
      <c r="BB40" s="53"/>
      <c r="BC40" s="53"/>
      <c r="BD40" s="53"/>
      <c r="BE40" s="53"/>
      <c r="BF40" s="53"/>
      <c r="BG40" s="70" t="str">
        <f t="shared" si="34"/>
        <v>description: "Поведение", note: "Индикация поведения логического узла ОТ ТЗ, ТС", group: "status", minValue: null, maxValue: null, step: null, units: "null", defaultValue: null, eventRegistration: 0</v>
      </c>
    </row>
    <row r="41" spans="1:59" s="66" customFormat="1" ht="15.75" x14ac:dyDescent="0.25">
      <c r="A41" s="51"/>
      <c r="B41" s="105" t="s">
        <v>317</v>
      </c>
      <c r="C41" s="53"/>
      <c r="D41" s="101" t="s">
        <v>173</v>
      </c>
      <c r="E41" s="55" t="s">
        <v>205</v>
      </c>
      <c r="F41" s="55" t="s">
        <v>97</v>
      </c>
      <c r="G41" s="55" t="s">
        <v>97</v>
      </c>
      <c r="H41" s="53"/>
      <c r="I41" s="55">
        <f t="shared" si="30"/>
        <v>11</v>
      </c>
      <c r="J41" s="55" t="str">
        <f t="shared" si="31"/>
        <v>Исправность</v>
      </c>
      <c r="K41" s="57" t="s">
        <v>207</v>
      </c>
      <c r="L41" s="58" t="s">
        <v>66</v>
      </c>
      <c r="M41" s="60" t="s">
        <v>60</v>
      </c>
      <c r="N41" s="60" t="s">
        <v>61</v>
      </c>
      <c r="O41" s="60"/>
      <c r="P41" s="71"/>
      <c r="Q41" s="71"/>
      <c r="R41" s="60" t="s">
        <v>62</v>
      </c>
      <c r="S41" s="60" t="s">
        <v>62</v>
      </c>
      <c r="T41" s="60" t="s">
        <v>62</v>
      </c>
      <c r="U41" s="60" t="s">
        <v>62</v>
      </c>
      <c r="V41" s="53"/>
      <c r="W41" s="53"/>
      <c r="X41" s="60" t="s">
        <v>62</v>
      </c>
      <c r="Y41" s="60">
        <v>0</v>
      </c>
      <c r="Z41" s="53"/>
      <c r="AA41" s="61">
        <v>0</v>
      </c>
      <c r="AB41" s="61"/>
      <c r="AC41" s="61"/>
      <c r="AD41" s="61"/>
      <c r="AE41" s="61"/>
      <c r="AF41" s="61">
        <v>0</v>
      </c>
      <c r="AG41" s="61">
        <v>0</v>
      </c>
      <c r="AH41" s="61">
        <v>0</v>
      </c>
      <c r="AI41" s="62" t="s">
        <v>216</v>
      </c>
      <c r="AJ41" s="63" t="s">
        <v>246</v>
      </c>
      <c r="AK41" s="63" t="s">
        <v>91</v>
      </c>
      <c r="AL41" s="63" t="s">
        <v>74</v>
      </c>
      <c r="AM41" s="63" t="s">
        <v>75</v>
      </c>
      <c r="AN41" s="63" t="s">
        <v>95</v>
      </c>
      <c r="AO41" s="63" t="s">
        <v>77</v>
      </c>
      <c r="AP41" s="63" t="str">
        <f t="shared" si="32"/>
        <v>AUXTECSOCC1.Health.stVal</v>
      </c>
      <c r="AQ41" s="63" t="s">
        <v>73</v>
      </c>
      <c r="AR41" s="53">
        <v>0</v>
      </c>
      <c r="AS41" s="53">
        <v>0</v>
      </c>
      <c r="AT41" s="53">
        <v>0</v>
      </c>
      <c r="AU41" s="53">
        <v>0</v>
      </c>
      <c r="AV41" s="53">
        <f t="shared" si="33"/>
        <v>0</v>
      </c>
      <c r="AW41" s="53">
        <v>0</v>
      </c>
      <c r="AX41" s="53">
        <v>0</v>
      </c>
      <c r="AY41" s="64"/>
      <c r="AZ41" s="53"/>
      <c r="BA41" s="53"/>
      <c r="BB41" s="53"/>
      <c r="BC41" s="53"/>
      <c r="BD41" s="53"/>
      <c r="BE41" s="53"/>
      <c r="BF41" s="53"/>
      <c r="BG41" s="70" t="str">
        <f t="shared" si="34"/>
        <v>description: "Исправность", note: "Индикация исправности логического узла ОТ ТЗ, ТС", group: "status", minValue: null, maxValue: null, step: null, units: "null", defaultValue: null, eventRegistration: 0</v>
      </c>
    </row>
    <row r="42" spans="1:59" s="42" customFormat="1" ht="15.75" x14ac:dyDescent="0.25">
      <c r="A42" s="35"/>
      <c r="B42" s="105" t="s">
        <v>317</v>
      </c>
      <c r="C42" s="36"/>
      <c r="D42" s="20" t="s">
        <v>281</v>
      </c>
      <c r="E42" s="30" t="s">
        <v>283</v>
      </c>
      <c r="F42" s="30" t="s">
        <v>96</v>
      </c>
      <c r="G42" s="30" t="s">
        <v>96</v>
      </c>
      <c r="H42" s="36"/>
      <c r="I42" s="30">
        <f t="shared" si="30"/>
        <v>9</v>
      </c>
      <c r="J42" s="30" t="str">
        <f t="shared" si="31"/>
        <v>Поведение</v>
      </c>
      <c r="K42" s="37" t="s">
        <v>208</v>
      </c>
      <c r="L42" s="38" t="s">
        <v>66</v>
      </c>
      <c r="M42" s="39" t="s">
        <v>60</v>
      </c>
      <c r="N42" s="39" t="s">
        <v>61</v>
      </c>
      <c r="O42" s="39"/>
      <c r="P42" s="36"/>
      <c r="Q42" s="36"/>
      <c r="R42" s="39" t="s">
        <v>62</v>
      </c>
      <c r="S42" s="39" t="s">
        <v>62</v>
      </c>
      <c r="T42" s="39" t="s">
        <v>62</v>
      </c>
      <c r="U42" s="39" t="s">
        <v>62</v>
      </c>
      <c r="V42" s="36"/>
      <c r="W42" s="36"/>
      <c r="X42" s="39" t="s">
        <v>62</v>
      </c>
      <c r="Y42" s="39">
        <v>0</v>
      </c>
      <c r="Z42" s="36"/>
      <c r="AA42" s="25">
        <v>0</v>
      </c>
      <c r="AB42" s="25"/>
      <c r="AC42" s="25"/>
      <c r="AD42" s="25"/>
      <c r="AE42" s="25"/>
      <c r="AF42" s="25">
        <v>0</v>
      </c>
      <c r="AG42" s="25">
        <v>0</v>
      </c>
      <c r="AH42" s="25">
        <v>0</v>
      </c>
      <c r="AI42" s="26" t="s">
        <v>216</v>
      </c>
      <c r="AJ42" s="40" t="s">
        <v>247</v>
      </c>
      <c r="AK42" s="40" t="s">
        <v>91</v>
      </c>
      <c r="AL42" s="40" t="s">
        <v>74</v>
      </c>
      <c r="AM42" s="40" t="s">
        <v>75</v>
      </c>
      <c r="AN42" s="40" t="s">
        <v>76</v>
      </c>
      <c r="AO42" s="40" t="s">
        <v>77</v>
      </c>
      <c r="AP42" s="40" t="str">
        <f t="shared" si="32"/>
        <v>ARCSOCC1.Beh.stVal</v>
      </c>
      <c r="AQ42" s="40" t="s">
        <v>73</v>
      </c>
      <c r="AR42" s="36">
        <v>0</v>
      </c>
      <c r="AS42" s="36">
        <v>0</v>
      </c>
      <c r="AT42" s="36">
        <v>0</v>
      </c>
      <c r="AU42" s="36">
        <v>0</v>
      </c>
      <c r="AV42" s="36">
        <f t="shared" si="33"/>
        <v>0</v>
      </c>
      <c r="AW42" s="36">
        <v>0</v>
      </c>
      <c r="AX42" s="36">
        <v>0</v>
      </c>
      <c r="AY42" s="47"/>
      <c r="AZ42" s="36"/>
      <c r="BA42" s="36"/>
      <c r="BB42" s="36"/>
      <c r="BC42" s="36"/>
      <c r="BD42" s="36"/>
      <c r="BE42" s="36"/>
      <c r="BF42" s="36"/>
      <c r="BG42" s="43" t="str">
        <f t="shared" si="34"/>
        <v>description: "Поведение", note: "Индикация поведения логического узла ОТ ЗДЗ1", group: "status", minValue: null, maxValue: null, step: null, units: "null", defaultValue: null, eventRegistration: 0</v>
      </c>
    </row>
    <row r="43" spans="1:59" s="42" customFormat="1" ht="15.75" x14ac:dyDescent="0.25">
      <c r="A43" s="35"/>
      <c r="B43" s="105" t="s">
        <v>317</v>
      </c>
      <c r="C43" s="36"/>
      <c r="D43" s="20" t="s">
        <v>281</v>
      </c>
      <c r="E43" s="30" t="s">
        <v>284</v>
      </c>
      <c r="F43" s="30" t="s">
        <v>97</v>
      </c>
      <c r="G43" s="30" t="s">
        <v>97</v>
      </c>
      <c r="H43" s="36"/>
      <c r="I43" s="30">
        <f t="shared" si="30"/>
        <v>11</v>
      </c>
      <c r="J43" s="30" t="str">
        <f t="shared" si="31"/>
        <v>Исправность</v>
      </c>
      <c r="K43" s="37" t="s">
        <v>209</v>
      </c>
      <c r="L43" s="38" t="s">
        <v>66</v>
      </c>
      <c r="M43" s="39" t="s">
        <v>60</v>
      </c>
      <c r="N43" s="39" t="s">
        <v>61</v>
      </c>
      <c r="O43" s="39"/>
      <c r="P43" s="23"/>
      <c r="Q43" s="23"/>
      <c r="R43" s="39" t="s">
        <v>62</v>
      </c>
      <c r="S43" s="39" t="s">
        <v>62</v>
      </c>
      <c r="T43" s="39" t="s">
        <v>62</v>
      </c>
      <c r="U43" s="39" t="s">
        <v>62</v>
      </c>
      <c r="V43" s="36"/>
      <c r="W43" s="36"/>
      <c r="X43" s="39" t="s">
        <v>62</v>
      </c>
      <c r="Y43" s="39">
        <v>0</v>
      </c>
      <c r="Z43" s="36"/>
      <c r="AA43" s="25">
        <v>0</v>
      </c>
      <c r="AB43" s="25"/>
      <c r="AC43" s="25"/>
      <c r="AD43" s="25"/>
      <c r="AE43" s="25"/>
      <c r="AF43" s="25">
        <v>0</v>
      </c>
      <c r="AG43" s="25">
        <v>0</v>
      </c>
      <c r="AH43" s="25">
        <v>0</v>
      </c>
      <c r="AI43" s="26" t="s">
        <v>216</v>
      </c>
      <c r="AJ43" s="40" t="s">
        <v>248</v>
      </c>
      <c r="AK43" s="40" t="s">
        <v>91</v>
      </c>
      <c r="AL43" s="40" t="s">
        <v>74</v>
      </c>
      <c r="AM43" s="40" t="s">
        <v>75</v>
      </c>
      <c r="AN43" s="40" t="s">
        <v>95</v>
      </c>
      <c r="AO43" s="40" t="s">
        <v>77</v>
      </c>
      <c r="AP43" s="40" t="str">
        <f t="shared" si="32"/>
        <v>ARCSOCC1.Health.stVal</v>
      </c>
      <c r="AQ43" s="40" t="s">
        <v>73</v>
      </c>
      <c r="AR43" s="36">
        <v>0</v>
      </c>
      <c r="AS43" s="36">
        <v>0</v>
      </c>
      <c r="AT43" s="36">
        <v>0</v>
      </c>
      <c r="AU43" s="36">
        <v>0</v>
      </c>
      <c r="AV43" s="36">
        <f t="shared" si="33"/>
        <v>0</v>
      </c>
      <c r="AW43" s="36">
        <v>0</v>
      </c>
      <c r="AX43" s="36">
        <v>0</v>
      </c>
      <c r="AY43" s="47"/>
      <c r="AZ43" s="36"/>
      <c r="BA43" s="36"/>
      <c r="BB43" s="36"/>
      <c r="BC43" s="36"/>
      <c r="BD43" s="36"/>
      <c r="BE43" s="36"/>
      <c r="BF43" s="36"/>
      <c r="BG43" s="43" t="str">
        <f t="shared" si="34"/>
        <v>description: "Исправность", note: "Индикация исправности логического узла ОТ ЗДЗ1", group: "status", minValue: null, maxValue: null, step: null, units: "null", defaultValue: null, eventRegistration: 0</v>
      </c>
    </row>
    <row r="44" spans="1:59" s="66" customFormat="1" ht="15.75" x14ac:dyDescent="0.25">
      <c r="A44" s="51"/>
      <c r="B44" s="105" t="s">
        <v>317</v>
      </c>
      <c r="C44" s="53"/>
      <c r="D44" s="101" t="s">
        <v>282</v>
      </c>
      <c r="E44" s="55" t="s">
        <v>285</v>
      </c>
      <c r="F44" s="55" t="s">
        <v>96</v>
      </c>
      <c r="G44" s="55" t="s">
        <v>96</v>
      </c>
      <c r="H44" s="53"/>
      <c r="I44" s="55">
        <f t="shared" si="30"/>
        <v>9</v>
      </c>
      <c r="J44" s="55" t="str">
        <f t="shared" si="31"/>
        <v>Поведение</v>
      </c>
      <c r="K44" s="57" t="s">
        <v>210</v>
      </c>
      <c r="L44" s="58" t="s">
        <v>66</v>
      </c>
      <c r="M44" s="60" t="s">
        <v>60</v>
      </c>
      <c r="N44" s="60" t="s">
        <v>61</v>
      </c>
      <c r="O44" s="60"/>
      <c r="P44" s="53"/>
      <c r="Q44" s="53"/>
      <c r="R44" s="60" t="s">
        <v>62</v>
      </c>
      <c r="S44" s="60" t="s">
        <v>62</v>
      </c>
      <c r="T44" s="60" t="s">
        <v>62</v>
      </c>
      <c r="U44" s="60" t="s">
        <v>62</v>
      </c>
      <c r="V44" s="53"/>
      <c r="W44" s="53"/>
      <c r="X44" s="60" t="s">
        <v>62</v>
      </c>
      <c r="Y44" s="60">
        <v>0</v>
      </c>
      <c r="Z44" s="53"/>
      <c r="AA44" s="61">
        <v>0</v>
      </c>
      <c r="AB44" s="61"/>
      <c r="AC44" s="61"/>
      <c r="AD44" s="61"/>
      <c r="AE44" s="61"/>
      <c r="AF44" s="61">
        <v>0</v>
      </c>
      <c r="AG44" s="61">
        <v>0</v>
      </c>
      <c r="AH44" s="61">
        <v>0</v>
      </c>
      <c r="AI44" s="62" t="s">
        <v>216</v>
      </c>
      <c r="AJ44" s="63" t="s">
        <v>249</v>
      </c>
      <c r="AK44" s="63" t="s">
        <v>91</v>
      </c>
      <c r="AL44" s="63" t="s">
        <v>74</v>
      </c>
      <c r="AM44" s="63" t="s">
        <v>75</v>
      </c>
      <c r="AN44" s="63" t="s">
        <v>76</v>
      </c>
      <c r="AO44" s="63" t="s">
        <v>77</v>
      </c>
      <c r="AP44" s="63" t="str">
        <f t="shared" si="32"/>
        <v>BRFSOCC1.Beh.stVal</v>
      </c>
      <c r="AQ44" s="63" t="s">
        <v>73</v>
      </c>
      <c r="AR44" s="53">
        <v>0</v>
      </c>
      <c r="AS44" s="53">
        <v>0</v>
      </c>
      <c r="AT44" s="53">
        <v>0</v>
      </c>
      <c r="AU44" s="53">
        <v>0</v>
      </c>
      <c r="AV44" s="53">
        <f t="shared" si="33"/>
        <v>0</v>
      </c>
      <c r="AW44" s="53">
        <v>0</v>
      </c>
      <c r="AX44" s="53">
        <v>0</v>
      </c>
      <c r="AY44" s="64"/>
      <c r="AZ44" s="53"/>
      <c r="BA44" s="53"/>
      <c r="BB44" s="53"/>
      <c r="BC44" s="53"/>
      <c r="BD44" s="53"/>
      <c r="BE44" s="53"/>
      <c r="BF44" s="53"/>
      <c r="BG44" s="70" t="str">
        <f t="shared" si="34"/>
        <v>description: "Поведение", note: "Индикация поведения логического узла ОТ УРОВ1", group: "status", minValue: null, maxValue: null, step: null, units: "null", defaultValue: null, eventRegistration: 0</v>
      </c>
    </row>
    <row r="45" spans="1:59" s="66" customFormat="1" ht="15.75" x14ac:dyDescent="0.25">
      <c r="A45" s="51"/>
      <c r="B45" s="105" t="s">
        <v>317</v>
      </c>
      <c r="C45" s="53"/>
      <c r="D45" s="101" t="s">
        <v>282</v>
      </c>
      <c r="E45" s="55" t="s">
        <v>286</v>
      </c>
      <c r="F45" s="55" t="s">
        <v>97</v>
      </c>
      <c r="G45" s="55" t="s">
        <v>97</v>
      </c>
      <c r="H45" s="53"/>
      <c r="I45" s="55">
        <f t="shared" si="30"/>
        <v>11</v>
      </c>
      <c r="J45" s="55" t="str">
        <f t="shared" si="31"/>
        <v>Исправность</v>
      </c>
      <c r="K45" s="57" t="s">
        <v>211</v>
      </c>
      <c r="L45" s="58" t="s">
        <v>66</v>
      </c>
      <c r="M45" s="60" t="s">
        <v>60</v>
      </c>
      <c r="N45" s="60" t="s">
        <v>61</v>
      </c>
      <c r="O45" s="60"/>
      <c r="P45" s="71"/>
      <c r="Q45" s="71"/>
      <c r="R45" s="60" t="s">
        <v>62</v>
      </c>
      <c r="S45" s="60" t="s">
        <v>62</v>
      </c>
      <c r="T45" s="60" t="s">
        <v>62</v>
      </c>
      <c r="U45" s="60" t="s">
        <v>62</v>
      </c>
      <c r="V45" s="53"/>
      <c r="W45" s="53"/>
      <c r="X45" s="60" t="s">
        <v>62</v>
      </c>
      <c r="Y45" s="60">
        <v>0</v>
      </c>
      <c r="Z45" s="53"/>
      <c r="AA45" s="61">
        <v>0</v>
      </c>
      <c r="AB45" s="61"/>
      <c r="AC45" s="61"/>
      <c r="AD45" s="61"/>
      <c r="AE45" s="61"/>
      <c r="AF45" s="61">
        <v>0</v>
      </c>
      <c r="AG45" s="61">
        <v>0</v>
      </c>
      <c r="AH45" s="61">
        <v>0</v>
      </c>
      <c r="AI45" s="62" t="s">
        <v>216</v>
      </c>
      <c r="AJ45" s="63" t="s">
        <v>250</v>
      </c>
      <c r="AK45" s="63" t="s">
        <v>91</v>
      </c>
      <c r="AL45" s="63" t="s">
        <v>74</v>
      </c>
      <c r="AM45" s="63" t="s">
        <v>75</v>
      </c>
      <c r="AN45" s="63" t="s">
        <v>95</v>
      </c>
      <c r="AO45" s="63" t="s">
        <v>77</v>
      </c>
      <c r="AP45" s="63" t="str">
        <f t="shared" si="32"/>
        <v>BRFSOCC1.Health.stVal</v>
      </c>
      <c r="AQ45" s="63" t="s">
        <v>73</v>
      </c>
      <c r="AR45" s="53">
        <v>0</v>
      </c>
      <c r="AS45" s="53">
        <v>0</v>
      </c>
      <c r="AT45" s="53">
        <v>0</v>
      </c>
      <c r="AU45" s="53">
        <v>0</v>
      </c>
      <c r="AV45" s="53">
        <f t="shared" si="33"/>
        <v>0</v>
      </c>
      <c r="AW45" s="53">
        <v>0</v>
      </c>
      <c r="AX45" s="53">
        <v>0</v>
      </c>
      <c r="AY45" s="64"/>
      <c r="AZ45" s="53"/>
      <c r="BA45" s="53"/>
      <c r="BB45" s="53"/>
      <c r="BC45" s="53"/>
      <c r="BD45" s="53"/>
      <c r="BE45" s="53"/>
      <c r="BF45" s="53"/>
      <c r="BG45" s="70" t="str">
        <f t="shared" si="34"/>
        <v>description: "Исправность", note: "Индикация исправности логического узла ОТ УРОВ1", group: "status", minValue: null, maxValue: null, step: null, units: "null", defaultValue: null, eventRegistration: 0</v>
      </c>
    </row>
    <row r="46" spans="1:59" s="42" customFormat="1" ht="15.75" x14ac:dyDescent="0.25">
      <c r="A46" s="35"/>
      <c r="B46" s="105" t="s">
        <v>317</v>
      </c>
      <c r="C46" s="36"/>
      <c r="D46" s="20" t="s">
        <v>287</v>
      </c>
      <c r="E46" s="30" t="s">
        <v>289</v>
      </c>
      <c r="F46" s="30" t="s">
        <v>96</v>
      </c>
      <c r="G46" s="30" t="s">
        <v>96</v>
      </c>
      <c r="H46" s="36"/>
      <c r="I46" s="30">
        <f t="shared" ref="I46:I49" si="35">LEN(F46)</f>
        <v>9</v>
      </c>
      <c r="J46" s="30" t="str">
        <f t="shared" ref="J46:J49" si="36">IF(LEN(F46)&lt;=$J$1,F46,"")</f>
        <v>Поведение</v>
      </c>
      <c r="K46" s="37" t="s">
        <v>293</v>
      </c>
      <c r="L46" s="38" t="s">
        <v>66</v>
      </c>
      <c r="M46" s="39" t="s">
        <v>60</v>
      </c>
      <c r="N46" s="39" t="s">
        <v>61</v>
      </c>
      <c r="O46" s="39"/>
      <c r="P46" s="36"/>
      <c r="Q46" s="36"/>
      <c r="R46" s="39" t="s">
        <v>62</v>
      </c>
      <c r="S46" s="39" t="s">
        <v>62</v>
      </c>
      <c r="T46" s="39" t="s">
        <v>62</v>
      </c>
      <c r="U46" s="39" t="s">
        <v>62</v>
      </c>
      <c r="V46" s="36"/>
      <c r="W46" s="36"/>
      <c r="X46" s="39" t="s">
        <v>62</v>
      </c>
      <c r="Y46" s="39">
        <v>0</v>
      </c>
      <c r="Z46" s="36"/>
      <c r="AA46" s="25">
        <v>0</v>
      </c>
      <c r="AB46" s="25"/>
      <c r="AC46" s="25"/>
      <c r="AD46" s="25"/>
      <c r="AE46" s="25"/>
      <c r="AF46" s="25">
        <v>0</v>
      </c>
      <c r="AG46" s="25">
        <v>0</v>
      </c>
      <c r="AH46" s="25">
        <v>0</v>
      </c>
      <c r="AI46" s="26" t="s">
        <v>216</v>
      </c>
      <c r="AJ46" s="40" t="s">
        <v>302</v>
      </c>
      <c r="AK46" s="40" t="s">
        <v>91</v>
      </c>
      <c r="AL46" s="40" t="s">
        <v>74</v>
      </c>
      <c r="AM46" s="40" t="s">
        <v>75</v>
      </c>
      <c r="AN46" s="40" t="s">
        <v>76</v>
      </c>
      <c r="AO46" s="40" t="s">
        <v>77</v>
      </c>
      <c r="AP46" s="40" t="str">
        <f t="shared" ref="AP46:AP49" si="37">CONCATENATE(AJ46, ".", AL46)</f>
        <v>ARCSOCC2.Beh.stVal</v>
      </c>
      <c r="AQ46" s="40" t="s">
        <v>73</v>
      </c>
      <c r="AR46" s="36">
        <v>0</v>
      </c>
      <c r="AS46" s="36">
        <v>0</v>
      </c>
      <c r="AT46" s="36">
        <v>0</v>
      </c>
      <c r="AU46" s="36">
        <v>0</v>
      </c>
      <c r="AV46" s="36">
        <f t="shared" ref="AV46:AV49" si="38">BIN2DEC(CONCATENATE(0,0,0,0,AR46,AS46,AT46,AU46))</f>
        <v>0</v>
      </c>
      <c r="AW46" s="36">
        <v>0</v>
      </c>
      <c r="AX46" s="36">
        <v>0</v>
      </c>
      <c r="AY46" s="47"/>
      <c r="AZ46" s="36"/>
      <c r="BA46" s="36"/>
      <c r="BB46" s="36"/>
      <c r="BC46" s="36"/>
      <c r="BD46" s="36"/>
      <c r="BE46" s="36"/>
      <c r="BF46" s="36"/>
      <c r="BG46" s="43" t="str">
        <f t="shared" ref="BG46:BG49" si="39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"Поведение", note: "Индикация поведения логического узла ОТ ЗДЗ2", group: "status", minValue: null, maxValue: null, step: null, units: "null", defaultValue: null, eventRegistration: 0</v>
      </c>
    </row>
    <row r="47" spans="1:59" s="42" customFormat="1" ht="15.75" x14ac:dyDescent="0.25">
      <c r="A47" s="35"/>
      <c r="B47" s="105" t="s">
        <v>317</v>
      </c>
      <c r="C47" s="36"/>
      <c r="D47" s="20" t="s">
        <v>287</v>
      </c>
      <c r="E47" s="30" t="s">
        <v>290</v>
      </c>
      <c r="F47" s="30" t="s">
        <v>97</v>
      </c>
      <c r="G47" s="30" t="s">
        <v>97</v>
      </c>
      <c r="H47" s="36"/>
      <c r="I47" s="30">
        <f t="shared" si="35"/>
        <v>11</v>
      </c>
      <c r="J47" s="30" t="str">
        <f t="shared" si="36"/>
        <v>Исправность</v>
      </c>
      <c r="K47" s="37" t="s">
        <v>294</v>
      </c>
      <c r="L47" s="38" t="s">
        <v>66</v>
      </c>
      <c r="M47" s="39" t="s">
        <v>60</v>
      </c>
      <c r="N47" s="39" t="s">
        <v>61</v>
      </c>
      <c r="O47" s="39"/>
      <c r="P47" s="23"/>
      <c r="Q47" s="23"/>
      <c r="R47" s="39" t="s">
        <v>62</v>
      </c>
      <c r="S47" s="39" t="s">
        <v>62</v>
      </c>
      <c r="T47" s="39" t="s">
        <v>62</v>
      </c>
      <c r="U47" s="39" t="s">
        <v>62</v>
      </c>
      <c r="V47" s="36"/>
      <c r="W47" s="36"/>
      <c r="X47" s="39" t="s">
        <v>62</v>
      </c>
      <c r="Y47" s="39">
        <v>0</v>
      </c>
      <c r="Z47" s="36"/>
      <c r="AA47" s="25">
        <v>0</v>
      </c>
      <c r="AB47" s="25"/>
      <c r="AC47" s="25"/>
      <c r="AD47" s="25"/>
      <c r="AE47" s="25"/>
      <c r="AF47" s="25">
        <v>0</v>
      </c>
      <c r="AG47" s="25">
        <v>0</v>
      </c>
      <c r="AH47" s="25">
        <v>0</v>
      </c>
      <c r="AI47" s="26" t="s">
        <v>216</v>
      </c>
      <c r="AJ47" s="40" t="s">
        <v>303</v>
      </c>
      <c r="AK47" s="40" t="s">
        <v>91</v>
      </c>
      <c r="AL47" s="40" t="s">
        <v>74</v>
      </c>
      <c r="AM47" s="40" t="s">
        <v>75</v>
      </c>
      <c r="AN47" s="40" t="s">
        <v>95</v>
      </c>
      <c r="AO47" s="40" t="s">
        <v>77</v>
      </c>
      <c r="AP47" s="40" t="str">
        <f t="shared" si="37"/>
        <v>ARCSOCC2.Health.stVal</v>
      </c>
      <c r="AQ47" s="40" t="s">
        <v>73</v>
      </c>
      <c r="AR47" s="36">
        <v>0</v>
      </c>
      <c r="AS47" s="36">
        <v>0</v>
      </c>
      <c r="AT47" s="36">
        <v>0</v>
      </c>
      <c r="AU47" s="36">
        <v>0</v>
      </c>
      <c r="AV47" s="36">
        <f t="shared" si="38"/>
        <v>0</v>
      </c>
      <c r="AW47" s="36">
        <v>0</v>
      </c>
      <c r="AX47" s="36">
        <v>0</v>
      </c>
      <c r="AY47" s="47"/>
      <c r="AZ47" s="36"/>
      <c r="BA47" s="36"/>
      <c r="BB47" s="36"/>
      <c r="BC47" s="36"/>
      <c r="BD47" s="36"/>
      <c r="BE47" s="36"/>
      <c r="BF47" s="36"/>
      <c r="BG47" s="43" t="str">
        <f t="shared" si="39"/>
        <v>description: "Исправность", note: "Индикация исправности логического узла ОТ ЗДЗ2", group: "status", minValue: null, maxValue: null, step: null, units: "null", defaultValue: null, eventRegistration: 0</v>
      </c>
    </row>
    <row r="48" spans="1:59" s="66" customFormat="1" ht="15.75" x14ac:dyDescent="0.25">
      <c r="A48" s="51"/>
      <c r="B48" s="105" t="s">
        <v>317</v>
      </c>
      <c r="C48" s="53"/>
      <c r="D48" s="101" t="s">
        <v>288</v>
      </c>
      <c r="E48" s="55" t="s">
        <v>291</v>
      </c>
      <c r="F48" s="55" t="s">
        <v>96</v>
      </c>
      <c r="G48" s="55" t="s">
        <v>96</v>
      </c>
      <c r="H48" s="53"/>
      <c r="I48" s="55">
        <f t="shared" si="35"/>
        <v>9</v>
      </c>
      <c r="J48" s="55" t="str">
        <f t="shared" si="36"/>
        <v>Поведение</v>
      </c>
      <c r="K48" s="57" t="s">
        <v>295</v>
      </c>
      <c r="L48" s="58" t="s">
        <v>66</v>
      </c>
      <c r="M48" s="60" t="s">
        <v>60</v>
      </c>
      <c r="N48" s="60" t="s">
        <v>61</v>
      </c>
      <c r="O48" s="60"/>
      <c r="P48" s="53"/>
      <c r="Q48" s="53"/>
      <c r="R48" s="60" t="s">
        <v>62</v>
      </c>
      <c r="S48" s="60" t="s">
        <v>62</v>
      </c>
      <c r="T48" s="60" t="s">
        <v>62</v>
      </c>
      <c r="U48" s="60" t="s">
        <v>62</v>
      </c>
      <c r="V48" s="53"/>
      <c r="W48" s="53"/>
      <c r="X48" s="60" t="s">
        <v>62</v>
      </c>
      <c r="Y48" s="60">
        <v>0</v>
      </c>
      <c r="Z48" s="53"/>
      <c r="AA48" s="61">
        <v>0</v>
      </c>
      <c r="AB48" s="61"/>
      <c r="AC48" s="61"/>
      <c r="AD48" s="61"/>
      <c r="AE48" s="61"/>
      <c r="AF48" s="61">
        <v>0</v>
      </c>
      <c r="AG48" s="61">
        <v>0</v>
      </c>
      <c r="AH48" s="61">
        <v>0</v>
      </c>
      <c r="AI48" s="62" t="s">
        <v>216</v>
      </c>
      <c r="AJ48" s="63" t="s">
        <v>304</v>
      </c>
      <c r="AK48" s="63" t="s">
        <v>91</v>
      </c>
      <c r="AL48" s="63" t="s">
        <v>74</v>
      </c>
      <c r="AM48" s="63" t="s">
        <v>75</v>
      </c>
      <c r="AN48" s="63" t="s">
        <v>76</v>
      </c>
      <c r="AO48" s="63" t="s">
        <v>77</v>
      </c>
      <c r="AP48" s="63" t="str">
        <f t="shared" si="37"/>
        <v>BRFSOCC2.Beh.stVal</v>
      </c>
      <c r="AQ48" s="63" t="s">
        <v>73</v>
      </c>
      <c r="AR48" s="53">
        <v>0</v>
      </c>
      <c r="AS48" s="53">
        <v>0</v>
      </c>
      <c r="AT48" s="53">
        <v>0</v>
      </c>
      <c r="AU48" s="53">
        <v>0</v>
      </c>
      <c r="AV48" s="53">
        <f t="shared" si="38"/>
        <v>0</v>
      </c>
      <c r="AW48" s="53">
        <v>0</v>
      </c>
      <c r="AX48" s="53">
        <v>0</v>
      </c>
      <c r="AY48" s="64"/>
      <c r="AZ48" s="53"/>
      <c r="BA48" s="53"/>
      <c r="BB48" s="53"/>
      <c r="BC48" s="53"/>
      <c r="BD48" s="53"/>
      <c r="BE48" s="53"/>
      <c r="BF48" s="53"/>
      <c r="BG48" s="70" t="str">
        <f t="shared" si="39"/>
        <v>description: "Поведение", note: "Индикация поведения логического узла ОТ УРОВ2", group: "status", minValue: null, maxValue: null, step: null, units: "null", defaultValue: null, eventRegistration: 0</v>
      </c>
    </row>
    <row r="49" spans="1:60" s="66" customFormat="1" ht="15.75" x14ac:dyDescent="0.25">
      <c r="A49" s="51"/>
      <c r="B49" s="105" t="s">
        <v>317</v>
      </c>
      <c r="C49" s="53"/>
      <c r="D49" s="101" t="s">
        <v>288</v>
      </c>
      <c r="E49" s="55" t="s">
        <v>292</v>
      </c>
      <c r="F49" s="55" t="s">
        <v>97</v>
      </c>
      <c r="G49" s="55" t="s">
        <v>97</v>
      </c>
      <c r="H49" s="53"/>
      <c r="I49" s="55">
        <f t="shared" si="35"/>
        <v>11</v>
      </c>
      <c r="J49" s="55" t="str">
        <f t="shared" si="36"/>
        <v>Исправность</v>
      </c>
      <c r="K49" s="57" t="s">
        <v>296</v>
      </c>
      <c r="L49" s="58" t="s">
        <v>66</v>
      </c>
      <c r="M49" s="60" t="s">
        <v>60</v>
      </c>
      <c r="N49" s="60" t="s">
        <v>61</v>
      </c>
      <c r="O49" s="60"/>
      <c r="P49" s="71"/>
      <c r="Q49" s="71"/>
      <c r="R49" s="60" t="s">
        <v>62</v>
      </c>
      <c r="S49" s="60" t="s">
        <v>62</v>
      </c>
      <c r="T49" s="60" t="s">
        <v>62</v>
      </c>
      <c r="U49" s="60" t="s">
        <v>62</v>
      </c>
      <c r="V49" s="53"/>
      <c r="W49" s="53"/>
      <c r="X49" s="60" t="s">
        <v>62</v>
      </c>
      <c r="Y49" s="60">
        <v>0</v>
      </c>
      <c r="Z49" s="53"/>
      <c r="AA49" s="61">
        <v>0</v>
      </c>
      <c r="AB49" s="61"/>
      <c r="AC49" s="61"/>
      <c r="AD49" s="61"/>
      <c r="AE49" s="61"/>
      <c r="AF49" s="61">
        <v>0</v>
      </c>
      <c r="AG49" s="61">
        <v>0</v>
      </c>
      <c r="AH49" s="61">
        <v>0</v>
      </c>
      <c r="AI49" s="62" t="s">
        <v>216</v>
      </c>
      <c r="AJ49" s="63" t="s">
        <v>305</v>
      </c>
      <c r="AK49" s="63" t="s">
        <v>91</v>
      </c>
      <c r="AL49" s="63" t="s">
        <v>74</v>
      </c>
      <c r="AM49" s="63" t="s">
        <v>75</v>
      </c>
      <c r="AN49" s="63" t="s">
        <v>95</v>
      </c>
      <c r="AO49" s="63" t="s">
        <v>77</v>
      </c>
      <c r="AP49" s="63" t="str">
        <f t="shared" si="37"/>
        <v>BRFSOCC2.Health.stVal</v>
      </c>
      <c r="AQ49" s="63" t="s">
        <v>73</v>
      </c>
      <c r="AR49" s="53">
        <v>0</v>
      </c>
      <c r="AS49" s="53">
        <v>0</v>
      </c>
      <c r="AT49" s="53">
        <v>0</v>
      </c>
      <c r="AU49" s="53">
        <v>0</v>
      </c>
      <c r="AV49" s="53">
        <f t="shared" si="38"/>
        <v>0</v>
      </c>
      <c r="AW49" s="53">
        <v>0</v>
      </c>
      <c r="AX49" s="53">
        <v>0</v>
      </c>
      <c r="AY49" s="64"/>
      <c r="AZ49" s="53"/>
      <c r="BA49" s="53"/>
      <c r="BB49" s="53"/>
      <c r="BC49" s="53"/>
      <c r="BD49" s="53"/>
      <c r="BE49" s="53"/>
      <c r="BF49" s="53"/>
      <c r="BG49" s="70" t="str">
        <f t="shared" si="39"/>
        <v>description: "Исправность", note: "Индикация исправности логического узла ОТ УРОВ2", group: "status", minValue: null, maxValue: null, step: null, units: "null", defaultValue: null, eventRegistration: 0</v>
      </c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1"/>
  <sheetViews>
    <sheetView zoomScale="80" zoomScaleNormal="80" workbookViewId="0">
      <selection activeCell="A4" sqref="A4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3.42578125" style="2" customWidth="1"/>
    <col min="6" max="6" width="20.5703125" style="2" customWidth="1" outlineLevel="1"/>
    <col min="7" max="7" width="20.5703125" style="2" bestFit="1" customWidth="1" outlineLevel="1"/>
    <col min="8" max="8" width="42" style="2" customWidth="1" outlineLevel="1"/>
    <col min="9" max="9" width="10" style="2" customWidth="1"/>
    <col min="10" max="10" width="33.5703125" style="2" bestFit="1" customWidth="1"/>
    <col min="11" max="11" width="22.28515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6.5703125" style="3" customWidth="1" outlineLevel="1"/>
    <col min="19" max="19" width="9.5703125" style="4" customWidth="1" outlineLevel="1"/>
    <col min="20" max="20" width="11.28515625" style="4" customWidth="1" outlineLevel="1"/>
    <col min="21" max="21" width="8.42578125" style="4" customWidth="1" outlineLevel="1"/>
    <col min="22" max="23" width="13.5703125" style="4" customWidth="1" outlineLevel="1"/>
    <col min="24" max="24" width="15.8554687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3.7109375" style="2" bestFit="1" customWidth="1"/>
    <col min="37" max="37" width="26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7.8554687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2.855468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4" hidden="1" customWidth="1" outlineLevel="1"/>
    <col min="55" max="55" width="13.28515625" style="4" hidden="1" customWidth="1" outlineLevel="1"/>
    <col min="56" max="56" width="13" style="44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SUM(AA3:AA58)</f>
        <v>0</v>
      </c>
      <c r="AI1" s="48"/>
      <c r="AJ1" s="7"/>
      <c r="AK1" s="7"/>
      <c r="AL1" s="7"/>
      <c r="AM1" s="7"/>
      <c r="AN1" s="7"/>
      <c r="AO1" s="7"/>
      <c r="AP1" s="7"/>
      <c r="AQ1" s="7"/>
      <c r="AR1" s="48"/>
      <c r="AS1" s="6"/>
      <c r="AT1" s="6"/>
      <c r="AU1" s="6"/>
      <c r="AV1" s="6"/>
      <c r="AW1" s="6"/>
      <c r="AX1" s="6"/>
      <c r="AY1" s="8"/>
      <c r="AZ1" s="107" t="s">
        <v>0</v>
      </c>
      <c r="BA1" s="108"/>
      <c r="BB1" s="108"/>
      <c r="BC1" s="108"/>
      <c r="BD1" s="108"/>
      <c r="BE1" s="108"/>
      <c r="BF1" s="108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00" customFormat="1" ht="15.75" x14ac:dyDescent="0.25">
      <c r="A3" s="35"/>
      <c r="B3" s="35" t="s">
        <v>98</v>
      </c>
      <c r="C3" s="39"/>
      <c r="D3" s="20" t="s">
        <v>117</v>
      </c>
      <c r="E3" s="30" t="s">
        <v>99</v>
      </c>
      <c r="F3" s="30" t="s">
        <v>109</v>
      </c>
      <c r="G3" s="30" t="s">
        <v>113</v>
      </c>
      <c r="H3" s="30" t="s">
        <v>106</v>
      </c>
      <c r="I3" s="30">
        <f t="shared" ref="I3" si="0">LEN(F3)</f>
        <v>12</v>
      </c>
      <c r="J3" s="30" t="str">
        <f t="shared" ref="J3" si="1">IF(LEN(F3)&lt;=$J$1,F3,"")</f>
        <v>Ввод_функции</v>
      </c>
      <c r="K3" s="35" t="s">
        <v>212</v>
      </c>
      <c r="L3" s="38" t="s">
        <v>63</v>
      </c>
      <c r="M3" s="39" t="s">
        <v>61</v>
      </c>
      <c r="N3" s="39" t="s">
        <v>61</v>
      </c>
      <c r="O3" s="39"/>
      <c r="P3" s="47">
        <v>0</v>
      </c>
      <c r="Q3" s="47"/>
      <c r="R3" s="39" t="s">
        <v>62</v>
      </c>
      <c r="S3" s="39">
        <v>0</v>
      </c>
      <c r="T3" s="39">
        <v>1</v>
      </c>
      <c r="U3" s="39">
        <v>1</v>
      </c>
      <c r="V3" s="39"/>
      <c r="W3" s="39"/>
      <c r="X3" s="39">
        <v>0</v>
      </c>
      <c r="Y3" s="39">
        <v>0</v>
      </c>
      <c r="Z3" s="37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5"/>
      <c r="AJ3" s="36"/>
      <c r="AK3" s="36"/>
      <c r="AL3" s="36"/>
      <c r="AM3" s="36"/>
      <c r="AN3" s="36"/>
      <c r="AO3" s="36"/>
      <c r="AP3" s="36"/>
      <c r="AQ3" s="36"/>
      <c r="AR3" s="36">
        <v>0</v>
      </c>
      <c r="AS3" s="36">
        <v>0</v>
      </c>
      <c r="AT3" s="36">
        <v>0</v>
      </c>
      <c r="AU3" s="36">
        <v>0</v>
      </c>
      <c r="AV3" s="36">
        <f>BIN2DEC(CONCATENATE(0,0,0,0,AR3,AS3,AT3,AU3))</f>
        <v>0</v>
      </c>
      <c r="AW3" s="36" t="s">
        <v>107</v>
      </c>
      <c r="AX3" s="36"/>
      <c r="AY3" s="47"/>
      <c r="AZ3" s="41"/>
      <c r="BA3" s="41"/>
      <c r="BB3" s="41"/>
      <c r="BC3" s="41"/>
      <c r="BD3" s="41"/>
      <c r="BE3" s="41"/>
      <c r="BF3" s="41"/>
      <c r="BG3" s="43" t="str">
        <f t="shared" ref="BG3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4"/>
      <c r="BC4" s="4"/>
      <c r="BD4" s="44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4"/>
      <c r="BC5" s="4"/>
      <c r="BD5" s="44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4"/>
      <c r="BC6" s="4"/>
      <c r="BD6" s="44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4"/>
      <c r="BC7" s="4"/>
      <c r="BD7" s="44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4"/>
      <c r="BC8" s="4"/>
      <c r="BD8" s="44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4"/>
      <c r="BC9" s="4"/>
      <c r="BD9" s="44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4"/>
      <c r="BC10" s="4"/>
      <c r="BD10" s="44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4"/>
      <c r="BC11" s="4"/>
      <c r="BD11" s="44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4"/>
      <c r="BC12" s="4"/>
      <c r="BD12" s="44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4"/>
      <c r="BC13" s="4"/>
      <c r="BD13" s="44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4"/>
      <c r="BC14" s="4"/>
      <c r="BD14" s="44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4"/>
      <c r="BC15" s="4"/>
      <c r="BD15" s="44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4"/>
      <c r="BC16" s="4"/>
      <c r="BD16" s="44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4"/>
      <c r="BC17" s="4"/>
      <c r="BD17" s="44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4"/>
      <c r="BC18" s="4"/>
      <c r="BD18" s="44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4"/>
      <c r="BC19" s="4"/>
      <c r="BD19" s="44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4"/>
      <c r="BC20" s="4"/>
      <c r="BD20" s="44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4"/>
      <c r="BC21" s="4"/>
      <c r="BD21" s="44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4"/>
      <c r="BC22" s="4"/>
      <c r="BD22" s="44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4"/>
      <c r="BC23" s="4"/>
      <c r="BD23" s="44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4"/>
      <c r="BC24" s="4"/>
      <c r="BD24" s="44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4"/>
      <c r="BC25" s="4"/>
      <c r="BD25" s="44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4"/>
      <c r="BC26" s="4"/>
      <c r="BD26" s="44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4"/>
      <c r="BC27" s="4"/>
      <c r="BD27" s="44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4"/>
      <c r="BC28" s="4"/>
      <c r="BD28" s="44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4"/>
      <c r="BC29" s="4"/>
      <c r="BD29" s="44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4"/>
      <c r="BC30" s="4"/>
      <c r="BD30" s="44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4"/>
      <c r="BC31" s="4"/>
      <c r="BD31" s="44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4"/>
      <c r="BC32" s="4"/>
      <c r="BD32" s="44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4"/>
      <c r="BC33" s="4"/>
      <c r="BD33" s="44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4"/>
      <c r="BC34" s="4"/>
      <c r="BD34" s="44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4"/>
      <c r="BC35" s="4"/>
      <c r="BD35" s="44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4"/>
      <c r="BC36" s="4"/>
      <c r="BD36" s="44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4"/>
      <c r="BC37" s="4"/>
      <c r="BD37" s="44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4"/>
      <c r="BC38" s="4"/>
      <c r="BD38" s="44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4"/>
      <c r="BC39" s="4"/>
      <c r="BD39" s="44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4"/>
      <c r="BC40" s="4"/>
      <c r="BD40" s="44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4"/>
      <c r="BC41" s="4"/>
      <c r="BD41" s="44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4"/>
      <c r="BC42" s="4"/>
      <c r="BD42" s="44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4"/>
      <c r="BC43" s="4"/>
      <c r="BD43" s="44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4"/>
      <c r="BC44" s="4"/>
      <c r="BD44" s="44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4"/>
      <c r="BC45" s="4"/>
      <c r="BD45" s="44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4"/>
      <c r="BC46" s="4"/>
      <c r="BD46" s="44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4"/>
      <c r="BC47" s="4"/>
      <c r="BD47" s="44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4"/>
      <c r="BC48" s="4"/>
      <c r="BD48" s="44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4"/>
      <c r="BC49" s="4"/>
      <c r="BD49" s="44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4"/>
      <c r="BC50" s="4"/>
      <c r="BD50" s="44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4"/>
      <c r="BC51" s="4"/>
      <c r="BD51" s="44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4"/>
      <c r="BC52" s="4"/>
      <c r="BD52" s="44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4"/>
      <c r="BC53" s="4"/>
      <c r="BD53" s="44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4"/>
      <c r="BC54" s="4"/>
      <c r="BD54" s="44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4"/>
      <c r="BC55" s="4"/>
      <c r="BD55" s="44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4"/>
      <c r="BC56" s="4"/>
      <c r="BD56" s="44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4"/>
      <c r="BC57" s="4"/>
      <c r="BD57" s="44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4"/>
      <c r="BC58" s="4"/>
      <c r="BD58" s="44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4"/>
      <c r="BC59" s="4"/>
      <c r="BD59" s="44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4"/>
      <c r="BC60" s="4"/>
      <c r="BD60" s="44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4"/>
      <c r="BC61" s="4"/>
      <c r="BD61" s="44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4"/>
      <c r="BC62" s="4"/>
      <c r="BD62" s="44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4"/>
      <c r="BC63" s="4"/>
      <c r="BD63" s="44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4"/>
      <c r="BC64" s="4"/>
      <c r="BD64" s="44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4"/>
      <c r="BC65" s="4"/>
      <c r="BD65" s="44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4"/>
      <c r="BC66" s="4"/>
      <c r="BD66" s="44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4"/>
      <c r="BC67" s="4"/>
      <c r="BD67" s="44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4"/>
      <c r="BC68" s="4"/>
      <c r="BD68" s="44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4"/>
      <c r="BC69" s="4"/>
      <c r="BD69" s="44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4"/>
      <c r="BC70" s="4"/>
      <c r="BD70" s="44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4"/>
      <c r="BC71" s="4"/>
      <c r="BD71" s="44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4"/>
      <c r="BC72" s="4"/>
      <c r="BD72" s="44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4"/>
      <c r="BC73" s="4"/>
      <c r="BD73" s="44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4"/>
      <c r="BC74" s="4"/>
      <c r="BD74" s="44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4"/>
      <c r="BC75" s="4"/>
      <c r="BD75" s="44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4"/>
      <c r="BC76" s="4"/>
      <c r="BD76" s="44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4"/>
      <c r="BC77" s="4"/>
      <c r="BD77" s="44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4"/>
      <c r="BC78" s="4"/>
      <c r="BD78" s="44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4"/>
      <c r="BC79" s="4"/>
      <c r="BD79" s="44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4"/>
      <c r="BC80" s="4"/>
      <c r="BD80" s="44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4"/>
      <c r="BC81" s="4"/>
      <c r="BD81" s="44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4"/>
      <c r="BC82" s="4"/>
      <c r="BD82" s="44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4"/>
      <c r="BC83" s="4"/>
      <c r="BD83" s="44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4"/>
      <c r="BC84" s="4"/>
      <c r="BD84" s="44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4"/>
      <c r="BC85" s="4"/>
      <c r="BD85" s="44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4"/>
      <c r="BC86" s="4"/>
      <c r="BD86" s="44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4"/>
      <c r="BC87" s="4"/>
      <c r="BD87" s="44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4"/>
      <c r="BC88" s="4"/>
      <c r="BD88" s="44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4"/>
      <c r="BC89" s="4"/>
      <c r="BD89" s="44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4"/>
      <c r="BC90" s="4"/>
      <c r="BD90" s="44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4"/>
      <c r="BC91" s="4"/>
      <c r="BD91" s="44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4"/>
      <c r="BC92" s="4"/>
      <c r="BD92" s="44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4"/>
      <c r="BC93" s="4"/>
      <c r="BD93" s="44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4"/>
      <c r="BC94" s="4"/>
      <c r="BD94" s="44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4"/>
      <c r="BC95" s="4"/>
      <c r="BD95" s="44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4"/>
      <c r="BC96" s="4"/>
      <c r="BD96" s="44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4"/>
      <c r="BC97" s="4"/>
      <c r="BD97" s="44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4"/>
      <c r="BC98" s="4"/>
      <c r="BD98" s="44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4"/>
      <c r="BC99" s="4"/>
      <c r="BD99" s="44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4"/>
      <c r="BC100" s="4"/>
      <c r="BD100" s="44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4"/>
      <c r="BC101" s="4"/>
      <c r="BD101" s="44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4"/>
      <c r="BC102" s="4"/>
      <c r="BD102" s="44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4"/>
      <c r="BC103" s="4"/>
      <c r="BD103" s="44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4"/>
      <c r="BC104" s="4"/>
      <c r="BD104" s="44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4"/>
      <c r="BC105" s="4"/>
      <c r="BD105" s="44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4"/>
      <c r="BC106" s="4"/>
      <c r="BD106" s="44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4"/>
      <c r="BC107" s="4"/>
      <c r="BD107" s="44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4"/>
      <c r="BC108" s="4"/>
      <c r="BD108" s="44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4"/>
      <c r="BC109" s="4"/>
      <c r="BD109" s="44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4"/>
      <c r="BC110" s="4"/>
      <c r="BD110" s="44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4"/>
      <c r="BC111" s="4"/>
      <c r="BD111" s="44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4"/>
      <c r="BC112" s="4"/>
      <c r="BD112" s="44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4"/>
      <c r="BC113" s="4"/>
      <c r="BD113" s="44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4"/>
      <c r="BC114" s="4"/>
      <c r="BD114" s="44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4"/>
      <c r="BC115" s="4"/>
      <c r="BD115" s="44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4"/>
      <c r="BC116" s="4"/>
      <c r="BD116" s="44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4"/>
      <c r="BC117" s="4"/>
      <c r="BD117" s="44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4"/>
      <c r="BC118" s="4"/>
      <c r="BD118" s="44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4"/>
      <c r="BC119" s="4"/>
      <c r="BD119" s="44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4"/>
      <c r="BC120" s="4"/>
      <c r="BD120" s="44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4"/>
      <c r="BC121" s="4"/>
      <c r="BD121" s="44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4"/>
      <c r="BC122" s="4"/>
      <c r="BD122" s="44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4"/>
      <c r="BC123" s="4"/>
      <c r="BD123" s="44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4"/>
      <c r="BC124" s="4"/>
      <c r="BD124" s="44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4"/>
      <c r="BC125" s="4"/>
      <c r="BD125" s="44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4"/>
      <c r="BC126" s="4"/>
      <c r="BD126" s="44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4"/>
      <c r="BC127" s="4"/>
      <c r="BD127" s="44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4"/>
      <c r="BC128" s="4"/>
      <c r="BD128" s="44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4"/>
      <c r="BC129" s="4"/>
      <c r="BD129" s="44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4"/>
      <c r="BC130" s="4"/>
      <c r="BD130" s="44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4"/>
      <c r="BC131" s="4"/>
      <c r="BD131" s="44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4"/>
      <c r="BC132" s="4"/>
      <c r="BD132" s="44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4"/>
      <c r="BC133" s="4"/>
      <c r="BD133" s="44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4"/>
      <c r="BC134" s="4"/>
      <c r="BD134" s="44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4"/>
      <c r="BC135" s="4"/>
      <c r="BD135" s="44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4"/>
      <c r="BC136" s="4"/>
      <c r="BD136" s="44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4"/>
      <c r="BC137" s="4"/>
      <c r="BD137" s="44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4"/>
      <c r="BC138" s="4"/>
      <c r="BD138" s="44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4"/>
      <c r="BC139" s="4"/>
      <c r="BD139" s="44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4"/>
      <c r="BC140" s="4"/>
      <c r="BD140" s="44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4"/>
      <c r="BC141" s="4"/>
      <c r="BD141" s="44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4"/>
      <c r="BC142" s="4"/>
      <c r="BD142" s="44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4"/>
      <c r="BC143" s="4"/>
      <c r="BD143" s="44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4"/>
      <c r="BC144" s="4"/>
      <c r="BD144" s="44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4"/>
      <c r="BC145" s="4"/>
      <c r="BD145" s="44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4"/>
      <c r="BC146" s="4"/>
      <c r="BD146" s="44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4"/>
      <c r="BC147" s="4"/>
      <c r="BD147" s="44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4"/>
      <c r="BC148" s="4"/>
      <c r="BD148" s="44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4"/>
      <c r="BC149" s="4"/>
      <c r="BD149" s="44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4"/>
      <c r="BC150" s="4"/>
      <c r="BD150" s="44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4"/>
      <c r="BC151" s="4"/>
      <c r="BD151" s="44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4"/>
      <c r="BC152" s="4"/>
      <c r="BD152" s="44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4"/>
      <c r="BC153" s="4"/>
      <c r="BD153" s="44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4"/>
      <c r="BC154" s="4"/>
      <c r="BD154" s="44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4"/>
      <c r="BC155" s="4"/>
      <c r="BD155" s="44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4"/>
      <c r="BC156" s="4"/>
      <c r="BD156" s="44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4"/>
      <c r="BC157" s="4"/>
      <c r="BD157" s="44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4"/>
      <c r="BC158" s="4"/>
      <c r="BD158" s="44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4"/>
      <c r="BC159" s="4"/>
      <c r="BD159" s="44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4"/>
      <c r="BC160" s="4"/>
      <c r="BD160" s="44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4"/>
      <c r="BC161" s="4"/>
      <c r="BD161" s="44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4"/>
      <c r="BC162" s="4"/>
      <c r="BD162" s="44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4"/>
      <c r="BC163" s="4"/>
      <c r="BD163" s="44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4"/>
      <c r="BC164" s="4"/>
      <c r="BD164" s="44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4"/>
      <c r="BC165" s="4"/>
      <c r="BD165" s="44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4"/>
      <c r="BC166" s="4"/>
      <c r="BD166" s="44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4"/>
      <c r="BC167" s="4"/>
      <c r="BD167" s="44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4"/>
      <c r="BC168" s="4"/>
      <c r="BD168" s="44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4"/>
      <c r="BC169" s="4"/>
      <c r="BD169" s="44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4"/>
      <c r="BC170" s="4"/>
      <c r="BD170" s="44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4"/>
      <c r="BC171" s="4"/>
      <c r="BD171" s="44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4"/>
      <c r="BC172" s="4"/>
      <c r="BD172" s="44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4"/>
      <c r="BC173" s="4"/>
      <c r="BD173" s="44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4"/>
      <c r="BC174" s="4"/>
      <c r="BD174" s="44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4"/>
      <c r="BC175" s="4"/>
      <c r="BD175" s="44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4"/>
      <c r="BC176" s="4"/>
      <c r="BD176" s="44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4"/>
      <c r="BC177" s="4"/>
      <c r="BD177" s="44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4"/>
      <c r="BC178" s="4"/>
      <c r="BD178" s="44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4"/>
      <c r="BC179" s="4"/>
      <c r="BD179" s="44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4"/>
      <c r="BC180" s="4"/>
      <c r="BD180" s="44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4"/>
      <c r="BC181" s="4"/>
      <c r="BD181" s="44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4"/>
      <c r="BC182" s="4"/>
      <c r="BD182" s="44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4"/>
      <c r="BC183" s="4"/>
      <c r="BD183" s="44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4"/>
      <c r="BC184" s="4"/>
      <c r="BD184" s="44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4"/>
      <c r="BC185" s="4"/>
      <c r="BD185" s="44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4"/>
      <c r="BC186" s="4"/>
      <c r="BD186" s="44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4"/>
      <c r="BC187" s="4"/>
      <c r="BD187" s="44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4"/>
      <c r="BC188" s="4"/>
      <c r="BD188" s="44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4"/>
      <c r="BC189" s="4"/>
      <c r="BD189" s="44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4"/>
      <c r="BC190" s="4"/>
      <c r="BD190" s="44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4"/>
      <c r="BC191" s="4"/>
      <c r="BD191" s="44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4"/>
      <c r="BC192" s="4"/>
      <c r="BD192" s="44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4"/>
      <c r="BC193" s="4"/>
      <c r="BD193" s="44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4"/>
      <c r="BC194" s="4"/>
      <c r="BD194" s="44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4"/>
      <c r="BC195" s="4"/>
      <c r="BD195" s="44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4"/>
      <c r="BC196" s="4"/>
      <c r="BD196" s="44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4"/>
      <c r="BC197" s="4"/>
      <c r="BD197" s="44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4"/>
      <c r="BC198" s="4"/>
      <c r="BD198" s="44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4"/>
      <c r="BC199" s="4"/>
      <c r="BD199" s="44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4"/>
      <c r="BC200" s="4"/>
      <c r="BD200" s="44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4"/>
      <c r="BC201" s="4"/>
      <c r="BD201" s="44"/>
      <c r="BE201" s="4"/>
      <c r="BF201" s="4"/>
      <c r="BG201" s="1"/>
      <c r="BH20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5"/>
  <sheetViews>
    <sheetView workbookViewId="0">
      <selection activeCell="B5" sqref="B5"/>
    </sheetView>
  </sheetViews>
  <sheetFormatPr defaultRowHeight="15.75" x14ac:dyDescent="0.25"/>
  <cols>
    <col min="1" max="1" width="22.42578125" style="100" customWidth="1"/>
    <col min="2" max="2" width="62.42578125" style="100" customWidth="1"/>
    <col min="3" max="16384" width="9.140625" style="100"/>
  </cols>
  <sheetData>
    <row r="2" spans="1:2" x14ac:dyDescent="0.25">
      <c r="A2" s="9" t="s">
        <v>100</v>
      </c>
      <c r="B2" s="9" t="s">
        <v>101</v>
      </c>
    </row>
    <row r="3" spans="1:2" x14ac:dyDescent="0.25">
      <c r="A3" s="28" t="s">
        <v>102</v>
      </c>
      <c r="B3" s="49" t="s">
        <v>117</v>
      </c>
    </row>
    <row r="4" spans="1:2" x14ac:dyDescent="0.25">
      <c r="A4" s="28" t="s">
        <v>103</v>
      </c>
      <c r="B4" s="50">
        <v>610</v>
      </c>
    </row>
    <row r="5" spans="1:2" x14ac:dyDescent="0.25">
      <c r="A5" s="28" t="s">
        <v>104</v>
      </c>
      <c r="B5" s="49" t="s">
        <v>61</v>
      </c>
    </row>
    <row r="6" spans="1:2" x14ac:dyDescent="0.25">
      <c r="A6" s="28" t="s">
        <v>105</v>
      </c>
      <c r="B6" s="49" t="s">
        <v>334</v>
      </c>
    </row>
    <row r="7" spans="1:2" x14ac:dyDescent="0.25">
      <c r="A7" s="28" t="s">
        <v>114</v>
      </c>
      <c r="B7" s="49">
        <v>2</v>
      </c>
    </row>
    <row r="8" spans="1:2" x14ac:dyDescent="0.25">
      <c r="A8" s="106" t="s">
        <v>318</v>
      </c>
      <c r="B8" t="s">
        <v>320</v>
      </c>
    </row>
    <row r="9" spans="1:2" x14ac:dyDescent="0.25">
      <c r="A9" s="106" t="s">
        <v>319</v>
      </c>
      <c r="B9" s="106"/>
    </row>
    <row r="10" spans="1:2" x14ac:dyDescent="0.25">
      <c r="A10" s="20" t="s">
        <v>117</v>
      </c>
      <c r="B10" t="s">
        <v>320</v>
      </c>
    </row>
    <row r="11" spans="1:2" x14ac:dyDescent="0.25">
      <c r="A11" s="74" t="s">
        <v>251</v>
      </c>
      <c r="B11" t="s">
        <v>122</v>
      </c>
    </row>
    <row r="12" spans="1:2" x14ac:dyDescent="0.25">
      <c r="A12" s="20" t="s">
        <v>166</v>
      </c>
      <c r="B12" t="s">
        <v>321</v>
      </c>
    </row>
    <row r="13" spans="1:2" x14ac:dyDescent="0.25">
      <c r="A13" s="74" t="s">
        <v>167</v>
      </c>
      <c r="B13" t="s">
        <v>322</v>
      </c>
    </row>
    <row r="14" spans="1:2" x14ac:dyDescent="0.25">
      <c r="A14" s="20" t="s">
        <v>168</v>
      </c>
      <c r="B14" t="s">
        <v>323</v>
      </c>
    </row>
    <row r="15" spans="1:2" x14ac:dyDescent="0.25">
      <c r="A15" s="74" t="s">
        <v>169</v>
      </c>
      <c r="B15" t="s">
        <v>324</v>
      </c>
    </row>
    <row r="16" spans="1:2" x14ac:dyDescent="0.25">
      <c r="A16" s="20" t="s">
        <v>170</v>
      </c>
      <c r="B16" t="s">
        <v>325</v>
      </c>
    </row>
    <row r="17" spans="1:2" x14ac:dyDescent="0.25">
      <c r="A17" s="74" t="s">
        <v>171</v>
      </c>
      <c r="B17" t="s">
        <v>326</v>
      </c>
    </row>
    <row r="18" spans="1:2" x14ac:dyDescent="0.25">
      <c r="A18" s="20" t="s">
        <v>269</v>
      </c>
      <c r="B18" t="s">
        <v>327</v>
      </c>
    </row>
    <row r="19" spans="1:2" x14ac:dyDescent="0.25">
      <c r="A19" s="74" t="s">
        <v>172</v>
      </c>
      <c r="B19" t="s">
        <v>328</v>
      </c>
    </row>
    <row r="20" spans="1:2" x14ac:dyDescent="0.25">
      <c r="A20" s="20" t="s">
        <v>173</v>
      </c>
      <c r="B20" t="s">
        <v>333</v>
      </c>
    </row>
    <row r="21" spans="1:2" x14ac:dyDescent="0.25">
      <c r="A21" s="74" t="s">
        <v>281</v>
      </c>
      <c r="B21" t="s">
        <v>329</v>
      </c>
    </row>
    <row r="22" spans="1:2" x14ac:dyDescent="0.25">
      <c r="A22" s="20" t="s">
        <v>282</v>
      </c>
      <c r="B22" t="s">
        <v>330</v>
      </c>
    </row>
    <row r="23" spans="1:2" x14ac:dyDescent="0.25">
      <c r="A23" s="74" t="s">
        <v>287</v>
      </c>
      <c r="B23" t="s">
        <v>331</v>
      </c>
    </row>
    <row r="24" spans="1:2" x14ac:dyDescent="0.25">
      <c r="A24" s="20" t="s">
        <v>288</v>
      </c>
      <c r="B24" t="s">
        <v>332</v>
      </c>
    </row>
    <row r="25" spans="1:2" x14ac:dyDescent="0.25">
      <c r="A25" s="106" t="s">
        <v>319</v>
      </c>
      <c r="B25" s="10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2025-09-09T05:40:05Z</dcterms:modified>
</cp:coreProperties>
</file>