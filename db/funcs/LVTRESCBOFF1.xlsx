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5" i="4"/>
  <c r="AX4" i="4"/>
  <c r="AX3" i="4"/>
  <c r="BH6" i="6" l="1"/>
  <c r="AW6" i="6"/>
  <c r="K6" i="6"/>
  <c r="J6" i="6"/>
  <c r="BG20" i="5"/>
  <c r="AV20" i="5"/>
  <c r="AP20" i="5"/>
  <c r="J20" i="5"/>
  <c r="I20" i="5"/>
  <c r="BG19" i="5"/>
  <c r="AV19" i="5"/>
  <c r="AP19" i="5"/>
  <c r="J19" i="5"/>
  <c r="I19" i="5"/>
  <c r="BG12" i="5"/>
  <c r="AP12" i="5"/>
  <c r="J12" i="5"/>
  <c r="I12" i="5"/>
  <c r="BG11" i="5"/>
  <c r="J11" i="5"/>
  <c r="I11" i="5"/>
  <c r="BG10" i="5"/>
  <c r="J10" i="5"/>
  <c r="I10" i="5"/>
  <c r="BG10" i="4"/>
  <c r="J10" i="4"/>
  <c r="I10" i="4"/>
  <c r="BG5" i="4"/>
  <c r="AV5" i="4"/>
  <c r="J5" i="4"/>
  <c r="I5" i="4"/>
  <c r="J11" i="4" l="1"/>
  <c r="J12" i="4"/>
  <c r="J13" i="4"/>
  <c r="AW4" i="6" l="1"/>
  <c r="K4" i="6"/>
  <c r="BG5" i="5" l="1"/>
  <c r="AP5" i="5"/>
  <c r="J5" i="5"/>
  <c r="I5" i="5"/>
  <c r="BH5" i="6" l="1"/>
  <c r="AW5" i="6"/>
  <c r="K5" i="6"/>
  <c r="J5" i="6"/>
  <c r="BG18" i="5" l="1"/>
  <c r="AV18" i="5"/>
  <c r="AP18" i="5"/>
  <c r="J18" i="5"/>
  <c r="I18" i="5"/>
  <c r="BG17" i="5"/>
  <c r="AV17" i="5"/>
  <c r="AP17" i="5"/>
  <c r="J17" i="5"/>
  <c r="I17" i="5"/>
  <c r="BG9" i="5"/>
  <c r="AP9" i="5"/>
  <c r="J9" i="5"/>
  <c r="I9" i="5"/>
  <c r="BG8" i="5"/>
  <c r="J8" i="5"/>
  <c r="I8" i="5"/>
  <c r="BG7" i="5"/>
  <c r="J7" i="5"/>
  <c r="I7" i="5"/>
  <c r="BG4" i="4"/>
  <c r="AV4" i="4"/>
  <c r="J4" i="4"/>
  <c r="I4" i="4"/>
  <c r="BG3" i="4"/>
  <c r="AV3" i="4"/>
  <c r="J3" i="4"/>
  <c r="I3" i="4"/>
  <c r="AP6" i="5" l="1"/>
  <c r="BG6" i="5"/>
  <c r="J6" i="5"/>
  <c r="I6" i="5"/>
  <c r="BG9" i="4" l="1"/>
  <c r="J9" i="4"/>
  <c r="I9" i="4"/>
  <c r="BG8" i="4"/>
  <c r="J8" i="4"/>
  <c r="I8" i="4"/>
  <c r="BG6" i="4" l="1"/>
  <c r="J6" i="4"/>
  <c r="I6" i="4"/>
  <c r="AV13" i="5" l="1"/>
  <c r="AV14" i="5"/>
  <c r="AV15" i="5"/>
  <c r="AV16" i="5"/>
  <c r="BG7" i="4" l="1"/>
  <c r="J7" i="4"/>
  <c r="I7" i="4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11" i="4"/>
  <c r="AV11" i="4"/>
  <c r="AP11" i="4"/>
  <c r="I11" i="4"/>
  <c r="AH1" i="4"/>
</calcChain>
</file>

<file path=xl/sharedStrings.xml><?xml version="1.0" encoding="utf-8"?>
<sst xmlns="http://schemas.openxmlformats.org/spreadsheetml/2006/main" count="746" uniqueCount="208">
  <si>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</si>
  <si>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</si>
  <si>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</si>
  <si>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</si>
  <si>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</si>
  <si>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</si>
  <si>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</si>
  <si>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</si>
  <si>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</si>
  <si>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</si>
  <si>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</si>
  <si>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</si>
  <si>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</si>
  <si>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</si>
  <si>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</si>
  <si>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</si>
  <si>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</si>
  <si>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</si>
  <si>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</si>
  <si>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</si>
  <si>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</si>
  <si>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</si>
  <si>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</si>
  <si>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</si>
  <si>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</si>
  <si>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</si>
  <si>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</si>
  <si>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</si>
  <si>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</si>
  <si>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</si>
  <si>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</si>
  <si>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</si>
  <si>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</si>
  <si>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</si>
  <si>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</si>
  <si>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</si>
  <si>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</si>
  <si>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</si>
  <si>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</si>
  <si>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</si>
  <si>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</si>
  <si>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</si>
  <si>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</si>
  <si>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</si>
  <si>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</si>
  <si>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</si>
  <si>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</si>
  <si>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</si>
  <si>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</si>
  <si>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</si>
  <si>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</si>
  <si>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</si>
  <si>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</si>
  <si>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</si>
  <si>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</si>
  <si>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</si>
  <si>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</si>
  <si>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</si>
  <si>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</si>
  <si>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</si>
  <si>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</si>
  <si>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</si>
  <si>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</si>
  <si>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</si>
  <si>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</si>
  <si>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</si>
  <si>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</si>
  <si>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</si>
  <si>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</si>
  <si>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</si>
  <si>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</si>
  <si>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</si>
  <si>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</si>
  <si>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</si>
  <si>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</si>
  <si>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</si>
  <si>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</si>
  <si>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</si>
  <si>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</si>
  <si>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</si>
  <si>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</si>
  <si>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</si>
  <si>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</si>
  <si>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</si>
  <si>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</si>
  <si>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</si>
  <si>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</si>
  <si>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</si>
  <si>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</si>
  <si>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</si>
  <si>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</si>
  <si>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</si>
  <si>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</si>
  <si>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</si>
  <si>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</si>
  <si>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</si>
  <si>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</si>
  <si>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</si>
  <si>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</si>
  <si>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</si>
  <si>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</si>
  <si>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</si>
  <si>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</si>
  <si>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</si>
  <si>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</si>
  <si>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</si>
  <si>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</si>
  <si>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</si>
  <si>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</si>
  <si>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</si>
  <si>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</si>
  <si>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</si>
  <si>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</si>
  <si>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</si>
  <si>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</si>
  <si>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</si>
  <si>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</si>
  <si>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Запрет АПВ</t>
  </si>
  <si>
    <t>JNTRBRE</t>
  </si>
  <si>
    <t>SPS</t>
  </si>
  <si>
    <t>Ввод функции в работу</t>
  </si>
  <si>
    <t>Срабатывание общей логики отключения трансформатора</t>
  </si>
  <si>
    <t>Сраб. ЛО Т</t>
  </si>
  <si>
    <t>Запрет АПВ внутренний</t>
  </si>
  <si>
    <t>ЗАПВ (внутр)</t>
  </si>
  <si>
    <t>LVCBPTRC1_operOutLevel</t>
  </si>
  <si>
    <t>LVCBRECRBRE1_operOutLevel</t>
  </si>
  <si>
    <t>LVCBPTRC1_FuncEnabled</t>
  </si>
  <si>
    <t>LVCBPTRC1_FuncOperDisabled</t>
  </si>
  <si>
    <t>LVCBPTRC1_Op</t>
  </si>
  <si>
    <t>Отключение</t>
  </si>
  <si>
    <t>Отключить аварийно</t>
  </si>
  <si>
    <t>LVCBPTRC1_Tr</t>
  </si>
  <si>
    <t>LVCBRECRBRE1_FuncEnabled</t>
  </si>
  <si>
    <t>LVCBRECRBRE1_FuncOperDisabled</t>
  </si>
  <si>
    <t>LVCBRECRBRE1_BlkOp</t>
  </si>
  <si>
    <t>LVCBPTRC1_Beh</t>
  </si>
  <si>
    <t>LVCBPTRC1_Health</t>
  </si>
  <si>
    <t>LVCBRECRBRE1_Beh</t>
  </si>
  <si>
    <t>LVCBRECRBRE1_Health</t>
  </si>
  <si>
    <t>CBPTRC</t>
  </si>
  <si>
    <t>LVCBPTRC1.Beh</t>
  </si>
  <si>
    <t>LVCBPTRC1.Health</t>
  </si>
  <si>
    <t>LVCBRECRBRE1.Beh</t>
  </si>
  <si>
    <t>LVCBRECRBRE1.Health</t>
  </si>
  <si>
    <t>LVCBPTRC1.Op</t>
  </si>
  <si>
    <t>LVCBPTRC1.Tr</t>
  </si>
  <si>
    <t>LVCBRECRBRE1.BlkOp</t>
  </si>
  <si>
    <t>Длительность импульса</t>
  </si>
  <si>
    <t>Тимп</t>
  </si>
  <si>
    <t>T1</t>
  </si>
  <si>
    <t>INT32</t>
  </si>
  <si>
    <t>TimeSettingScaleCoefficient</t>
  </si>
  <si>
    <t>мс</t>
  </si>
  <si>
    <t>description: "Тимп", note: "Длительность импульса", group: "setting", minValue: 50, maxValue: 60000, step: 10, units: "мс", defaultValue: 500, eventRegistration: 0</t>
  </si>
  <si>
    <t>LVCBPTRC1_EnaDis</t>
  </si>
  <si>
    <t>LVCBPTRC1_Tpulse</t>
  </si>
  <si>
    <t>LVCBRECRBRE1_EnaDis</t>
  </si>
  <si>
    <t>ЗАПВ</t>
  </si>
  <si>
    <t>Индикация поведения логического узла ЗАПВ</t>
  </si>
  <si>
    <t>Индикация исправности логического узла ЗАПВ</t>
  </si>
  <si>
    <t>ЛО</t>
  </si>
  <si>
    <t>Индикация поведения логического узла ЛО</t>
  </si>
  <si>
    <t>Индикация исправности логического узла ЛО</t>
  </si>
  <si>
    <t>ЛО НН1</t>
  </si>
  <si>
    <t>Оперативный вывод функции ЛО НН1</t>
  </si>
  <si>
    <t>Оперативный вывод ЛО НН1 / ЛО</t>
  </si>
  <si>
    <t>Оперативный вывод ЛО НН1 / ЗАПВ</t>
  </si>
  <si>
    <t>ОВ ЛО НН1 / ЛО</t>
  </si>
  <si>
    <t>ОВ ЛО НН1 / ЗАПВ</t>
  </si>
  <si>
    <t>ОВ ЛО НН1</t>
  </si>
  <si>
    <t>FbVersion</t>
  </si>
  <si>
    <t>OutTripGen</t>
  </si>
  <si>
    <t>blkREC</t>
  </si>
  <si>
    <t>Запрет АВР внутренний</t>
  </si>
  <si>
    <t>ЗАВР (внутр)</t>
  </si>
  <si>
    <t>blkLOAD</t>
  </si>
  <si>
    <t>LVTRESCBOFF1_operOutFunction</t>
  </si>
  <si>
    <t>ЗАВР</t>
  </si>
  <si>
    <t>Оперативный вывод ЛО НН1 / ЗАВР</t>
  </si>
  <si>
    <t>ОВ ЛО НН1 / ЗАВР</t>
  </si>
  <si>
    <t>LVBTSRBLC1_operOutLevel</t>
  </si>
  <si>
    <t>LVBTSRBLC1_FuncEnabled</t>
  </si>
  <si>
    <t>LVBTSRBLC1_FuncOperDisabled</t>
  </si>
  <si>
    <t>LVBTSRBLC1_BlkOp</t>
  </si>
  <si>
    <t>Запрет АВР</t>
  </si>
  <si>
    <t>Индикация поведения логического узла ЗАВР</t>
  </si>
  <si>
    <t>Индикация исправности логического узла ЗАВР</t>
  </si>
  <si>
    <t>LVBTSRBLC1_Beh</t>
  </si>
  <si>
    <t>LVBTSRBLC1_Health</t>
  </si>
  <si>
    <t>BTS1RBLC</t>
  </si>
  <si>
    <t>LVBTSRBLC1.BlkOp</t>
  </si>
  <si>
    <t>LVBTSRBLC1.Beh</t>
  </si>
  <si>
    <t>LVBTSRBLC1.Health</t>
  </si>
  <si>
    <t>LVBTSRBLC1_EnaDis</t>
  </si>
  <si>
    <t>LVTRESCBOFF1</t>
  </si>
  <si>
    <t>control</t>
  </si>
  <si>
    <t>Logger</t>
  </si>
  <si>
    <t>Disturber</t>
  </si>
  <si>
    <t>StartDisturber</t>
  </si>
  <si>
    <t>status</t>
  </si>
  <si>
    <t>DescriptionFB</t>
  </si>
  <si>
    <t>Логика отключения выключателя стороны НН1</t>
  </si>
  <si>
    <t>DescriptionFuncList</t>
  </si>
  <si>
    <t>Логика отключения</t>
  </si>
  <si>
    <t>Логика запрета АПВ</t>
  </si>
  <si>
    <t>Логика запрета АВР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</si>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</sst>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8" borderId="2" xfId="0" applyFont="1" applyFill="1" applyBorder="1"/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abSelected="1" topLeftCell="AL1" zoomScale="80" zoomScaleNormal="80" workbookViewId="0">
      <selection activeCell="AS17" sqref="AS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SUM(AA11:AA51)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72"/>
      <c r="AZ1" s="95" t="s">
        <v>0</v>
      </c>
      <c r="BA1" s="96"/>
      <c r="BB1" s="96"/>
      <c r="BC1" s="96"/>
      <c r="BD1" s="96"/>
      <c r="BE1" s="96"/>
      <c r="BF1" s="9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0" t="s">
        <v>197</v>
      </c>
      <c r="AW2" s="90" t="s">
        <v>198</v>
      </c>
      <c r="AX2" s="90" t="s">
        <v>199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3" customFormat="1" ht="15.75" x14ac:dyDescent="0.25">
      <c r="A3" s="25"/>
      <c r="B3" s="25" t="s">
        <v>50</v>
      </c>
      <c r="C3" s="26"/>
      <c r="D3" s="27"/>
      <c r="E3" s="28" t="s">
        <v>121</v>
      </c>
      <c r="F3" s="73" t="s">
        <v>122</v>
      </c>
      <c r="G3" s="73" t="s">
        <v>122</v>
      </c>
      <c r="H3" s="28"/>
      <c r="I3" s="28">
        <f t="shared" ref="I3:I4" si="0">LEN(F3)</f>
        <v>10</v>
      </c>
      <c r="J3" s="28" t="str">
        <f t="shared" ref="J3:J4" si="1">IF(LEN(F3)&lt;=$J$1,F3,"")</f>
        <v>Сраб. ЛО Т</v>
      </c>
      <c r="K3" s="25" t="s">
        <v>172</v>
      </c>
      <c r="L3" s="29" t="s">
        <v>54</v>
      </c>
      <c r="M3" s="26" t="s">
        <v>51</v>
      </c>
      <c r="N3" s="26" t="s">
        <v>52</v>
      </c>
      <c r="O3" s="26"/>
      <c r="P3" s="30"/>
      <c r="Q3" s="30"/>
      <c r="R3" s="26" t="s">
        <v>53</v>
      </c>
      <c r="S3" s="26" t="s">
        <v>53</v>
      </c>
      <c r="T3" s="26" t="s">
        <v>53</v>
      </c>
      <c r="U3" s="26" t="s">
        <v>53</v>
      </c>
      <c r="V3" s="26"/>
      <c r="W3" s="26"/>
      <c r="X3" s="26" t="s">
        <v>53</v>
      </c>
      <c r="Y3" s="26">
        <v>0</v>
      </c>
      <c r="Z3" s="31"/>
      <c r="AA3" s="75">
        <v>0</v>
      </c>
      <c r="AB3" s="75"/>
      <c r="AC3" s="75"/>
      <c r="AD3" s="75"/>
      <c r="AE3" s="75"/>
      <c r="AF3" s="75">
        <v>0</v>
      </c>
      <c r="AG3" s="75">
        <v>0</v>
      </c>
      <c r="AH3" s="75">
        <v>0</v>
      </c>
      <c r="AI3" s="82"/>
      <c r="AJ3" s="32"/>
      <c r="AK3" s="32"/>
      <c r="AL3" s="32"/>
      <c r="AM3" s="32"/>
      <c r="AN3" s="32"/>
      <c r="AO3" s="32"/>
      <c r="AP3" s="32"/>
      <c r="AQ3" s="32"/>
      <c r="AR3" s="75">
        <v>0</v>
      </c>
      <c r="AS3" s="75">
        <v>0</v>
      </c>
      <c r="AT3" s="75">
        <v>0</v>
      </c>
      <c r="AU3" s="75">
        <v>0</v>
      </c>
      <c r="AV3" s="75">
        <f t="shared" ref="AV3:AV4" si="2">BIN2DEC(CONCATENATE(0,0,0,0,AR3,AS3,AT3,AU3))</f>
        <v>0</v>
      </c>
      <c r="AW3" s="75">
        <v>0</v>
      </c>
      <c r="AX3" s="75">
        <f t="shared" ref="AX3:AX13" si="3">BIN2DEC(CONCATENATE(0,0,0,0,AT3,AU3,AV3,AW3))</f>
        <v>0</v>
      </c>
      <c r="AY3" s="75"/>
      <c r="AZ3" s="30"/>
      <c r="BA3" s="75"/>
      <c r="BB3" s="75"/>
      <c r="BC3" s="33"/>
      <c r="BD3" s="75"/>
      <c r="BE3" s="34"/>
      <c r="BF3" s="75"/>
      <c r="BG3" s="35" t="str">
        <f t="shared" ref="BG3:BG4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6"/>
    </row>
    <row r="4" spans="1:16379" s="83" customFormat="1" ht="15.75" x14ac:dyDescent="0.25">
      <c r="A4" s="25"/>
      <c r="B4" s="25" t="s">
        <v>50</v>
      </c>
      <c r="C4" s="26"/>
      <c r="D4" s="27"/>
      <c r="E4" s="28" t="s">
        <v>123</v>
      </c>
      <c r="F4" s="73" t="s">
        <v>124</v>
      </c>
      <c r="G4" s="73" t="s">
        <v>124</v>
      </c>
      <c r="H4" s="28"/>
      <c r="I4" s="28">
        <f t="shared" si="0"/>
        <v>12</v>
      </c>
      <c r="J4" s="28" t="str">
        <f t="shared" si="1"/>
        <v>ЗАПВ (внутр)</v>
      </c>
      <c r="K4" s="25" t="s">
        <v>173</v>
      </c>
      <c r="L4" s="29" t="s">
        <v>54</v>
      </c>
      <c r="M4" s="26" t="s">
        <v>51</v>
      </c>
      <c r="N4" s="26" t="s">
        <v>52</v>
      </c>
      <c r="O4" s="26"/>
      <c r="P4" s="30"/>
      <c r="Q4" s="30"/>
      <c r="R4" s="26" t="s">
        <v>53</v>
      </c>
      <c r="S4" s="26" t="s">
        <v>53</v>
      </c>
      <c r="T4" s="26" t="s">
        <v>53</v>
      </c>
      <c r="U4" s="26" t="s">
        <v>53</v>
      </c>
      <c r="V4" s="26"/>
      <c r="W4" s="26"/>
      <c r="X4" s="26" t="s">
        <v>53</v>
      </c>
      <c r="Y4" s="26">
        <v>0</v>
      </c>
      <c r="Z4" s="31"/>
      <c r="AA4" s="75">
        <v>0</v>
      </c>
      <c r="AB4" s="75"/>
      <c r="AC4" s="75"/>
      <c r="AD4" s="75"/>
      <c r="AE4" s="75"/>
      <c r="AF4" s="75">
        <v>0</v>
      </c>
      <c r="AG4" s="75">
        <v>0</v>
      </c>
      <c r="AH4" s="75">
        <v>0</v>
      </c>
      <c r="AI4" s="82"/>
      <c r="AJ4" s="32"/>
      <c r="AK4" s="32"/>
      <c r="AL4" s="32"/>
      <c r="AM4" s="32"/>
      <c r="AN4" s="32"/>
      <c r="AO4" s="32"/>
      <c r="AP4" s="32"/>
      <c r="AQ4" s="32"/>
      <c r="AR4" s="75">
        <v>0</v>
      </c>
      <c r="AS4" s="75">
        <v>0</v>
      </c>
      <c r="AT4" s="75">
        <v>0</v>
      </c>
      <c r="AU4" s="75">
        <v>0</v>
      </c>
      <c r="AV4" s="75">
        <f t="shared" si="2"/>
        <v>0</v>
      </c>
      <c r="AW4" s="75">
        <v>0</v>
      </c>
      <c r="AX4" s="75">
        <f t="shared" si="3"/>
        <v>0</v>
      </c>
      <c r="AY4" s="75"/>
      <c r="AZ4" s="30"/>
      <c r="BA4" s="75"/>
      <c r="BB4" s="75"/>
      <c r="BC4" s="33"/>
      <c r="BD4" s="75"/>
      <c r="BE4" s="34"/>
      <c r="BF4" s="75"/>
      <c r="BG4" s="35" t="str">
        <f t="shared" si="4"/>
        <v>description: "ЗАПВ (внутр)", note: "Запрет АПВ внутренний", group: "measurement", minValue: null, maxValue: null, step: null, units: "null", defaultValue: null, eventRegistration: 0</v>
      </c>
      <c r="BH4" s="36"/>
    </row>
    <row r="5" spans="1:16379" s="83" customFormat="1" ht="15.75" x14ac:dyDescent="0.25">
      <c r="A5" s="25"/>
      <c r="B5" s="25" t="s">
        <v>50</v>
      </c>
      <c r="C5" s="26"/>
      <c r="D5" s="27"/>
      <c r="E5" s="28" t="s">
        <v>174</v>
      </c>
      <c r="F5" s="73" t="s">
        <v>175</v>
      </c>
      <c r="G5" s="73" t="s">
        <v>175</v>
      </c>
      <c r="H5" s="28"/>
      <c r="I5" s="28">
        <f t="shared" ref="I5" si="5">LEN(F5)</f>
        <v>12</v>
      </c>
      <c r="J5" s="28" t="str">
        <f t="shared" ref="J5" si="6">IF(LEN(F5)&lt;=$J$1,F5,"")</f>
        <v>ЗАВР (внутр)</v>
      </c>
      <c r="K5" s="25" t="s">
        <v>176</v>
      </c>
      <c r="L5" s="29" t="s">
        <v>54</v>
      </c>
      <c r="M5" s="26" t="s">
        <v>51</v>
      </c>
      <c r="N5" s="26" t="s">
        <v>52</v>
      </c>
      <c r="O5" s="26"/>
      <c r="P5" s="30"/>
      <c r="Q5" s="30"/>
      <c r="R5" s="26" t="s">
        <v>53</v>
      </c>
      <c r="S5" s="26" t="s">
        <v>53</v>
      </c>
      <c r="T5" s="26" t="s">
        <v>53</v>
      </c>
      <c r="U5" s="26" t="s">
        <v>53</v>
      </c>
      <c r="V5" s="26"/>
      <c r="W5" s="26"/>
      <c r="X5" s="26" t="s">
        <v>53</v>
      </c>
      <c r="Y5" s="26">
        <v>0</v>
      </c>
      <c r="Z5" s="31"/>
      <c r="AA5" s="75">
        <v>0</v>
      </c>
      <c r="AB5" s="75"/>
      <c r="AC5" s="75"/>
      <c r="AD5" s="75"/>
      <c r="AE5" s="75"/>
      <c r="AF5" s="75">
        <v>0</v>
      </c>
      <c r="AG5" s="75">
        <v>0</v>
      </c>
      <c r="AH5" s="75">
        <v>0</v>
      </c>
      <c r="AI5" s="82"/>
      <c r="AJ5" s="32"/>
      <c r="AK5" s="32"/>
      <c r="AL5" s="32"/>
      <c r="AM5" s="32"/>
      <c r="AN5" s="32"/>
      <c r="AO5" s="32"/>
      <c r="AP5" s="32"/>
      <c r="AQ5" s="32"/>
      <c r="AR5" s="75">
        <v>0</v>
      </c>
      <c r="AS5" s="75">
        <v>0</v>
      </c>
      <c r="AT5" s="75">
        <v>0</v>
      </c>
      <c r="AU5" s="75">
        <v>0</v>
      </c>
      <c r="AV5" s="75">
        <f t="shared" ref="AV5" si="7">BIN2DEC(CONCATENATE(0,0,0,0,AR5,AS5,AT5,AU5))</f>
        <v>0</v>
      </c>
      <c r="AW5" s="75">
        <v>0</v>
      </c>
      <c r="AX5" s="75">
        <f t="shared" si="3"/>
        <v>0</v>
      </c>
      <c r="AY5" s="75"/>
      <c r="AZ5" s="30"/>
      <c r="BA5" s="75"/>
      <c r="BB5" s="75"/>
      <c r="BC5" s="33"/>
      <c r="BD5" s="75"/>
      <c r="BE5" s="34"/>
      <c r="BF5" s="75"/>
      <c r="BG5" s="35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"ЗАВР (внутр)", note: "Запрет АВР внутренний", group: "measurement", minValue: null, maxValue: null, step: null, units: "null", defaultValue: null, eventRegistration: 0</v>
      </c>
      <c r="BH5" s="36"/>
    </row>
    <row r="6" spans="1:16379" s="111" customFormat="1" ht="15.75" x14ac:dyDescent="0.25">
      <c r="A6" s="97"/>
      <c r="B6" s="97" t="s">
        <v>196</v>
      </c>
      <c r="C6" s="98"/>
      <c r="D6" s="99"/>
      <c r="E6" s="100" t="s">
        <v>107</v>
      </c>
      <c r="F6" s="94" t="s">
        <v>107</v>
      </c>
      <c r="G6" s="94" t="s">
        <v>107</v>
      </c>
      <c r="H6" s="100"/>
      <c r="I6" s="100">
        <f t="shared" ref="I6:I13" si="9">LEN(F6)</f>
        <v>15</v>
      </c>
      <c r="J6" s="100" t="str">
        <f t="shared" ref="J6:J13" si="10">IF(LEN(F6)&lt;=$J$1,F6,"")</f>
        <v>Вывод терминала</v>
      </c>
      <c r="K6" s="97" t="s">
        <v>108</v>
      </c>
      <c r="L6" s="101" t="s">
        <v>54</v>
      </c>
      <c r="M6" s="98" t="s">
        <v>51</v>
      </c>
      <c r="N6" s="98" t="s">
        <v>52</v>
      </c>
      <c r="O6" s="98"/>
      <c r="P6" s="102"/>
      <c r="Q6" s="102"/>
      <c r="R6" s="98" t="s">
        <v>53</v>
      </c>
      <c r="S6" s="98" t="s">
        <v>53</v>
      </c>
      <c r="T6" s="98" t="s">
        <v>53</v>
      </c>
      <c r="U6" s="98" t="s">
        <v>53</v>
      </c>
      <c r="V6" s="98"/>
      <c r="W6" s="98"/>
      <c r="X6" s="98" t="s">
        <v>53</v>
      </c>
      <c r="Y6" s="98">
        <v>0</v>
      </c>
      <c r="Z6" s="103"/>
      <c r="AA6" s="104">
        <v>0</v>
      </c>
      <c r="AB6" s="104"/>
      <c r="AC6" s="104"/>
      <c r="AD6" s="104"/>
      <c r="AE6" s="104"/>
      <c r="AF6" s="104">
        <v>0</v>
      </c>
      <c r="AG6" s="104">
        <v>0</v>
      </c>
      <c r="AH6" s="104">
        <v>0</v>
      </c>
      <c r="AI6" s="105"/>
      <c r="AJ6" s="106"/>
      <c r="AK6" s="106"/>
      <c r="AL6" s="106"/>
      <c r="AM6" s="106"/>
      <c r="AN6" s="106"/>
      <c r="AO6" s="106"/>
      <c r="AP6" s="106"/>
      <c r="AQ6" s="106"/>
      <c r="AR6" s="104">
        <v>0</v>
      </c>
      <c r="AS6" s="104">
        <v>0</v>
      </c>
      <c r="AT6" s="113">
        <v>1</v>
      </c>
      <c r="AU6" s="75">
        <v>0</v>
      </c>
      <c r="AV6" s="113">
        <v>1</v>
      </c>
      <c r="AW6" s="113">
        <v>1</v>
      </c>
      <c r="AX6" s="113">
        <v>1</v>
      </c>
      <c r="AY6" s="104"/>
      <c r="AZ6" s="102"/>
      <c r="BA6" s="104"/>
      <c r="BB6" s="104"/>
      <c r="BC6" s="107"/>
      <c r="BD6" s="104"/>
      <c r="BE6" s="108"/>
      <c r="BF6" s="104"/>
      <c r="BG6" s="109" t="str">
        <f t="shared" ref="BG6:BG9" si="11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110"/>
    </row>
    <row r="7" spans="1:16379" s="111" customFormat="1" ht="15.75" x14ac:dyDescent="0.25">
      <c r="A7" s="97"/>
      <c r="B7" s="97" t="s">
        <v>196</v>
      </c>
      <c r="C7" s="98"/>
      <c r="D7" s="112" t="s">
        <v>164</v>
      </c>
      <c r="E7" s="100" t="s">
        <v>165</v>
      </c>
      <c r="F7" s="94" t="s">
        <v>170</v>
      </c>
      <c r="G7" s="94" t="s">
        <v>170</v>
      </c>
      <c r="H7" s="100"/>
      <c r="I7" s="100">
        <f t="shared" si="9"/>
        <v>9</v>
      </c>
      <c r="J7" s="100" t="str">
        <f t="shared" si="10"/>
        <v>ОВ ЛО НН1</v>
      </c>
      <c r="K7" s="97" t="s">
        <v>177</v>
      </c>
      <c r="L7" s="101" t="s">
        <v>54</v>
      </c>
      <c r="M7" s="98" t="s">
        <v>51</v>
      </c>
      <c r="N7" s="98" t="s">
        <v>52</v>
      </c>
      <c r="O7" s="98"/>
      <c r="P7" s="102"/>
      <c r="Q7" s="102"/>
      <c r="R7" s="98" t="s">
        <v>53</v>
      </c>
      <c r="S7" s="98" t="s">
        <v>53</v>
      </c>
      <c r="T7" s="98" t="s">
        <v>53</v>
      </c>
      <c r="U7" s="98" t="s">
        <v>53</v>
      </c>
      <c r="V7" s="98"/>
      <c r="W7" s="98"/>
      <c r="X7" s="98" t="s">
        <v>53</v>
      </c>
      <c r="Y7" s="98">
        <v>0</v>
      </c>
      <c r="Z7" s="103"/>
      <c r="AA7" s="104">
        <v>0</v>
      </c>
      <c r="AB7" s="104"/>
      <c r="AC7" s="104"/>
      <c r="AD7" s="104"/>
      <c r="AE7" s="104"/>
      <c r="AF7" s="104">
        <v>0</v>
      </c>
      <c r="AG7" s="104">
        <v>0</v>
      </c>
      <c r="AH7" s="104">
        <v>0</v>
      </c>
      <c r="AI7" s="105"/>
      <c r="AJ7" s="106"/>
      <c r="AK7" s="106"/>
      <c r="AL7" s="106"/>
      <c r="AM7" s="106"/>
      <c r="AN7" s="106"/>
      <c r="AO7" s="106"/>
      <c r="AP7" s="106"/>
      <c r="AQ7" s="106"/>
      <c r="AR7" s="104">
        <v>0</v>
      </c>
      <c r="AS7" s="104">
        <v>0</v>
      </c>
      <c r="AT7" s="113">
        <v>1</v>
      </c>
      <c r="AU7" s="75">
        <v>0</v>
      </c>
      <c r="AV7" s="113">
        <v>1</v>
      </c>
      <c r="AW7" s="113">
        <v>1</v>
      </c>
      <c r="AX7" s="113">
        <v>1</v>
      </c>
      <c r="AY7" s="104"/>
      <c r="AZ7" s="102"/>
      <c r="BA7" s="104"/>
      <c r="BB7" s="104"/>
      <c r="BC7" s="107"/>
      <c r="BD7" s="104"/>
      <c r="BE7" s="108"/>
      <c r="BF7" s="104"/>
      <c r="BG7" s="109" t="str">
        <f t="shared" si="11"/>
        <v>description: "ОВ ЛО НН1", note: "Оперативный вывод функции ЛО НН1", group: "control", minValue: null, maxValue: null, step: null, units: "null", defaultValue: null, eventRegistration: 0</v>
      </c>
      <c r="BH7" s="110"/>
    </row>
    <row r="8" spans="1:16379" s="111" customFormat="1" ht="15.75" x14ac:dyDescent="0.25">
      <c r="A8" s="97"/>
      <c r="B8" s="97" t="s">
        <v>196</v>
      </c>
      <c r="C8" s="98"/>
      <c r="D8" s="112" t="s">
        <v>161</v>
      </c>
      <c r="E8" s="100" t="s">
        <v>166</v>
      </c>
      <c r="F8" s="94" t="s">
        <v>168</v>
      </c>
      <c r="G8" s="94" t="s">
        <v>168</v>
      </c>
      <c r="H8" s="100"/>
      <c r="I8" s="100">
        <f t="shared" ref="I8" si="12">LEN(F8)</f>
        <v>14</v>
      </c>
      <c r="J8" s="100" t="str">
        <f t="shared" si="10"/>
        <v>ОВ ЛО НН1 / ЛО</v>
      </c>
      <c r="K8" s="97" t="s">
        <v>125</v>
      </c>
      <c r="L8" s="101" t="s">
        <v>54</v>
      </c>
      <c r="M8" s="98" t="s">
        <v>51</v>
      </c>
      <c r="N8" s="98" t="s">
        <v>52</v>
      </c>
      <c r="O8" s="98"/>
      <c r="P8" s="102"/>
      <c r="Q8" s="102"/>
      <c r="R8" s="98" t="s">
        <v>53</v>
      </c>
      <c r="S8" s="98" t="s">
        <v>53</v>
      </c>
      <c r="T8" s="98" t="s">
        <v>53</v>
      </c>
      <c r="U8" s="98" t="s">
        <v>53</v>
      </c>
      <c r="V8" s="98"/>
      <c r="W8" s="98"/>
      <c r="X8" s="98" t="s">
        <v>53</v>
      </c>
      <c r="Y8" s="98">
        <v>0</v>
      </c>
      <c r="Z8" s="103"/>
      <c r="AA8" s="104">
        <v>0</v>
      </c>
      <c r="AB8" s="104"/>
      <c r="AC8" s="104"/>
      <c r="AD8" s="104"/>
      <c r="AE8" s="104"/>
      <c r="AF8" s="104">
        <v>0</v>
      </c>
      <c r="AG8" s="104">
        <v>0</v>
      </c>
      <c r="AH8" s="104">
        <v>0</v>
      </c>
      <c r="AI8" s="105"/>
      <c r="AJ8" s="106"/>
      <c r="AK8" s="106"/>
      <c r="AL8" s="106"/>
      <c r="AM8" s="106"/>
      <c r="AN8" s="106"/>
      <c r="AO8" s="106"/>
      <c r="AP8" s="106"/>
      <c r="AQ8" s="106"/>
      <c r="AR8" s="104">
        <v>0</v>
      </c>
      <c r="AS8" s="104">
        <v>0</v>
      </c>
      <c r="AT8" s="113">
        <v>1</v>
      </c>
      <c r="AU8" s="75">
        <v>0</v>
      </c>
      <c r="AV8" s="113">
        <v>1</v>
      </c>
      <c r="AW8" s="113">
        <v>1</v>
      </c>
      <c r="AX8" s="113">
        <v>1</v>
      </c>
      <c r="AY8" s="104"/>
      <c r="AZ8" s="102"/>
      <c r="BA8" s="104"/>
      <c r="BB8" s="104"/>
      <c r="BC8" s="107"/>
      <c r="BD8" s="104"/>
      <c r="BE8" s="108"/>
      <c r="BF8" s="104"/>
      <c r="BG8" s="109" t="str">
        <f t="shared" si="11"/>
        <v>description: "ОВ ЛО НН1 / ЛО", note: "Оперативный вывод ЛО НН1 / ЛО", group: "control", minValue: null, maxValue: null, step: null, units: "null", defaultValue: null, eventRegistration: 0</v>
      </c>
      <c r="BH8" s="110"/>
    </row>
    <row r="9" spans="1:16379" s="111" customFormat="1" ht="15.75" x14ac:dyDescent="0.25">
      <c r="A9" s="97"/>
      <c r="B9" s="97" t="s">
        <v>196</v>
      </c>
      <c r="C9" s="98"/>
      <c r="D9" s="112" t="s">
        <v>158</v>
      </c>
      <c r="E9" s="100" t="s">
        <v>167</v>
      </c>
      <c r="F9" s="94" t="s">
        <v>169</v>
      </c>
      <c r="G9" s="94" t="s">
        <v>169</v>
      </c>
      <c r="H9" s="100"/>
      <c r="I9" s="100">
        <f t="shared" ref="I9" si="13">LEN(F9)</f>
        <v>16</v>
      </c>
      <c r="J9" s="100" t="str">
        <f t="shared" si="10"/>
        <v>ОВ ЛО НН1 / ЗАПВ</v>
      </c>
      <c r="K9" s="97" t="s">
        <v>126</v>
      </c>
      <c r="L9" s="101" t="s">
        <v>54</v>
      </c>
      <c r="M9" s="98" t="s">
        <v>51</v>
      </c>
      <c r="N9" s="98" t="s">
        <v>52</v>
      </c>
      <c r="O9" s="98"/>
      <c r="P9" s="102"/>
      <c r="Q9" s="102"/>
      <c r="R9" s="98" t="s">
        <v>53</v>
      </c>
      <c r="S9" s="98" t="s">
        <v>53</v>
      </c>
      <c r="T9" s="98" t="s">
        <v>53</v>
      </c>
      <c r="U9" s="98" t="s">
        <v>53</v>
      </c>
      <c r="V9" s="98"/>
      <c r="W9" s="98"/>
      <c r="X9" s="98" t="s">
        <v>53</v>
      </c>
      <c r="Y9" s="98">
        <v>0</v>
      </c>
      <c r="Z9" s="103"/>
      <c r="AA9" s="104">
        <v>0</v>
      </c>
      <c r="AB9" s="104"/>
      <c r="AC9" s="104"/>
      <c r="AD9" s="104"/>
      <c r="AE9" s="104"/>
      <c r="AF9" s="104">
        <v>0</v>
      </c>
      <c r="AG9" s="104">
        <v>0</v>
      </c>
      <c r="AH9" s="104">
        <v>0</v>
      </c>
      <c r="AI9" s="105"/>
      <c r="AJ9" s="106"/>
      <c r="AK9" s="106"/>
      <c r="AL9" s="106"/>
      <c r="AM9" s="106"/>
      <c r="AN9" s="106"/>
      <c r="AO9" s="106"/>
      <c r="AP9" s="106"/>
      <c r="AQ9" s="106"/>
      <c r="AR9" s="104">
        <v>0</v>
      </c>
      <c r="AS9" s="104">
        <v>0</v>
      </c>
      <c r="AT9" s="113">
        <v>1</v>
      </c>
      <c r="AU9" s="75">
        <v>0</v>
      </c>
      <c r="AV9" s="113">
        <v>1</v>
      </c>
      <c r="AW9" s="113">
        <v>1</v>
      </c>
      <c r="AX9" s="113">
        <v>1</v>
      </c>
      <c r="AY9" s="104"/>
      <c r="AZ9" s="102"/>
      <c r="BA9" s="104"/>
      <c r="BB9" s="104"/>
      <c r="BC9" s="107"/>
      <c r="BD9" s="104"/>
      <c r="BE9" s="108"/>
      <c r="BF9" s="104"/>
      <c r="BG9" s="109" t="str">
        <f t="shared" si="11"/>
        <v>description: "ОВ ЛО НН1 / ЗАПВ", note: "Оперативный вывод ЛО НН1 / ЗАПВ", group: "control", minValue: null, maxValue: null, step: null, units: "null", defaultValue: null, eventRegistration: 0</v>
      </c>
      <c r="BH9" s="110"/>
    </row>
    <row r="10" spans="1:16379" s="111" customFormat="1" ht="15.75" x14ac:dyDescent="0.25">
      <c r="A10" s="97"/>
      <c r="B10" s="97" t="s">
        <v>196</v>
      </c>
      <c r="C10" s="98"/>
      <c r="D10" s="112" t="s">
        <v>178</v>
      </c>
      <c r="E10" s="100" t="s">
        <v>179</v>
      </c>
      <c r="F10" s="94" t="s">
        <v>180</v>
      </c>
      <c r="G10" s="94" t="s">
        <v>180</v>
      </c>
      <c r="H10" s="100"/>
      <c r="I10" s="100">
        <f t="shared" ref="I10" si="14">LEN(F10)</f>
        <v>16</v>
      </c>
      <c r="J10" s="100" t="str">
        <f t="shared" ref="J10" si="15">IF(LEN(F10)&lt;=$J$1,F10,"")</f>
        <v>ОВ ЛО НН1 / ЗАВР</v>
      </c>
      <c r="K10" s="97" t="s">
        <v>181</v>
      </c>
      <c r="L10" s="101" t="s">
        <v>54</v>
      </c>
      <c r="M10" s="98" t="s">
        <v>51</v>
      </c>
      <c r="N10" s="98" t="s">
        <v>52</v>
      </c>
      <c r="O10" s="98"/>
      <c r="P10" s="102"/>
      <c r="Q10" s="102"/>
      <c r="R10" s="98" t="s">
        <v>53</v>
      </c>
      <c r="S10" s="98" t="s">
        <v>53</v>
      </c>
      <c r="T10" s="98" t="s">
        <v>53</v>
      </c>
      <c r="U10" s="98" t="s">
        <v>53</v>
      </c>
      <c r="V10" s="98"/>
      <c r="W10" s="98"/>
      <c r="X10" s="98" t="s">
        <v>53</v>
      </c>
      <c r="Y10" s="98">
        <v>0</v>
      </c>
      <c r="Z10" s="103"/>
      <c r="AA10" s="104">
        <v>0</v>
      </c>
      <c r="AB10" s="104"/>
      <c r="AC10" s="104"/>
      <c r="AD10" s="104"/>
      <c r="AE10" s="104"/>
      <c r="AF10" s="104">
        <v>0</v>
      </c>
      <c r="AG10" s="104">
        <v>0</v>
      </c>
      <c r="AH10" s="104">
        <v>0</v>
      </c>
      <c r="AI10" s="105"/>
      <c r="AJ10" s="106"/>
      <c r="AK10" s="106"/>
      <c r="AL10" s="106"/>
      <c r="AM10" s="106"/>
      <c r="AN10" s="106"/>
      <c r="AO10" s="106"/>
      <c r="AP10" s="106"/>
      <c r="AQ10" s="106"/>
      <c r="AR10" s="104">
        <v>0</v>
      </c>
      <c r="AS10" s="104">
        <v>0</v>
      </c>
      <c r="AT10" s="113">
        <v>1</v>
      </c>
      <c r="AU10" s="75">
        <v>0</v>
      </c>
      <c r="AV10" s="113">
        <v>1</v>
      </c>
      <c r="AW10" s="113">
        <v>1</v>
      </c>
      <c r="AX10" s="113">
        <v>1</v>
      </c>
      <c r="AY10" s="104"/>
      <c r="AZ10" s="102"/>
      <c r="BA10" s="104"/>
      <c r="BB10" s="104"/>
      <c r="BC10" s="107"/>
      <c r="BD10" s="104"/>
      <c r="BE10" s="108"/>
      <c r="BF10" s="104"/>
      <c r="BG10" s="109" t="str">
        <f t="shared" ref="BG10" si="16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"ОВ ЛО НН1 / ЗАВР", note: "Оперативный вывод ЛО НН1 / ЗАВР", group: "control", minValue: null, maxValue: null, step: null, units: "null", defaultValue: null, eventRegistration: 0</v>
      </c>
      <c r="BH10" s="110"/>
    </row>
    <row r="11" spans="1:16379" s="57" customFormat="1" ht="15.75" x14ac:dyDescent="0.25">
      <c r="A11" s="42"/>
      <c r="B11" s="43" t="s">
        <v>50</v>
      </c>
      <c r="C11" s="44"/>
      <c r="D11" s="45"/>
      <c r="E11" s="46" t="s">
        <v>55</v>
      </c>
      <c r="F11" s="46" t="s">
        <v>56</v>
      </c>
      <c r="G11" s="46" t="s">
        <v>56</v>
      </c>
      <c r="H11" s="45"/>
      <c r="I11" s="47">
        <f t="shared" si="9"/>
        <v>10</v>
      </c>
      <c r="J11" s="47" t="str">
        <f t="shared" si="10"/>
        <v>Насл.режим</v>
      </c>
      <c r="K11" s="48" t="s">
        <v>58</v>
      </c>
      <c r="L11" s="49" t="s">
        <v>57</v>
      </c>
      <c r="M11" s="50" t="s">
        <v>51</v>
      </c>
      <c r="N11" s="50" t="s">
        <v>52</v>
      </c>
      <c r="O11" s="50"/>
      <c r="P11" s="44"/>
      <c r="Q11" s="44"/>
      <c r="R11" s="50" t="s">
        <v>53</v>
      </c>
      <c r="S11" s="50" t="s">
        <v>53</v>
      </c>
      <c r="T11" s="50" t="s">
        <v>53</v>
      </c>
      <c r="U11" s="50" t="s">
        <v>53</v>
      </c>
      <c r="V11" s="44"/>
      <c r="W11" s="44"/>
      <c r="X11" s="50" t="s">
        <v>53</v>
      </c>
      <c r="Y11" s="51">
        <v>0</v>
      </c>
      <c r="Z11" s="44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3" t="s">
        <v>96</v>
      </c>
      <c r="AJ11" s="54" t="s">
        <v>112</v>
      </c>
      <c r="AK11" s="54" t="s">
        <v>59</v>
      </c>
      <c r="AL11" s="54" t="s">
        <v>60</v>
      </c>
      <c r="AM11" s="54" t="s">
        <v>61</v>
      </c>
      <c r="AN11" s="54"/>
      <c r="AO11" s="54" t="s">
        <v>62</v>
      </c>
      <c r="AP11" s="54" t="str">
        <f>CONCATENATE(AJ11, ".", AL11)</f>
        <v>LLN0.GrRef.setSrcRef</v>
      </c>
      <c r="AQ11" s="54" t="s">
        <v>63</v>
      </c>
      <c r="AR11" s="52">
        <v>0</v>
      </c>
      <c r="AS11" s="52">
        <v>0</v>
      </c>
      <c r="AT11" s="52">
        <v>0</v>
      </c>
      <c r="AU11" s="52">
        <v>0</v>
      </c>
      <c r="AV11" s="52">
        <f t="shared" ref="AV11:AV13" si="17">BIN2DEC(CONCATENATE(0,0,0,0,AR11,AS11,AT11,AU11))</f>
        <v>0</v>
      </c>
      <c r="AW11" s="52">
        <v>0</v>
      </c>
      <c r="AX11" s="52">
        <f t="shared" si="3"/>
        <v>0</v>
      </c>
      <c r="AY11" s="55"/>
      <c r="AZ11" s="44"/>
      <c r="BA11" s="44"/>
      <c r="BB11" s="44"/>
      <c r="BC11" s="44"/>
      <c r="BD11" s="44"/>
      <c r="BE11" s="44"/>
      <c r="BF11" s="44"/>
      <c r="BG11" s="56" t="str">
        <f t="shared" ref="BG11:BG13" si="18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57" customFormat="1" ht="15.75" x14ac:dyDescent="0.25">
      <c r="A12" s="42"/>
      <c r="B12" s="43" t="s">
        <v>50</v>
      </c>
      <c r="C12" s="44"/>
      <c r="D12" s="45"/>
      <c r="E12" s="46" t="s">
        <v>68</v>
      </c>
      <c r="F12" s="46" t="s">
        <v>69</v>
      </c>
      <c r="G12" s="46" t="s">
        <v>69</v>
      </c>
      <c r="H12" s="45"/>
      <c r="I12" s="47">
        <f t="shared" si="9"/>
        <v>8</v>
      </c>
      <c r="J12" s="47" t="str">
        <f t="shared" si="10"/>
        <v>Ош.крит.</v>
      </c>
      <c r="K12" s="48" t="s">
        <v>70</v>
      </c>
      <c r="L12" s="58" t="s">
        <v>54</v>
      </c>
      <c r="M12" s="50" t="s">
        <v>51</v>
      </c>
      <c r="N12" s="50" t="s">
        <v>52</v>
      </c>
      <c r="O12" s="50"/>
      <c r="P12" s="44"/>
      <c r="Q12" s="44"/>
      <c r="R12" s="50" t="s">
        <v>53</v>
      </c>
      <c r="S12" s="50" t="s">
        <v>53</v>
      </c>
      <c r="T12" s="50" t="s">
        <v>53</v>
      </c>
      <c r="U12" s="50" t="s">
        <v>53</v>
      </c>
      <c r="V12" s="44"/>
      <c r="W12" s="44"/>
      <c r="X12" s="50" t="s">
        <v>53</v>
      </c>
      <c r="Y12" s="51">
        <v>0</v>
      </c>
      <c r="Z12" s="44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3"/>
      <c r="AJ12" s="54"/>
      <c r="AK12" s="54"/>
      <c r="AL12" s="54"/>
      <c r="AM12" s="54"/>
      <c r="AN12" s="54"/>
      <c r="AO12" s="54"/>
      <c r="AP12" s="54"/>
      <c r="AQ12" s="54"/>
      <c r="AR12" s="52">
        <v>0</v>
      </c>
      <c r="AS12" s="52">
        <v>0</v>
      </c>
      <c r="AT12" s="52">
        <v>0</v>
      </c>
      <c r="AU12" s="52">
        <v>0</v>
      </c>
      <c r="AV12" s="52">
        <f t="shared" si="17"/>
        <v>0</v>
      </c>
      <c r="AW12" s="52">
        <v>0</v>
      </c>
      <c r="AX12" s="52">
        <f t="shared" si="3"/>
        <v>0</v>
      </c>
      <c r="AY12" s="55"/>
      <c r="AZ12" s="44"/>
      <c r="BA12" s="44"/>
      <c r="BB12" s="44"/>
      <c r="BC12" s="44"/>
      <c r="BD12" s="44"/>
      <c r="BE12" s="44"/>
      <c r="BF12" s="44"/>
      <c r="BG12" s="56" t="str">
        <f t="shared" si="1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57" customFormat="1" ht="15.75" x14ac:dyDescent="0.25">
      <c r="A13" s="42"/>
      <c r="B13" s="43" t="s">
        <v>50</v>
      </c>
      <c r="C13" s="44"/>
      <c r="D13" s="45"/>
      <c r="E13" s="46" t="s">
        <v>71</v>
      </c>
      <c r="F13" s="46" t="s">
        <v>72</v>
      </c>
      <c r="G13" s="46" t="s">
        <v>72</v>
      </c>
      <c r="H13" s="45"/>
      <c r="I13" s="47">
        <f t="shared" si="9"/>
        <v>6</v>
      </c>
      <c r="J13" s="47" t="str">
        <f t="shared" si="10"/>
        <v>Ошибка</v>
      </c>
      <c r="K13" s="48" t="s">
        <v>73</v>
      </c>
      <c r="L13" s="58" t="s">
        <v>54</v>
      </c>
      <c r="M13" s="50" t="s">
        <v>51</v>
      </c>
      <c r="N13" s="50" t="s">
        <v>52</v>
      </c>
      <c r="O13" s="50"/>
      <c r="P13" s="44"/>
      <c r="Q13" s="44"/>
      <c r="R13" s="50" t="s">
        <v>53</v>
      </c>
      <c r="S13" s="50" t="s">
        <v>53</v>
      </c>
      <c r="T13" s="50" t="s">
        <v>53</v>
      </c>
      <c r="U13" s="50" t="s">
        <v>53</v>
      </c>
      <c r="V13" s="44"/>
      <c r="W13" s="44"/>
      <c r="X13" s="50" t="s">
        <v>53</v>
      </c>
      <c r="Y13" s="51">
        <v>0</v>
      </c>
      <c r="Z13" s="44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53"/>
      <c r="AJ13" s="54"/>
      <c r="AK13" s="54"/>
      <c r="AL13" s="54"/>
      <c r="AM13" s="54"/>
      <c r="AN13" s="54"/>
      <c r="AO13" s="54"/>
      <c r="AP13" s="54"/>
      <c r="AQ13" s="54"/>
      <c r="AR13" s="52">
        <v>0</v>
      </c>
      <c r="AS13" s="52">
        <v>0</v>
      </c>
      <c r="AT13" s="52">
        <v>0</v>
      </c>
      <c r="AU13" s="52">
        <v>0</v>
      </c>
      <c r="AV13" s="52">
        <f t="shared" si="17"/>
        <v>0</v>
      </c>
      <c r="AW13" s="52">
        <v>0</v>
      </c>
      <c r="AX13" s="52">
        <f t="shared" si="3"/>
        <v>0</v>
      </c>
      <c r="AY13" s="55"/>
      <c r="AZ13" s="44"/>
      <c r="BA13" s="44"/>
      <c r="BB13" s="44"/>
      <c r="BC13" s="44"/>
      <c r="BD13" s="44"/>
      <c r="BE13" s="44"/>
      <c r="BF13" s="44"/>
      <c r="BG13" s="56" t="str">
        <f t="shared" si="18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opLeftCell="AK1" zoomScale="80" zoomScaleNormal="80" workbookViewId="0">
      <selection activeCell="AT6" sqref="AT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7.855468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72"/>
      <c r="AZ1" s="95" t="s">
        <v>0</v>
      </c>
      <c r="BA1" s="96"/>
      <c r="BB1" s="96"/>
      <c r="BC1" s="96"/>
      <c r="BD1" s="96"/>
      <c r="BE1" s="96"/>
      <c r="BF1" s="9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0" t="s">
        <v>197</v>
      </c>
      <c r="AW2" s="90" t="s">
        <v>198</v>
      </c>
      <c r="AX2" s="90" t="s">
        <v>199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76"/>
      <c r="B3" s="91" t="s">
        <v>200</v>
      </c>
      <c r="C3" s="77"/>
      <c r="D3" s="85" t="s">
        <v>161</v>
      </c>
      <c r="E3" s="73" t="s">
        <v>75</v>
      </c>
      <c r="F3" s="19" t="s">
        <v>76</v>
      </c>
      <c r="G3" s="19" t="s">
        <v>76</v>
      </c>
      <c r="H3" s="72"/>
      <c r="I3" s="73">
        <f t="shared" ref="I3:I4" si="0">LEN(F3)</f>
        <v>4</v>
      </c>
      <c r="J3" s="73" t="str">
        <f>IF(LEN(F3)&lt;=$J$1,F3,"")</f>
        <v>Ввод</v>
      </c>
      <c r="K3" s="78" t="s">
        <v>127</v>
      </c>
      <c r="L3" s="79" t="s">
        <v>54</v>
      </c>
      <c r="M3" s="80" t="s">
        <v>51</v>
      </c>
      <c r="N3" s="80" t="s">
        <v>52</v>
      </c>
      <c r="O3" s="80"/>
      <c r="P3" s="30"/>
      <c r="Q3" s="30"/>
      <c r="R3" s="80" t="s">
        <v>53</v>
      </c>
      <c r="S3" s="80" t="s">
        <v>53</v>
      </c>
      <c r="T3" s="80" t="s">
        <v>53</v>
      </c>
      <c r="U3" s="80" t="s">
        <v>53</v>
      </c>
      <c r="V3" s="77"/>
      <c r="W3" s="77"/>
      <c r="X3" s="80" t="s">
        <v>53</v>
      </c>
      <c r="Y3" s="80">
        <v>2</v>
      </c>
      <c r="Z3" s="77"/>
      <c r="AA3" s="75">
        <v>0</v>
      </c>
      <c r="AB3" s="75"/>
      <c r="AC3" s="75"/>
      <c r="AD3" s="75"/>
      <c r="AE3" s="75"/>
      <c r="AF3" s="75">
        <v>0</v>
      </c>
      <c r="AG3" s="75">
        <v>0</v>
      </c>
      <c r="AH3" s="75">
        <v>0</v>
      </c>
      <c r="AI3" s="82"/>
      <c r="AJ3" s="37"/>
      <c r="AK3" s="37"/>
      <c r="AL3" s="37"/>
      <c r="AM3" s="37"/>
      <c r="AN3" s="37"/>
      <c r="AO3" s="37"/>
      <c r="AP3" s="37"/>
      <c r="AQ3" s="37"/>
      <c r="AR3" s="77">
        <v>0</v>
      </c>
      <c r="AS3" s="77">
        <v>1</v>
      </c>
      <c r="AT3" s="77">
        <v>0</v>
      </c>
      <c r="AU3" s="77">
        <v>1</v>
      </c>
      <c r="AV3" s="77">
        <v>1</v>
      </c>
      <c r="AW3" s="77">
        <v>1</v>
      </c>
      <c r="AX3" s="77">
        <v>1</v>
      </c>
      <c r="AY3" s="81"/>
      <c r="AZ3" s="77"/>
      <c r="BA3" s="77"/>
      <c r="BB3" s="77"/>
      <c r="BC3" s="77"/>
      <c r="BD3" s="77"/>
      <c r="BE3" s="77"/>
      <c r="BF3" s="77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76"/>
      <c r="B4" s="91" t="s">
        <v>200</v>
      </c>
      <c r="C4" s="77"/>
      <c r="D4" s="85" t="s">
        <v>161</v>
      </c>
      <c r="E4" s="73" t="s">
        <v>77</v>
      </c>
      <c r="F4" s="19" t="s">
        <v>109</v>
      </c>
      <c r="G4" s="19" t="s">
        <v>109</v>
      </c>
      <c r="H4" s="72"/>
      <c r="I4" s="73">
        <f t="shared" si="0"/>
        <v>17</v>
      </c>
      <c r="J4" s="73" t="str">
        <f t="shared" ref="J4" si="2">IF(LEN(F4)&lt;=$J$1,F4,"")</f>
        <v>Оперативный вывод</v>
      </c>
      <c r="K4" s="78" t="s">
        <v>128</v>
      </c>
      <c r="L4" s="79" t="s">
        <v>54</v>
      </c>
      <c r="M4" s="80" t="s">
        <v>51</v>
      </c>
      <c r="N4" s="80" t="s">
        <v>52</v>
      </c>
      <c r="O4" s="80"/>
      <c r="P4" s="30"/>
      <c r="Q4" s="30"/>
      <c r="R4" s="80" t="s">
        <v>53</v>
      </c>
      <c r="S4" s="80" t="s">
        <v>53</v>
      </c>
      <c r="T4" s="80" t="s">
        <v>53</v>
      </c>
      <c r="U4" s="80" t="s">
        <v>53</v>
      </c>
      <c r="V4" s="77"/>
      <c r="W4" s="77"/>
      <c r="X4" s="80" t="s">
        <v>53</v>
      </c>
      <c r="Y4" s="80">
        <v>2</v>
      </c>
      <c r="Z4" s="77"/>
      <c r="AA4" s="75">
        <v>0</v>
      </c>
      <c r="AB4" s="75"/>
      <c r="AC4" s="75"/>
      <c r="AD4" s="75"/>
      <c r="AE4" s="75"/>
      <c r="AF4" s="75">
        <v>0</v>
      </c>
      <c r="AG4" s="75">
        <v>0</v>
      </c>
      <c r="AH4" s="75">
        <v>0</v>
      </c>
      <c r="AI4" s="82"/>
      <c r="AJ4" s="37"/>
      <c r="AK4" s="37"/>
      <c r="AL4" s="37"/>
      <c r="AM4" s="37"/>
      <c r="AN4" s="37"/>
      <c r="AO4" s="37"/>
      <c r="AP4" s="37"/>
      <c r="AQ4" s="37"/>
      <c r="AR4" s="77">
        <v>0</v>
      </c>
      <c r="AS4" s="77">
        <v>1</v>
      </c>
      <c r="AT4" s="77">
        <v>0</v>
      </c>
      <c r="AU4" s="77">
        <v>1</v>
      </c>
      <c r="AV4" s="77">
        <v>1</v>
      </c>
      <c r="AW4" s="77">
        <v>1</v>
      </c>
      <c r="AX4" s="77">
        <v>1</v>
      </c>
      <c r="AY4" s="81"/>
      <c r="AZ4" s="77"/>
      <c r="BA4" s="77"/>
      <c r="BB4" s="77"/>
      <c r="BC4" s="77"/>
      <c r="BD4" s="77"/>
      <c r="BE4" s="77"/>
      <c r="BF4" s="77"/>
      <c r="BG4" s="7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76"/>
      <c r="B5" s="91" t="s">
        <v>200</v>
      </c>
      <c r="C5" s="77"/>
      <c r="D5" s="85" t="s">
        <v>161</v>
      </c>
      <c r="E5" s="73" t="s">
        <v>130</v>
      </c>
      <c r="F5" s="19" t="s">
        <v>130</v>
      </c>
      <c r="G5" s="19" t="s">
        <v>130</v>
      </c>
      <c r="H5" s="72"/>
      <c r="I5" s="73">
        <f>LEN(F5)</f>
        <v>10</v>
      </c>
      <c r="J5" s="73" t="str">
        <f>IF(LEN(F5)&lt;=$J$1,F5,"")</f>
        <v>Отключение</v>
      </c>
      <c r="K5" s="78" t="s">
        <v>129</v>
      </c>
      <c r="L5" s="79" t="s">
        <v>54</v>
      </c>
      <c r="M5" s="80" t="s">
        <v>51</v>
      </c>
      <c r="N5" s="80" t="s">
        <v>52</v>
      </c>
      <c r="O5" s="80"/>
      <c r="P5" s="30"/>
      <c r="Q5" s="30"/>
      <c r="R5" s="80" t="s">
        <v>53</v>
      </c>
      <c r="S5" s="80" t="s">
        <v>53</v>
      </c>
      <c r="T5" s="80" t="s">
        <v>53</v>
      </c>
      <c r="U5" s="80" t="s">
        <v>53</v>
      </c>
      <c r="V5" s="77"/>
      <c r="W5" s="77"/>
      <c r="X5" s="80" t="s">
        <v>53</v>
      </c>
      <c r="Y5" s="80">
        <v>2</v>
      </c>
      <c r="Z5" s="77"/>
      <c r="AA5" s="75">
        <v>0</v>
      </c>
      <c r="AB5" s="75"/>
      <c r="AC5" s="75"/>
      <c r="AD5" s="75"/>
      <c r="AE5" s="75"/>
      <c r="AF5" s="75">
        <v>0</v>
      </c>
      <c r="AG5" s="75">
        <v>0</v>
      </c>
      <c r="AH5" s="75">
        <v>0</v>
      </c>
      <c r="AI5" s="82" t="s">
        <v>140</v>
      </c>
      <c r="AJ5" s="37" t="s">
        <v>145</v>
      </c>
      <c r="AK5" s="37" t="s">
        <v>116</v>
      </c>
      <c r="AL5" s="37" t="s">
        <v>78</v>
      </c>
      <c r="AM5" s="37" t="s">
        <v>110</v>
      </c>
      <c r="AN5" s="37"/>
      <c r="AO5" s="37" t="s">
        <v>67</v>
      </c>
      <c r="AP5" s="37" t="str">
        <f>CONCATENATE(AJ5, ".", AL5)</f>
        <v>LVCBPTRC1.Op.general</v>
      </c>
      <c r="AQ5" s="37" t="s">
        <v>63</v>
      </c>
      <c r="AR5" s="77">
        <v>0</v>
      </c>
      <c r="AS5" s="77">
        <v>1</v>
      </c>
      <c r="AT5" s="77">
        <v>0</v>
      </c>
      <c r="AU5" s="77">
        <v>1</v>
      </c>
      <c r="AV5" s="77">
        <v>1</v>
      </c>
      <c r="AW5" s="77">
        <v>1</v>
      </c>
      <c r="AX5" s="77">
        <v>1</v>
      </c>
      <c r="AY5" s="81"/>
      <c r="AZ5" s="77"/>
      <c r="BA5" s="77"/>
      <c r="BB5" s="77"/>
      <c r="BC5" s="77"/>
      <c r="BD5" s="77"/>
      <c r="BE5" s="77"/>
      <c r="BF5" s="77"/>
      <c r="BG5" s="74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76"/>
      <c r="B6" s="91" t="s">
        <v>200</v>
      </c>
      <c r="C6" s="77"/>
      <c r="D6" s="85" t="s">
        <v>161</v>
      </c>
      <c r="E6" s="73" t="s">
        <v>131</v>
      </c>
      <c r="F6" s="19" t="s">
        <v>131</v>
      </c>
      <c r="G6" s="19" t="s">
        <v>131</v>
      </c>
      <c r="H6" s="72"/>
      <c r="I6" s="73">
        <f>LEN(F6)</f>
        <v>18</v>
      </c>
      <c r="J6" s="73" t="str">
        <f>IF(LEN(F6)&lt;=$J$1,F6,"")</f>
        <v>Отключить аварийно</v>
      </c>
      <c r="K6" s="78" t="s">
        <v>132</v>
      </c>
      <c r="L6" s="79" t="s">
        <v>54</v>
      </c>
      <c r="M6" s="80" t="s">
        <v>51</v>
      </c>
      <c r="N6" s="80" t="s">
        <v>52</v>
      </c>
      <c r="O6" s="80"/>
      <c r="P6" s="30"/>
      <c r="Q6" s="30"/>
      <c r="R6" s="80" t="s">
        <v>53</v>
      </c>
      <c r="S6" s="80" t="s">
        <v>53</v>
      </c>
      <c r="T6" s="80" t="s">
        <v>53</v>
      </c>
      <c r="U6" s="80" t="s">
        <v>53</v>
      </c>
      <c r="V6" s="77"/>
      <c r="W6" s="77"/>
      <c r="X6" s="80" t="s">
        <v>53</v>
      </c>
      <c r="Y6" s="80">
        <v>2</v>
      </c>
      <c r="Z6" s="77"/>
      <c r="AA6" s="75">
        <v>0</v>
      </c>
      <c r="AB6" s="75"/>
      <c r="AC6" s="75"/>
      <c r="AD6" s="75"/>
      <c r="AE6" s="75"/>
      <c r="AF6" s="75">
        <v>0</v>
      </c>
      <c r="AG6" s="75">
        <v>0</v>
      </c>
      <c r="AH6" s="75">
        <v>0</v>
      </c>
      <c r="AI6" s="82" t="s">
        <v>140</v>
      </c>
      <c r="AJ6" s="37" t="s">
        <v>146</v>
      </c>
      <c r="AK6" s="37" t="s">
        <v>116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LVCBPTRC1.Tr.general</v>
      </c>
      <c r="AQ6" s="37" t="s">
        <v>63</v>
      </c>
      <c r="AR6" s="77">
        <v>0</v>
      </c>
      <c r="AS6" s="77">
        <v>1</v>
      </c>
      <c r="AT6" s="77">
        <v>0</v>
      </c>
      <c r="AU6" s="77">
        <v>1</v>
      </c>
      <c r="AV6" s="77">
        <v>1</v>
      </c>
      <c r="AW6" s="77">
        <v>1</v>
      </c>
      <c r="AX6" s="77">
        <v>1</v>
      </c>
      <c r="AY6" s="81"/>
      <c r="AZ6" s="77"/>
      <c r="BA6" s="77"/>
      <c r="BB6" s="77"/>
      <c r="BC6" s="77"/>
      <c r="BD6" s="77"/>
      <c r="BE6" s="77"/>
      <c r="BF6" s="77"/>
      <c r="BG6" s="74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69" customFormat="1" ht="15.75" x14ac:dyDescent="0.25">
      <c r="A7" s="59"/>
      <c r="B7" s="91" t="s">
        <v>200</v>
      </c>
      <c r="C7" s="60"/>
      <c r="D7" s="86" t="s">
        <v>158</v>
      </c>
      <c r="E7" s="38" t="s">
        <v>75</v>
      </c>
      <c r="F7" s="61" t="s">
        <v>76</v>
      </c>
      <c r="G7" s="61" t="s">
        <v>76</v>
      </c>
      <c r="H7" s="62"/>
      <c r="I7" s="38">
        <f t="shared" ref="I7:I8" si="3">LEN(F7)</f>
        <v>4</v>
      </c>
      <c r="J7" s="38" t="str">
        <f>IF(LEN(F7)&lt;=$J$1,F7,"")</f>
        <v>Ввод</v>
      </c>
      <c r="K7" s="63" t="s">
        <v>133</v>
      </c>
      <c r="L7" s="64" t="s">
        <v>54</v>
      </c>
      <c r="M7" s="65" t="s">
        <v>51</v>
      </c>
      <c r="N7" s="65" t="s">
        <v>52</v>
      </c>
      <c r="O7" s="65"/>
      <c r="P7" s="39"/>
      <c r="Q7" s="39"/>
      <c r="R7" s="65" t="s">
        <v>53</v>
      </c>
      <c r="S7" s="65" t="s">
        <v>53</v>
      </c>
      <c r="T7" s="65" t="s">
        <v>53</v>
      </c>
      <c r="U7" s="65" t="s">
        <v>53</v>
      </c>
      <c r="V7" s="60"/>
      <c r="W7" s="60"/>
      <c r="X7" s="65" t="s">
        <v>53</v>
      </c>
      <c r="Y7" s="65">
        <v>2</v>
      </c>
      <c r="Z7" s="60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1"/>
      <c r="AJ7" s="66"/>
      <c r="AK7" s="66"/>
      <c r="AL7" s="66"/>
      <c r="AM7" s="66"/>
      <c r="AN7" s="66"/>
      <c r="AO7" s="66"/>
      <c r="AP7" s="66"/>
      <c r="AQ7" s="66"/>
      <c r="AR7" s="60">
        <v>0</v>
      </c>
      <c r="AS7" s="60">
        <v>1</v>
      </c>
      <c r="AT7" s="60">
        <v>0</v>
      </c>
      <c r="AU7" s="60">
        <v>1</v>
      </c>
      <c r="AV7" s="60">
        <v>1</v>
      </c>
      <c r="AW7" s="60">
        <v>1</v>
      </c>
      <c r="AX7" s="60">
        <v>1</v>
      </c>
      <c r="AY7" s="67"/>
      <c r="AZ7" s="60"/>
      <c r="BA7" s="60"/>
      <c r="BB7" s="60"/>
      <c r="BC7" s="60"/>
      <c r="BD7" s="60"/>
      <c r="BE7" s="60"/>
      <c r="BF7" s="60"/>
      <c r="BG7" s="68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69" customFormat="1" ht="15.75" x14ac:dyDescent="0.25">
      <c r="A8" s="59"/>
      <c r="B8" s="91" t="s">
        <v>200</v>
      </c>
      <c r="C8" s="60"/>
      <c r="D8" s="86" t="s">
        <v>158</v>
      </c>
      <c r="E8" s="38" t="s">
        <v>77</v>
      </c>
      <c r="F8" s="61" t="s">
        <v>109</v>
      </c>
      <c r="G8" s="61" t="s">
        <v>109</v>
      </c>
      <c r="H8" s="62"/>
      <c r="I8" s="38">
        <f t="shared" si="3"/>
        <v>17</v>
      </c>
      <c r="J8" s="38" t="str">
        <f t="shared" ref="J8" si="5">IF(LEN(F8)&lt;=$J$1,F8,"")</f>
        <v>Оперативный вывод</v>
      </c>
      <c r="K8" s="63" t="s">
        <v>134</v>
      </c>
      <c r="L8" s="64" t="s">
        <v>54</v>
      </c>
      <c r="M8" s="65" t="s">
        <v>51</v>
      </c>
      <c r="N8" s="65" t="s">
        <v>52</v>
      </c>
      <c r="O8" s="65"/>
      <c r="P8" s="39"/>
      <c r="Q8" s="39"/>
      <c r="R8" s="65" t="s">
        <v>53</v>
      </c>
      <c r="S8" s="65" t="s">
        <v>53</v>
      </c>
      <c r="T8" s="65" t="s">
        <v>53</v>
      </c>
      <c r="U8" s="65" t="s">
        <v>53</v>
      </c>
      <c r="V8" s="60"/>
      <c r="W8" s="60"/>
      <c r="X8" s="65" t="s">
        <v>53</v>
      </c>
      <c r="Y8" s="65">
        <v>2</v>
      </c>
      <c r="Z8" s="60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1"/>
      <c r="AJ8" s="66"/>
      <c r="AK8" s="66"/>
      <c r="AL8" s="66"/>
      <c r="AM8" s="66"/>
      <c r="AN8" s="66"/>
      <c r="AO8" s="66"/>
      <c r="AP8" s="66"/>
      <c r="AQ8" s="66"/>
      <c r="AR8" s="60">
        <v>0</v>
      </c>
      <c r="AS8" s="60">
        <v>1</v>
      </c>
      <c r="AT8" s="60">
        <v>0</v>
      </c>
      <c r="AU8" s="60">
        <v>1</v>
      </c>
      <c r="AV8" s="60">
        <v>1</v>
      </c>
      <c r="AW8" s="60">
        <v>1</v>
      </c>
      <c r="AX8" s="60">
        <v>1</v>
      </c>
      <c r="AY8" s="67"/>
      <c r="AZ8" s="60"/>
      <c r="BA8" s="60"/>
      <c r="BB8" s="60"/>
      <c r="BC8" s="60"/>
      <c r="BD8" s="60"/>
      <c r="BE8" s="60"/>
      <c r="BF8" s="60"/>
      <c r="BG8" s="68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69" customFormat="1" ht="15.75" x14ac:dyDescent="0.25">
      <c r="A9" s="59"/>
      <c r="B9" s="91" t="s">
        <v>200</v>
      </c>
      <c r="C9" s="60"/>
      <c r="D9" s="86" t="s">
        <v>158</v>
      </c>
      <c r="E9" s="38" t="s">
        <v>117</v>
      </c>
      <c r="F9" s="61" t="s">
        <v>117</v>
      </c>
      <c r="G9" s="61" t="s">
        <v>117</v>
      </c>
      <c r="H9" s="62"/>
      <c r="I9" s="38">
        <f t="shared" ref="I9:I18" si="6">LEN(F9)</f>
        <v>10</v>
      </c>
      <c r="J9" s="38" t="str">
        <f t="shared" ref="J9:J18" si="7">IF(LEN(F9)&lt;=$J$1,F9,"")</f>
        <v>Запрет АПВ</v>
      </c>
      <c r="K9" s="63" t="s">
        <v>135</v>
      </c>
      <c r="L9" s="64" t="s">
        <v>54</v>
      </c>
      <c r="M9" s="65" t="s">
        <v>51</v>
      </c>
      <c r="N9" s="65" t="s">
        <v>52</v>
      </c>
      <c r="O9" s="65"/>
      <c r="P9" s="39"/>
      <c r="Q9" s="39"/>
      <c r="R9" s="65" t="s">
        <v>53</v>
      </c>
      <c r="S9" s="65" t="s">
        <v>53</v>
      </c>
      <c r="T9" s="65" t="s">
        <v>53</v>
      </c>
      <c r="U9" s="65" t="s">
        <v>53</v>
      </c>
      <c r="V9" s="60"/>
      <c r="W9" s="60"/>
      <c r="X9" s="65" t="s">
        <v>53</v>
      </c>
      <c r="Y9" s="65">
        <v>2</v>
      </c>
      <c r="Z9" s="60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1" t="s">
        <v>118</v>
      </c>
      <c r="AJ9" s="66" t="s">
        <v>147</v>
      </c>
      <c r="AK9" s="66" t="s">
        <v>119</v>
      </c>
      <c r="AL9" s="66" t="s">
        <v>64</v>
      </c>
      <c r="AM9" s="66" t="s">
        <v>110</v>
      </c>
      <c r="AN9" s="66"/>
      <c r="AO9" s="66" t="s">
        <v>67</v>
      </c>
      <c r="AP9" s="66" t="str">
        <f>CONCATENATE(AJ9, ".", AL9)</f>
        <v>LVCBRECRBRE1.BlkOp.stVal</v>
      </c>
      <c r="AQ9" s="66" t="s">
        <v>63</v>
      </c>
      <c r="AR9" s="60">
        <v>0</v>
      </c>
      <c r="AS9" s="60">
        <v>1</v>
      </c>
      <c r="AT9" s="60">
        <v>0</v>
      </c>
      <c r="AU9" s="60">
        <v>1</v>
      </c>
      <c r="AV9" s="60">
        <v>1</v>
      </c>
      <c r="AW9" s="60">
        <v>1</v>
      </c>
      <c r="AX9" s="60">
        <v>1</v>
      </c>
      <c r="AY9" s="67"/>
      <c r="AZ9" s="60"/>
      <c r="BA9" s="60"/>
      <c r="BB9" s="60"/>
      <c r="BC9" s="60"/>
      <c r="BD9" s="60"/>
      <c r="BE9" s="60"/>
      <c r="BF9" s="60"/>
      <c r="BG9" s="68" t="str">
        <f t="shared" ref="BG9:BG18" si="8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17" customFormat="1" ht="15.75" x14ac:dyDescent="0.25">
      <c r="A10" s="76"/>
      <c r="B10" s="91" t="s">
        <v>200</v>
      </c>
      <c r="C10" s="77"/>
      <c r="D10" s="85" t="s">
        <v>178</v>
      </c>
      <c r="E10" s="73" t="s">
        <v>75</v>
      </c>
      <c r="F10" s="19" t="s">
        <v>76</v>
      </c>
      <c r="G10" s="19" t="s">
        <v>76</v>
      </c>
      <c r="H10" s="72"/>
      <c r="I10" s="73">
        <f t="shared" si="6"/>
        <v>4</v>
      </c>
      <c r="J10" s="73" t="str">
        <f>IF(LEN(F10)&lt;=$J$1,F10,"")</f>
        <v>Ввод</v>
      </c>
      <c r="K10" s="78" t="s">
        <v>182</v>
      </c>
      <c r="L10" s="79" t="s">
        <v>54</v>
      </c>
      <c r="M10" s="80" t="s">
        <v>51</v>
      </c>
      <c r="N10" s="80" t="s">
        <v>52</v>
      </c>
      <c r="O10" s="80"/>
      <c r="P10" s="30"/>
      <c r="Q10" s="30"/>
      <c r="R10" s="80" t="s">
        <v>53</v>
      </c>
      <c r="S10" s="80" t="s">
        <v>53</v>
      </c>
      <c r="T10" s="80" t="s">
        <v>53</v>
      </c>
      <c r="U10" s="80" t="s">
        <v>53</v>
      </c>
      <c r="V10" s="77"/>
      <c r="W10" s="77"/>
      <c r="X10" s="80" t="s">
        <v>53</v>
      </c>
      <c r="Y10" s="80">
        <v>2</v>
      </c>
      <c r="Z10" s="77"/>
      <c r="AA10" s="75">
        <v>0</v>
      </c>
      <c r="AB10" s="75"/>
      <c r="AC10" s="75"/>
      <c r="AD10" s="75"/>
      <c r="AE10" s="75"/>
      <c r="AF10" s="75">
        <v>0</v>
      </c>
      <c r="AG10" s="75">
        <v>0</v>
      </c>
      <c r="AH10" s="75">
        <v>0</v>
      </c>
      <c r="AI10" s="82"/>
      <c r="AJ10" s="37"/>
      <c r="AK10" s="37"/>
      <c r="AL10" s="37"/>
      <c r="AM10" s="37"/>
      <c r="AN10" s="37"/>
      <c r="AO10" s="37"/>
      <c r="AP10" s="37"/>
      <c r="AQ10" s="37"/>
      <c r="AR10" s="77">
        <v>0</v>
      </c>
      <c r="AS10" s="77">
        <v>1</v>
      </c>
      <c r="AT10" s="77">
        <v>0</v>
      </c>
      <c r="AU10" s="77">
        <v>1</v>
      </c>
      <c r="AV10" s="77">
        <v>1</v>
      </c>
      <c r="AW10" s="77">
        <v>1</v>
      </c>
      <c r="AX10" s="77">
        <v>1</v>
      </c>
      <c r="AY10" s="81"/>
      <c r="AZ10" s="77"/>
      <c r="BA10" s="77"/>
      <c r="BB10" s="77"/>
      <c r="BC10" s="77"/>
      <c r="BD10" s="77"/>
      <c r="BE10" s="77"/>
      <c r="BF10" s="77"/>
      <c r="BG10" s="74" t="str">
        <f t="shared" si="8"/>
        <v>description: "Ввод", note: "Функция введена в работу", group: "status", minValue: null, maxValue: null, step: null, units: "null", defaultValue: null, eventRegistration: 2</v>
      </c>
    </row>
    <row r="11" spans="1:16379" s="17" customFormat="1" ht="15.75" x14ac:dyDescent="0.25">
      <c r="A11" s="76"/>
      <c r="B11" s="91" t="s">
        <v>200</v>
      </c>
      <c r="C11" s="77"/>
      <c r="D11" s="85" t="s">
        <v>178</v>
      </c>
      <c r="E11" s="73" t="s">
        <v>77</v>
      </c>
      <c r="F11" s="19" t="s">
        <v>109</v>
      </c>
      <c r="G11" s="19" t="s">
        <v>109</v>
      </c>
      <c r="H11" s="72"/>
      <c r="I11" s="73">
        <f t="shared" si="6"/>
        <v>17</v>
      </c>
      <c r="J11" s="73" t="str">
        <f t="shared" ref="J11:J12" si="9">IF(LEN(F11)&lt;=$J$1,F11,"")</f>
        <v>Оперативный вывод</v>
      </c>
      <c r="K11" s="78" t="s">
        <v>183</v>
      </c>
      <c r="L11" s="79" t="s">
        <v>54</v>
      </c>
      <c r="M11" s="80" t="s">
        <v>51</v>
      </c>
      <c r="N11" s="80" t="s">
        <v>52</v>
      </c>
      <c r="O11" s="80"/>
      <c r="P11" s="30"/>
      <c r="Q11" s="30"/>
      <c r="R11" s="80" t="s">
        <v>53</v>
      </c>
      <c r="S11" s="80" t="s">
        <v>53</v>
      </c>
      <c r="T11" s="80" t="s">
        <v>53</v>
      </c>
      <c r="U11" s="80" t="s">
        <v>53</v>
      </c>
      <c r="V11" s="77"/>
      <c r="W11" s="77"/>
      <c r="X11" s="80" t="s">
        <v>53</v>
      </c>
      <c r="Y11" s="80">
        <v>2</v>
      </c>
      <c r="Z11" s="77"/>
      <c r="AA11" s="75">
        <v>0</v>
      </c>
      <c r="AB11" s="75"/>
      <c r="AC11" s="75"/>
      <c r="AD11" s="75"/>
      <c r="AE11" s="75"/>
      <c r="AF11" s="75">
        <v>0</v>
      </c>
      <c r="AG11" s="75">
        <v>0</v>
      </c>
      <c r="AH11" s="75">
        <v>0</v>
      </c>
      <c r="AI11" s="82"/>
      <c r="AJ11" s="37"/>
      <c r="AK11" s="37"/>
      <c r="AL11" s="37"/>
      <c r="AM11" s="37"/>
      <c r="AN11" s="37"/>
      <c r="AO11" s="37"/>
      <c r="AP11" s="37"/>
      <c r="AQ11" s="37"/>
      <c r="AR11" s="77">
        <v>0</v>
      </c>
      <c r="AS11" s="77">
        <v>1</v>
      </c>
      <c r="AT11" s="77">
        <v>0</v>
      </c>
      <c r="AU11" s="77">
        <v>1</v>
      </c>
      <c r="AV11" s="77">
        <v>1</v>
      </c>
      <c r="AW11" s="77">
        <v>1</v>
      </c>
      <c r="AX11" s="77">
        <v>1</v>
      </c>
      <c r="AY11" s="81"/>
      <c r="AZ11" s="77"/>
      <c r="BA11" s="77"/>
      <c r="BB11" s="77"/>
      <c r="BC11" s="77"/>
      <c r="BD11" s="77"/>
      <c r="BE11" s="77"/>
      <c r="BF11" s="77"/>
      <c r="BG11" s="74" t="str">
        <f t="shared" si="8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2" spans="1:16379" s="17" customFormat="1" ht="15.75" x14ac:dyDescent="0.25">
      <c r="A12" s="76"/>
      <c r="B12" s="91" t="s">
        <v>200</v>
      </c>
      <c r="C12" s="77"/>
      <c r="D12" s="85" t="s">
        <v>178</v>
      </c>
      <c r="E12" s="73" t="s">
        <v>185</v>
      </c>
      <c r="F12" s="19" t="s">
        <v>185</v>
      </c>
      <c r="G12" s="19" t="s">
        <v>185</v>
      </c>
      <c r="H12" s="72"/>
      <c r="I12" s="73">
        <f t="shared" ref="I12" si="10">LEN(F12)</f>
        <v>10</v>
      </c>
      <c r="J12" s="73" t="str">
        <f t="shared" si="9"/>
        <v>Запрет АВР</v>
      </c>
      <c r="K12" s="78" t="s">
        <v>184</v>
      </c>
      <c r="L12" s="79" t="s">
        <v>54</v>
      </c>
      <c r="M12" s="80" t="s">
        <v>51</v>
      </c>
      <c r="N12" s="80" t="s">
        <v>52</v>
      </c>
      <c r="O12" s="80"/>
      <c r="P12" s="30"/>
      <c r="Q12" s="30"/>
      <c r="R12" s="80" t="s">
        <v>53</v>
      </c>
      <c r="S12" s="80" t="s">
        <v>53</v>
      </c>
      <c r="T12" s="80" t="s">
        <v>53</v>
      </c>
      <c r="U12" s="80" t="s">
        <v>53</v>
      </c>
      <c r="V12" s="77"/>
      <c r="W12" s="77"/>
      <c r="X12" s="80" t="s">
        <v>53</v>
      </c>
      <c r="Y12" s="80">
        <v>2</v>
      </c>
      <c r="Z12" s="77"/>
      <c r="AA12" s="75">
        <v>0</v>
      </c>
      <c r="AB12" s="75"/>
      <c r="AC12" s="75"/>
      <c r="AD12" s="75"/>
      <c r="AE12" s="75"/>
      <c r="AF12" s="75">
        <v>0</v>
      </c>
      <c r="AG12" s="75">
        <v>0</v>
      </c>
      <c r="AH12" s="75">
        <v>0</v>
      </c>
      <c r="AI12" s="82" t="s">
        <v>190</v>
      </c>
      <c r="AJ12" s="37" t="s">
        <v>191</v>
      </c>
      <c r="AK12" s="37" t="s">
        <v>119</v>
      </c>
      <c r="AL12" s="37" t="s">
        <v>64</v>
      </c>
      <c r="AM12" s="37" t="s">
        <v>110</v>
      </c>
      <c r="AN12" s="37"/>
      <c r="AO12" s="37" t="s">
        <v>67</v>
      </c>
      <c r="AP12" s="37" t="str">
        <f>CONCATENATE(AJ12, ".", AL12)</f>
        <v>LVBTSRBLC1.BlkOp.stVal</v>
      </c>
      <c r="AQ12" s="37" t="s">
        <v>63</v>
      </c>
      <c r="AR12" s="77">
        <v>0</v>
      </c>
      <c r="AS12" s="77">
        <v>1</v>
      </c>
      <c r="AT12" s="77">
        <v>0</v>
      </c>
      <c r="AU12" s="77">
        <v>1</v>
      </c>
      <c r="AV12" s="77">
        <v>1</v>
      </c>
      <c r="AW12" s="77">
        <v>1</v>
      </c>
      <c r="AX12" s="77">
        <v>1</v>
      </c>
      <c r="AY12" s="81"/>
      <c r="AZ12" s="77"/>
      <c r="BA12" s="77"/>
      <c r="BB12" s="77"/>
      <c r="BC12" s="77"/>
      <c r="BD12" s="77"/>
      <c r="BE12" s="77"/>
      <c r="BF12" s="77"/>
      <c r="BG12" s="74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"status", minValue: null, maxValue: null, step: null, units: "null", defaultValue: null, eventRegistration: 2</v>
      </c>
    </row>
    <row r="13" spans="1:16379" s="57" customFormat="1" ht="15.75" x14ac:dyDescent="0.25">
      <c r="A13" s="42"/>
      <c r="B13" s="91" t="s">
        <v>200</v>
      </c>
      <c r="C13" s="44"/>
      <c r="D13" s="87"/>
      <c r="E13" s="46" t="s">
        <v>79</v>
      </c>
      <c r="F13" s="46" t="s">
        <v>80</v>
      </c>
      <c r="G13" s="46" t="s">
        <v>80</v>
      </c>
      <c r="H13" s="44"/>
      <c r="I13" s="46">
        <f t="shared" si="6"/>
        <v>12</v>
      </c>
      <c r="J13" s="46" t="str">
        <f t="shared" si="7"/>
        <v>Поведение LD</v>
      </c>
      <c r="K13" s="48" t="s">
        <v>81</v>
      </c>
      <c r="L13" s="49" t="s">
        <v>57</v>
      </c>
      <c r="M13" s="51" t="s">
        <v>51</v>
      </c>
      <c r="N13" s="51" t="s">
        <v>52</v>
      </c>
      <c r="O13" s="51"/>
      <c r="P13" s="44"/>
      <c r="Q13" s="44"/>
      <c r="R13" s="51" t="s">
        <v>53</v>
      </c>
      <c r="S13" s="51" t="s">
        <v>53</v>
      </c>
      <c r="T13" s="51" t="s">
        <v>53</v>
      </c>
      <c r="U13" s="51" t="s">
        <v>53</v>
      </c>
      <c r="V13" s="44"/>
      <c r="W13" s="44"/>
      <c r="X13" s="51" t="s">
        <v>53</v>
      </c>
      <c r="Y13" s="51">
        <v>0</v>
      </c>
      <c r="Z13" s="44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53" t="s">
        <v>96</v>
      </c>
      <c r="AJ13" s="54" t="s">
        <v>113</v>
      </c>
      <c r="AK13" s="54" t="s">
        <v>82</v>
      </c>
      <c r="AL13" s="54" t="s">
        <v>64</v>
      </c>
      <c r="AM13" s="54" t="s">
        <v>65</v>
      </c>
      <c r="AN13" s="54" t="s">
        <v>66</v>
      </c>
      <c r="AO13" s="54" t="s">
        <v>67</v>
      </c>
      <c r="AP13" s="54" t="str">
        <f t="shared" ref="AP13:AP16" si="12">CONCATENATE(AJ13, ".", AL13)</f>
        <v>LLN0.Beh.stVal</v>
      </c>
      <c r="AQ13" s="54" t="s">
        <v>63</v>
      </c>
      <c r="AR13" s="44">
        <v>0</v>
      </c>
      <c r="AS13" s="44">
        <v>0</v>
      </c>
      <c r="AT13" s="44">
        <v>0</v>
      </c>
      <c r="AU13" s="44">
        <v>0</v>
      </c>
      <c r="AV13" s="44">
        <f t="shared" ref="AV13:AV16" si="13">BIN2DEC(CONCATENATE(0,0,0,0,AR13,AS13,AT13,AU13))</f>
        <v>0</v>
      </c>
      <c r="AW13" s="44">
        <v>0</v>
      </c>
      <c r="AX13" s="44">
        <v>0</v>
      </c>
      <c r="AY13" s="55"/>
      <c r="AZ13" s="44"/>
      <c r="BA13" s="44"/>
      <c r="BB13" s="44"/>
      <c r="BC13" s="44"/>
      <c r="BD13" s="44"/>
      <c r="BE13" s="44"/>
      <c r="BF13" s="44"/>
      <c r="BG13" s="70" t="str">
        <f t="shared" si="8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57" customFormat="1" ht="15.75" x14ac:dyDescent="0.25">
      <c r="A14" s="42"/>
      <c r="B14" s="91" t="s">
        <v>200</v>
      </c>
      <c r="C14" s="44"/>
      <c r="D14" s="87"/>
      <c r="E14" s="46" t="s">
        <v>83</v>
      </c>
      <c r="F14" s="46" t="s">
        <v>84</v>
      </c>
      <c r="G14" s="46" t="s">
        <v>84</v>
      </c>
      <c r="H14" s="44"/>
      <c r="I14" s="46">
        <f t="shared" si="6"/>
        <v>14</v>
      </c>
      <c r="J14" s="46" t="str">
        <f t="shared" si="7"/>
        <v>Исправность LD</v>
      </c>
      <c r="K14" s="48" t="s">
        <v>85</v>
      </c>
      <c r="L14" s="49" t="s">
        <v>57</v>
      </c>
      <c r="M14" s="51" t="s">
        <v>51</v>
      </c>
      <c r="N14" s="51" t="s">
        <v>52</v>
      </c>
      <c r="O14" s="51"/>
      <c r="P14" s="71"/>
      <c r="Q14" s="71"/>
      <c r="R14" s="51" t="s">
        <v>53</v>
      </c>
      <c r="S14" s="51" t="s">
        <v>53</v>
      </c>
      <c r="T14" s="51" t="s">
        <v>53</v>
      </c>
      <c r="U14" s="51" t="s">
        <v>53</v>
      </c>
      <c r="V14" s="44"/>
      <c r="W14" s="44"/>
      <c r="X14" s="51" t="s">
        <v>53</v>
      </c>
      <c r="Y14" s="51">
        <v>0</v>
      </c>
      <c r="Z14" s="44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53" t="s">
        <v>96</v>
      </c>
      <c r="AJ14" s="54" t="s">
        <v>114</v>
      </c>
      <c r="AK14" s="54" t="s">
        <v>82</v>
      </c>
      <c r="AL14" s="54" t="s">
        <v>64</v>
      </c>
      <c r="AM14" s="54" t="s">
        <v>65</v>
      </c>
      <c r="AN14" s="54" t="s">
        <v>86</v>
      </c>
      <c r="AO14" s="54" t="s">
        <v>67</v>
      </c>
      <c r="AP14" s="54" t="str">
        <f t="shared" si="12"/>
        <v>LLN0.Health.stVal</v>
      </c>
      <c r="AQ14" s="54" t="s">
        <v>63</v>
      </c>
      <c r="AR14" s="44">
        <v>0</v>
      </c>
      <c r="AS14" s="44">
        <v>0</v>
      </c>
      <c r="AT14" s="44">
        <v>0</v>
      </c>
      <c r="AU14" s="44">
        <v>0</v>
      </c>
      <c r="AV14" s="44">
        <f t="shared" si="13"/>
        <v>0</v>
      </c>
      <c r="AW14" s="44">
        <v>0</v>
      </c>
      <c r="AX14" s="44">
        <v>0</v>
      </c>
      <c r="AY14" s="55"/>
      <c r="AZ14" s="44"/>
      <c r="BA14" s="44"/>
      <c r="BB14" s="44"/>
      <c r="BC14" s="44"/>
      <c r="BD14" s="44"/>
      <c r="BE14" s="44"/>
      <c r="BF14" s="44"/>
      <c r="BG14" s="70" t="str">
        <f t="shared" si="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7" customFormat="1" ht="15.75" x14ac:dyDescent="0.25">
      <c r="A15" s="76"/>
      <c r="B15" s="91" t="s">
        <v>200</v>
      </c>
      <c r="C15" s="77"/>
      <c r="D15" s="85" t="s">
        <v>161</v>
      </c>
      <c r="E15" s="73" t="s">
        <v>162</v>
      </c>
      <c r="F15" s="73" t="s">
        <v>87</v>
      </c>
      <c r="G15" s="73" t="s">
        <v>87</v>
      </c>
      <c r="H15" s="77"/>
      <c r="I15" s="73">
        <f t="shared" si="6"/>
        <v>9</v>
      </c>
      <c r="J15" s="73" t="str">
        <f t="shared" si="7"/>
        <v>Поведение</v>
      </c>
      <c r="K15" s="78" t="s">
        <v>136</v>
      </c>
      <c r="L15" s="79" t="s">
        <v>57</v>
      </c>
      <c r="M15" s="80" t="s">
        <v>51</v>
      </c>
      <c r="N15" s="80" t="s">
        <v>52</v>
      </c>
      <c r="O15" s="80"/>
      <c r="P15" s="77"/>
      <c r="Q15" s="77"/>
      <c r="R15" s="80" t="s">
        <v>53</v>
      </c>
      <c r="S15" s="80" t="s">
        <v>53</v>
      </c>
      <c r="T15" s="80" t="s">
        <v>53</v>
      </c>
      <c r="U15" s="80" t="s">
        <v>53</v>
      </c>
      <c r="V15" s="77"/>
      <c r="W15" s="77"/>
      <c r="X15" s="80" t="s">
        <v>53</v>
      </c>
      <c r="Y15" s="80">
        <v>0</v>
      </c>
      <c r="Z15" s="77"/>
      <c r="AA15" s="75">
        <v>0</v>
      </c>
      <c r="AB15" s="75"/>
      <c r="AC15" s="75"/>
      <c r="AD15" s="75"/>
      <c r="AE15" s="75"/>
      <c r="AF15" s="75">
        <v>0</v>
      </c>
      <c r="AG15" s="75">
        <v>0</v>
      </c>
      <c r="AH15" s="75">
        <v>0</v>
      </c>
      <c r="AI15" s="82" t="s">
        <v>140</v>
      </c>
      <c r="AJ15" s="37" t="s">
        <v>141</v>
      </c>
      <c r="AK15" s="37" t="s">
        <v>82</v>
      </c>
      <c r="AL15" s="37" t="s">
        <v>64</v>
      </c>
      <c r="AM15" s="37" t="s">
        <v>65</v>
      </c>
      <c r="AN15" s="37" t="s">
        <v>66</v>
      </c>
      <c r="AO15" s="37" t="s">
        <v>67</v>
      </c>
      <c r="AP15" s="37" t="str">
        <f t="shared" si="12"/>
        <v>LVCBPTRC1.Beh.stVal</v>
      </c>
      <c r="AQ15" s="37" t="s">
        <v>63</v>
      </c>
      <c r="AR15" s="77">
        <v>0</v>
      </c>
      <c r="AS15" s="77">
        <v>0</v>
      </c>
      <c r="AT15" s="77">
        <v>0</v>
      </c>
      <c r="AU15" s="77">
        <v>0</v>
      </c>
      <c r="AV15" s="77">
        <f t="shared" si="13"/>
        <v>0</v>
      </c>
      <c r="AW15" s="77">
        <v>0</v>
      </c>
      <c r="AX15" s="77">
        <v>0</v>
      </c>
      <c r="AY15" s="81"/>
      <c r="AZ15" s="77"/>
      <c r="BA15" s="77"/>
      <c r="BB15" s="77"/>
      <c r="BC15" s="77"/>
      <c r="BD15" s="77"/>
      <c r="BE15" s="77"/>
      <c r="BF15" s="77"/>
      <c r="BG15" s="74" t="str">
        <f t="shared" si="8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6" spans="1:16379" s="17" customFormat="1" ht="15.75" x14ac:dyDescent="0.25">
      <c r="A16" s="76"/>
      <c r="B16" s="91" t="s">
        <v>200</v>
      </c>
      <c r="C16" s="77"/>
      <c r="D16" s="85" t="s">
        <v>161</v>
      </c>
      <c r="E16" s="73" t="s">
        <v>163</v>
      </c>
      <c r="F16" s="73" t="s">
        <v>88</v>
      </c>
      <c r="G16" s="73" t="s">
        <v>88</v>
      </c>
      <c r="H16" s="77"/>
      <c r="I16" s="73">
        <f t="shared" si="6"/>
        <v>11</v>
      </c>
      <c r="J16" s="73" t="str">
        <f t="shared" si="7"/>
        <v>Исправность</v>
      </c>
      <c r="K16" s="78" t="s">
        <v>137</v>
      </c>
      <c r="L16" s="79" t="s">
        <v>57</v>
      </c>
      <c r="M16" s="80" t="s">
        <v>51</v>
      </c>
      <c r="N16" s="80" t="s">
        <v>52</v>
      </c>
      <c r="O16" s="80"/>
      <c r="P16" s="30"/>
      <c r="Q16" s="30"/>
      <c r="R16" s="80" t="s">
        <v>53</v>
      </c>
      <c r="S16" s="80" t="s">
        <v>53</v>
      </c>
      <c r="T16" s="80" t="s">
        <v>53</v>
      </c>
      <c r="U16" s="80" t="s">
        <v>53</v>
      </c>
      <c r="V16" s="77"/>
      <c r="W16" s="77"/>
      <c r="X16" s="80" t="s">
        <v>53</v>
      </c>
      <c r="Y16" s="80">
        <v>0</v>
      </c>
      <c r="Z16" s="77"/>
      <c r="AA16" s="75">
        <v>0</v>
      </c>
      <c r="AB16" s="75"/>
      <c r="AC16" s="75"/>
      <c r="AD16" s="75"/>
      <c r="AE16" s="75"/>
      <c r="AF16" s="75">
        <v>0</v>
      </c>
      <c r="AG16" s="75">
        <v>0</v>
      </c>
      <c r="AH16" s="75">
        <v>0</v>
      </c>
      <c r="AI16" s="82" t="s">
        <v>140</v>
      </c>
      <c r="AJ16" s="37" t="s">
        <v>142</v>
      </c>
      <c r="AK16" s="37" t="s">
        <v>82</v>
      </c>
      <c r="AL16" s="37" t="s">
        <v>64</v>
      </c>
      <c r="AM16" s="37" t="s">
        <v>65</v>
      </c>
      <c r="AN16" s="37" t="s">
        <v>86</v>
      </c>
      <c r="AO16" s="37" t="s">
        <v>67</v>
      </c>
      <c r="AP16" s="37" t="str">
        <f t="shared" si="12"/>
        <v>LVCBPTRC1.Health.stVal</v>
      </c>
      <c r="AQ16" s="37" t="s">
        <v>63</v>
      </c>
      <c r="AR16" s="77">
        <v>0</v>
      </c>
      <c r="AS16" s="77">
        <v>0</v>
      </c>
      <c r="AT16" s="77">
        <v>0</v>
      </c>
      <c r="AU16" s="77">
        <v>0</v>
      </c>
      <c r="AV16" s="77">
        <f t="shared" si="13"/>
        <v>0</v>
      </c>
      <c r="AW16" s="77">
        <v>0</v>
      </c>
      <c r="AX16" s="77">
        <v>0</v>
      </c>
      <c r="AY16" s="81"/>
      <c r="AZ16" s="77"/>
      <c r="BA16" s="77"/>
      <c r="BB16" s="77"/>
      <c r="BC16" s="77"/>
      <c r="BD16" s="77"/>
      <c r="BE16" s="77"/>
      <c r="BF16" s="77"/>
      <c r="BG16" s="74" t="str">
        <f t="shared" si="8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7" spans="1:60" s="57" customFormat="1" ht="15.75" x14ac:dyDescent="0.25">
      <c r="A17" s="42"/>
      <c r="B17" s="91" t="s">
        <v>200</v>
      </c>
      <c r="C17" s="44"/>
      <c r="D17" s="87" t="s">
        <v>158</v>
      </c>
      <c r="E17" s="46" t="s">
        <v>159</v>
      </c>
      <c r="F17" s="46" t="s">
        <v>87</v>
      </c>
      <c r="G17" s="46" t="s">
        <v>87</v>
      </c>
      <c r="H17" s="44"/>
      <c r="I17" s="46">
        <f t="shared" si="6"/>
        <v>9</v>
      </c>
      <c r="J17" s="46" t="str">
        <f t="shared" si="7"/>
        <v>Поведение</v>
      </c>
      <c r="K17" s="48" t="s">
        <v>138</v>
      </c>
      <c r="L17" s="49" t="s">
        <v>57</v>
      </c>
      <c r="M17" s="51" t="s">
        <v>51</v>
      </c>
      <c r="N17" s="51" t="s">
        <v>52</v>
      </c>
      <c r="O17" s="51"/>
      <c r="P17" s="44"/>
      <c r="Q17" s="44"/>
      <c r="R17" s="51" t="s">
        <v>53</v>
      </c>
      <c r="S17" s="51" t="s">
        <v>53</v>
      </c>
      <c r="T17" s="51" t="s">
        <v>53</v>
      </c>
      <c r="U17" s="51" t="s">
        <v>53</v>
      </c>
      <c r="V17" s="44"/>
      <c r="W17" s="44"/>
      <c r="X17" s="51" t="s">
        <v>53</v>
      </c>
      <c r="Y17" s="51">
        <v>0</v>
      </c>
      <c r="Z17" s="44"/>
      <c r="AA17" s="52">
        <v>0</v>
      </c>
      <c r="AB17" s="52"/>
      <c r="AC17" s="52"/>
      <c r="AD17" s="52"/>
      <c r="AE17" s="52"/>
      <c r="AF17" s="52">
        <v>0</v>
      </c>
      <c r="AG17" s="52">
        <v>0</v>
      </c>
      <c r="AH17" s="52">
        <v>0</v>
      </c>
      <c r="AI17" s="53" t="s">
        <v>118</v>
      </c>
      <c r="AJ17" s="54" t="s">
        <v>143</v>
      </c>
      <c r="AK17" s="54" t="s">
        <v>82</v>
      </c>
      <c r="AL17" s="54" t="s">
        <v>64</v>
      </c>
      <c r="AM17" s="54" t="s">
        <v>65</v>
      </c>
      <c r="AN17" s="54" t="s">
        <v>66</v>
      </c>
      <c r="AO17" s="54" t="s">
        <v>67</v>
      </c>
      <c r="AP17" s="54" t="str">
        <f t="shared" ref="AP17:AP20" si="14">CONCATENATE(AJ17, ".", AL17)</f>
        <v>LVCBRECRBRE1.Beh.stVal</v>
      </c>
      <c r="AQ17" s="54" t="s">
        <v>63</v>
      </c>
      <c r="AR17" s="44">
        <v>0</v>
      </c>
      <c r="AS17" s="44">
        <v>0</v>
      </c>
      <c r="AT17" s="44">
        <v>0</v>
      </c>
      <c r="AU17" s="44">
        <v>0</v>
      </c>
      <c r="AV17" s="44">
        <f t="shared" ref="AV17:AV20" si="15">BIN2DEC(CONCATENATE(0,0,0,0,AR17,AS17,AT17,AU17))</f>
        <v>0</v>
      </c>
      <c r="AW17" s="44">
        <v>0</v>
      </c>
      <c r="AX17" s="44">
        <v>0</v>
      </c>
      <c r="AY17" s="55"/>
      <c r="AZ17" s="44"/>
      <c r="BA17" s="44"/>
      <c r="BB17" s="44"/>
      <c r="BC17" s="44"/>
      <c r="BD17" s="44"/>
      <c r="BE17" s="44"/>
      <c r="BF17" s="44"/>
      <c r="BG17" s="70" t="str">
        <f t="shared" si="8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8" spans="1:60" s="57" customFormat="1" ht="15.75" x14ac:dyDescent="0.25">
      <c r="A18" s="42"/>
      <c r="B18" s="91" t="s">
        <v>200</v>
      </c>
      <c r="C18" s="44"/>
      <c r="D18" s="87" t="s">
        <v>158</v>
      </c>
      <c r="E18" s="46" t="s">
        <v>160</v>
      </c>
      <c r="F18" s="46" t="s">
        <v>88</v>
      </c>
      <c r="G18" s="46" t="s">
        <v>88</v>
      </c>
      <c r="H18" s="44"/>
      <c r="I18" s="46">
        <f t="shared" si="6"/>
        <v>11</v>
      </c>
      <c r="J18" s="46" t="str">
        <f t="shared" si="7"/>
        <v>Исправность</v>
      </c>
      <c r="K18" s="48" t="s">
        <v>139</v>
      </c>
      <c r="L18" s="49" t="s">
        <v>57</v>
      </c>
      <c r="M18" s="51" t="s">
        <v>51</v>
      </c>
      <c r="N18" s="51" t="s">
        <v>52</v>
      </c>
      <c r="O18" s="51"/>
      <c r="P18" s="71"/>
      <c r="Q18" s="71"/>
      <c r="R18" s="51" t="s">
        <v>53</v>
      </c>
      <c r="S18" s="51" t="s">
        <v>53</v>
      </c>
      <c r="T18" s="51" t="s">
        <v>53</v>
      </c>
      <c r="U18" s="51" t="s">
        <v>53</v>
      </c>
      <c r="V18" s="44"/>
      <c r="W18" s="44"/>
      <c r="X18" s="51" t="s">
        <v>53</v>
      </c>
      <c r="Y18" s="51">
        <v>0</v>
      </c>
      <c r="Z18" s="44"/>
      <c r="AA18" s="52">
        <v>0</v>
      </c>
      <c r="AB18" s="52"/>
      <c r="AC18" s="52"/>
      <c r="AD18" s="52"/>
      <c r="AE18" s="52"/>
      <c r="AF18" s="52">
        <v>0</v>
      </c>
      <c r="AG18" s="52">
        <v>0</v>
      </c>
      <c r="AH18" s="52">
        <v>0</v>
      </c>
      <c r="AI18" s="53" t="s">
        <v>118</v>
      </c>
      <c r="AJ18" s="54" t="s">
        <v>144</v>
      </c>
      <c r="AK18" s="54" t="s">
        <v>82</v>
      </c>
      <c r="AL18" s="54" t="s">
        <v>64</v>
      </c>
      <c r="AM18" s="54" t="s">
        <v>65</v>
      </c>
      <c r="AN18" s="54" t="s">
        <v>86</v>
      </c>
      <c r="AO18" s="54" t="s">
        <v>67</v>
      </c>
      <c r="AP18" s="54" t="str">
        <f t="shared" si="14"/>
        <v>LVCBRECRBRE1.Health.stVal</v>
      </c>
      <c r="AQ18" s="54" t="s">
        <v>63</v>
      </c>
      <c r="AR18" s="44">
        <v>0</v>
      </c>
      <c r="AS18" s="44">
        <v>0</v>
      </c>
      <c r="AT18" s="44">
        <v>0</v>
      </c>
      <c r="AU18" s="44">
        <v>0</v>
      </c>
      <c r="AV18" s="44">
        <f t="shared" si="15"/>
        <v>0</v>
      </c>
      <c r="AW18" s="44">
        <v>0</v>
      </c>
      <c r="AX18" s="44">
        <v>0</v>
      </c>
      <c r="AY18" s="55"/>
      <c r="AZ18" s="44"/>
      <c r="BA18" s="44"/>
      <c r="BB18" s="44"/>
      <c r="BC18" s="44"/>
      <c r="BD18" s="44"/>
      <c r="BE18" s="44"/>
      <c r="BF18" s="44"/>
      <c r="BG18" s="70" t="str">
        <f t="shared" si="8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9" spans="1:60" s="17" customFormat="1" ht="15.75" x14ac:dyDescent="0.25">
      <c r="A19" s="76"/>
      <c r="B19" s="91" t="s">
        <v>200</v>
      </c>
      <c r="C19" s="77"/>
      <c r="D19" s="85" t="s">
        <v>178</v>
      </c>
      <c r="E19" s="73" t="s">
        <v>186</v>
      </c>
      <c r="F19" s="73" t="s">
        <v>87</v>
      </c>
      <c r="G19" s="73" t="s">
        <v>87</v>
      </c>
      <c r="H19" s="77"/>
      <c r="I19" s="73">
        <f t="shared" ref="I19:I20" si="16">LEN(F19)</f>
        <v>9</v>
      </c>
      <c r="J19" s="73" t="str">
        <f t="shared" ref="J19:J20" si="17">IF(LEN(F19)&lt;=$J$1,F19,"")</f>
        <v>Поведение</v>
      </c>
      <c r="K19" s="78" t="s">
        <v>188</v>
      </c>
      <c r="L19" s="79" t="s">
        <v>57</v>
      </c>
      <c r="M19" s="80" t="s">
        <v>51</v>
      </c>
      <c r="N19" s="80" t="s">
        <v>52</v>
      </c>
      <c r="O19" s="80"/>
      <c r="P19" s="77"/>
      <c r="Q19" s="77"/>
      <c r="R19" s="80" t="s">
        <v>53</v>
      </c>
      <c r="S19" s="80" t="s">
        <v>53</v>
      </c>
      <c r="T19" s="80" t="s">
        <v>53</v>
      </c>
      <c r="U19" s="80" t="s">
        <v>53</v>
      </c>
      <c r="V19" s="77"/>
      <c r="W19" s="77"/>
      <c r="X19" s="80" t="s">
        <v>53</v>
      </c>
      <c r="Y19" s="80">
        <v>0</v>
      </c>
      <c r="Z19" s="77"/>
      <c r="AA19" s="75">
        <v>0</v>
      </c>
      <c r="AB19" s="75"/>
      <c r="AC19" s="75"/>
      <c r="AD19" s="75"/>
      <c r="AE19" s="75"/>
      <c r="AF19" s="75">
        <v>0</v>
      </c>
      <c r="AG19" s="75">
        <v>0</v>
      </c>
      <c r="AH19" s="75">
        <v>0</v>
      </c>
      <c r="AI19" s="82" t="s">
        <v>190</v>
      </c>
      <c r="AJ19" s="37" t="s">
        <v>192</v>
      </c>
      <c r="AK19" s="37" t="s">
        <v>82</v>
      </c>
      <c r="AL19" s="37" t="s">
        <v>64</v>
      </c>
      <c r="AM19" s="37" t="s">
        <v>65</v>
      </c>
      <c r="AN19" s="37" t="s">
        <v>66</v>
      </c>
      <c r="AO19" s="37" t="s">
        <v>67</v>
      </c>
      <c r="AP19" s="37" t="str">
        <f t="shared" si="14"/>
        <v>LVBTSRBLC1.Beh.stVal</v>
      </c>
      <c r="AQ19" s="37" t="s">
        <v>63</v>
      </c>
      <c r="AR19" s="77">
        <v>0</v>
      </c>
      <c r="AS19" s="77">
        <v>0</v>
      </c>
      <c r="AT19" s="77">
        <v>0</v>
      </c>
      <c r="AU19" s="77">
        <v>0</v>
      </c>
      <c r="AV19" s="77">
        <f t="shared" si="15"/>
        <v>0</v>
      </c>
      <c r="AW19" s="77">
        <v>0</v>
      </c>
      <c r="AX19" s="77">
        <v>0</v>
      </c>
      <c r="AY19" s="81"/>
      <c r="AZ19" s="77"/>
      <c r="BA19" s="77"/>
      <c r="BB19" s="77"/>
      <c r="BC19" s="77"/>
      <c r="BD19" s="77"/>
      <c r="BE19" s="77"/>
      <c r="BF19" s="77"/>
      <c r="BG19" s="74" t="str">
        <f t="shared" ref="BG19:BG20" si="1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ЗАВР", group: "status", minValue: null, maxValue: null, step: null, units: "null", defaultValue: null, eventRegistration: 0</v>
      </c>
    </row>
    <row r="20" spans="1:60" s="17" customFormat="1" ht="15.75" x14ac:dyDescent="0.25">
      <c r="A20" s="76"/>
      <c r="B20" s="91" t="s">
        <v>200</v>
      </c>
      <c r="C20" s="77"/>
      <c r="D20" s="85" t="s">
        <v>178</v>
      </c>
      <c r="E20" s="73" t="s">
        <v>187</v>
      </c>
      <c r="F20" s="73" t="s">
        <v>88</v>
      </c>
      <c r="G20" s="73" t="s">
        <v>88</v>
      </c>
      <c r="H20" s="77"/>
      <c r="I20" s="73">
        <f t="shared" si="16"/>
        <v>11</v>
      </c>
      <c r="J20" s="73" t="str">
        <f t="shared" si="17"/>
        <v>Исправность</v>
      </c>
      <c r="K20" s="78" t="s">
        <v>189</v>
      </c>
      <c r="L20" s="79" t="s">
        <v>57</v>
      </c>
      <c r="M20" s="80" t="s">
        <v>51</v>
      </c>
      <c r="N20" s="80" t="s">
        <v>52</v>
      </c>
      <c r="O20" s="80"/>
      <c r="P20" s="30"/>
      <c r="Q20" s="30"/>
      <c r="R20" s="80" t="s">
        <v>53</v>
      </c>
      <c r="S20" s="80" t="s">
        <v>53</v>
      </c>
      <c r="T20" s="80" t="s">
        <v>53</v>
      </c>
      <c r="U20" s="80" t="s">
        <v>53</v>
      </c>
      <c r="V20" s="77"/>
      <c r="W20" s="77"/>
      <c r="X20" s="80" t="s">
        <v>53</v>
      </c>
      <c r="Y20" s="80">
        <v>0</v>
      </c>
      <c r="Z20" s="77"/>
      <c r="AA20" s="75">
        <v>0</v>
      </c>
      <c r="AB20" s="75"/>
      <c r="AC20" s="75"/>
      <c r="AD20" s="75"/>
      <c r="AE20" s="75"/>
      <c r="AF20" s="75">
        <v>0</v>
      </c>
      <c r="AG20" s="75">
        <v>0</v>
      </c>
      <c r="AH20" s="75">
        <v>0</v>
      </c>
      <c r="AI20" s="82" t="s">
        <v>190</v>
      </c>
      <c r="AJ20" s="37" t="s">
        <v>193</v>
      </c>
      <c r="AK20" s="37" t="s">
        <v>82</v>
      </c>
      <c r="AL20" s="37" t="s">
        <v>64</v>
      </c>
      <c r="AM20" s="37" t="s">
        <v>65</v>
      </c>
      <c r="AN20" s="37" t="s">
        <v>86</v>
      </c>
      <c r="AO20" s="37" t="s">
        <v>67</v>
      </c>
      <c r="AP20" s="37" t="str">
        <f t="shared" si="14"/>
        <v>LVBTSRBLC1.Health.stVal</v>
      </c>
      <c r="AQ20" s="37" t="s">
        <v>63</v>
      </c>
      <c r="AR20" s="77">
        <v>0</v>
      </c>
      <c r="AS20" s="77">
        <v>0</v>
      </c>
      <c r="AT20" s="77">
        <v>0</v>
      </c>
      <c r="AU20" s="77">
        <v>0</v>
      </c>
      <c r="AV20" s="77">
        <f t="shared" si="15"/>
        <v>0</v>
      </c>
      <c r="AW20" s="77">
        <v>0</v>
      </c>
      <c r="AX20" s="77">
        <v>0</v>
      </c>
      <c r="AY20" s="81"/>
      <c r="AZ20" s="77"/>
      <c r="BA20" s="77"/>
      <c r="BB20" s="77"/>
      <c r="BC20" s="77"/>
      <c r="BD20" s="77"/>
      <c r="BE20" s="77"/>
      <c r="BF20" s="77"/>
      <c r="BG20" s="74" t="str">
        <f t="shared" si="18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8"/>
      <c r="BC219" s="4"/>
      <c r="BD219" s="1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8"/>
      <c r="BC220" s="4"/>
      <c r="BD220" s="1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8"/>
      <c r="BC221" s="4"/>
      <c r="BD221" s="18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4"/>
  <sheetViews>
    <sheetView zoomScale="80" zoomScaleNormal="80" workbookViewId="0">
      <selection activeCell="G14" sqref="G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4" width="12.85546875" style="2" customWidth="1" outlineLevel="1"/>
    <col min="15" max="15" width="14.5703125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SUM(AB5:AB41)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72"/>
      <c r="BA1" s="95" t="s">
        <v>0</v>
      </c>
      <c r="BB1" s="96"/>
      <c r="BC1" s="96"/>
      <c r="BD1" s="96"/>
      <c r="BE1" s="96"/>
      <c r="BF1" s="96"/>
      <c r="BG1" s="96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3" t="s">
        <v>207</v>
      </c>
      <c r="I2" s="9" t="s">
        <v>7</v>
      </c>
      <c r="J2" s="9" t="s">
        <v>8</v>
      </c>
      <c r="K2" s="9" t="s">
        <v>104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98</v>
      </c>
      <c r="AD2" s="14" t="s">
        <v>99</v>
      </c>
      <c r="AE2" s="14" t="s">
        <v>100</v>
      </c>
      <c r="AF2" s="14" t="s">
        <v>101</v>
      </c>
      <c r="AG2" s="14" t="s">
        <v>24</v>
      </c>
      <c r="AH2" s="14" t="s">
        <v>25</v>
      </c>
      <c r="AI2" s="13" t="s">
        <v>26</v>
      </c>
      <c r="AJ2" s="24" t="s">
        <v>97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3" customFormat="1" ht="15.75" x14ac:dyDescent="0.25">
      <c r="A3" s="76"/>
      <c r="B3" s="76" t="s">
        <v>89</v>
      </c>
      <c r="C3" s="80"/>
      <c r="D3" s="85" t="s">
        <v>161</v>
      </c>
      <c r="E3" s="73" t="s">
        <v>120</v>
      </c>
      <c r="F3" s="73" t="s">
        <v>111</v>
      </c>
      <c r="G3" s="73" t="s">
        <v>115</v>
      </c>
      <c r="H3" s="94" t="s">
        <v>115</v>
      </c>
      <c r="I3" s="73" t="s">
        <v>105</v>
      </c>
      <c r="J3" s="73">
        <f>LEN(F3)</f>
        <v>12</v>
      </c>
      <c r="K3" s="73" t="str">
        <f>IF(LEN(F3)&lt;=$K$1,F3,"")</f>
        <v>Ввод_функции</v>
      </c>
      <c r="L3" s="76" t="s">
        <v>155</v>
      </c>
      <c r="M3" s="79" t="s">
        <v>54</v>
      </c>
      <c r="N3" s="80" t="s">
        <v>52</v>
      </c>
      <c r="O3" s="80" t="s">
        <v>52</v>
      </c>
      <c r="P3" s="80"/>
      <c r="Q3" s="81">
        <v>0</v>
      </c>
      <c r="R3" s="81"/>
      <c r="S3" s="80" t="s">
        <v>53</v>
      </c>
      <c r="T3" s="80">
        <v>0</v>
      </c>
      <c r="U3" s="80">
        <v>1</v>
      </c>
      <c r="V3" s="80">
        <v>1</v>
      </c>
      <c r="W3" s="80"/>
      <c r="X3" s="80"/>
      <c r="Y3" s="80">
        <v>0</v>
      </c>
      <c r="Z3" s="80">
        <v>0</v>
      </c>
      <c r="AA3" s="78"/>
      <c r="AB3" s="75">
        <v>0</v>
      </c>
      <c r="AC3" s="75"/>
      <c r="AD3" s="75"/>
      <c r="AE3" s="75"/>
      <c r="AF3" s="75"/>
      <c r="AG3" s="75">
        <v>0</v>
      </c>
      <c r="AH3" s="75">
        <v>0</v>
      </c>
      <c r="AI3" s="75">
        <v>0</v>
      </c>
      <c r="AJ3" s="75"/>
      <c r="AK3" s="77"/>
      <c r="AL3" s="77"/>
      <c r="AM3" s="77"/>
      <c r="AN3" s="77"/>
      <c r="AO3" s="77"/>
      <c r="AP3" s="77"/>
      <c r="AQ3" s="77"/>
      <c r="AR3" s="77"/>
      <c r="AS3" s="77">
        <v>0</v>
      </c>
      <c r="AT3" s="77">
        <v>0</v>
      </c>
      <c r="AU3" s="77">
        <v>0</v>
      </c>
      <c r="AV3" s="77">
        <v>0</v>
      </c>
      <c r="AW3" s="77">
        <f>BIN2DEC(CONCATENATE(0,0,0,0,AS3,AT3,AU3,AV3))</f>
        <v>0</v>
      </c>
      <c r="AX3" s="77" t="s">
        <v>106</v>
      </c>
      <c r="AY3" s="77"/>
      <c r="AZ3" s="81"/>
      <c r="BA3" s="77"/>
      <c r="BB3" s="77"/>
      <c r="BC3" s="77"/>
      <c r="BD3" s="77"/>
      <c r="BE3" s="77"/>
      <c r="BF3" s="77"/>
      <c r="BG3" s="77"/>
      <c r="BH3" s="74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3" customFormat="1" ht="15.75" x14ac:dyDescent="0.25">
      <c r="A4" s="76"/>
      <c r="B4" s="76" t="s">
        <v>89</v>
      </c>
      <c r="C4" s="80"/>
      <c r="D4" s="85" t="s">
        <v>161</v>
      </c>
      <c r="E4" s="73" t="s">
        <v>148</v>
      </c>
      <c r="F4" s="73" t="s">
        <v>149</v>
      </c>
      <c r="G4" s="73" t="s">
        <v>150</v>
      </c>
      <c r="H4" s="94" t="s">
        <v>150</v>
      </c>
      <c r="I4" s="73"/>
      <c r="J4" s="73">
        <v>3</v>
      </c>
      <c r="K4" s="73" t="str">
        <f>IF(LEN(F4)&lt;=$K$1,F4,"")</f>
        <v>Тимп</v>
      </c>
      <c r="L4" s="76" t="s">
        <v>156</v>
      </c>
      <c r="M4" s="79" t="s">
        <v>151</v>
      </c>
      <c r="N4" s="80" t="s">
        <v>52</v>
      </c>
      <c r="O4" s="80" t="s">
        <v>52</v>
      </c>
      <c r="P4" s="80"/>
      <c r="Q4" s="81">
        <v>2</v>
      </c>
      <c r="R4" s="81" t="s">
        <v>152</v>
      </c>
      <c r="S4" s="80" t="s">
        <v>153</v>
      </c>
      <c r="T4" s="80">
        <v>50</v>
      </c>
      <c r="U4" s="80">
        <v>60000</v>
      </c>
      <c r="V4" s="80">
        <v>10</v>
      </c>
      <c r="W4" s="80"/>
      <c r="X4" s="80"/>
      <c r="Y4" s="80">
        <v>500</v>
      </c>
      <c r="Z4" s="80">
        <v>0</v>
      </c>
      <c r="AA4" s="78"/>
      <c r="AB4" s="75">
        <v>0</v>
      </c>
      <c r="AC4" s="75"/>
      <c r="AD4" s="75"/>
      <c r="AE4" s="75"/>
      <c r="AF4" s="75"/>
      <c r="AG4" s="75">
        <v>0</v>
      </c>
      <c r="AH4" s="75">
        <v>0</v>
      </c>
      <c r="AI4" s="75">
        <v>0</v>
      </c>
      <c r="AJ4" s="82"/>
      <c r="AK4" s="77"/>
      <c r="AL4" s="77"/>
      <c r="AM4" s="77"/>
      <c r="AN4" s="77"/>
      <c r="AO4" s="77"/>
      <c r="AP4" s="77"/>
      <c r="AQ4" s="72"/>
      <c r="AR4" s="77"/>
      <c r="AS4" s="77">
        <v>0</v>
      </c>
      <c r="AT4" s="77">
        <v>0</v>
      </c>
      <c r="AU4" s="77">
        <v>0</v>
      </c>
      <c r="AV4" s="77">
        <v>0</v>
      </c>
      <c r="AW4" s="77">
        <f>BIN2DEC(CONCATENATE(0,0,0,0,AS4,AT4,AU4,AV4))</f>
        <v>0</v>
      </c>
      <c r="AX4" s="77"/>
      <c r="AY4" s="77"/>
      <c r="AZ4" s="81"/>
      <c r="BA4" s="77"/>
      <c r="BB4" s="77"/>
      <c r="BC4" s="77"/>
      <c r="BD4" s="77"/>
      <c r="BE4" s="77"/>
      <c r="BF4" s="77"/>
      <c r="BG4" s="77"/>
      <c r="BH4" s="74" t="s">
        <v>154</v>
      </c>
    </row>
    <row r="5" spans="1:16380" s="84" customFormat="1" ht="15.75" x14ac:dyDescent="0.25">
      <c r="A5" s="59"/>
      <c r="B5" s="59" t="s">
        <v>89</v>
      </c>
      <c r="C5" s="65"/>
      <c r="D5" s="86" t="s">
        <v>158</v>
      </c>
      <c r="E5" s="38" t="s">
        <v>120</v>
      </c>
      <c r="F5" s="38" t="s">
        <v>111</v>
      </c>
      <c r="G5" s="38" t="s">
        <v>115</v>
      </c>
      <c r="H5" s="94" t="s">
        <v>115</v>
      </c>
      <c r="I5" s="38" t="s">
        <v>105</v>
      </c>
      <c r="J5" s="38">
        <f>LEN(F5)</f>
        <v>12</v>
      </c>
      <c r="K5" s="38" t="str">
        <f>IF(LEN(F5)&lt;=$K$1,F5,"")</f>
        <v>Ввод_функции</v>
      </c>
      <c r="L5" s="59" t="s">
        <v>157</v>
      </c>
      <c r="M5" s="64" t="s">
        <v>54</v>
      </c>
      <c r="N5" s="65" t="s">
        <v>52</v>
      </c>
      <c r="O5" s="65" t="s">
        <v>52</v>
      </c>
      <c r="P5" s="65"/>
      <c r="Q5" s="67">
        <v>0</v>
      </c>
      <c r="R5" s="67"/>
      <c r="S5" s="65" t="s">
        <v>53</v>
      </c>
      <c r="T5" s="65">
        <v>0</v>
      </c>
      <c r="U5" s="65">
        <v>1</v>
      </c>
      <c r="V5" s="65">
        <v>1</v>
      </c>
      <c r="W5" s="65"/>
      <c r="X5" s="65"/>
      <c r="Y5" s="65">
        <v>0</v>
      </c>
      <c r="Z5" s="65">
        <v>0</v>
      </c>
      <c r="AA5" s="63"/>
      <c r="AB5" s="40">
        <v>0</v>
      </c>
      <c r="AC5" s="40"/>
      <c r="AD5" s="40"/>
      <c r="AE5" s="40"/>
      <c r="AF5" s="40"/>
      <c r="AG5" s="40">
        <v>0</v>
      </c>
      <c r="AH5" s="40">
        <v>0</v>
      </c>
      <c r="AI5" s="40">
        <v>0</v>
      </c>
      <c r="AJ5" s="40"/>
      <c r="AK5" s="60"/>
      <c r="AL5" s="60"/>
      <c r="AM5" s="60"/>
      <c r="AN5" s="60"/>
      <c r="AO5" s="60"/>
      <c r="AP5" s="60"/>
      <c r="AQ5" s="60"/>
      <c r="AR5" s="60"/>
      <c r="AS5" s="60">
        <v>0</v>
      </c>
      <c r="AT5" s="60">
        <v>0</v>
      </c>
      <c r="AU5" s="60">
        <v>0</v>
      </c>
      <c r="AV5" s="60">
        <v>0</v>
      </c>
      <c r="AW5" s="60">
        <f>BIN2DEC(CONCATENATE(0,0,0,0,AS5,AT5,AU5,AV5))</f>
        <v>0</v>
      </c>
      <c r="AX5" s="60" t="s">
        <v>106</v>
      </c>
      <c r="AY5" s="60"/>
      <c r="AZ5" s="67"/>
      <c r="BA5" s="60"/>
      <c r="BB5" s="60"/>
      <c r="BC5" s="60"/>
      <c r="BD5" s="60"/>
      <c r="BE5" s="60"/>
      <c r="BF5" s="60"/>
      <c r="BG5" s="60"/>
      <c r="BH5" s="6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83" customFormat="1" ht="15.75" x14ac:dyDescent="0.25">
      <c r="A6" s="76"/>
      <c r="B6" s="76" t="s">
        <v>89</v>
      </c>
      <c r="C6" s="80"/>
      <c r="D6" s="85" t="s">
        <v>178</v>
      </c>
      <c r="E6" s="73" t="s">
        <v>120</v>
      </c>
      <c r="F6" s="73" t="s">
        <v>111</v>
      </c>
      <c r="G6" s="73" t="s">
        <v>115</v>
      </c>
      <c r="H6" s="94" t="s">
        <v>115</v>
      </c>
      <c r="I6" s="73" t="s">
        <v>105</v>
      </c>
      <c r="J6" s="73">
        <f>LEN(F6)</f>
        <v>12</v>
      </c>
      <c r="K6" s="73" t="str">
        <f>IF(LEN(F6)&lt;=$K$1,F6,"")</f>
        <v>Ввод_функции</v>
      </c>
      <c r="L6" s="76" t="s">
        <v>194</v>
      </c>
      <c r="M6" s="79" t="s">
        <v>54</v>
      </c>
      <c r="N6" s="80" t="s">
        <v>52</v>
      </c>
      <c r="O6" s="80" t="s">
        <v>52</v>
      </c>
      <c r="P6" s="80"/>
      <c r="Q6" s="81">
        <v>0</v>
      </c>
      <c r="R6" s="81"/>
      <c r="S6" s="80" t="s">
        <v>53</v>
      </c>
      <c r="T6" s="80">
        <v>0</v>
      </c>
      <c r="U6" s="80">
        <v>1</v>
      </c>
      <c r="V6" s="80">
        <v>1</v>
      </c>
      <c r="W6" s="80"/>
      <c r="X6" s="80"/>
      <c r="Y6" s="80">
        <v>0</v>
      </c>
      <c r="Z6" s="80">
        <v>0</v>
      </c>
      <c r="AA6" s="78"/>
      <c r="AB6" s="75">
        <v>0</v>
      </c>
      <c r="AC6" s="75"/>
      <c r="AD6" s="75"/>
      <c r="AE6" s="75"/>
      <c r="AF6" s="75"/>
      <c r="AG6" s="75">
        <v>0</v>
      </c>
      <c r="AH6" s="75">
        <v>0</v>
      </c>
      <c r="AI6" s="75">
        <v>0</v>
      </c>
      <c r="AJ6" s="75"/>
      <c r="AK6" s="77"/>
      <c r="AL6" s="77"/>
      <c r="AM6" s="77"/>
      <c r="AN6" s="77"/>
      <c r="AO6" s="77"/>
      <c r="AP6" s="77"/>
      <c r="AQ6" s="77"/>
      <c r="AR6" s="77"/>
      <c r="AS6" s="77">
        <v>0</v>
      </c>
      <c r="AT6" s="77">
        <v>0</v>
      </c>
      <c r="AU6" s="77">
        <v>0</v>
      </c>
      <c r="AV6" s="77">
        <v>0</v>
      </c>
      <c r="AW6" s="77">
        <f>BIN2DEC(CONCATENATE(0,0,0,0,AS6,AT6,AU6,AV6))</f>
        <v>0</v>
      </c>
      <c r="AX6" s="77" t="s">
        <v>106</v>
      </c>
      <c r="AY6" s="77"/>
      <c r="AZ6" s="81"/>
      <c r="BA6" s="77"/>
      <c r="BB6" s="77"/>
      <c r="BC6" s="77"/>
      <c r="BD6" s="77"/>
      <c r="BE6" s="77"/>
      <c r="BF6" s="77"/>
      <c r="BG6" s="77"/>
      <c r="BH6" s="74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18"/>
      <c r="BD7" s="4"/>
      <c r="BE7" s="18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18"/>
      <c r="BD8" s="4"/>
      <c r="BE8" s="18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18"/>
      <c r="BD9" s="4"/>
      <c r="BE9" s="1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8"/>
      <c r="BD10" s="4"/>
      <c r="BE10" s="1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8"/>
      <c r="BD11" s="4"/>
      <c r="BE11" s="1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8"/>
      <c r="BD12" s="4"/>
      <c r="BE12" s="1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8"/>
      <c r="BD13" s="4"/>
      <c r="BE13" s="1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18"/>
      <c r="BD184" s="4"/>
      <c r="BE184" s="18"/>
      <c r="BF184" s="4"/>
      <c r="BG184" s="4"/>
      <c r="BH184" s="1"/>
      <c r="BI18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J12" sqref="J12"/>
    </sheetView>
  </sheetViews>
  <sheetFormatPr defaultRowHeight="15.75" x14ac:dyDescent="0.25"/>
  <cols>
    <col min="1" max="1" width="22.42578125" style="88" customWidth="1"/>
    <col min="2" max="2" width="15.85546875" style="88" bestFit="1" customWidth="1"/>
    <col min="3" max="16384" width="9.140625" style="88"/>
  </cols>
  <sheetData>
    <row r="2" spans="1:2" x14ac:dyDescent="0.25">
      <c r="A2" s="9" t="s">
        <v>90</v>
      </c>
      <c r="B2" s="9" t="s">
        <v>91</v>
      </c>
    </row>
    <row r="3" spans="1:2" x14ac:dyDescent="0.25">
      <c r="A3" s="20" t="s">
        <v>92</v>
      </c>
      <c r="B3" s="89" t="s">
        <v>164</v>
      </c>
    </row>
    <row r="4" spans="1:2" x14ac:dyDescent="0.25">
      <c r="A4" s="20" t="s">
        <v>93</v>
      </c>
      <c r="B4" s="22">
        <v>534</v>
      </c>
    </row>
    <row r="5" spans="1:2" x14ac:dyDescent="0.25">
      <c r="A5" s="20" t="s">
        <v>94</v>
      </c>
      <c r="B5" s="21" t="s">
        <v>52</v>
      </c>
    </row>
    <row r="6" spans="1:2" x14ac:dyDescent="0.25">
      <c r="A6" s="23" t="s">
        <v>95</v>
      </c>
      <c r="B6" s="21" t="s">
        <v>195</v>
      </c>
    </row>
    <row r="7" spans="1:2" x14ac:dyDescent="0.25">
      <c r="A7" s="23" t="s">
        <v>171</v>
      </c>
      <c r="B7" s="21">
        <v>1</v>
      </c>
    </row>
    <row r="8" spans="1:2" x14ac:dyDescent="0.25">
      <c r="A8" s="92" t="s">
        <v>201</v>
      </c>
      <c r="B8" t="s">
        <v>202</v>
      </c>
    </row>
    <row r="9" spans="1:2" x14ac:dyDescent="0.25">
      <c r="A9" s="92" t="s">
        <v>203</v>
      </c>
      <c r="B9" s="92"/>
    </row>
    <row r="10" spans="1:2" x14ac:dyDescent="0.25">
      <c r="A10" s="27" t="s">
        <v>161</v>
      </c>
      <c r="B10" t="s">
        <v>204</v>
      </c>
    </row>
    <row r="11" spans="1:2" x14ac:dyDescent="0.25">
      <c r="A11" s="86" t="s">
        <v>158</v>
      </c>
      <c r="B11" t="s">
        <v>205</v>
      </c>
    </row>
    <row r="12" spans="1:2" x14ac:dyDescent="0.25">
      <c r="A12" s="85" t="s">
        <v>178</v>
      </c>
      <c r="B12" t="s">
        <v>206</v>
      </c>
    </row>
    <row r="13" spans="1:2" x14ac:dyDescent="0.25">
      <c r="A13" s="92" t="s">
        <v>203</v>
      </c>
      <c r="B13" s="9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2025-09-09T05:58:29Z</dcterms:modified>
</cp:coreProperties>
</file>