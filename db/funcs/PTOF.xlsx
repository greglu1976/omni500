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Settings!$Q$1:$Q$46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Y23" i="4" l="1"/>
  <c r="AY22" i="4"/>
  <c r="AY21" i="4"/>
  <c r="AY20" i="4"/>
  <c r="AY18" i="4"/>
  <c r="AY16" i="4"/>
  <c r="AY14" i="4"/>
  <c r="AY12" i="4"/>
  <c r="AY11" i="4"/>
  <c r="AY6" i="4"/>
  <c r="AY5" i="4"/>
  <c r="AY4" i="4"/>
  <c r="AY3" i="4"/>
  <c r="I44" i="5" l="1"/>
  <c r="I45" i="5"/>
  <c r="I46" i="5"/>
  <c r="I47" i="5"/>
  <c r="I48" i="5"/>
  <c r="I49" i="5"/>
  <c r="I50" i="5"/>
  <c r="I51" i="5"/>
  <c r="I52" i="5"/>
  <c r="I53" i="5"/>
  <c r="I54" i="5"/>
  <c r="I55" i="5"/>
  <c r="J44" i="5"/>
  <c r="J45" i="5"/>
  <c r="J46" i="5"/>
  <c r="J47" i="5"/>
  <c r="J48" i="5"/>
  <c r="J49" i="5"/>
  <c r="J50" i="5"/>
  <c r="J51" i="5"/>
  <c r="J52" i="5"/>
  <c r="J53" i="5"/>
  <c r="J54" i="5"/>
  <c r="J55" i="5"/>
  <c r="BG46" i="6" l="1"/>
  <c r="AV46" i="6"/>
  <c r="J46" i="6"/>
  <c r="I46" i="6"/>
  <c r="BG45" i="6"/>
  <c r="AV45" i="6"/>
  <c r="J45" i="6"/>
  <c r="I45" i="6"/>
  <c r="BG44" i="6"/>
  <c r="AV44" i="6"/>
  <c r="AP44" i="6"/>
  <c r="J44" i="6"/>
  <c r="I44" i="6"/>
  <c r="BG39" i="6"/>
  <c r="AV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J40" i="6"/>
  <c r="I40" i="6"/>
  <c r="BG36" i="6"/>
  <c r="AV36" i="6"/>
  <c r="J36" i="6"/>
  <c r="I36" i="6"/>
  <c r="BG35" i="6"/>
  <c r="AV35" i="6"/>
  <c r="J35" i="6"/>
  <c r="I35" i="6"/>
  <c r="BG34" i="6"/>
  <c r="AV34" i="6"/>
  <c r="J34" i="6"/>
  <c r="I34" i="6"/>
  <c r="BG33" i="6"/>
  <c r="AV33" i="6"/>
  <c r="AP33" i="6"/>
  <c r="J33" i="6"/>
  <c r="I33" i="6"/>
  <c r="BG28" i="6"/>
  <c r="AV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17" i="6"/>
  <c r="AV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4" i="6"/>
  <c r="AV14" i="6"/>
  <c r="J14" i="6"/>
  <c r="I14" i="6"/>
  <c r="AP5" i="6"/>
  <c r="BG11" i="6"/>
  <c r="AV11" i="6"/>
  <c r="AP11" i="6"/>
  <c r="J11" i="6"/>
  <c r="I11" i="6"/>
  <c r="BG10" i="6"/>
  <c r="AV10" i="6"/>
  <c r="J10" i="6"/>
  <c r="I10" i="6"/>
  <c r="BG53" i="5"/>
  <c r="AV53" i="5"/>
  <c r="AP53" i="5"/>
  <c r="BG52" i="5"/>
  <c r="AV52" i="5"/>
  <c r="AP52" i="5"/>
  <c r="BG51" i="5"/>
  <c r="AV51" i="5"/>
  <c r="AP51" i="5"/>
  <c r="BG50" i="5"/>
  <c r="AV50" i="5"/>
  <c r="AP50" i="5"/>
  <c r="BG49" i="5"/>
  <c r="AV49" i="5"/>
  <c r="AP49" i="5"/>
  <c r="BG48" i="5"/>
  <c r="AV48" i="5"/>
  <c r="AP48" i="5"/>
  <c r="AP46" i="5"/>
  <c r="AV46" i="5"/>
  <c r="BG46" i="5"/>
  <c r="AP47" i="5"/>
  <c r="AV47" i="5"/>
  <c r="BG47" i="5"/>
  <c r="BG43" i="5"/>
  <c r="J43" i="5"/>
  <c r="I43" i="5"/>
  <c r="BG42" i="5"/>
  <c r="AP42" i="5"/>
  <c r="J42" i="5"/>
  <c r="I42" i="5"/>
  <c r="BG41" i="5"/>
  <c r="J41" i="5"/>
  <c r="I41" i="5"/>
  <c r="BG40" i="5"/>
  <c r="AP40" i="5"/>
  <c r="J40" i="5"/>
  <c r="I40" i="5"/>
  <c r="BG39" i="5"/>
  <c r="AP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33" i="5"/>
  <c r="J33" i="5"/>
  <c r="I33" i="5"/>
  <c r="BG32" i="5"/>
  <c r="AP32" i="5"/>
  <c r="J32" i="5"/>
  <c r="I32" i="5"/>
  <c r="BG31" i="5"/>
  <c r="J31" i="5"/>
  <c r="I31" i="5"/>
  <c r="BG30" i="5"/>
  <c r="AP30" i="5"/>
  <c r="J30" i="5"/>
  <c r="I30" i="5"/>
  <c r="BG29" i="5"/>
  <c r="AP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AP22" i="5"/>
  <c r="J22" i="5"/>
  <c r="I22" i="5"/>
  <c r="BG21" i="5"/>
  <c r="J21" i="5"/>
  <c r="I21" i="5"/>
  <c r="BG20" i="5"/>
  <c r="AP20" i="5"/>
  <c r="J20" i="5"/>
  <c r="I20" i="5"/>
  <c r="BG19" i="5"/>
  <c r="AP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8" i="5"/>
  <c r="J8" i="5"/>
  <c r="I8" i="5"/>
  <c r="BG7" i="5"/>
  <c r="J7" i="5"/>
  <c r="I7" i="5"/>
  <c r="BH20" i="4"/>
  <c r="AW20" i="4"/>
  <c r="K20" i="4"/>
  <c r="J20" i="4"/>
  <c r="BH19" i="4"/>
  <c r="K19" i="4"/>
  <c r="J19" i="4"/>
  <c r="BH18" i="4"/>
  <c r="AW18" i="4"/>
  <c r="K18" i="4"/>
  <c r="J18" i="4"/>
  <c r="BH17" i="4"/>
  <c r="K17" i="4"/>
  <c r="J17" i="4"/>
  <c r="BH16" i="4"/>
  <c r="AW16" i="4"/>
  <c r="K16" i="4"/>
  <c r="J16" i="4"/>
  <c r="BH15" i="4"/>
  <c r="K15" i="4"/>
  <c r="J15" i="4"/>
  <c r="AP4" i="6" l="1"/>
  <c r="AV12" i="6"/>
  <c r="BG12" i="6"/>
  <c r="AP9" i="5"/>
  <c r="AP10" i="5"/>
  <c r="BG55" i="5"/>
  <c r="AV55" i="5"/>
  <c r="AP55" i="5"/>
  <c r="BG54" i="5"/>
  <c r="AV54" i="5"/>
  <c r="AP54" i="5"/>
  <c r="AP44" i="5"/>
  <c r="AV44" i="5"/>
  <c r="BG44" i="5"/>
  <c r="K3" i="4"/>
  <c r="BG13" i="6" l="1"/>
  <c r="AV13" i="6"/>
  <c r="J13" i="6"/>
  <c r="I13" i="6"/>
  <c r="J12" i="6"/>
  <c r="I12" i="6"/>
  <c r="BG6" i="6"/>
  <c r="AV6" i="6"/>
  <c r="J6" i="6"/>
  <c r="I6" i="6"/>
  <c r="BG5" i="6"/>
  <c r="AV5" i="6"/>
  <c r="J5" i="6"/>
  <c r="I5" i="6"/>
  <c r="BG4" i="6"/>
  <c r="AV4" i="6"/>
  <c r="J4" i="6"/>
  <c r="I4" i="6"/>
  <c r="BG9" i="6"/>
  <c r="AV9" i="6"/>
  <c r="J9" i="6"/>
  <c r="I9" i="6"/>
  <c r="BG8" i="6"/>
  <c r="AV8" i="6"/>
  <c r="J8" i="6"/>
  <c r="I8" i="6"/>
  <c r="BG7" i="6"/>
  <c r="AV7" i="6"/>
  <c r="J7" i="6"/>
  <c r="I7" i="6"/>
  <c r="AP45" i="5"/>
  <c r="AV45" i="5"/>
  <c r="BG45" i="5"/>
  <c r="BG12" i="5"/>
  <c r="J12" i="5"/>
  <c r="I12" i="5"/>
  <c r="BH14" i="4"/>
  <c r="AW14" i="4"/>
  <c r="K14" i="4"/>
  <c r="J14" i="4"/>
  <c r="BH13" i="4"/>
  <c r="K13" i="4"/>
  <c r="J13" i="4"/>
  <c r="BH12" i="4"/>
  <c r="AW12" i="4"/>
  <c r="K12" i="4"/>
  <c r="J12" i="4"/>
  <c r="BH11" i="4"/>
  <c r="AW11" i="4"/>
  <c r="K11" i="4"/>
  <c r="J11" i="4"/>
  <c r="BH10" i="4"/>
  <c r="K10" i="4"/>
  <c r="J10" i="4"/>
  <c r="BH9" i="4"/>
  <c r="K9" i="4"/>
  <c r="J9" i="4"/>
  <c r="BH8" i="4"/>
  <c r="K8" i="4"/>
  <c r="J8" i="4"/>
  <c r="K21" i="4"/>
  <c r="K22" i="4"/>
  <c r="K23" i="4"/>
  <c r="BH5" i="4" l="1"/>
  <c r="AW5" i="4"/>
  <c r="K5" i="4"/>
  <c r="J5" i="4"/>
  <c r="BH4" i="4"/>
  <c r="AW4" i="4"/>
  <c r="K4" i="4"/>
  <c r="J4" i="4"/>
  <c r="BH3" i="4"/>
  <c r="AW3" i="4"/>
  <c r="J3" i="4"/>
  <c r="AP12" i="5" l="1"/>
  <c r="BG5" i="5"/>
  <c r="J5" i="5"/>
  <c r="I5" i="5"/>
  <c r="BH6" i="4" l="1"/>
  <c r="AW6" i="4"/>
  <c r="K6" i="4"/>
  <c r="J6" i="4"/>
  <c r="BH7" i="4" l="1"/>
  <c r="K7" i="4"/>
  <c r="J7" i="4"/>
  <c r="BG11" i="5" l="1"/>
  <c r="BG10" i="5"/>
  <c r="BG9" i="5"/>
  <c r="BG6" i="5"/>
  <c r="BG3" i="6"/>
  <c r="AV3" i="6"/>
  <c r="J3" i="6"/>
  <c r="I3" i="6"/>
  <c r="AH1" i="6"/>
  <c r="J11" i="5"/>
  <c r="I11" i="5"/>
  <c r="J10" i="5"/>
  <c r="I10" i="5"/>
  <c r="J9" i="5"/>
  <c r="I9" i="5"/>
  <c r="J6" i="5"/>
  <c r="I6" i="5"/>
  <c r="BG4" i="5"/>
  <c r="J4" i="5"/>
  <c r="I4" i="5"/>
  <c r="BG3" i="5"/>
  <c r="J3" i="5"/>
  <c r="I3" i="5"/>
  <c r="AH1" i="5"/>
  <c r="BH23" i="4"/>
  <c r="AW23" i="4"/>
  <c r="J23" i="4"/>
  <c r="BH22" i="4"/>
  <c r="AW22" i="4"/>
  <c r="J22" i="4"/>
  <c r="BH21" i="4"/>
  <c r="AW21" i="4"/>
  <c r="AQ21" i="4"/>
  <c r="J21" i="4"/>
  <c r="AI1" i="4"/>
</calcChain>
</file>

<file path=xl/sharedStrings.xml><?xml version="1.0" encoding="utf-8"?>
<sst xmlns="http://schemas.openxmlformats.org/spreadsheetml/2006/main" count="2007" uniqueCount="393">
  <si>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</si>
  <si>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</si>
  <si>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</si>
  <si>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</si>
  <si>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</si>
  <si>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</si>
  <si>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</si>
  <si>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</si>
  <si>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</si>
  <si>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</si>
  <si>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</si>
  <si>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</si>
  <si>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</si>
  <si>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</si>
  <si>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</si>
  <si>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</si>
  <si>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</si>
  <si>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</si>
  <si>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</si>
  <si>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</si>
  <si>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</si>
  <si>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</si>
  <si>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</si>
  <si>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</si>
  <si>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</si>
  <si>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</si>
  <si>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</si>
  <si>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</si>
  <si>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</si>
  <si>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</si>
  <si>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</si>
  <si>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</si>
  <si>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</si>
  <si>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</si>
  <si>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</si>
  <si>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</si>
  <si>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</si>
  <si>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</si>
  <si>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</si>
  <si>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</si>
  <si>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</si>
  <si>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</si>
  <si>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</si>
  <si>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</si>
  <si>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</si>
  <si>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</si>
  <si>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</si>
  <si>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</si>
  <si>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</si>
  <si>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</si>
  <si>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</si>
  <si>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</si>
  <si>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</si>
  <si>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</si>
  <si>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</si>
  <si>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</si>
  <si>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</si>
  <si>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</si>
  <si>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</si>
  <si>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</si>
  <si>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</si>
  <si>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</si>
  <si>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</si>
  <si>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</si>
  <si>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</si>
  <si>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</si>
  <si>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</si>
  <si>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</si>
  <si>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</si>
  <si>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</si>
  <si>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</si>
  <si>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</si>
  <si>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</si>
  <si>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</si>
  <si>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</si>
  <si>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</si>
  <si>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</si>
  <si>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</si>
  <si>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</si>
  <si>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</si>
  <si>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</si>
  <si>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</si>
  <si>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</si>
  <si>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</si>
  <si>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</si>
  <si>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</si>
  <si>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</si>
  <si>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</si>
  <si>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</si>
  <si>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</si>
  <si>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</si>
  <si>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</si>
  <si>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</si>
  <si>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</si>
  <si>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</si>
  <si>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</si>
  <si>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</si>
  <si>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</si>
  <si>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</si>
  <si>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</si>
  <si>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</si>
  <si>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</si>
  <si>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</si>
  <si>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</si>
  <si>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</si>
  <si>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</si>
  <si>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</si>
  <si>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</si>
  <si>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</si>
  <si>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</si>
  <si>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</si>
  <si>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</si>
  <si>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</si>
  <si>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</si>
  <si>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</si>
  <si>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</si>
  <si>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</si>
  <si>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Действующее значение 1 гармоники напряжения Uab</t>
  </si>
  <si>
    <t>Uab (1 гарм)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</si>
  <si>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</si>
  <si>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</si>
  <si>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</si>
  <si>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</si>
  <si>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</si>
  <si>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Uca (1 гарм)</t>
  </si>
  <si>
    <t>magUca</t>
  </si>
  <si>
    <t>Частота</t>
  </si>
  <si>
    <t>F</t>
  </si>
  <si>
    <t>В</t>
  </si>
  <si>
    <t>Гц</t>
  </si>
  <si>
    <t>Срабатывание БНН</t>
  </si>
  <si>
    <t>БНН: Срабатывание</t>
  </si>
  <si>
    <t>BlkV</t>
  </si>
  <si>
    <t>Срабатывание</t>
  </si>
  <si>
    <t>JNTPTRC1_Beh</t>
  </si>
  <si>
    <t>JNTPTRC1_Health</t>
  </si>
  <si>
    <t>JNTPTRC1.Beh</t>
  </si>
  <si>
    <t>JNTPTRC1.Health</t>
  </si>
  <si>
    <t>JNTPTRC</t>
  </si>
  <si>
    <t>Напряжение срабатывания</t>
  </si>
  <si>
    <t>Uср</t>
  </si>
  <si>
    <t>Частота срабатывания</t>
  </si>
  <si>
    <t>SGF2</t>
  </si>
  <si>
    <t>SGF3</t>
  </si>
  <si>
    <t>SGF4</t>
  </si>
  <si>
    <t>U&lt;</t>
  </si>
  <si>
    <t>0.1</t>
  </si>
  <si>
    <t>0.01</t>
  </si>
  <si>
    <t>0.04</t>
  </si>
  <si>
    <t>Выдержка времени срабатывания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</si>
  <si>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</si>
  <si>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</si>
  <si>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</si>
  <si>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</si>
  <si>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</si>
  <si>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</si>
  <si>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</si>
  <si>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</si>
  <si>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</si>
  <si>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</si>
  <si>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</si>
  <si>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ИО U&lt;</t>
  </si>
  <si>
    <t>Динам. блок.</t>
  </si>
  <si>
    <t>Пуск</t>
  </si>
  <si>
    <t>Ubc (1 гарм)</t>
  </si>
  <si>
    <t>Оперативный вывод функции АОСЧ</t>
  </si>
  <si>
    <t>ОВ АОСЧ</t>
  </si>
  <si>
    <t>Пуск ИО снижения напряжения</t>
  </si>
  <si>
    <t>Контроль напряжения</t>
  </si>
  <si>
    <t>Контр_U</t>
  </si>
  <si>
    <t>Т2</t>
  </si>
  <si>
    <t>Т1</t>
  </si>
  <si>
    <t>dFвозвр</t>
  </si>
  <si>
    <t>Оперативный вывод функции ЧАПВ</t>
  </si>
  <si>
    <t>ОВ ЧАПВ</t>
  </si>
  <si>
    <t>PTOF_operOutFunction</t>
  </si>
  <si>
    <t>PTOF_operOut3Function</t>
  </si>
  <si>
    <t>ECAPTOF1_TrippingBlockSet</t>
  </si>
  <si>
    <t>ECAPTOF1_BlockPTOF</t>
  </si>
  <si>
    <t>Возврат АПВН</t>
  </si>
  <si>
    <t>Возврат ЧАПВ/АПВН</t>
  </si>
  <si>
    <t>ReturnAVR</t>
  </si>
  <si>
    <t>Срабатывание АЧР</t>
  </si>
  <si>
    <t>PTUFOp</t>
  </si>
  <si>
    <t>ECAPTOF2_TrippingBlockSet</t>
  </si>
  <si>
    <t>ECAPTOF2_BlockPTOF</t>
  </si>
  <si>
    <t>ECAPTOF3_TrippingBlockSet</t>
  </si>
  <si>
    <t>ECAPTOF3_BlockPTOF</t>
  </si>
  <si>
    <t>ECAPTOF4_TrippingBlockSet</t>
  </si>
  <si>
    <t>ECAPTOF4_BlockPTOF</t>
  </si>
  <si>
    <t>Блокировка ЧАПВ1</t>
  </si>
  <si>
    <t>Перевод ЧАПВ1 на сигнал</t>
  </si>
  <si>
    <t>ЧАПВ1 на сигн</t>
  </si>
  <si>
    <t>Перевод ЧАПВ2 на сигнал</t>
  </si>
  <si>
    <t>ЧАПВ2 на сигн</t>
  </si>
  <si>
    <t>Блокировка ЧАПВ2</t>
  </si>
  <si>
    <t>Перевод ЧАПВ3 на сигнал</t>
  </si>
  <si>
    <t>ЧАПВ3 на сигн</t>
  </si>
  <si>
    <t>Блокировка ЧАПВ3</t>
  </si>
  <si>
    <t>Перевод ЧАПВ4 на сигнал</t>
  </si>
  <si>
    <t>ЧАПВ4 на сигн</t>
  </si>
  <si>
    <t>Блокировка ЧАПВ4</t>
  </si>
  <si>
    <t>ECAPTOF1_FuncEnabled</t>
  </si>
  <si>
    <t>ECAPTOF1_FuncOperDisabled</t>
  </si>
  <si>
    <t>ECAPTOF1_DE_F</t>
  </si>
  <si>
    <t>ECAPTOF1_DE_U</t>
  </si>
  <si>
    <t>ECAPTOF1_DinBlock</t>
  </si>
  <si>
    <t>ECAPTOF1_Str</t>
  </si>
  <si>
    <t>ECAPTOF1_OpOnSignal</t>
  </si>
  <si>
    <t>ECAPTOF1_Op</t>
  </si>
  <si>
    <t>Пуск ИО увеличения частоты</t>
  </si>
  <si>
    <t>ИО F&gt;</t>
  </si>
  <si>
    <t>Блокировка от многократных включений</t>
  </si>
  <si>
    <t>ECAPTOF1_BlkMltpl</t>
  </si>
  <si>
    <t>Разрешение ЧАПВ</t>
  </si>
  <si>
    <t>Разрешение</t>
  </si>
  <si>
    <t>ECAPTOF1_Permission</t>
  </si>
  <si>
    <t>Динамическая блокировка ЧАПВ</t>
  </si>
  <si>
    <t>Блок. повт. ЧАПВ1</t>
  </si>
  <si>
    <t>ЧАПВ1</t>
  </si>
  <si>
    <t>ЧАПВ2</t>
  </si>
  <si>
    <t>ЧАПВ3</t>
  </si>
  <si>
    <t>ЧАПВ4</t>
  </si>
  <si>
    <t>ECAPTOF</t>
  </si>
  <si>
    <t>ECAPTOF1.Blk</t>
  </si>
  <si>
    <t>ECAPTOF1.Str</t>
  </si>
  <si>
    <t>ECAPTOF1.Op</t>
  </si>
  <si>
    <t>SPS</t>
  </si>
  <si>
    <t>Блок. повт. ЧАПВ2</t>
  </si>
  <si>
    <t>ECAPTOF2_FuncEnabled</t>
  </si>
  <si>
    <t>ECAPTOF2_FuncOperDisabled</t>
  </si>
  <si>
    <t>ECAPTOF2_DE_F</t>
  </si>
  <si>
    <t>ECAPTOF2_DE_U</t>
  </si>
  <si>
    <t>ECAPTOF2_BlkMltpl</t>
  </si>
  <si>
    <t>ECAPTOF2_Permission</t>
  </si>
  <si>
    <t>ECAPTOF2_DinBlock</t>
  </si>
  <si>
    <t>ECAPTOF2_Str</t>
  </si>
  <si>
    <t>ECAPTOF2_OpOnSignal</t>
  </si>
  <si>
    <t>ECAPTOF2_Op</t>
  </si>
  <si>
    <t>ECAPTOF2.Blk</t>
  </si>
  <si>
    <t>ECAPTOF2.Str</t>
  </si>
  <si>
    <t>ECAPTOF2.Op</t>
  </si>
  <si>
    <t>Блок. повт. ЧАПВ3</t>
  </si>
  <si>
    <t>ECAPTOF3_FuncEnabled</t>
  </si>
  <si>
    <t>ECAPTOF3_FuncOperDisabled</t>
  </si>
  <si>
    <t>ECAPTOF3_DE_F</t>
  </si>
  <si>
    <t>ECAPTOF3_DE_U</t>
  </si>
  <si>
    <t>ECAPTOF3_BlkMltpl</t>
  </si>
  <si>
    <t>ECAPTOF3_Permission</t>
  </si>
  <si>
    <t>ECAPTOF3_DinBlock</t>
  </si>
  <si>
    <t>ECAPTOF3_Str</t>
  </si>
  <si>
    <t>ECAPTOF3_OpOnSignal</t>
  </si>
  <si>
    <t>ECAPTOF3_Op</t>
  </si>
  <si>
    <t>ECAPTOF3.Blk</t>
  </si>
  <si>
    <t>ECAPTOF3.Str</t>
  </si>
  <si>
    <t>ECAPTOF3.Op</t>
  </si>
  <si>
    <t>Блок. повт. ЧАПВ4</t>
  </si>
  <si>
    <t>ECAPTOF4_FuncEnabled</t>
  </si>
  <si>
    <t>ECAPTOF4_FuncOperDisabled</t>
  </si>
  <si>
    <t>ECAPTOF4_DE_F</t>
  </si>
  <si>
    <t>ECAPTOF4_DE_U</t>
  </si>
  <si>
    <t>ECAPTOF4_BlkMltpl</t>
  </si>
  <si>
    <t>ECAPTOF4_Permission</t>
  </si>
  <si>
    <t>ECAPTOF4_DinBlock</t>
  </si>
  <si>
    <t>ECAPTOF4_Str</t>
  </si>
  <si>
    <t>ECAPTOF4_OpOnSignal</t>
  </si>
  <si>
    <t>ECAPTOF4_Op</t>
  </si>
  <si>
    <t>ECAPTOF4.Blk</t>
  </si>
  <si>
    <t>ECAPTOF4.Str</t>
  </si>
  <si>
    <t>ECAPTOF4.Op</t>
  </si>
  <si>
    <t>ЧАПВобщ</t>
  </si>
  <si>
    <t>Срабатывание ЧАПВобщ</t>
  </si>
  <si>
    <t>JNTPTRC1_PTOFOp</t>
  </si>
  <si>
    <t>Индикация поведения логического узла ЧАПВ1</t>
  </si>
  <si>
    <t>Индикация исправности логического узла ЧАПВ1</t>
  </si>
  <si>
    <t>ECAPTOF1_Beh</t>
  </si>
  <si>
    <t>ECAPTOF1_Health</t>
  </si>
  <si>
    <t>ECAPTOF1.Beh</t>
  </si>
  <si>
    <t>ECAPTOF1.Health</t>
  </si>
  <si>
    <t>ECAPTOF2_Beh</t>
  </si>
  <si>
    <t>ECAPTOF2_Health</t>
  </si>
  <si>
    <t>Индикация поведения логического узла ЧАПВ2</t>
  </si>
  <si>
    <t>Индикация исправности логического узла ЧАПВ2</t>
  </si>
  <si>
    <t>Индикация поведения логического узла ЧАПВ3</t>
  </si>
  <si>
    <t>Индикация исправности логического узла ЧАПВ3</t>
  </si>
  <si>
    <t>Индикация поведения логического узла ЧАПВ4</t>
  </si>
  <si>
    <t>Индикация исправности логического узла ЧАПВ4</t>
  </si>
  <si>
    <t>Индикация поведения логического узла ЧАПВобщ</t>
  </si>
  <si>
    <t>Индикация исправности логического узла ЧАПВобщ</t>
  </si>
  <si>
    <t>ECAPTOF3_Beh</t>
  </si>
  <si>
    <t>ECAPTOF3_Health</t>
  </si>
  <si>
    <t>ECAPTOF4_Beh</t>
  </si>
  <si>
    <t>ECAPTOF4_Health</t>
  </si>
  <si>
    <t>ECAPTOF2.Beh</t>
  </si>
  <si>
    <t>ECAPTOF2.Health</t>
  </si>
  <si>
    <t>ECAPTOF3.Beh</t>
  </si>
  <si>
    <t>ECAPTOF3.Health</t>
  </si>
  <si>
    <t>ECAPTOF4.Beh</t>
  </si>
  <si>
    <t>ECAPTOF4.Health</t>
  </si>
  <si>
    <t>ECAPTOF1_EnaDis</t>
  </si>
  <si>
    <t>ECAPTOF1_UCtrl</t>
  </si>
  <si>
    <t>ECAPTOF1_StrValF</t>
  </si>
  <si>
    <t>ECAPTOF1_dFret</t>
  </si>
  <si>
    <t>ECAPTOF1_StrValU</t>
  </si>
  <si>
    <t>ECAPTOF1_Top_sign</t>
  </si>
  <si>
    <t>Блокировка ЧАПВ от многократных включений</t>
  </si>
  <si>
    <t>Блок_повт_ЧАПВ</t>
  </si>
  <si>
    <t>ECAPTOF1_MltplCtrl</t>
  </si>
  <si>
    <t>Автоматический возврат схемы ЧАПВ</t>
  </si>
  <si>
    <t>Авт_возвр_ЧАПВ</t>
  </si>
  <si>
    <t>ECAPTOF1_ReturnCtrl</t>
  </si>
  <si>
    <t>Сброс сигнала разрешения ЧАПВ при длительном наличии сигнала срабатывания АЧР</t>
  </si>
  <si>
    <t>Сброс_ЧАПВ</t>
  </si>
  <si>
    <t>SGF5</t>
  </si>
  <si>
    <t>ECAPTOF1_ResetCtrl</t>
  </si>
  <si>
    <t>Fср</t>
  </si>
  <si>
    <t>F&gt;</t>
  </si>
  <si>
    <t>Выдержка времени автоматического сброса блокировки после повторного действия АЧР</t>
  </si>
  <si>
    <t>ECAPTOF1_Tauto_rst</t>
  </si>
  <si>
    <t>Выдержка времени сброса сигнала разрешения ЧАПВ при длительном наличии сигнала срабатывания АЧР</t>
  </si>
  <si>
    <t>Т3</t>
  </si>
  <si>
    <t>ECAPTOF1_Tres_perm</t>
  </si>
  <si>
    <t>Тср</t>
  </si>
  <si>
    <t>Твозвр</t>
  </si>
  <si>
    <t>Тсброс</t>
  </si>
  <si>
    <t>Уставка возврата ступени по частоте</t>
  </si>
  <si>
    <t>50.5</t>
  </si>
  <si>
    <t>ECAPTOF1.StrVal</t>
  </si>
  <si>
    <t>ECAPTOF1.OpDlTmms</t>
  </si>
  <si>
    <t>ECAPTOF1.RsVal</t>
  </si>
  <si>
    <t>ECAPTOF2_EnaDis</t>
  </si>
  <si>
    <t>ECAPTOF2_UCtrl</t>
  </si>
  <si>
    <t>ECAPTOF2_MltplCtrl</t>
  </si>
  <si>
    <t>ECAPTOF2_ReturnCtrl</t>
  </si>
  <si>
    <t>ECAPTOF2_ResetCtrl</t>
  </si>
  <si>
    <t>ECAPTOF2_StrValF</t>
  </si>
  <si>
    <t>ECAPTOF2_dFret</t>
  </si>
  <si>
    <t>ECAPTOF2_StrValU</t>
  </si>
  <si>
    <t>ECAPTOF2_Top_sign</t>
  </si>
  <si>
    <t>ECAPTOF2_Tauto_rst</t>
  </si>
  <si>
    <t>ECAPTOF2_Tres_perm</t>
  </si>
  <si>
    <t>ECAPTOF3_EnaDis</t>
  </si>
  <si>
    <t>ECAPTOF3_UCtrl</t>
  </si>
  <si>
    <t>ECAPTOF3_MltplCtrl</t>
  </si>
  <si>
    <t>ECAPTOF3_ReturnCtrl</t>
  </si>
  <si>
    <t>ECAPTOF3_ResetCtrl</t>
  </si>
  <si>
    <t>ECAPTOF3_StrValF</t>
  </si>
  <si>
    <t>ECAPTOF3_dFret</t>
  </si>
  <si>
    <t>ECAPTOF3_StrValU</t>
  </si>
  <si>
    <t>ECAPTOF3_Top_sign</t>
  </si>
  <si>
    <t>ECAPTOF3_Tauto_rst</t>
  </si>
  <si>
    <t>ECAPTOF3_Tres_perm</t>
  </si>
  <si>
    <t>ECAPTOF4_EnaDis</t>
  </si>
  <si>
    <t>ECAPTOF4_UCtrl</t>
  </si>
  <si>
    <t>ECAPTOF4_MltplCtrl</t>
  </si>
  <si>
    <t>ECAPTOF4_ReturnCtrl</t>
  </si>
  <si>
    <t>ECAPTOF4_ResetCtrl</t>
  </si>
  <si>
    <t>ECAPTOF4_StrValF</t>
  </si>
  <si>
    <t>ECAPTOF4_dFret</t>
  </si>
  <si>
    <t>ECAPTOF4_StrValU</t>
  </si>
  <si>
    <t>ECAPTOF4_Top_sign</t>
  </si>
  <si>
    <t>ECAPTOF4_Tauto_rst</t>
  </si>
  <si>
    <t>ECAPTOF4_Tres_perm</t>
  </si>
  <si>
    <t>ECAPTOF2.StrVal</t>
  </si>
  <si>
    <t>ECAPTOF2.RsVal</t>
  </si>
  <si>
    <t>ECAPTOF2.OpDlTmms</t>
  </si>
  <si>
    <t>ECAPTOF3.StrVal</t>
  </si>
  <si>
    <t>ECAPTOF3.RsVal</t>
  </si>
  <si>
    <t>ECAPTOF3.OpDlTmms</t>
  </si>
  <si>
    <t>ECAPTOF4.StrVal</t>
  </si>
  <si>
    <t>ECAPTOF4.RsVal</t>
  </si>
  <si>
    <t>ECAPTOF4.OpDlTmms</t>
  </si>
  <si>
    <t>ЧАПВ</t>
  </si>
  <si>
    <t>PTOF</t>
  </si>
  <si>
    <t>АЧРобщ:Срабатывание</t>
  </si>
  <si>
    <t>SG</t>
  </si>
  <si>
    <t>FbVersion</t>
  </si>
  <si>
    <t>DescriptionFB</t>
  </si>
  <si>
    <t>DescriptionFuncList</t>
  </si>
  <si>
    <t>Частотное автоматическое повторное включение</t>
  </si>
  <si>
    <t>Ступень 1 ЧАПВ</t>
  </si>
  <si>
    <t>Ступень 2 ЧАПВ</t>
  </si>
  <si>
    <t>Ступень 3 ЧАПВ</t>
  </si>
  <si>
    <t>Ступень 4 ЧАПВ</t>
  </si>
  <si>
    <t>Общие сигналы ЧАПВ</t>
  </si>
  <si>
    <t>status</t>
  </si>
  <si>
    <t>Logger</t>
  </si>
  <si>
    <t>Disturber</t>
  </si>
  <si>
    <t>StartDisturber</t>
  </si>
  <si>
    <t>control</t>
  </si>
  <si>
    <t>input</t>
  </si>
  <si>
    <t>reserved1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</si>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</sst>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5" borderId="2" xfId="0" applyFont="1" applyFill="1" applyBorder="1"/>
    <xf numFmtId="0" fontId="3" fillId="5" borderId="0" xfId="0" applyFont="1" applyFill="1"/>
    <xf numFmtId="0" fontId="3" fillId="0" borderId="2" xfId="0" applyFont="1" applyFill="1" applyBorder="1"/>
    <xf numFmtId="0" fontId="3" fillId="0" borderId="0" xfId="0" applyFont="1" applyFill="1"/>
    <xf numFmtId="0" fontId="3" fillId="6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7" borderId="0" xfId="0" applyFont="1" applyFill="1"/>
    <xf numFmtId="0" fontId="3" fillId="5" borderId="0" xfId="0" applyFont="1" applyFill="1" applyBorder="1"/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3"/>
  <sheetViews>
    <sheetView tabSelected="1" topLeftCell="AP1" zoomScale="80" zoomScaleNormal="80" workbookViewId="0">
      <selection activeCell="AX26" sqref="AX26"/>
    </sheetView>
  </sheetViews>
  <sheetFormatPr defaultColWidth="9.140625" defaultRowHeight="5.65" customHeight="1" outlineLevelCol="1" x14ac:dyDescent="0.25"/>
  <cols>
    <col min="1" max="1" width="4.140625" style="18" bestFit="1" customWidth="1"/>
    <col min="2" max="2" width="12.42578125" style="18" customWidth="1"/>
    <col min="3" max="3" width="19.140625" style="18" bestFit="1" customWidth="1"/>
    <col min="4" max="4" width="19.7109375" style="18" customWidth="1"/>
    <col min="5" max="5" width="17" style="18" bestFit="1" customWidth="1"/>
    <col min="6" max="6" width="52" style="19" customWidth="1"/>
    <col min="7" max="8" width="23.85546875" style="19" bestFit="1" customWidth="1" outlineLevel="1"/>
    <col min="9" max="9" width="33.140625" style="19" bestFit="1" customWidth="1" outlineLevel="1"/>
    <col min="10" max="10" width="7.28515625" style="19" bestFit="1" customWidth="1"/>
    <col min="11" max="11" width="35.140625" style="19" bestFit="1" customWidth="1"/>
    <col min="12" max="12" width="27.140625" style="19" bestFit="1" customWidth="1"/>
    <col min="13" max="13" width="9.42578125" style="19" customWidth="1"/>
    <col min="14" max="15" width="19" style="19" customWidth="1" outlineLevel="1"/>
    <col min="16" max="16" width="8.85546875" style="19" bestFit="1" customWidth="1" outlineLevel="1"/>
    <col min="17" max="18" width="19" style="19" customWidth="1" outlineLevel="1"/>
    <col min="19" max="19" width="8" style="20" customWidth="1" outlineLevel="1"/>
    <col min="20" max="20" width="9.5703125" style="21" customWidth="1" outlineLevel="1"/>
    <col min="21" max="21" width="12" style="21" customWidth="1" outlineLevel="1"/>
    <col min="22" max="22" width="7.140625" style="21" customWidth="1" outlineLevel="1"/>
    <col min="23" max="24" width="13.5703125" style="21" customWidth="1" outlineLevel="1"/>
    <col min="25" max="25" width="14.42578125" style="21" customWidth="1" outlineLevel="1"/>
    <col min="26" max="26" width="9.7109375" style="21" customWidth="1"/>
    <col min="27" max="27" width="12.7109375" style="18" customWidth="1"/>
    <col min="28" max="28" width="14.28515625" style="18" bestFit="1" customWidth="1"/>
    <col min="29" max="29" width="16.42578125" style="18" bestFit="1" customWidth="1"/>
    <col min="30" max="30" width="16.7109375" style="18" bestFit="1" customWidth="1"/>
    <col min="31" max="31" width="7.7109375" style="18" bestFit="1" customWidth="1"/>
    <col min="32" max="32" width="33" style="18" bestFit="1" customWidth="1"/>
    <col min="33" max="34" width="12.7109375" style="18" customWidth="1"/>
    <col min="35" max="35" width="9.28515625" style="18" bestFit="1" customWidth="1"/>
    <col min="36" max="36" width="15" style="18" bestFit="1" customWidth="1"/>
    <col min="37" max="37" width="22.85546875" style="19" customWidth="1"/>
    <col min="38" max="38" width="26" style="19" customWidth="1"/>
    <col min="39" max="39" width="21.28515625" style="19" customWidth="1"/>
    <col min="40" max="41" width="21.85546875" style="19" customWidth="1"/>
    <col min="42" max="42" width="11.28515625" style="19" customWidth="1"/>
    <col min="43" max="43" width="20.28515625" style="19" customWidth="1"/>
    <col min="44" max="44" width="17.28515625" style="19" customWidth="1"/>
    <col min="45" max="45" width="13.7109375" style="18" customWidth="1"/>
    <col min="46" max="46" width="15.85546875" style="18" customWidth="1"/>
    <col min="47" max="47" width="17.85546875" style="18" customWidth="1"/>
    <col min="48" max="48" width="9.140625" style="18" customWidth="1"/>
    <col min="49" max="49" width="14" style="18" customWidth="1"/>
    <col min="50" max="50" width="19.140625" style="18" customWidth="1"/>
    <col min="51" max="51" width="22.28515625" style="18" customWidth="1"/>
    <col min="52" max="52" width="2.5703125" style="21" customWidth="1"/>
    <col min="53" max="53" width="10.5703125" style="21" hidden="1" customWidth="1" outlineLevel="1"/>
    <col min="54" max="54" width="12.140625" style="21" hidden="1" customWidth="1" outlineLevel="1"/>
    <col min="55" max="55" width="13.28515625" style="58" hidden="1" customWidth="1" outlineLevel="1"/>
    <col min="56" max="56" width="13.28515625" style="21" hidden="1" customWidth="1" outlineLevel="1"/>
    <col min="57" max="57" width="13" style="58" hidden="1" customWidth="1" outlineLevel="1"/>
    <col min="58" max="58" width="11.140625" style="21" hidden="1" customWidth="1" outlineLevel="1"/>
    <col min="59" max="59" width="12.7109375" style="21" hidden="1" customWidth="1" outlineLevel="1"/>
    <col min="60" max="60" width="183" style="18" bestFit="1" customWidth="1" collapsed="1"/>
    <col min="61" max="16384" width="9.140625" style="18"/>
  </cols>
  <sheetData>
    <row r="1" spans="1:16380" ht="15.75" x14ac:dyDescent="0.25">
      <c r="F1" s="18"/>
      <c r="K1" s="19">
        <v>19</v>
      </c>
      <c r="AB1" s="22"/>
      <c r="AC1" s="22"/>
      <c r="AD1" s="22"/>
      <c r="AE1" s="22"/>
      <c r="AF1" s="22"/>
      <c r="AG1" s="23"/>
      <c r="AH1" s="23"/>
      <c r="AI1" s="22">
        <f>SUM(AB8:AB30)</f>
        <v>0</v>
      </c>
      <c r="AJ1" s="23"/>
      <c r="AK1" s="25"/>
      <c r="AL1" s="25"/>
      <c r="AM1" s="25"/>
      <c r="AN1" s="25"/>
      <c r="AO1" s="25"/>
      <c r="AP1" s="25"/>
      <c r="AQ1" s="25"/>
      <c r="AR1" s="25"/>
      <c r="AS1" s="23"/>
      <c r="AT1" s="23"/>
      <c r="AU1" s="23"/>
      <c r="AV1" s="23"/>
      <c r="AW1" s="23"/>
      <c r="AX1" s="23"/>
      <c r="AY1" s="23"/>
      <c r="AZ1" s="26"/>
      <c r="BA1" s="137" t="s">
        <v>0</v>
      </c>
      <c r="BB1" s="138"/>
      <c r="BC1" s="138"/>
      <c r="BD1" s="138"/>
      <c r="BE1" s="138"/>
      <c r="BF1" s="138"/>
      <c r="BG1" s="138"/>
    </row>
    <row r="2" spans="1:16380" s="34" customFormat="1" ht="54" customHeight="1" x14ac:dyDescent="0.25">
      <c r="A2" s="27" t="s">
        <v>1</v>
      </c>
      <c r="B2" s="133" t="s">
        <v>391</v>
      </c>
      <c r="C2" s="28" t="s">
        <v>2</v>
      </c>
      <c r="D2" s="29" t="s">
        <v>3</v>
      </c>
      <c r="E2" s="30" t="s">
        <v>4</v>
      </c>
      <c r="F2" s="27" t="s">
        <v>5</v>
      </c>
      <c r="G2" s="27" t="s">
        <v>100</v>
      </c>
      <c r="H2" s="27" t="s">
        <v>6</v>
      </c>
      <c r="I2" s="27" t="s">
        <v>7</v>
      </c>
      <c r="J2" s="27" t="s">
        <v>8</v>
      </c>
      <c r="K2" s="27" t="s">
        <v>101</v>
      </c>
      <c r="L2" s="31" t="s">
        <v>9</v>
      </c>
      <c r="M2" s="31" t="s">
        <v>10</v>
      </c>
      <c r="N2" s="31" t="s">
        <v>11</v>
      </c>
      <c r="O2" s="31" t="s">
        <v>12</v>
      </c>
      <c r="P2" s="31" t="s">
        <v>99</v>
      </c>
      <c r="Q2" s="31" t="s">
        <v>13</v>
      </c>
      <c r="R2" s="31" t="s">
        <v>14</v>
      </c>
      <c r="S2" s="31" t="s">
        <v>15</v>
      </c>
      <c r="T2" s="31" t="s">
        <v>16</v>
      </c>
      <c r="U2" s="31" t="s">
        <v>17</v>
      </c>
      <c r="V2" s="31" t="s">
        <v>74</v>
      </c>
      <c r="W2" s="31" t="s">
        <v>18</v>
      </c>
      <c r="X2" s="31" t="s">
        <v>19</v>
      </c>
      <c r="Y2" s="32" t="s">
        <v>20</v>
      </c>
      <c r="Z2" s="32" t="s">
        <v>21</v>
      </c>
      <c r="AA2" s="31" t="s">
        <v>22</v>
      </c>
      <c r="AB2" s="32" t="s">
        <v>23</v>
      </c>
      <c r="AC2" s="32" t="s">
        <v>95</v>
      </c>
      <c r="AD2" s="32" t="s">
        <v>96</v>
      </c>
      <c r="AE2" s="32" t="s">
        <v>97</v>
      </c>
      <c r="AF2" s="32" t="s">
        <v>98</v>
      </c>
      <c r="AG2" s="32" t="s">
        <v>24</v>
      </c>
      <c r="AH2" s="32" t="s">
        <v>25</v>
      </c>
      <c r="AI2" s="31" t="s">
        <v>26</v>
      </c>
      <c r="AJ2" s="64" t="s">
        <v>94</v>
      </c>
      <c r="AK2" s="27" t="s">
        <v>27</v>
      </c>
      <c r="AL2" s="27" t="s">
        <v>28</v>
      </c>
      <c r="AM2" s="27" t="s">
        <v>29</v>
      </c>
      <c r="AN2" s="27" t="s">
        <v>30</v>
      </c>
      <c r="AO2" s="27" t="s">
        <v>31</v>
      </c>
      <c r="AP2" s="27" t="s">
        <v>32</v>
      </c>
      <c r="AQ2" s="27" t="s">
        <v>33</v>
      </c>
      <c r="AR2" s="27" t="s">
        <v>34</v>
      </c>
      <c r="AS2" s="31" t="s">
        <v>35</v>
      </c>
      <c r="AT2" s="31" t="s">
        <v>36</v>
      </c>
      <c r="AU2" s="31" t="s">
        <v>37</v>
      </c>
      <c r="AV2" s="31" t="s">
        <v>38</v>
      </c>
      <c r="AW2" s="99" t="s">
        <v>386</v>
      </c>
      <c r="AX2" s="99" t="s">
        <v>387</v>
      </c>
      <c r="AY2" s="99" t="s">
        <v>388</v>
      </c>
      <c r="AZ2" s="32"/>
      <c r="BA2" s="31" t="s">
        <v>42</v>
      </c>
      <c r="BB2" s="31" t="s">
        <v>43</v>
      </c>
      <c r="BC2" s="33" t="s">
        <v>44</v>
      </c>
      <c r="BD2" s="31" t="s">
        <v>45</v>
      </c>
      <c r="BE2" s="33" t="s">
        <v>46</v>
      </c>
      <c r="BF2" s="31" t="s">
        <v>47</v>
      </c>
      <c r="BG2" s="31" t="s">
        <v>48</v>
      </c>
      <c r="BH2" s="32" t="s">
        <v>49</v>
      </c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  <c r="XEZ2" s="18"/>
    </row>
    <row r="3" spans="1:16380" s="2" customFormat="1" ht="16.5" customHeight="1" x14ac:dyDescent="0.25">
      <c r="A3" s="35"/>
      <c r="B3" s="135"/>
      <c r="C3" s="35" t="s">
        <v>50</v>
      </c>
      <c r="D3" s="36"/>
      <c r="E3" s="37"/>
      <c r="F3" s="38" t="s">
        <v>117</v>
      </c>
      <c r="G3" s="39" t="s">
        <v>118</v>
      </c>
      <c r="H3" s="39" t="s">
        <v>118</v>
      </c>
      <c r="I3" s="38"/>
      <c r="J3" s="38">
        <f t="shared" ref="J3:J5" si="0">LEN(G3)</f>
        <v>12</v>
      </c>
      <c r="K3" s="38" t="str">
        <f t="shared" ref="K3:K5" si="1">IF(LEN(G3)&lt;=$K$1,G3,"")</f>
        <v>Uab (1 гарм)</v>
      </c>
      <c r="L3" s="35" t="s">
        <v>119</v>
      </c>
      <c r="M3" s="40" t="s">
        <v>120</v>
      </c>
      <c r="N3" s="36" t="s">
        <v>51</v>
      </c>
      <c r="O3" s="36" t="s">
        <v>52</v>
      </c>
      <c r="P3" s="36"/>
      <c r="Q3" s="41"/>
      <c r="R3" s="41"/>
      <c r="S3" s="36" t="s">
        <v>128</v>
      </c>
      <c r="T3" s="36" t="s">
        <v>53</v>
      </c>
      <c r="U3" s="36" t="s">
        <v>53</v>
      </c>
      <c r="V3" s="36" t="s">
        <v>53</v>
      </c>
      <c r="W3" s="36"/>
      <c r="X3" s="36"/>
      <c r="Y3" s="36" t="s">
        <v>53</v>
      </c>
      <c r="Z3" s="36">
        <v>0</v>
      </c>
      <c r="AA3" s="43"/>
      <c r="AB3" s="44">
        <v>0</v>
      </c>
      <c r="AC3" s="44"/>
      <c r="AD3" s="44"/>
      <c r="AE3" s="44"/>
      <c r="AF3" s="44"/>
      <c r="AG3" s="44">
        <v>0</v>
      </c>
      <c r="AH3" s="44">
        <v>0</v>
      </c>
      <c r="AI3" s="44">
        <v>0</v>
      </c>
      <c r="AJ3" s="65"/>
      <c r="AK3" s="46"/>
      <c r="AL3" s="46"/>
      <c r="AM3" s="46"/>
      <c r="AN3" s="46"/>
      <c r="AO3" s="46"/>
      <c r="AP3" s="46"/>
      <c r="AQ3" s="46"/>
      <c r="AR3" s="46"/>
      <c r="AS3" s="44">
        <v>0</v>
      </c>
      <c r="AT3" s="44">
        <v>0</v>
      </c>
      <c r="AU3" s="44">
        <v>0</v>
      </c>
      <c r="AV3" s="44">
        <v>0</v>
      </c>
      <c r="AW3" s="44">
        <f t="shared" ref="AW3:AW5" si="2">BIN2DEC(CONCATENATE(0,0,0,0,AS3,AT3,AU3,AV3))</f>
        <v>0</v>
      </c>
      <c r="AX3" s="44">
        <v>0</v>
      </c>
      <c r="AY3" s="44">
        <f t="shared" ref="AY3:AY6" si="3">BIN2DEC(CONCATENATE(0,0,0,0,AU3,AV3,AW3,AX3))</f>
        <v>0</v>
      </c>
      <c r="AZ3" s="44"/>
      <c r="BA3" s="41"/>
      <c r="BB3" s="44"/>
      <c r="BC3" s="44"/>
      <c r="BD3" s="45"/>
      <c r="BE3" s="44"/>
      <c r="BF3" s="47"/>
      <c r="BG3" s="44"/>
      <c r="BH3" s="48" t="str">
        <f t="shared" ref="BH3:BH5" si="4">CONCATENATE("description: """,G3,"""", ", ", "note: """,F3,"""",", ","group: """, C3, """",", ","minValue: ", T3,", ","maxValue: ", U3,", ","step: ", V3,", ","units: """, S3, """",", ","defaultValue: ", Y3,", ","eventRegistration: ", Z3,)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I3" s="49"/>
    </row>
    <row r="4" spans="1:16380" s="2" customFormat="1" ht="15.75" x14ac:dyDescent="0.25">
      <c r="A4" s="35"/>
      <c r="B4" s="135"/>
      <c r="C4" s="35" t="s">
        <v>50</v>
      </c>
      <c r="D4" s="36"/>
      <c r="E4" s="37"/>
      <c r="F4" s="38" t="s">
        <v>121</v>
      </c>
      <c r="G4" s="39" t="s">
        <v>164</v>
      </c>
      <c r="H4" s="39" t="s">
        <v>164</v>
      </c>
      <c r="I4" s="38"/>
      <c r="J4" s="38">
        <f t="shared" si="0"/>
        <v>12</v>
      </c>
      <c r="K4" s="38" t="str">
        <f t="shared" si="1"/>
        <v>Ubc (1 гарм)</v>
      </c>
      <c r="L4" s="35" t="s">
        <v>122</v>
      </c>
      <c r="M4" s="40" t="s">
        <v>120</v>
      </c>
      <c r="N4" s="36" t="s">
        <v>51</v>
      </c>
      <c r="O4" s="36" t="s">
        <v>52</v>
      </c>
      <c r="P4" s="36"/>
      <c r="Q4" s="41"/>
      <c r="R4" s="41"/>
      <c r="S4" s="36" t="s">
        <v>128</v>
      </c>
      <c r="T4" s="36" t="s">
        <v>53</v>
      </c>
      <c r="U4" s="36" t="s">
        <v>53</v>
      </c>
      <c r="V4" s="36" t="s">
        <v>53</v>
      </c>
      <c r="W4" s="36"/>
      <c r="X4" s="36"/>
      <c r="Y4" s="36" t="s">
        <v>53</v>
      </c>
      <c r="Z4" s="36">
        <v>0</v>
      </c>
      <c r="AA4" s="43"/>
      <c r="AB4" s="44">
        <v>0</v>
      </c>
      <c r="AC4" s="44"/>
      <c r="AD4" s="44"/>
      <c r="AE4" s="44"/>
      <c r="AF4" s="44"/>
      <c r="AG4" s="44">
        <v>0</v>
      </c>
      <c r="AH4" s="44">
        <v>0</v>
      </c>
      <c r="AI4" s="44">
        <v>0</v>
      </c>
      <c r="AJ4" s="65"/>
      <c r="AK4" s="46"/>
      <c r="AL4" s="46"/>
      <c r="AM4" s="46"/>
      <c r="AN4" s="46"/>
      <c r="AO4" s="46"/>
      <c r="AP4" s="46"/>
      <c r="AQ4" s="46"/>
      <c r="AR4" s="46"/>
      <c r="AS4" s="44">
        <v>0</v>
      </c>
      <c r="AT4" s="44">
        <v>0</v>
      </c>
      <c r="AU4" s="44">
        <v>0</v>
      </c>
      <c r="AV4" s="44">
        <v>0</v>
      </c>
      <c r="AW4" s="44">
        <f t="shared" si="2"/>
        <v>0</v>
      </c>
      <c r="AX4" s="44">
        <v>0</v>
      </c>
      <c r="AY4" s="44">
        <f t="shared" si="3"/>
        <v>0</v>
      </c>
      <c r="AZ4" s="44"/>
      <c r="BA4" s="41"/>
      <c r="BB4" s="44"/>
      <c r="BC4" s="44"/>
      <c r="BD4" s="45"/>
      <c r="BE4" s="44"/>
      <c r="BF4" s="47"/>
      <c r="BG4" s="44"/>
      <c r="BH4" s="4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I4" s="49"/>
    </row>
    <row r="5" spans="1:16380" s="2" customFormat="1" ht="15.75" x14ac:dyDescent="0.25">
      <c r="A5" s="35"/>
      <c r="B5" s="135"/>
      <c r="C5" s="35" t="s">
        <v>50</v>
      </c>
      <c r="D5" s="36"/>
      <c r="E5" s="37"/>
      <c r="F5" s="38" t="s">
        <v>123</v>
      </c>
      <c r="G5" s="39" t="s">
        <v>124</v>
      </c>
      <c r="H5" s="39" t="s">
        <v>124</v>
      </c>
      <c r="I5" s="38"/>
      <c r="J5" s="38">
        <f t="shared" si="0"/>
        <v>12</v>
      </c>
      <c r="K5" s="38" t="str">
        <f t="shared" si="1"/>
        <v>Uca (1 гарм)</v>
      </c>
      <c r="L5" s="35" t="s">
        <v>125</v>
      </c>
      <c r="M5" s="40" t="s">
        <v>120</v>
      </c>
      <c r="N5" s="36" t="s">
        <v>51</v>
      </c>
      <c r="O5" s="36" t="s">
        <v>52</v>
      </c>
      <c r="P5" s="36"/>
      <c r="Q5" s="41"/>
      <c r="R5" s="41"/>
      <c r="S5" s="36" t="s">
        <v>128</v>
      </c>
      <c r="T5" s="36" t="s">
        <v>53</v>
      </c>
      <c r="U5" s="36" t="s">
        <v>53</v>
      </c>
      <c r="V5" s="36" t="s">
        <v>53</v>
      </c>
      <c r="W5" s="36"/>
      <c r="X5" s="36"/>
      <c r="Y5" s="36" t="s">
        <v>53</v>
      </c>
      <c r="Z5" s="36">
        <v>0</v>
      </c>
      <c r="AA5" s="43"/>
      <c r="AB5" s="44">
        <v>0</v>
      </c>
      <c r="AC5" s="44"/>
      <c r="AD5" s="44"/>
      <c r="AE5" s="44"/>
      <c r="AF5" s="44"/>
      <c r="AG5" s="44">
        <v>0</v>
      </c>
      <c r="AH5" s="44">
        <v>0</v>
      </c>
      <c r="AI5" s="44">
        <v>0</v>
      </c>
      <c r="AJ5" s="65"/>
      <c r="AK5" s="46"/>
      <c r="AL5" s="46"/>
      <c r="AM5" s="46"/>
      <c r="AN5" s="46"/>
      <c r="AO5" s="46"/>
      <c r="AP5" s="46"/>
      <c r="AQ5" s="46"/>
      <c r="AR5" s="46"/>
      <c r="AS5" s="44">
        <v>0</v>
      </c>
      <c r="AT5" s="44">
        <v>0</v>
      </c>
      <c r="AU5" s="44">
        <v>0</v>
      </c>
      <c r="AV5" s="44">
        <v>0</v>
      </c>
      <c r="AW5" s="44">
        <f t="shared" si="2"/>
        <v>0</v>
      </c>
      <c r="AX5" s="44">
        <v>0</v>
      </c>
      <c r="AY5" s="44">
        <f t="shared" si="3"/>
        <v>0</v>
      </c>
      <c r="AZ5" s="44"/>
      <c r="BA5" s="41"/>
      <c r="BB5" s="44"/>
      <c r="BC5" s="44"/>
      <c r="BD5" s="45"/>
      <c r="BE5" s="44"/>
      <c r="BF5" s="47"/>
      <c r="BG5" s="44"/>
      <c r="BH5" s="4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I5" s="49"/>
    </row>
    <row r="6" spans="1:16380" s="2" customFormat="1" ht="15.75" x14ac:dyDescent="0.25">
      <c r="A6" s="35"/>
      <c r="B6" s="135"/>
      <c r="C6" s="35" t="s">
        <v>50</v>
      </c>
      <c r="D6" s="36"/>
      <c r="E6" s="37"/>
      <c r="F6" s="38" t="s">
        <v>126</v>
      </c>
      <c r="G6" s="39" t="s">
        <v>127</v>
      </c>
      <c r="H6" s="39" t="s">
        <v>127</v>
      </c>
      <c r="I6" s="38"/>
      <c r="J6" s="38">
        <f t="shared" ref="J6:J7" si="5">LEN(G6)</f>
        <v>1</v>
      </c>
      <c r="K6" s="38" t="str">
        <f t="shared" ref="K6:K7" si="6">IF(LEN(G6)&lt;=$K$1,G6,"")</f>
        <v>F</v>
      </c>
      <c r="L6" s="35" t="s">
        <v>127</v>
      </c>
      <c r="M6" s="40" t="s">
        <v>120</v>
      </c>
      <c r="N6" s="36" t="s">
        <v>51</v>
      </c>
      <c r="O6" s="36" t="s">
        <v>52</v>
      </c>
      <c r="P6" s="36"/>
      <c r="Q6" s="41"/>
      <c r="R6" s="41"/>
      <c r="S6" s="36" t="s">
        <v>129</v>
      </c>
      <c r="T6" s="36" t="s">
        <v>53</v>
      </c>
      <c r="U6" s="36" t="s">
        <v>53</v>
      </c>
      <c r="V6" s="36" t="s">
        <v>53</v>
      </c>
      <c r="W6" s="36"/>
      <c r="X6" s="36"/>
      <c r="Y6" s="36" t="s">
        <v>53</v>
      </c>
      <c r="Z6" s="36">
        <v>0</v>
      </c>
      <c r="AA6" s="43"/>
      <c r="AB6" s="44">
        <v>0</v>
      </c>
      <c r="AC6" s="44"/>
      <c r="AD6" s="44"/>
      <c r="AE6" s="44"/>
      <c r="AF6" s="44"/>
      <c r="AG6" s="44">
        <v>0</v>
      </c>
      <c r="AH6" s="44">
        <v>0</v>
      </c>
      <c r="AI6" s="44">
        <v>0</v>
      </c>
      <c r="AJ6" s="65"/>
      <c r="AK6" s="46"/>
      <c r="AL6" s="46"/>
      <c r="AM6" s="46"/>
      <c r="AN6" s="46"/>
      <c r="AO6" s="46"/>
      <c r="AP6" s="46"/>
      <c r="AQ6" s="46"/>
      <c r="AR6" s="46"/>
      <c r="AS6" s="44">
        <v>0</v>
      </c>
      <c r="AT6" s="44">
        <v>0</v>
      </c>
      <c r="AU6" s="44">
        <v>0</v>
      </c>
      <c r="AV6" s="44">
        <v>0</v>
      </c>
      <c r="AW6" s="44">
        <f t="shared" ref="AW6" si="7">BIN2DEC(CONCATENATE(0,0,0,0,AS6,AT6,AU6,AV6))</f>
        <v>0</v>
      </c>
      <c r="AX6" s="44">
        <v>0</v>
      </c>
      <c r="AY6" s="44">
        <f t="shared" si="3"/>
        <v>0</v>
      </c>
      <c r="AZ6" s="44"/>
      <c r="BA6" s="41"/>
      <c r="BB6" s="44"/>
      <c r="BC6" s="44"/>
      <c r="BD6" s="45"/>
      <c r="BE6" s="44"/>
      <c r="BF6" s="47"/>
      <c r="BG6" s="44"/>
      <c r="BH6" s="48" t="str">
        <f t="shared" ref="BH6:BH7" si="8">CONCATENATE("description: """,G6,"""", ", ", "note: """,F6,"""",", ","group: """, C6, """",", ","minValue: ", T6,", ","maxValue: ", U6,", ","step: ", V6,", ","units: """, S6, """",", ","defaultValue: ", Y6,", ","eventRegistration: ", Z6,)</f>
        <v>description: "F", note: "Частота", group: "measurement", minValue: null, maxValue: null, step: null, units: "Гц", defaultValue: null, eventRegistration: 0</v>
      </c>
      <c r="BI6" s="49"/>
    </row>
    <row r="7" spans="1:16380" s="116" customFormat="1" ht="16.5" customHeight="1" x14ac:dyDescent="0.25">
      <c r="A7" s="100"/>
      <c r="B7" s="135"/>
      <c r="C7" s="100" t="s">
        <v>389</v>
      </c>
      <c r="D7" s="102"/>
      <c r="E7" s="103"/>
      <c r="F7" s="104" t="s">
        <v>104</v>
      </c>
      <c r="G7" s="105" t="s">
        <v>104</v>
      </c>
      <c r="H7" s="105" t="s">
        <v>104</v>
      </c>
      <c r="I7" s="104"/>
      <c r="J7" s="104">
        <f t="shared" si="5"/>
        <v>15</v>
      </c>
      <c r="K7" s="104" t="str">
        <f t="shared" si="6"/>
        <v>Вывод терминала</v>
      </c>
      <c r="L7" s="100" t="s">
        <v>105</v>
      </c>
      <c r="M7" s="106" t="s">
        <v>54</v>
      </c>
      <c r="N7" s="102" t="s">
        <v>51</v>
      </c>
      <c r="O7" s="102" t="s">
        <v>52</v>
      </c>
      <c r="P7" s="102"/>
      <c r="Q7" s="107"/>
      <c r="R7" s="107"/>
      <c r="S7" s="102" t="s">
        <v>53</v>
      </c>
      <c r="T7" s="102" t="s">
        <v>53</v>
      </c>
      <c r="U7" s="102" t="s">
        <v>53</v>
      </c>
      <c r="V7" s="102" t="s">
        <v>53</v>
      </c>
      <c r="W7" s="102"/>
      <c r="X7" s="102"/>
      <c r="Y7" s="102" t="s">
        <v>53</v>
      </c>
      <c r="Z7" s="102">
        <v>0</v>
      </c>
      <c r="AA7" s="108"/>
      <c r="AB7" s="109">
        <v>0</v>
      </c>
      <c r="AC7" s="109"/>
      <c r="AD7" s="109"/>
      <c r="AE7" s="109"/>
      <c r="AF7" s="109"/>
      <c r="AG7" s="109">
        <v>0</v>
      </c>
      <c r="AH7" s="109">
        <v>0</v>
      </c>
      <c r="AI7" s="109">
        <v>0</v>
      </c>
      <c r="AJ7" s="110"/>
      <c r="AK7" s="111"/>
      <c r="AL7" s="111"/>
      <c r="AM7" s="111"/>
      <c r="AN7" s="111"/>
      <c r="AO7" s="111"/>
      <c r="AP7" s="111"/>
      <c r="AQ7" s="111"/>
      <c r="AR7" s="111"/>
      <c r="AS7" s="109">
        <v>0</v>
      </c>
      <c r="AT7" s="109">
        <v>0</v>
      </c>
      <c r="AU7" s="132">
        <v>1</v>
      </c>
      <c r="AV7" s="44">
        <v>0</v>
      </c>
      <c r="AW7" s="132">
        <v>1</v>
      </c>
      <c r="AX7" s="132">
        <v>1</v>
      </c>
      <c r="AY7" s="132">
        <v>1</v>
      </c>
      <c r="AZ7" s="109"/>
      <c r="BA7" s="107"/>
      <c r="BB7" s="109"/>
      <c r="BC7" s="109"/>
      <c r="BD7" s="112"/>
      <c r="BE7" s="109"/>
      <c r="BF7" s="113"/>
      <c r="BG7" s="109"/>
      <c r="BH7" s="114" t="str">
        <f t="shared" si="8"/>
        <v>description: "Вывод терминала", note: "Вывод терминала", group: "control", minValue: null, maxValue: null, step: null, units: "null", defaultValue: null, eventRegistration: 0</v>
      </c>
      <c r="BI7" s="115"/>
    </row>
    <row r="8" spans="1:16380" s="116" customFormat="1" ht="16.5" customHeight="1" x14ac:dyDescent="0.25">
      <c r="A8" s="100"/>
      <c r="B8" s="135"/>
      <c r="C8" s="100" t="s">
        <v>389</v>
      </c>
      <c r="D8" s="102"/>
      <c r="E8" s="103"/>
      <c r="F8" s="104" t="s">
        <v>165</v>
      </c>
      <c r="G8" s="105" t="s">
        <v>166</v>
      </c>
      <c r="H8" s="105" t="s">
        <v>166</v>
      </c>
      <c r="I8" s="104"/>
      <c r="J8" s="104">
        <f t="shared" ref="J8:J10" si="9">LEN(G8)</f>
        <v>7</v>
      </c>
      <c r="K8" s="104" t="str">
        <f t="shared" ref="K8:K10" si="10">IF(LEN(G8)&lt;=$K$1,G8,"")</f>
        <v>ОВ АОСЧ</v>
      </c>
      <c r="L8" s="100" t="s">
        <v>175</v>
      </c>
      <c r="M8" s="106" t="s">
        <v>54</v>
      </c>
      <c r="N8" s="102" t="s">
        <v>51</v>
      </c>
      <c r="O8" s="102" t="s">
        <v>52</v>
      </c>
      <c r="P8" s="102"/>
      <c r="Q8" s="107"/>
      <c r="R8" s="107"/>
      <c r="S8" s="102" t="s">
        <v>53</v>
      </c>
      <c r="T8" s="102" t="s">
        <v>53</v>
      </c>
      <c r="U8" s="102" t="s">
        <v>53</v>
      </c>
      <c r="V8" s="102" t="s">
        <v>53</v>
      </c>
      <c r="W8" s="102"/>
      <c r="X8" s="102"/>
      <c r="Y8" s="102" t="s">
        <v>53</v>
      </c>
      <c r="Z8" s="102">
        <v>0</v>
      </c>
      <c r="AA8" s="108"/>
      <c r="AB8" s="109">
        <v>0</v>
      </c>
      <c r="AC8" s="109"/>
      <c r="AD8" s="109"/>
      <c r="AE8" s="109"/>
      <c r="AF8" s="109"/>
      <c r="AG8" s="109">
        <v>0</v>
      </c>
      <c r="AH8" s="109">
        <v>0</v>
      </c>
      <c r="AI8" s="109">
        <v>0</v>
      </c>
      <c r="AJ8" s="110"/>
      <c r="AK8" s="111"/>
      <c r="AL8" s="111"/>
      <c r="AM8" s="111"/>
      <c r="AN8" s="111"/>
      <c r="AO8" s="111"/>
      <c r="AP8" s="111"/>
      <c r="AQ8" s="111"/>
      <c r="AR8" s="111"/>
      <c r="AS8" s="109">
        <v>0</v>
      </c>
      <c r="AT8" s="109">
        <v>0</v>
      </c>
      <c r="AU8" s="132">
        <v>1</v>
      </c>
      <c r="AV8" s="44">
        <v>0</v>
      </c>
      <c r="AW8" s="132">
        <v>1</v>
      </c>
      <c r="AX8" s="132">
        <v>1</v>
      </c>
      <c r="AY8" s="132">
        <v>1</v>
      </c>
      <c r="AZ8" s="109"/>
      <c r="BA8" s="107"/>
      <c r="BB8" s="109"/>
      <c r="BC8" s="109"/>
      <c r="BD8" s="112"/>
      <c r="BE8" s="109"/>
      <c r="BF8" s="113"/>
      <c r="BG8" s="109"/>
      <c r="BH8" s="114" t="str">
        <f t="shared" ref="BH8:BH10" si="11">CONCATENATE("description: """,G8,"""", ", ", "note: """,F8,"""",", ","group: """, C8, """",", ","minValue: ", T8,", ","maxValue: ", U8,", ","step: ", V8,", ","units: """, S8, """",", ","defaultValue: ", Y8,", ","eventRegistration: ", Z8,)</f>
        <v>description: "ОВ АОСЧ", note: "Оперативный вывод функции АОСЧ", group: "control", minValue: null, maxValue: null, step: null, units: "null", defaultValue: null, eventRegistration: 0</v>
      </c>
      <c r="BI8" s="115"/>
    </row>
    <row r="9" spans="1:16380" s="116" customFormat="1" ht="16.5" customHeight="1" x14ac:dyDescent="0.25">
      <c r="A9" s="100"/>
      <c r="B9" s="135"/>
      <c r="C9" s="100" t="s">
        <v>389</v>
      </c>
      <c r="D9" s="102"/>
      <c r="E9" s="103"/>
      <c r="F9" s="104" t="s">
        <v>173</v>
      </c>
      <c r="G9" s="105" t="s">
        <v>174</v>
      </c>
      <c r="H9" s="105" t="s">
        <v>174</v>
      </c>
      <c r="I9" s="104"/>
      <c r="J9" s="104">
        <f t="shared" si="9"/>
        <v>7</v>
      </c>
      <c r="K9" s="104" t="str">
        <f t="shared" si="10"/>
        <v>ОВ ЧАПВ</v>
      </c>
      <c r="L9" s="100" t="s">
        <v>176</v>
      </c>
      <c r="M9" s="106" t="s">
        <v>54</v>
      </c>
      <c r="N9" s="102" t="s">
        <v>51</v>
      </c>
      <c r="O9" s="102" t="s">
        <v>52</v>
      </c>
      <c r="P9" s="102"/>
      <c r="Q9" s="107"/>
      <c r="R9" s="107"/>
      <c r="S9" s="102" t="s">
        <v>53</v>
      </c>
      <c r="T9" s="102" t="s">
        <v>53</v>
      </c>
      <c r="U9" s="102" t="s">
        <v>53</v>
      </c>
      <c r="V9" s="102" t="s">
        <v>53</v>
      </c>
      <c r="W9" s="102"/>
      <c r="X9" s="102"/>
      <c r="Y9" s="102" t="s">
        <v>53</v>
      </c>
      <c r="Z9" s="102">
        <v>0</v>
      </c>
      <c r="AA9" s="108"/>
      <c r="AB9" s="109">
        <v>0</v>
      </c>
      <c r="AC9" s="109"/>
      <c r="AD9" s="109"/>
      <c r="AE9" s="109"/>
      <c r="AF9" s="109"/>
      <c r="AG9" s="109">
        <v>0</v>
      </c>
      <c r="AH9" s="109">
        <v>0</v>
      </c>
      <c r="AI9" s="109">
        <v>0</v>
      </c>
      <c r="AJ9" s="110"/>
      <c r="AK9" s="111"/>
      <c r="AL9" s="111"/>
      <c r="AM9" s="111"/>
      <c r="AN9" s="111"/>
      <c r="AO9" s="111"/>
      <c r="AP9" s="111"/>
      <c r="AQ9" s="111"/>
      <c r="AR9" s="111"/>
      <c r="AS9" s="109">
        <v>0</v>
      </c>
      <c r="AT9" s="109">
        <v>0</v>
      </c>
      <c r="AU9" s="132">
        <v>1</v>
      </c>
      <c r="AV9" s="44">
        <v>0</v>
      </c>
      <c r="AW9" s="132">
        <v>1</v>
      </c>
      <c r="AX9" s="132">
        <v>1</v>
      </c>
      <c r="AY9" s="132">
        <v>1</v>
      </c>
      <c r="AZ9" s="109"/>
      <c r="BA9" s="107"/>
      <c r="BB9" s="109"/>
      <c r="BC9" s="109"/>
      <c r="BD9" s="112"/>
      <c r="BE9" s="109"/>
      <c r="BF9" s="113"/>
      <c r="BG9" s="109"/>
      <c r="BH9" s="114" t="str">
        <f t="shared" si="11"/>
        <v>description: "ОВ ЧАПВ", note: "Оперативный вывод функции ЧАПВ", group: "control", minValue: null, maxValue: null, step: null, units: "null", defaultValue: null, eventRegistration: 0</v>
      </c>
      <c r="BI9" s="115"/>
    </row>
    <row r="10" spans="1:16380" s="116" customFormat="1" ht="16.5" customHeight="1" x14ac:dyDescent="0.25">
      <c r="A10" s="100"/>
      <c r="B10" s="135"/>
      <c r="C10" s="100" t="s">
        <v>389</v>
      </c>
      <c r="D10" s="102"/>
      <c r="E10" s="103" t="s">
        <v>219</v>
      </c>
      <c r="F10" s="104" t="s">
        <v>191</v>
      </c>
      <c r="G10" s="105" t="s">
        <v>192</v>
      </c>
      <c r="H10" s="105" t="s">
        <v>192</v>
      </c>
      <c r="I10" s="104"/>
      <c r="J10" s="104">
        <f t="shared" si="9"/>
        <v>13</v>
      </c>
      <c r="K10" s="104" t="str">
        <f t="shared" si="10"/>
        <v>ЧАПВ1 на сигн</v>
      </c>
      <c r="L10" s="100" t="s">
        <v>177</v>
      </c>
      <c r="M10" s="106" t="s">
        <v>54</v>
      </c>
      <c r="N10" s="102" t="s">
        <v>51</v>
      </c>
      <c r="O10" s="102" t="s">
        <v>52</v>
      </c>
      <c r="P10" s="102"/>
      <c r="Q10" s="107"/>
      <c r="R10" s="107"/>
      <c r="S10" s="102" t="s">
        <v>53</v>
      </c>
      <c r="T10" s="102" t="s">
        <v>53</v>
      </c>
      <c r="U10" s="102" t="s">
        <v>53</v>
      </c>
      <c r="V10" s="102" t="s">
        <v>53</v>
      </c>
      <c r="W10" s="102"/>
      <c r="X10" s="102"/>
      <c r="Y10" s="102" t="s">
        <v>53</v>
      </c>
      <c r="Z10" s="102">
        <v>0</v>
      </c>
      <c r="AA10" s="108"/>
      <c r="AB10" s="109">
        <v>0</v>
      </c>
      <c r="AC10" s="109"/>
      <c r="AD10" s="109"/>
      <c r="AE10" s="109"/>
      <c r="AF10" s="109"/>
      <c r="AG10" s="109">
        <v>0</v>
      </c>
      <c r="AH10" s="109">
        <v>0</v>
      </c>
      <c r="AI10" s="109">
        <v>0</v>
      </c>
      <c r="AJ10" s="110"/>
      <c r="AK10" s="111"/>
      <c r="AL10" s="111"/>
      <c r="AM10" s="111"/>
      <c r="AN10" s="111"/>
      <c r="AO10" s="111"/>
      <c r="AP10" s="111"/>
      <c r="AQ10" s="111"/>
      <c r="AR10" s="111"/>
      <c r="AS10" s="109">
        <v>0</v>
      </c>
      <c r="AT10" s="109">
        <v>0</v>
      </c>
      <c r="AU10" s="132">
        <v>1</v>
      </c>
      <c r="AV10" s="44">
        <v>0</v>
      </c>
      <c r="AW10" s="132">
        <v>1</v>
      </c>
      <c r="AX10" s="132">
        <v>1</v>
      </c>
      <c r="AY10" s="132">
        <v>1</v>
      </c>
      <c r="AZ10" s="109"/>
      <c r="BA10" s="107"/>
      <c r="BB10" s="109"/>
      <c r="BC10" s="109"/>
      <c r="BD10" s="112"/>
      <c r="BE10" s="109"/>
      <c r="BF10" s="113"/>
      <c r="BG10" s="109"/>
      <c r="BH10" s="114" t="str">
        <f t="shared" si="11"/>
        <v>description: "ЧАПВ1 на сигн", note: "Перевод ЧАПВ1 на сигнал", group: "control", minValue: null, maxValue: null, step: null, units: "null", defaultValue: null, eventRegistration: 0</v>
      </c>
      <c r="BI10" s="115"/>
    </row>
    <row r="11" spans="1:16380" s="2" customFormat="1" ht="16.5" customHeight="1" x14ac:dyDescent="0.25">
      <c r="A11" s="35"/>
      <c r="B11" s="135"/>
      <c r="C11" s="35" t="s">
        <v>50</v>
      </c>
      <c r="D11" s="36"/>
      <c r="E11" s="3"/>
      <c r="F11" s="38" t="s">
        <v>130</v>
      </c>
      <c r="G11" s="39" t="s">
        <v>131</v>
      </c>
      <c r="H11" s="39" t="s">
        <v>131</v>
      </c>
      <c r="I11" s="38"/>
      <c r="J11" s="38">
        <f t="shared" ref="J11:J13" si="12">LEN(G11)</f>
        <v>17</v>
      </c>
      <c r="K11" s="38" t="str">
        <f t="shared" ref="K11:K13" si="13">IF(LEN(G11)&lt;=$K$1,G11,"")</f>
        <v>БНН: Срабатывание</v>
      </c>
      <c r="L11" s="35" t="s">
        <v>132</v>
      </c>
      <c r="M11" s="40" t="s">
        <v>54</v>
      </c>
      <c r="N11" s="36" t="s">
        <v>51</v>
      </c>
      <c r="O11" s="36" t="s">
        <v>52</v>
      </c>
      <c r="P11" s="36"/>
      <c r="Q11" s="41"/>
      <c r="R11" s="41"/>
      <c r="S11" s="36" t="s">
        <v>53</v>
      </c>
      <c r="T11" s="36" t="s">
        <v>53</v>
      </c>
      <c r="U11" s="36" t="s">
        <v>53</v>
      </c>
      <c r="V11" s="36" t="s">
        <v>53</v>
      </c>
      <c r="W11" s="36"/>
      <c r="X11" s="36"/>
      <c r="Y11" s="36" t="s">
        <v>53</v>
      </c>
      <c r="Z11" s="36">
        <v>0</v>
      </c>
      <c r="AA11" s="43"/>
      <c r="AB11" s="44">
        <v>0</v>
      </c>
      <c r="AC11" s="44"/>
      <c r="AD11" s="44"/>
      <c r="AE11" s="44"/>
      <c r="AF11" s="44"/>
      <c r="AG11" s="44">
        <v>0</v>
      </c>
      <c r="AH11" s="44">
        <v>0</v>
      </c>
      <c r="AI11" s="44">
        <v>0</v>
      </c>
      <c r="AJ11" s="65"/>
      <c r="AK11" s="46"/>
      <c r="AL11" s="46"/>
      <c r="AM11" s="46"/>
      <c r="AN11" s="46"/>
      <c r="AO11" s="46"/>
      <c r="AP11" s="46"/>
      <c r="AQ11" s="46"/>
      <c r="AR11" s="46"/>
      <c r="AS11" s="44">
        <v>0</v>
      </c>
      <c r="AT11" s="44">
        <v>0</v>
      </c>
      <c r="AU11" s="44">
        <v>0</v>
      </c>
      <c r="AV11" s="44">
        <v>0</v>
      </c>
      <c r="AW11" s="44">
        <f t="shared" ref="AW11:AW12" si="14">BIN2DEC(CONCATENATE(0,0,0,0,AS11,AT11,AU11,AV11))</f>
        <v>0</v>
      </c>
      <c r="AX11" s="44">
        <v>0</v>
      </c>
      <c r="AY11" s="44">
        <f t="shared" ref="AY11:AY12" si="15">BIN2DEC(CONCATENATE(0,0,0,0,AU11,AV11,AW11,AX11))</f>
        <v>0</v>
      </c>
      <c r="AZ11" s="44"/>
      <c r="BA11" s="41"/>
      <c r="BB11" s="44"/>
      <c r="BC11" s="44"/>
      <c r="BD11" s="45"/>
      <c r="BE11" s="44"/>
      <c r="BF11" s="47"/>
      <c r="BG11" s="44"/>
      <c r="BH11" s="48" t="str">
        <f t="shared" ref="BH11:BH13" si="16">CONCATENATE("description: """,G11,"""", ", ", "note: """,F11,"""",", ","group: """, C11, """",", ","minValue: ", T11,", ","maxValue: ", U11,", ","step: ", V11,", ","units: """, S11, """",", ","defaultValue: ", Y11,", ","eventRegistration: ", Z11,)</f>
        <v>description: "БНН: Срабатывание", note: "Срабатывание БНН", group: "measurement", minValue: null, maxValue: null, step: null, units: "null", defaultValue: null, eventRegistration: 0</v>
      </c>
      <c r="BI11" s="49"/>
    </row>
    <row r="12" spans="1:16380" s="131" customFormat="1" ht="16.5" customHeight="1" x14ac:dyDescent="0.25">
      <c r="A12" s="101"/>
      <c r="B12" s="135"/>
      <c r="C12" s="101" t="s">
        <v>390</v>
      </c>
      <c r="D12" s="117"/>
      <c r="E12" s="118" t="s">
        <v>219</v>
      </c>
      <c r="F12" s="119" t="s">
        <v>190</v>
      </c>
      <c r="G12" s="120" t="s">
        <v>190</v>
      </c>
      <c r="H12" s="120" t="s">
        <v>190</v>
      </c>
      <c r="I12" s="119"/>
      <c r="J12" s="119">
        <f t="shared" si="12"/>
        <v>16</v>
      </c>
      <c r="K12" s="119" t="str">
        <f t="shared" si="13"/>
        <v>Блокировка ЧАПВ1</v>
      </c>
      <c r="L12" s="101" t="s">
        <v>178</v>
      </c>
      <c r="M12" s="121" t="s">
        <v>54</v>
      </c>
      <c r="N12" s="117" t="s">
        <v>51</v>
      </c>
      <c r="O12" s="117" t="s">
        <v>52</v>
      </c>
      <c r="P12" s="117"/>
      <c r="Q12" s="122"/>
      <c r="R12" s="122"/>
      <c r="S12" s="117" t="s">
        <v>53</v>
      </c>
      <c r="T12" s="117" t="s">
        <v>53</v>
      </c>
      <c r="U12" s="117" t="s">
        <v>53</v>
      </c>
      <c r="V12" s="117" t="s">
        <v>53</v>
      </c>
      <c r="W12" s="117"/>
      <c r="X12" s="117"/>
      <c r="Y12" s="117" t="s">
        <v>53</v>
      </c>
      <c r="Z12" s="117">
        <v>0</v>
      </c>
      <c r="AA12" s="123"/>
      <c r="AB12" s="124">
        <v>0</v>
      </c>
      <c r="AC12" s="124"/>
      <c r="AD12" s="124"/>
      <c r="AE12" s="124"/>
      <c r="AF12" s="124"/>
      <c r="AG12" s="124">
        <v>0</v>
      </c>
      <c r="AH12" s="124">
        <v>0</v>
      </c>
      <c r="AI12" s="124">
        <v>0</v>
      </c>
      <c r="AJ12" s="125"/>
      <c r="AK12" s="126"/>
      <c r="AL12" s="126"/>
      <c r="AM12" s="126"/>
      <c r="AN12" s="126"/>
      <c r="AO12" s="126"/>
      <c r="AP12" s="126"/>
      <c r="AQ12" s="126"/>
      <c r="AR12" s="126"/>
      <c r="AS12" s="124">
        <v>0</v>
      </c>
      <c r="AT12" s="124">
        <v>0</v>
      </c>
      <c r="AU12" s="124">
        <v>0</v>
      </c>
      <c r="AV12" s="124">
        <v>0</v>
      </c>
      <c r="AW12" s="124">
        <f t="shared" si="14"/>
        <v>0</v>
      </c>
      <c r="AX12" s="44">
        <v>0</v>
      </c>
      <c r="AY12" s="44">
        <f t="shared" si="15"/>
        <v>0</v>
      </c>
      <c r="AZ12" s="124"/>
      <c r="BA12" s="122"/>
      <c r="BB12" s="124"/>
      <c r="BC12" s="124"/>
      <c r="BD12" s="127"/>
      <c r="BE12" s="124"/>
      <c r="BF12" s="128"/>
      <c r="BG12" s="124"/>
      <c r="BH12" s="129" t="str">
        <f t="shared" si="16"/>
        <v>description: "Блокировка ЧАПВ1", note: "Блокировка ЧАПВ1", group: "input", minValue: null, maxValue: null, step: null, units: "null", defaultValue: null, eventRegistration: 0</v>
      </c>
      <c r="BI12" s="130"/>
    </row>
    <row r="13" spans="1:16380" s="116" customFormat="1" ht="16.5" customHeight="1" x14ac:dyDescent="0.25">
      <c r="A13" s="100"/>
      <c r="B13" s="134" t="s">
        <v>392</v>
      </c>
      <c r="C13" s="100" t="s">
        <v>389</v>
      </c>
      <c r="D13" s="102"/>
      <c r="E13" s="103"/>
      <c r="F13" s="104" t="s">
        <v>179</v>
      </c>
      <c r="G13" s="105" t="s">
        <v>180</v>
      </c>
      <c r="H13" s="105" t="s">
        <v>180</v>
      </c>
      <c r="I13" s="104"/>
      <c r="J13" s="104">
        <f t="shared" si="12"/>
        <v>17</v>
      </c>
      <c r="K13" s="104" t="str">
        <f t="shared" si="13"/>
        <v>Возврат ЧАПВ/АПВН</v>
      </c>
      <c r="L13" s="100" t="s">
        <v>181</v>
      </c>
      <c r="M13" s="106" t="s">
        <v>54</v>
      </c>
      <c r="N13" s="102" t="s">
        <v>51</v>
      </c>
      <c r="O13" s="102" t="s">
        <v>52</v>
      </c>
      <c r="P13" s="102"/>
      <c r="Q13" s="107"/>
      <c r="R13" s="107"/>
      <c r="S13" s="102" t="s">
        <v>53</v>
      </c>
      <c r="T13" s="102" t="s">
        <v>53</v>
      </c>
      <c r="U13" s="102" t="s">
        <v>53</v>
      </c>
      <c r="V13" s="102" t="s">
        <v>53</v>
      </c>
      <c r="W13" s="102"/>
      <c r="X13" s="102"/>
      <c r="Y13" s="102" t="s">
        <v>53</v>
      </c>
      <c r="Z13" s="102">
        <v>0</v>
      </c>
      <c r="AA13" s="108"/>
      <c r="AB13" s="109">
        <v>0</v>
      </c>
      <c r="AC13" s="109"/>
      <c r="AD13" s="109"/>
      <c r="AE13" s="109"/>
      <c r="AF13" s="109"/>
      <c r="AG13" s="109">
        <v>0</v>
      </c>
      <c r="AH13" s="109">
        <v>0</v>
      </c>
      <c r="AI13" s="109">
        <v>0</v>
      </c>
      <c r="AJ13" s="110"/>
      <c r="AK13" s="111"/>
      <c r="AL13" s="111"/>
      <c r="AM13" s="111"/>
      <c r="AN13" s="111"/>
      <c r="AO13" s="111"/>
      <c r="AP13" s="111"/>
      <c r="AQ13" s="111"/>
      <c r="AR13" s="111"/>
      <c r="AS13" s="109">
        <v>0</v>
      </c>
      <c r="AT13" s="109">
        <v>0</v>
      </c>
      <c r="AU13" s="132">
        <v>1</v>
      </c>
      <c r="AV13" s="44">
        <v>0</v>
      </c>
      <c r="AW13" s="132">
        <v>1</v>
      </c>
      <c r="AX13" s="132">
        <v>1</v>
      </c>
      <c r="AY13" s="132">
        <v>1</v>
      </c>
      <c r="AZ13" s="109"/>
      <c r="BA13" s="107"/>
      <c r="BB13" s="109"/>
      <c r="BC13" s="109"/>
      <c r="BD13" s="112"/>
      <c r="BE13" s="109"/>
      <c r="BF13" s="113"/>
      <c r="BG13" s="109"/>
      <c r="BH13" s="114" t="str">
        <f t="shared" si="16"/>
        <v>description: "Возврат ЧАПВ/АПВН", note: "Возврат АПВН", group: "control", minValue: null, maxValue: null, step: null, units: "null", defaultValue: null, eventRegistration: 0</v>
      </c>
      <c r="BI13" s="115"/>
    </row>
    <row r="14" spans="1:16380" s="2" customFormat="1" ht="16.5" customHeight="1" x14ac:dyDescent="0.25">
      <c r="A14" s="35"/>
      <c r="B14" s="135"/>
      <c r="C14" s="35" t="s">
        <v>50</v>
      </c>
      <c r="D14" s="36"/>
      <c r="E14" s="88"/>
      <c r="F14" s="38" t="s">
        <v>182</v>
      </c>
      <c r="G14" s="39" t="s">
        <v>374</v>
      </c>
      <c r="H14" s="39" t="s">
        <v>374</v>
      </c>
      <c r="I14" s="38"/>
      <c r="J14" s="38">
        <f t="shared" ref="J14:J16" si="17">LEN(G14)</f>
        <v>19</v>
      </c>
      <c r="K14" s="38" t="str">
        <f t="shared" ref="K14:K16" si="18">IF(LEN(G14)&lt;=$K$1,G14,"")</f>
        <v>АЧРобщ:Срабатывание</v>
      </c>
      <c r="L14" s="35" t="s">
        <v>183</v>
      </c>
      <c r="M14" s="40" t="s">
        <v>54</v>
      </c>
      <c r="N14" s="36" t="s">
        <v>51</v>
      </c>
      <c r="O14" s="36" t="s">
        <v>52</v>
      </c>
      <c r="P14" s="36"/>
      <c r="Q14" s="41"/>
      <c r="R14" s="41"/>
      <c r="S14" s="36" t="s">
        <v>53</v>
      </c>
      <c r="T14" s="36" t="s">
        <v>53</v>
      </c>
      <c r="U14" s="36" t="s">
        <v>53</v>
      </c>
      <c r="V14" s="36" t="s">
        <v>53</v>
      </c>
      <c r="W14" s="36"/>
      <c r="X14" s="36"/>
      <c r="Y14" s="36" t="s">
        <v>53</v>
      </c>
      <c r="Z14" s="36">
        <v>0</v>
      </c>
      <c r="AA14" s="43"/>
      <c r="AB14" s="44">
        <v>0</v>
      </c>
      <c r="AC14" s="44"/>
      <c r="AD14" s="44"/>
      <c r="AE14" s="44"/>
      <c r="AF14" s="44"/>
      <c r="AG14" s="44">
        <v>0</v>
      </c>
      <c r="AH14" s="44">
        <v>0</v>
      </c>
      <c r="AI14" s="44">
        <v>0</v>
      </c>
      <c r="AJ14" s="65"/>
      <c r="AK14" s="46"/>
      <c r="AL14" s="46"/>
      <c r="AM14" s="46"/>
      <c r="AN14" s="46"/>
      <c r="AO14" s="46"/>
      <c r="AP14" s="46"/>
      <c r="AQ14" s="46"/>
      <c r="AR14" s="46"/>
      <c r="AS14" s="44">
        <v>0</v>
      </c>
      <c r="AT14" s="44">
        <v>0</v>
      </c>
      <c r="AU14" s="44">
        <v>0</v>
      </c>
      <c r="AV14" s="44">
        <v>0</v>
      </c>
      <c r="AW14" s="44">
        <f t="shared" ref="AW14:AW16" si="19">BIN2DEC(CONCATENATE(0,0,0,0,AS14,AT14,AU14,AV14))</f>
        <v>0</v>
      </c>
      <c r="AX14" s="44">
        <v>0</v>
      </c>
      <c r="AY14" s="44">
        <f t="shared" ref="AY14" si="20">BIN2DEC(CONCATENATE(0,0,0,0,AU14,AV14,AW14,AX14))</f>
        <v>0</v>
      </c>
      <c r="AZ14" s="44"/>
      <c r="BA14" s="41"/>
      <c r="BB14" s="44"/>
      <c r="BC14" s="44"/>
      <c r="BD14" s="45"/>
      <c r="BE14" s="44"/>
      <c r="BF14" s="47"/>
      <c r="BG14" s="44"/>
      <c r="BH14" s="48" t="str">
        <f t="shared" ref="BH14:BH16" si="21">CONCATENATE("description: """,G14,"""", ", ", "note: """,F14,"""",", ","group: """, C14, """",", ","minValue: ", T14,", ","maxValue: ", U14,", ","step: ", V14,", ","units: """, S14, """",", ","defaultValue: ", Y14,", ","eventRegistration: ", Z14,)</f>
        <v>description: "АЧРобщ:Срабатывание", note: "Срабатывание АЧР", group: "measurement", minValue: null, maxValue: null, step: null, units: "null", defaultValue: null, eventRegistration: 0</v>
      </c>
      <c r="BI14" s="49"/>
    </row>
    <row r="15" spans="1:16380" s="116" customFormat="1" ht="16.5" customHeight="1" x14ac:dyDescent="0.25">
      <c r="A15" s="100"/>
      <c r="B15" s="135"/>
      <c r="C15" s="100" t="s">
        <v>389</v>
      </c>
      <c r="D15" s="102"/>
      <c r="E15" s="103" t="s">
        <v>220</v>
      </c>
      <c r="F15" s="104" t="s">
        <v>193</v>
      </c>
      <c r="G15" s="105" t="s">
        <v>194</v>
      </c>
      <c r="H15" s="105" t="s">
        <v>194</v>
      </c>
      <c r="I15" s="104"/>
      <c r="J15" s="104">
        <f t="shared" si="17"/>
        <v>13</v>
      </c>
      <c r="K15" s="104" t="str">
        <f t="shared" si="18"/>
        <v>ЧАПВ2 на сигн</v>
      </c>
      <c r="L15" s="100" t="s">
        <v>184</v>
      </c>
      <c r="M15" s="106" t="s">
        <v>54</v>
      </c>
      <c r="N15" s="102" t="s">
        <v>51</v>
      </c>
      <c r="O15" s="102" t="s">
        <v>52</v>
      </c>
      <c r="P15" s="102"/>
      <c r="Q15" s="107"/>
      <c r="R15" s="107"/>
      <c r="S15" s="102" t="s">
        <v>53</v>
      </c>
      <c r="T15" s="102" t="s">
        <v>53</v>
      </c>
      <c r="U15" s="102" t="s">
        <v>53</v>
      </c>
      <c r="V15" s="102" t="s">
        <v>53</v>
      </c>
      <c r="W15" s="102"/>
      <c r="X15" s="102"/>
      <c r="Y15" s="102" t="s">
        <v>53</v>
      </c>
      <c r="Z15" s="102">
        <v>0</v>
      </c>
      <c r="AA15" s="108"/>
      <c r="AB15" s="109">
        <v>0</v>
      </c>
      <c r="AC15" s="109"/>
      <c r="AD15" s="109"/>
      <c r="AE15" s="109"/>
      <c r="AF15" s="109"/>
      <c r="AG15" s="109">
        <v>0</v>
      </c>
      <c r="AH15" s="109">
        <v>0</v>
      </c>
      <c r="AI15" s="109">
        <v>0</v>
      </c>
      <c r="AJ15" s="110"/>
      <c r="AK15" s="111"/>
      <c r="AL15" s="111"/>
      <c r="AM15" s="111"/>
      <c r="AN15" s="111"/>
      <c r="AO15" s="111"/>
      <c r="AP15" s="111"/>
      <c r="AQ15" s="111"/>
      <c r="AR15" s="111"/>
      <c r="AS15" s="109">
        <v>0</v>
      </c>
      <c r="AT15" s="109">
        <v>0</v>
      </c>
      <c r="AU15" s="132">
        <v>1</v>
      </c>
      <c r="AV15" s="44">
        <v>0</v>
      </c>
      <c r="AW15" s="132">
        <v>1</v>
      </c>
      <c r="AX15" s="132">
        <v>1</v>
      </c>
      <c r="AY15" s="132">
        <v>1</v>
      </c>
      <c r="AZ15" s="109"/>
      <c r="BA15" s="107"/>
      <c r="BB15" s="109"/>
      <c r="BC15" s="109"/>
      <c r="BD15" s="112"/>
      <c r="BE15" s="109"/>
      <c r="BF15" s="113"/>
      <c r="BG15" s="109"/>
      <c r="BH15" s="114" t="str">
        <f t="shared" si="21"/>
        <v>description: "ЧАПВ2 на сигн", note: "Перевод ЧАПВ2 на сигнал", group: "control", minValue: null, maxValue: null, step: null, units: "null", defaultValue: null, eventRegistration: 0</v>
      </c>
      <c r="BI15" s="115"/>
    </row>
    <row r="16" spans="1:16380" s="131" customFormat="1" ht="16.5" customHeight="1" x14ac:dyDescent="0.25">
      <c r="A16" s="101"/>
      <c r="B16" s="135"/>
      <c r="C16" s="101" t="s">
        <v>390</v>
      </c>
      <c r="D16" s="117"/>
      <c r="E16" s="118" t="s">
        <v>220</v>
      </c>
      <c r="F16" s="119" t="s">
        <v>195</v>
      </c>
      <c r="G16" s="120" t="s">
        <v>195</v>
      </c>
      <c r="H16" s="120" t="s">
        <v>195</v>
      </c>
      <c r="I16" s="119"/>
      <c r="J16" s="119">
        <f t="shared" si="17"/>
        <v>16</v>
      </c>
      <c r="K16" s="119" t="str">
        <f t="shared" si="18"/>
        <v>Блокировка ЧАПВ2</v>
      </c>
      <c r="L16" s="101" t="s">
        <v>185</v>
      </c>
      <c r="M16" s="121" t="s">
        <v>54</v>
      </c>
      <c r="N16" s="117" t="s">
        <v>51</v>
      </c>
      <c r="O16" s="117" t="s">
        <v>52</v>
      </c>
      <c r="P16" s="117"/>
      <c r="Q16" s="122"/>
      <c r="R16" s="122"/>
      <c r="S16" s="117" t="s">
        <v>53</v>
      </c>
      <c r="T16" s="117" t="s">
        <v>53</v>
      </c>
      <c r="U16" s="117" t="s">
        <v>53</v>
      </c>
      <c r="V16" s="117" t="s">
        <v>53</v>
      </c>
      <c r="W16" s="117"/>
      <c r="X16" s="117"/>
      <c r="Y16" s="117" t="s">
        <v>53</v>
      </c>
      <c r="Z16" s="117">
        <v>0</v>
      </c>
      <c r="AA16" s="123"/>
      <c r="AB16" s="124">
        <v>0</v>
      </c>
      <c r="AC16" s="124"/>
      <c r="AD16" s="124"/>
      <c r="AE16" s="124"/>
      <c r="AF16" s="124"/>
      <c r="AG16" s="124">
        <v>0</v>
      </c>
      <c r="AH16" s="124">
        <v>0</v>
      </c>
      <c r="AI16" s="124">
        <v>0</v>
      </c>
      <c r="AJ16" s="125"/>
      <c r="AK16" s="126"/>
      <c r="AL16" s="126"/>
      <c r="AM16" s="126"/>
      <c r="AN16" s="126"/>
      <c r="AO16" s="126"/>
      <c r="AP16" s="126"/>
      <c r="AQ16" s="126"/>
      <c r="AR16" s="126"/>
      <c r="AS16" s="124">
        <v>0</v>
      </c>
      <c r="AT16" s="124">
        <v>0</v>
      </c>
      <c r="AU16" s="124">
        <v>0</v>
      </c>
      <c r="AV16" s="124">
        <v>0</v>
      </c>
      <c r="AW16" s="124">
        <f t="shared" si="19"/>
        <v>0</v>
      </c>
      <c r="AX16" s="44">
        <v>0</v>
      </c>
      <c r="AY16" s="44">
        <f t="shared" ref="AY16" si="22">BIN2DEC(CONCATENATE(0,0,0,0,AU16,AV16,AW16,AX16))</f>
        <v>0</v>
      </c>
      <c r="AZ16" s="124"/>
      <c r="BA16" s="122"/>
      <c r="BB16" s="124"/>
      <c r="BC16" s="124"/>
      <c r="BD16" s="127"/>
      <c r="BE16" s="124"/>
      <c r="BF16" s="128"/>
      <c r="BG16" s="124"/>
      <c r="BH16" s="129" t="str">
        <f t="shared" si="21"/>
        <v>description: "Блокировка ЧАПВ2", note: "Блокировка ЧАПВ2", group: "input", minValue: null, maxValue: null, step: null, units: "null", defaultValue: null, eventRegistration: 0</v>
      </c>
      <c r="BI16" s="130"/>
    </row>
    <row r="17" spans="1:61" s="116" customFormat="1" ht="16.5" customHeight="1" x14ac:dyDescent="0.25">
      <c r="A17" s="100"/>
      <c r="B17" s="135"/>
      <c r="C17" s="100" t="s">
        <v>389</v>
      </c>
      <c r="D17" s="102"/>
      <c r="E17" s="103" t="s">
        <v>221</v>
      </c>
      <c r="F17" s="104" t="s">
        <v>196</v>
      </c>
      <c r="G17" s="105" t="s">
        <v>197</v>
      </c>
      <c r="H17" s="105" t="s">
        <v>197</v>
      </c>
      <c r="I17" s="104"/>
      <c r="J17" s="104">
        <f t="shared" ref="J17:J20" si="23">LEN(G17)</f>
        <v>13</v>
      </c>
      <c r="K17" s="104" t="str">
        <f t="shared" ref="K17:K20" si="24">IF(LEN(G17)&lt;=$K$1,G17,"")</f>
        <v>ЧАПВ3 на сигн</v>
      </c>
      <c r="L17" s="100" t="s">
        <v>186</v>
      </c>
      <c r="M17" s="106" t="s">
        <v>54</v>
      </c>
      <c r="N17" s="102" t="s">
        <v>51</v>
      </c>
      <c r="O17" s="102" t="s">
        <v>52</v>
      </c>
      <c r="P17" s="102"/>
      <c r="Q17" s="107"/>
      <c r="R17" s="107"/>
      <c r="S17" s="102" t="s">
        <v>53</v>
      </c>
      <c r="T17" s="102" t="s">
        <v>53</v>
      </c>
      <c r="U17" s="102" t="s">
        <v>53</v>
      </c>
      <c r="V17" s="102" t="s">
        <v>53</v>
      </c>
      <c r="W17" s="102"/>
      <c r="X17" s="102"/>
      <c r="Y17" s="102" t="s">
        <v>53</v>
      </c>
      <c r="Z17" s="102">
        <v>0</v>
      </c>
      <c r="AA17" s="108"/>
      <c r="AB17" s="109">
        <v>0</v>
      </c>
      <c r="AC17" s="109"/>
      <c r="AD17" s="109"/>
      <c r="AE17" s="109"/>
      <c r="AF17" s="109"/>
      <c r="AG17" s="109">
        <v>0</v>
      </c>
      <c r="AH17" s="109">
        <v>0</v>
      </c>
      <c r="AI17" s="109">
        <v>0</v>
      </c>
      <c r="AJ17" s="110"/>
      <c r="AK17" s="111"/>
      <c r="AL17" s="111"/>
      <c r="AM17" s="111"/>
      <c r="AN17" s="111"/>
      <c r="AO17" s="111"/>
      <c r="AP17" s="111"/>
      <c r="AQ17" s="111"/>
      <c r="AR17" s="111"/>
      <c r="AS17" s="109">
        <v>0</v>
      </c>
      <c r="AT17" s="109">
        <v>0</v>
      </c>
      <c r="AU17" s="132">
        <v>1</v>
      </c>
      <c r="AV17" s="44">
        <v>0</v>
      </c>
      <c r="AW17" s="132">
        <v>1</v>
      </c>
      <c r="AX17" s="132">
        <v>1</v>
      </c>
      <c r="AY17" s="132">
        <v>1</v>
      </c>
      <c r="AZ17" s="109"/>
      <c r="BA17" s="107"/>
      <c r="BB17" s="109"/>
      <c r="BC17" s="109"/>
      <c r="BD17" s="112"/>
      <c r="BE17" s="109"/>
      <c r="BF17" s="113"/>
      <c r="BG17" s="109"/>
      <c r="BH17" s="114" t="str">
        <f t="shared" ref="BH17:BH20" si="25">CONCATENATE("description: """,G17,"""", ", ", "note: """,F17,"""",", ","group: """, C17, """",", ","minValue: ", T17,", ","maxValue: ", U17,", ","step: ", V17,", ","units: """, S17, """",", ","defaultValue: ", Y17,", ","eventRegistration: ", Z17,)</f>
        <v>description: "ЧАПВ3 на сигн", note: "Перевод ЧАПВ3 на сигнал", group: "control", minValue: null, maxValue: null, step: null, units: "null", defaultValue: null, eventRegistration: 0</v>
      </c>
      <c r="BI17" s="115"/>
    </row>
    <row r="18" spans="1:61" s="131" customFormat="1" ht="16.5" customHeight="1" x14ac:dyDescent="0.25">
      <c r="A18" s="101"/>
      <c r="B18" s="135"/>
      <c r="C18" s="101" t="s">
        <v>390</v>
      </c>
      <c r="D18" s="117"/>
      <c r="E18" s="118" t="s">
        <v>221</v>
      </c>
      <c r="F18" s="119" t="s">
        <v>198</v>
      </c>
      <c r="G18" s="120" t="s">
        <v>198</v>
      </c>
      <c r="H18" s="120" t="s">
        <v>198</v>
      </c>
      <c r="I18" s="119"/>
      <c r="J18" s="119">
        <f t="shared" si="23"/>
        <v>16</v>
      </c>
      <c r="K18" s="119" t="str">
        <f t="shared" si="24"/>
        <v>Блокировка ЧАПВ3</v>
      </c>
      <c r="L18" s="101" t="s">
        <v>187</v>
      </c>
      <c r="M18" s="121" t="s">
        <v>54</v>
      </c>
      <c r="N18" s="117" t="s">
        <v>51</v>
      </c>
      <c r="O18" s="117" t="s">
        <v>52</v>
      </c>
      <c r="P18" s="117"/>
      <c r="Q18" s="122"/>
      <c r="R18" s="122"/>
      <c r="S18" s="117" t="s">
        <v>53</v>
      </c>
      <c r="T18" s="117" t="s">
        <v>53</v>
      </c>
      <c r="U18" s="117" t="s">
        <v>53</v>
      </c>
      <c r="V18" s="117" t="s">
        <v>53</v>
      </c>
      <c r="W18" s="117"/>
      <c r="X18" s="117"/>
      <c r="Y18" s="117" t="s">
        <v>53</v>
      </c>
      <c r="Z18" s="117">
        <v>0</v>
      </c>
      <c r="AA18" s="123"/>
      <c r="AB18" s="124">
        <v>0</v>
      </c>
      <c r="AC18" s="124"/>
      <c r="AD18" s="124"/>
      <c r="AE18" s="124"/>
      <c r="AF18" s="124"/>
      <c r="AG18" s="124">
        <v>0</v>
      </c>
      <c r="AH18" s="124">
        <v>0</v>
      </c>
      <c r="AI18" s="124">
        <v>0</v>
      </c>
      <c r="AJ18" s="125"/>
      <c r="AK18" s="126"/>
      <c r="AL18" s="126"/>
      <c r="AM18" s="126"/>
      <c r="AN18" s="126"/>
      <c r="AO18" s="126"/>
      <c r="AP18" s="126"/>
      <c r="AQ18" s="126"/>
      <c r="AR18" s="126"/>
      <c r="AS18" s="124">
        <v>0</v>
      </c>
      <c r="AT18" s="124">
        <v>0</v>
      </c>
      <c r="AU18" s="124">
        <v>0</v>
      </c>
      <c r="AV18" s="124">
        <v>0</v>
      </c>
      <c r="AW18" s="124">
        <f t="shared" ref="AW18:AW20" si="26">BIN2DEC(CONCATENATE(0,0,0,0,AS18,AT18,AU18,AV18))</f>
        <v>0</v>
      </c>
      <c r="AX18" s="44">
        <v>0</v>
      </c>
      <c r="AY18" s="44">
        <f t="shared" ref="AY18" si="27">BIN2DEC(CONCATENATE(0,0,0,0,AU18,AV18,AW18,AX18))</f>
        <v>0</v>
      </c>
      <c r="AZ18" s="124"/>
      <c r="BA18" s="122"/>
      <c r="BB18" s="124"/>
      <c r="BC18" s="124"/>
      <c r="BD18" s="127"/>
      <c r="BE18" s="124"/>
      <c r="BF18" s="128"/>
      <c r="BG18" s="124"/>
      <c r="BH18" s="129" t="str">
        <f t="shared" si="25"/>
        <v>description: "Блокировка ЧАПВ3", note: "Блокировка ЧАПВ3", group: "input", minValue: null, maxValue: null, step: null, units: "null", defaultValue: null, eventRegistration: 0</v>
      </c>
      <c r="BI18" s="130"/>
    </row>
    <row r="19" spans="1:61" s="116" customFormat="1" ht="16.5" customHeight="1" x14ac:dyDescent="0.25">
      <c r="A19" s="100"/>
      <c r="B19" s="135"/>
      <c r="C19" s="100" t="s">
        <v>389</v>
      </c>
      <c r="D19" s="102"/>
      <c r="E19" s="103" t="s">
        <v>222</v>
      </c>
      <c r="F19" s="104" t="s">
        <v>199</v>
      </c>
      <c r="G19" s="105" t="s">
        <v>200</v>
      </c>
      <c r="H19" s="105" t="s">
        <v>200</v>
      </c>
      <c r="I19" s="104"/>
      <c r="J19" s="104">
        <f t="shared" si="23"/>
        <v>13</v>
      </c>
      <c r="K19" s="104" t="str">
        <f t="shared" si="24"/>
        <v>ЧАПВ4 на сигн</v>
      </c>
      <c r="L19" s="100" t="s">
        <v>188</v>
      </c>
      <c r="M19" s="106" t="s">
        <v>54</v>
      </c>
      <c r="N19" s="102" t="s">
        <v>51</v>
      </c>
      <c r="O19" s="102" t="s">
        <v>52</v>
      </c>
      <c r="P19" s="102"/>
      <c r="Q19" s="107"/>
      <c r="R19" s="107"/>
      <c r="S19" s="102" t="s">
        <v>53</v>
      </c>
      <c r="T19" s="102" t="s">
        <v>53</v>
      </c>
      <c r="U19" s="102" t="s">
        <v>53</v>
      </c>
      <c r="V19" s="102" t="s">
        <v>53</v>
      </c>
      <c r="W19" s="102"/>
      <c r="X19" s="102"/>
      <c r="Y19" s="102" t="s">
        <v>53</v>
      </c>
      <c r="Z19" s="102">
        <v>0</v>
      </c>
      <c r="AA19" s="108"/>
      <c r="AB19" s="109">
        <v>0</v>
      </c>
      <c r="AC19" s="109"/>
      <c r="AD19" s="109"/>
      <c r="AE19" s="109"/>
      <c r="AF19" s="109"/>
      <c r="AG19" s="109">
        <v>0</v>
      </c>
      <c r="AH19" s="109">
        <v>0</v>
      </c>
      <c r="AI19" s="109">
        <v>0</v>
      </c>
      <c r="AJ19" s="110"/>
      <c r="AK19" s="111"/>
      <c r="AL19" s="111"/>
      <c r="AM19" s="111"/>
      <c r="AN19" s="111"/>
      <c r="AO19" s="111"/>
      <c r="AP19" s="111"/>
      <c r="AQ19" s="111"/>
      <c r="AR19" s="111"/>
      <c r="AS19" s="109">
        <v>0</v>
      </c>
      <c r="AT19" s="109">
        <v>0</v>
      </c>
      <c r="AU19" s="132">
        <v>1</v>
      </c>
      <c r="AV19" s="44">
        <v>0</v>
      </c>
      <c r="AW19" s="132">
        <v>1</v>
      </c>
      <c r="AX19" s="132">
        <v>1</v>
      </c>
      <c r="AY19" s="132">
        <v>1</v>
      </c>
      <c r="AZ19" s="109"/>
      <c r="BA19" s="107"/>
      <c r="BB19" s="109"/>
      <c r="BC19" s="109"/>
      <c r="BD19" s="112"/>
      <c r="BE19" s="109"/>
      <c r="BF19" s="113"/>
      <c r="BG19" s="109"/>
      <c r="BH19" s="114" t="str">
        <f t="shared" si="25"/>
        <v>description: "ЧАПВ4 на сигн", note: "Перевод ЧАПВ4 на сигнал", group: "control", minValue: null, maxValue: null, step: null, units: "null", defaultValue: null, eventRegistration: 0</v>
      </c>
      <c r="BI19" s="115"/>
    </row>
    <row r="20" spans="1:61" s="131" customFormat="1" ht="16.5" customHeight="1" x14ac:dyDescent="0.25">
      <c r="A20" s="101"/>
      <c r="B20" s="135"/>
      <c r="C20" s="101" t="s">
        <v>390</v>
      </c>
      <c r="D20" s="117"/>
      <c r="E20" s="118" t="s">
        <v>222</v>
      </c>
      <c r="F20" s="119" t="s">
        <v>201</v>
      </c>
      <c r="G20" s="120" t="s">
        <v>201</v>
      </c>
      <c r="H20" s="120" t="s">
        <v>201</v>
      </c>
      <c r="I20" s="119"/>
      <c r="J20" s="119">
        <f t="shared" si="23"/>
        <v>16</v>
      </c>
      <c r="K20" s="119" t="str">
        <f t="shared" si="24"/>
        <v>Блокировка ЧАПВ4</v>
      </c>
      <c r="L20" s="101" t="s">
        <v>189</v>
      </c>
      <c r="M20" s="121" t="s">
        <v>54</v>
      </c>
      <c r="N20" s="117" t="s">
        <v>51</v>
      </c>
      <c r="O20" s="117" t="s">
        <v>52</v>
      </c>
      <c r="P20" s="117"/>
      <c r="Q20" s="122"/>
      <c r="R20" s="122"/>
      <c r="S20" s="117" t="s">
        <v>53</v>
      </c>
      <c r="T20" s="117" t="s">
        <v>53</v>
      </c>
      <c r="U20" s="117" t="s">
        <v>53</v>
      </c>
      <c r="V20" s="117" t="s">
        <v>53</v>
      </c>
      <c r="W20" s="117"/>
      <c r="X20" s="117"/>
      <c r="Y20" s="117" t="s">
        <v>53</v>
      </c>
      <c r="Z20" s="117">
        <v>0</v>
      </c>
      <c r="AA20" s="123"/>
      <c r="AB20" s="124">
        <v>0</v>
      </c>
      <c r="AC20" s="124"/>
      <c r="AD20" s="124"/>
      <c r="AE20" s="124"/>
      <c r="AF20" s="124"/>
      <c r="AG20" s="124">
        <v>0</v>
      </c>
      <c r="AH20" s="124">
        <v>0</v>
      </c>
      <c r="AI20" s="124">
        <v>0</v>
      </c>
      <c r="AJ20" s="125"/>
      <c r="AK20" s="126"/>
      <c r="AL20" s="126"/>
      <c r="AM20" s="126"/>
      <c r="AN20" s="126"/>
      <c r="AO20" s="126"/>
      <c r="AP20" s="126"/>
      <c r="AQ20" s="126"/>
      <c r="AR20" s="126"/>
      <c r="AS20" s="124">
        <v>0</v>
      </c>
      <c r="AT20" s="124">
        <v>0</v>
      </c>
      <c r="AU20" s="124">
        <v>0</v>
      </c>
      <c r="AV20" s="124">
        <v>0</v>
      </c>
      <c r="AW20" s="124">
        <f t="shared" si="26"/>
        <v>0</v>
      </c>
      <c r="AX20" s="44">
        <v>0</v>
      </c>
      <c r="AY20" s="44">
        <f t="shared" ref="AY20:AY23" si="28">BIN2DEC(CONCATENATE(0,0,0,0,AU20,AV20,AW20,AX20))</f>
        <v>0</v>
      </c>
      <c r="AZ20" s="124"/>
      <c r="BA20" s="122"/>
      <c r="BB20" s="124"/>
      <c r="BC20" s="124"/>
      <c r="BD20" s="127"/>
      <c r="BE20" s="124"/>
      <c r="BF20" s="128"/>
      <c r="BG20" s="124"/>
      <c r="BH20" s="129" t="str">
        <f t="shared" si="25"/>
        <v>description: "Блокировка ЧАПВ4", note: "Блокировка ЧАПВ4", group: "input", minValue: null, maxValue: null, step: null, units: "null", defaultValue: null, eventRegistration: 0</v>
      </c>
      <c r="BI20" s="130"/>
    </row>
    <row r="21" spans="1:61" s="16" customFormat="1" ht="15.75" x14ac:dyDescent="0.25">
      <c r="A21" s="6"/>
      <c r="B21" s="136"/>
      <c r="C21" s="1" t="s">
        <v>50</v>
      </c>
      <c r="D21" s="7"/>
      <c r="E21" s="91"/>
      <c r="F21" s="8" t="s">
        <v>55</v>
      </c>
      <c r="G21" s="8" t="s">
        <v>56</v>
      </c>
      <c r="H21" s="8" t="s">
        <v>56</v>
      </c>
      <c r="I21" s="91"/>
      <c r="J21" s="92">
        <f>LEN(G21)</f>
        <v>10</v>
      </c>
      <c r="K21" s="92" t="str">
        <f>IF(LEN(G21)&lt;=$K$1,G21,"")</f>
        <v>Насл.режим</v>
      </c>
      <c r="L21" s="9" t="s">
        <v>58</v>
      </c>
      <c r="M21" s="10" t="s">
        <v>57</v>
      </c>
      <c r="N21" s="93" t="s">
        <v>51</v>
      </c>
      <c r="O21" s="93" t="s">
        <v>52</v>
      </c>
      <c r="P21" s="93"/>
      <c r="Q21" s="7"/>
      <c r="R21" s="7"/>
      <c r="S21" s="93" t="s">
        <v>53</v>
      </c>
      <c r="T21" s="93" t="s">
        <v>53</v>
      </c>
      <c r="U21" s="93" t="s">
        <v>53</v>
      </c>
      <c r="V21" s="93" t="s">
        <v>53</v>
      </c>
      <c r="W21" s="7"/>
      <c r="X21" s="7"/>
      <c r="Y21" s="93" t="s">
        <v>53</v>
      </c>
      <c r="Z21" s="11">
        <v>0</v>
      </c>
      <c r="AA21" s="7"/>
      <c r="AB21" s="12">
        <v>0</v>
      </c>
      <c r="AC21" s="12"/>
      <c r="AD21" s="12"/>
      <c r="AE21" s="12"/>
      <c r="AF21" s="12"/>
      <c r="AG21" s="12">
        <v>0</v>
      </c>
      <c r="AH21" s="12">
        <v>0</v>
      </c>
      <c r="AI21" s="12">
        <v>0</v>
      </c>
      <c r="AJ21" s="13" t="s">
        <v>93</v>
      </c>
      <c r="AK21" s="14" t="s">
        <v>108</v>
      </c>
      <c r="AL21" s="14" t="s">
        <v>59</v>
      </c>
      <c r="AM21" s="14" t="s">
        <v>60</v>
      </c>
      <c r="AN21" s="14" t="s">
        <v>61</v>
      </c>
      <c r="AO21" s="14"/>
      <c r="AP21" s="14" t="s">
        <v>62</v>
      </c>
      <c r="AQ21" s="14" t="str">
        <f>CONCATENATE(AK21, ".", AM21)</f>
        <v>LLN0.GrRef.setSrcRef</v>
      </c>
      <c r="AR21" s="14" t="s">
        <v>63</v>
      </c>
      <c r="AS21" s="12">
        <v>0</v>
      </c>
      <c r="AT21" s="12">
        <v>0</v>
      </c>
      <c r="AU21" s="12">
        <v>0</v>
      </c>
      <c r="AV21" s="12">
        <v>0</v>
      </c>
      <c r="AW21" s="12">
        <f t="shared" ref="AW21:AW23" si="29">BIN2DEC(CONCATENATE(0,0,0,0,AS21,AT21,AU21,AV21))</f>
        <v>0</v>
      </c>
      <c r="AX21" s="44">
        <v>0</v>
      </c>
      <c r="AY21" s="44">
        <f t="shared" si="28"/>
        <v>0</v>
      </c>
      <c r="AZ21" s="15"/>
      <c r="BA21" s="7"/>
      <c r="BB21" s="7"/>
      <c r="BC21" s="7"/>
      <c r="BD21" s="7"/>
      <c r="BE21" s="7"/>
      <c r="BF21" s="7"/>
      <c r="BG21" s="7"/>
      <c r="BH21" s="94" t="str">
        <f t="shared" ref="BH21:BH23" si="30">CONCATENATE("description: """,G21,"""", ", ", "note: """,F21,"""",", ","group: """, C21, """",", ","minValue: ", T21,", ","maxValue: ", U21,", ","step: ", V21,", ","units: """, S21, """",", ","defaultValue: ", Y21,", ","eventRegistration: ", Z21,)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1" s="16" customFormat="1" ht="15.75" x14ac:dyDescent="0.25">
      <c r="A22" s="6"/>
      <c r="B22" s="136"/>
      <c r="C22" s="1" t="s">
        <v>50</v>
      </c>
      <c r="D22" s="7"/>
      <c r="E22" s="91"/>
      <c r="F22" s="8" t="s">
        <v>68</v>
      </c>
      <c r="G22" s="8" t="s">
        <v>69</v>
      </c>
      <c r="H22" s="8" t="s">
        <v>69</v>
      </c>
      <c r="I22" s="91"/>
      <c r="J22" s="92">
        <f>LEN(G22)</f>
        <v>8</v>
      </c>
      <c r="K22" s="92" t="str">
        <f>IF(LEN(G22)&lt;=$K$1,G22,"")</f>
        <v>Ош.крит.</v>
      </c>
      <c r="L22" s="9" t="s">
        <v>70</v>
      </c>
      <c r="M22" s="95" t="s">
        <v>54</v>
      </c>
      <c r="N22" s="93" t="s">
        <v>51</v>
      </c>
      <c r="O22" s="93" t="s">
        <v>52</v>
      </c>
      <c r="P22" s="93"/>
      <c r="Q22" s="7"/>
      <c r="R22" s="7"/>
      <c r="S22" s="93" t="s">
        <v>53</v>
      </c>
      <c r="T22" s="93" t="s">
        <v>53</v>
      </c>
      <c r="U22" s="93" t="s">
        <v>53</v>
      </c>
      <c r="V22" s="93" t="s">
        <v>53</v>
      </c>
      <c r="W22" s="7"/>
      <c r="X22" s="7"/>
      <c r="Y22" s="93" t="s">
        <v>53</v>
      </c>
      <c r="Z22" s="11">
        <v>0</v>
      </c>
      <c r="AA22" s="7"/>
      <c r="AB22" s="12">
        <v>0</v>
      </c>
      <c r="AC22" s="12"/>
      <c r="AD22" s="12"/>
      <c r="AE22" s="12"/>
      <c r="AF22" s="12"/>
      <c r="AG22" s="12">
        <v>0</v>
      </c>
      <c r="AH22" s="12">
        <v>0</v>
      </c>
      <c r="AI22" s="12">
        <v>0</v>
      </c>
      <c r="AJ22" s="13"/>
      <c r="AK22" s="14"/>
      <c r="AL22" s="14"/>
      <c r="AM22" s="14"/>
      <c r="AN22" s="14"/>
      <c r="AO22" s="14"/>
      <c r="AP22" s="14"/>
      <c r="AQ22" s="14"/>
      <c r="AR22" s="14"/>
      <c r="AS22" s="12">
        <v>0</v>
      </c>
      <c r="AT22" s="12">
        <v>0</v>
      </c>
      <c r="AU22" s="12">
        <v>0</v>
      </c>
      <c r="AV22" s="12">
        <v>0</v>
      </c>
      <c r="AW22" s="12">
        <f t="shared" si="29"/>
        <v>0</v>
      </c>
      <c r="AX22" s="44">
        <v>0</v>
      </c>
      <c r="AY22" s="44">
        <f t="shared" si="28"/>
        <v>0</v>
      </c>
      <c r="AZ22" s="15"/>
      <c r="BA22" s="7"/>
      <c r="BB22" s="7"/>
      <c r="BC22" s="7"/>
      <c r="BD22" s="7"/>
      <c r="BE22" s="7"/>
      <c r="BF22" s="7"/>
      <c r="BG22" s="7"/>
      <c r="BH22" s="94" t="str">
        <f t="shared" si="3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1" s="16" customFormat="1" ht="15.75" x14ac:dyDescent="0.25">
      <c r="A23" s="6"/>
      <c r="B23" s="136"/>
      <c r="C23" s="1" t="s">
        <v>50</v>
      </c>
      <c r="D23" s="7"/>
      <c r="E23" s="91"/>
      <c r="F23" s="8" t="s">
        <v>71</v>
      </c>
      <c r="G23" s="8" t="s">
        <v>72</v>
      </c>
      <c r="H23" s="8" t="s">
        <v>72</v>
      </c>
      <c r="I23" s="91"/>
      <c r="J23" s="92">
        <f>LEN(G23)</f>
        <v>6</v>
      </c>
      <c r="K23" s="92" t="str">
        <f>IF(LEN(G23)&lt;=$K$1,G23,"")</f>
        <v>Ошибка</v>
      </c>
      <c r="L23" s="9" t="s">
        <v>73</v>
      </c>
      <c r="M23" s="95" t="s">
        <v>54</v>
      </c>
      <c r="N23" s="93" t="s">
        <v>51</v>
      </c>
      <c r="O23" s="93" t="s">
        <v>52</v>
      </c>
      <c r="P23" s="93"/>
      <c r="Q23" s="7"/>
      <c r="R23" s="7"/>
      <c r="S23" s="93" t="s">
        <v>53</v>
      </c>
      <c r="T23" s="93" t="s">
        <v>53</v>
      </c>
      <c r="U23" s="93" t="s">
        <v>53</v>
      </c>
      <c r="V23" s="93" t="s">
        <v>53</v>
      </c>
      <c r="W23" s="7"/>
      <c r="X23" s="7"/>
      <c r="Y23" s="93" t="s">
        <v>53</v>
      </c>
      <c r="Z23" s="11">
        <v>0</v>
      </c>
      <c r="AA23" s="7"/>
      <c r="AB23" s="12">
        <v>0</v>
      </c>
      <c r="AC23" s="12"/>
      <c r="AD23" s="12"/>
      <c r="AE23" s="12"/>
      <c r="AF23" s="12"/>
      <c r="AG23" s="12">
        <v>0</v>
      </c>
      <c r="AH23" s="12">
        <v>0</v>
      </c>
      <c r="AI23" s="12">
        <v>0</v>
      </c>
      <c r="AJ23" s="13"/>
      <c r="AK23" s="14"/>
      <c r="AL23" s="14"/>
      <c r="AM23" s="14"/>
      <c r="AN23" s="14"/>
      <c r="AO23" s="14"/>
      <c r="AP23" s="14"/>
      <c r="AQ23" s="14"/>
      <c r="AR23" s="14"/>
      <c r="AS23" s="12">
        <v>0</v>
      </c>
      <c r="AT23" s="12">
        <v>0</v>
      </c>
      <c r="AU23" s="12">
        <v>0</v>
      </c>
      <c r="AV23" s="12">
        <v>0</v>
      </c>
      <c r="AW23" s="12">
        <f t="shared" si="29"/>
        <v>0</v>
      </c>
      <c r="AX23" s="44">
        <v>0</v>
      </c>
      <c r="AY23" s="44">
        <f t="shared" si="28"/>
        <v>0</v>
      </c>
      <c r="AZ23" s="15"/>
      <c r="BA23" s="7"/>
      <c r="BB23" s="7"/>
      <c r="BC23" s="7"/>
      <c r="BD23" s="7"/>
      <c r="BE23" s="7"/>
      <c r="BF23" s="7"/>
      <c r="BG23" s="7"/>
      <c r="BH23" s="94" t="str">
        <f t="shared" si="30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1" s="19" customFormat="1" ht="15.75" x14ac:dyDescent="0.25">
      <c r="A24" s="18"/>
      <c r="B24" s="18"/>
      <c r="C24" s="18"/>
      <c r="D24" s="18"/>
      <c r="E24" s="18"/>
      <c r="S24" s="20"/>
      <c r="T24" s="21"/>
      <c r="U24" s="21"/>
      <c r="V24" s="21"/>
      <c r="W24" s="21"/>
      <c r="X24" s="21"/>
      <c r="Y24" s="21"/>
      <c r="Z24" s="21"/>
      <c r="AA24" s="18"/>
      <c r="AB24" s="21"/>
      <c r="AC24" s="21"/>
      <c r="AD24" s="21"/>
      <c r="AE24" s="21"/>
      <c r="AF24" s="21"/>
      <c r="AG24" s="21"/>
      <c r="AH24" s="21"/>
      <c r="AI24" s="18"/>
      <c r="AJ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58"/>
      <c r="BD24" s="21"/>
      <c r="BE24" s="58"/>
      <c r="BF24" s="21"/>
      <c r="BG24" s="21"/>
      <c r="BH24" s="18"/>
      <c r="BI24" s="18"/>
    </row>
    <row r="25" spans="1:61" s="19" customFormat="1" ht="15.75" x14ac:dyDescent="0.25">
      <c r="A25" s="18"/>
      <c r="B25" s="18"/>
      <c r="C25" s="18"/>
      <c r="D25" s="18"/>
      <c r="E25" s="18"/>
      <c r="S25" s="20"/>
      <c r="T25" s="21"/>
      <c r="U25" s="21"/>
      <c r="V25" s="21"/>
      <c r="W25" s="21"/>
      <c r="X25" s="21"/>
      <c r="Y25" s="21"/>
      <c r="Z25" s="21"/>
      <c r="AA25" s="18"/>
      <c r="AB25" s="21"/>
      <c r="AC25" s="21"/>
      <c r="AD25" s="21"/>
      <c r="AE25" s="21"/>
      <c r="AF25" s="21"/>
      <c r="AG25" s="21"/>
      <c r="AH25" s="21"/>
      <c r="AI25" s="18"/>
      <c r="AJ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58"/>
      <c r="BD25" s="21"/>
      <c r="BE25" s="58"/>
      <c r="BF25" s="21"/>
      <c r="BG25" s="21"/>
      <c r="BH25" s="18"/>
      <c r="BI25" s="18"/>
    </row>
    <row r="26" spans="1:61" s="19" customFormat="1" ht="15.75" x14ac:dyDescent="0.25">
      <c r="A26" s="18"/>
      <c r="B26" s="18"/>
      <c r="C26" s="18"/>
      <c r="D26" s="18"/>
      <c r="E26" s="18"/>
      <c r="S26" s="20"/>
      <c r="T26" s="21"/>
      <c r="U26" s="21"/>
      <c r="V26" s="21"/>
      <c r="W26" s="21"/>
      <c r="X26" s="21"/>
      <c r="Y26" s="21"/>
      <c r="Z26" s="21"/>
      <c r="AA26" s="18"/>
      <c r="AB26" s="21"/>
      <c r="AC26" s="21"/>
      <c r="AD26" s="21"/>
      <c r="AE26" s="21"/>
      <c r="AF26" s="21"/>
      <c r="AG26" s="21"/>
      <c r="AH26" s="21"/>
      <c r="AI26" s="18"/>
      <c r="AJ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58"/>
      <c r="BD26" s="21"/>
      <c r="BE26" s="58"/>
      <c r="BF26" s="21"/>
      <c r="BG26" s="21"/>
      <c r="BH26" s="18"/>
      <c r="BI26" s="18"/>
    </row>
    <row r="27" spans="1:61" s="19" customFormat="1" ht="15.75" x14ac:dyDescent="0.25">
      <c r="A27" s="18"/>
      <c r="B27" s="18"/>
      <c r="C27" s="18"/>
      <c r="D27" s="18"/>
      <c r="E27" s="18"/>
      <c r="S27" s="20"/>
      <c r="T27" s="21"/>
      <c r="U27" s="21"/>
      <c r="V27" s="21"/>
      <c r="W27" s="21"/>
      <c r="X27" s="21"/>
      <c r="Y27" s="21"/>
      <c r="Z27" s="21"/>
      <c r="AA27" s="18"/>
      <c r="AB27" s="21"/>
      <c r="AC27" s="21"/>
      <c r="AD27" s="21"/>
      <c r="AE27" s="21"/>
      <c r="AF27" s="21"/>
      <c r="AG27" s="21"/>
      <c r="AH27" s="21"/>
      <c r="AI27" s="18"/>
      <c r="AJ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58"/>
      <c r="BD27" s="21"/>
      <c r="BE27" s="58"/>
      <c r="BF27" s="21"/>
      <c r="BG27" s="21"/>
      <c r="BH27" s="18"/>
      <c r="BI27" s="18"/>
    </row>
    <row r="28" spans="1:61" s="19" customFormat="1" ht="15.75" x14ac:dyDescent="0.25">
      <c r="A28" s="18"/>
      <c r="B28" s="18"/>
      <c r="C28" s="18"/>
      <c r="D28" s="18"/>
      <c r="E28" s="18"/>
      <c r="S28" s="20"/>
      <c r="T28" s="21"/>
      <c r="U28" s="21"/>
      <c r="V28" s="21"/>
      <c r="W28" s="21"/>
      <c r="X28" s="21"/>
      <c r="Y28" s="21"/>
      <c r="Z28" s="21"/>
      <c r="AA28" s="18"/>
      <c r="AB28" s="21"/>
      <c r="AC28" s="21"/>
      <c r="AD28" s="21"/>
      <c r="AE28" s="21"/>
      <c r="AF28" s="21"/>
      <c r="AG28" s="21"/>
      <c r="AH28" s="21"/>
      <c r="AI28" s="18"/>
      <c r="AJ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58"/>
      <c r="BD28" s="21"/>
      <c r="BE28" s="58"/>
      <c r="BF28" s="21"/>
      <c r="BG28" s="21"/>
      <c r="BH28" s="18"/>
      <c r="BI28" s="18"/>
    </row>
    <row r="29" spans="1:61" s="19" customFormat="1" ht="15.75" x14ac:dyDescent="0.25">
      <c r="A29" s="18"/>
      <c r="B29" s="18"/>
      <c r="C29" s="18"/>
      <c r="D29" s="18"/>
      <c r="E29" s="18"/>
      <c r="S29" s="20"/>
      <c r="T29" s="21"/>
      <c r="U29" s="21"/>
      <c r="V29" s="21"/>
      <c r="W29" s="21"/>
      <c r="X29" s="21"/>
      <c r="Y29" s="21"/>
      <c r="Z29" s="21"/>
      <c r="AA29" s="18"/>
      <c r="AB29" s="21"/>
      <c r="AC29" s="21"/>
      <c r="AD29" s="21"/>
      <c r="AE29" s="21"/>
      <c r="AF29" s="21"/>
      <c r="AG29" s="21"/>
      <c r="AH29" s="21"/>
      <c r="AI29" s="18"/>
      <c r="AJ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58"/>
      <c r="BD29" s="21"/>
      <c r="BE29" s="58"/>
      <c r="BF29" s="21"/>
      <c r="BG29" s="21"/>
      <c r="BH29" s="18"/>
      <c r="BI29" s="18"/>
    </row>
    <row r="30" spans="1:61" s="19" customFormat="1" ht="15.75" x14ac:dyDescent="0.25">
      <c r="A30" s="18"/>
      <c r="B30" s="18"/>
      <c r="C30" s="18"/>
      <c r="D30" s="18"/>
      <c r="E30" s="18"/>
      <c r="S30" s="20"/>
      <c r="T30" s="21"/>
      <c r="U30" s="21"/>
      <c r="V30" s="21"/>
      <c r="W30" s="21"/>
      <c r="X30" s="21"/>
      <c r="Y30" s="21"/>
      <c r="Z30" s="21"/>
      <c r="AA30" s="18"/>
      <c r="AB30" s="21"/>
      <c r="AC30" s="21"/>
      <c r="AD30" s="21"/>
      <c r="AE30" s="21"/>
      <c r="AF30" s="21"/>
      <c r="AG30" s="21"/>
      <c r="AH30" s="21"/>
      <c r="AI30" s="18"/>
      <c r="AJ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58"/>
      <c r="BD30" s="21"/>
      <c r="BE30" s="58"/>
      <c r="BF30" s="21"/>
      <c r="BG30" s="21"/>
      <c r="BH30" s="18"/>
      <c r="BI30" s="18"/>
    </row>
    <row r="31" spans="1:61" s="19" customFormat="1" ht="15.75" x14ac:dyDescent="0.25">
      <c r="A31" s="18"/>
      <c r="B31" s="18"/>
      <c r="C31" s="18"/>
      <c r="D31" s="18"/>
      <c r="E31" s="18"/>
      <c r="S31" s="20"/>
      <c r="T31" s="21"/>
      <c r="U31" s="21"/>
      <c r="V31" s="21"/>
      <c r="W31" s="21"/>
      <c r="X31" s="21"/>
      <c r="Y31" s="21"/>
      <c r="Z31" s="21"/>
      <c r="AA31" s="18"/>
      <c r="AB31" s="21"/>
      <c r="AC31" s="21"/>
      <c r="AD31" s="21"/>
      <c r="AE31" s="21"/>
      <c r="AF31" s="21"/>
      <c r="AG31" s="21"/>
      <c r="AH31" s="21"/>
      <c r="AI31" s="18"/>
      <c r="AJ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58"/>
      <c r="BD31" s="21"/>
      <c r="BE31" s="58"/>
      <c r="BF31" s="21"/>
      <c r="BG31" s="21"/>
      <c r="BH31" s="18"/>
      <c r="BI31" s="18"/>
    </row>
    <row r="32" spans="1:61" s="19" customFormat="1" ht="15.75" x14ac:dyDescent="0.25">
      <c r="A32" s="18"/>
      <c r="B32" s="18"/>
      <c r="C32" s="18"/>
      <c r="D32" s="18"/>
      <c r="E32" s="18"/>
      <c r="S32" s="20"/>
      <c r="T32" s="21"/>
      <c r="U32" s="21"/>
      <c r="V32" s="21"/>
      <c r="W32" s="21"/>
      <c r="X32" s="21"/>
      <c r="Y32" s="21"/>
      <c r="Z32" s="21"/>
      <c r="AA32" s="18"/>
      <c r="AB32" s="21"/>
      <c r="AC32" s="21"/>
      <c r="AD32" s="21"/>
      <c r="AE32" s="21"/>
      <c r="AF32" s="21"/>
      <c r="AG32" s="21"/>
      <c r="AH32" s="21"/>
      <c r="AI32" s="18"/>
      <c r="AJ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58"/>
      <c r="BD32" s="21"/>
      <c r="BE32" s="58"/>
      <c r="BF32" s="21"/>
      <c r="BG32" s="21"/>
      <c r="BH32" s="18"/>
      <c r="BI32" s="18"/>
    </row>
    <row r="33" spans="1:61" s="19" customFormat="1" ht="15.75" x14ac:dyDescent="0.25">
      <c r="A33" s="18"/>
      <c r="B33" s="18"/>
      <c r="C33" s="18"/>
      <c r="D33" s="18"/>
      <c r="E33" s="18"/>
      <c r="S33" s="20"/>
      <c r="T33" s="21"/>
      <c r="U33" s="21"/>
      <c r="V33" s="21"/>
      <c r="W33" s="21"/>
      <c r="X33" s="21"/>
      <c r="Y33" s="21"/>
      <c r="Z33" s="21"/>
      <c r="AA33" s="18"/>
      <c r="AB33" s="21"/>
      <c r="AC33" s="21"/>
      <c r="AD33" s="21"/>
      <c r="AE33" s="21"/>
      <c r="AF33" s="21"/>
      <c r="AG33" s="21"/>
      <c r="AH33" s="21"/>
      <c r="AI33" s="18"/>
      <c r="AJ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58"/>
      <c r="BD33" s="21"/>
      <c r="BE33" s="58"/>
      <c r="BF33" s="21"/>
      <c r="BG33" s="21"/>
      <c r="BH33" s="18"/>
      <c r="BI33" s="18"/>
    </row>
    <row r="34" spans="1:61" s="19" customFormat="1" ht="15.75" x14ac:dyDescent="0.25">
      <c r="A34" s="18"/>
      <c r="B34" s="18"/>
      <c r="C34" s="18"/>
      <c r="D34" s="18"/>
      <c r="E34" s="18"/>
      <c r="S34" s="20"/>
      <c r="T34" s="21"/>
      <c r="U34" s="21"/>
      <c r="V34" s="21"/>
      <c r="W34" s="21"/>
      <c r="X34" s="21"/>
      <c r="Y34" s="21"/>
      <c r="Z34" s="21"/>
      <c r="AA34" s="18"/>
      <c r="AB34" s="21"/>
      <c r="AC34" s="21"/>
      <c r="AD34" s="21"/>
      <c r="AE34" s="21"/>
      <c r="AF34" s="21"/>
      <c r="AG34" s="21"/>
      <c r="AH34" s="21"/>
      <c r="AI34" s="18"/>
      <c r="AJ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58"/>
      <c r="BD34" s="21"/>
      <c r="BE34" s="58"/>
      <c r="BF34" s="21"/>
      <c r="BG34" s="21"/>
      <c r="BH34" s="18"/>
      <c r="BI34" s="18"/>
    </row>
    <row r="35" spans="1:61" s="19" customFormat="1" ht="15.75" x14ac:dyDescent="0.25">
      <c r="A35" s="18"/>
      <c r="B35" s="18"/>
      <c r="C35" s="18"/>
      <c r="D35" s="18"/>
      <c r="E35" s="18"/>
      <c r="S35" s="20"/>
      <c r="T35" s="21"/>
      <c r="U35" s="21"/>
      <c r="V35" s="21"/>
      <c r="W35" s="21"/>
      <c r="X35" s="21"/>
      <c r="Y35" s="21"/>
      <c r="Z35" s="21"/>
      <c r="AA35" s="18"/>
      <c r="AB35" s="21"/>
      <c r="AC35" s="21"/>
      <c r="AD35" s="21"/>
      <c r="AE35" s="21"/>
      <c r="AF35" s="21"/>
      <c r="AG35" s="21"/>
      <c r="AH35" s="21"/>
      <c r="AI35" s="18"/>
      <c r="AJ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58"/>
      <c r="BD35" s="21"/>
      <c r="BE35" s="58"/>
      <c r="BF35" s="21"/>
      <c r="BG35" s="21"/>
      <c r="BH35" s="18"/>
      <c r="BI35" s="18"/>
    </row>
    <row r="36" spans="1:61" s="19" customFormat="1" ht="15.75" x14ac:dyDescent="0.25">
      <c r="A36" s="18"/>
      <c r="B36" s="18"/>
      <c r="C36" s="18"/>
      <c r="D36" s="18"/>
      <c r="E36" s="18"/>
      <c r="S36" s="20"/>
      <c r="T36" s="21"/>
      <c r="U36" s="21"/>
      <c r="V36" s="21"/>
      <c r="W36" s="21"/>
      <c r="X36" s="21"/>
      <c r="Y36" s="21"/>
      <c r="Z36" s="21"/>
      <c r="AA36" s="18"/>
      <c r="AB36" s="21"/>
      <c r="AC36" s="21"/>
      <c r="AD36" s="21"/>
      <c r="AE36" s="21"/>
      <c r="AF36" s="21"/>
      <c r="AG36" s="21"/>
      <c r="AH36" s="21"/>
      <c r="AI36" s="18"/>
      <c r="AJ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58"/>
      <c r="BD36" s="21"/>
      <c r="BE36" s="58"/>
      <c r="BF36" s="21"/>
      <c r="BG36" s="21"/>
      <c r="BH36" s="18"/>
      <c r="BI36" s="18"/>
    </row>
    <row r="37" spans="1:61" s="19" customFormat="1" ht="15.75" x14ac:dyDescent="0.25">
      <c r="A37" s="18"/>
      <c r="B37" s="18"/>
      <c r="C37" s="18"/>
      <c r="D37" s="18"/>
      <c r="E37" s="18"/>
      <c r="S37" s="20"/>
      <c r="T37" s="21"/>
      <c r="U37" s="21"/>
      <c r="V37" s="21"/>
      <c r="W37" s="21"/>
      <c r="X37" s="21"/>
      <c r="Y37" s="21"/>
      <c r="Z37" s="21"/>
      <c r="AA37" s="18"/>
      <c r="AB37" s="21"/>
      <c r="AC37" s="21"/>
      <c r="AD37" s="21"/>
      <c r="AE37" s="21"/>
      <c r="AF37" s="21"/>
      <c r="AG37" s="21"/>
      <c r="AH37" s="21"/>
      <c r="AI37" s="18"/>
      <c r="AJ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58"/>
      <c r="BD37" s="21"/>
      <c r="BE37" s="58"/>
      <c r="BF37" s="21"/>
      <c r="BG37" s="21"/>
      <c r="BH37" s="18"/>
      <c r="BI37" s="18"/>
    </row>
    <row r="38" spans="1:61" s="19" customFormat="1" ht="15.75" x14ac:dyDescent="0.25">
      <c r="A38" s="18"/>
      <c r="B38" s="18"/>
      <c r="C38" s="18"/>
      <c r="D38" s="18"/>
      <c r="E38" s="18"/>
      <c r="S38" s="20"/>
      <c r="T38" s="21"/>
      <c r="U38" s="21"/>
      <c r="V38" s="21"/>
      <c r="W38" s="21"/>
      <c r="X38" s="21"/>
      <c r="Y38" s="21"/>
      <c r="Z38" s="21"/>
      <c r="AA38" s="18"/>
      <c r="AB38" s="21"/>
      <c r="AC38" s="21"/>
      <c r="AD38" s="21"/>
      <c r="AE38" s="21"/>
      <c r="AF38" s="21"/>
      <c r="AG38" s="21"/>
      <c r="AH38" s="21"/>
      <c r="AI38" s="18"/>
      <c r="AJ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58"/>
      <c r="BD38" s="21"/>
      <c r="BE38" s="58"/>
      <c r="BF38" s="21"/>
      <c r="BG38" s="21"/>
      <c r="BH38" s="18"/>
      <c r="BI38" s="18"/>
    </row>
    <row r="39" spans="1:61" s="19" customFormat="1" ht="15.75" x14ac:dyDescent="0.25">
      <c r="A39" s="18"/>
      <c r="B39" s="18"/>
      <c r="C39" s="18"/>
      <c r="D39" s="18"/>
      <c r="E39" s="18"/>
      <c r="S39" s="20"/>
      <c r="T39" s="21"/>
      <c r="U39" s="21"/>
      <c r="V39" s="21"/>
      <c r="W39" s="21"/>
      <c r="X39" s="21"/>
      <c r="Y39" s="21"/>
      <c r="Z39" s="21"/>
      <c r="AA39" s="18"/>
      <c r="AB39" s="21"/>
      <c r="AC39" s="21"/>
      <c r="AD39" s="21"/>
      <c r="AE39" s="21"/>
      <c r="AF39" s="21"/>
      <c r="AG39" s="21"/>
      <c r="AH39" s="21"/>
      <c r="AI39" s="18"/>
      <c r="AJ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58"/>
      <c r="BD39" s="21"/>
      <c r="BE39" s="58"/>
      <c r="BF39" s="21"/>
      <c r="BG39" s="21"/>
      <c r="BH39" s="18"/>
      <c r="BI39" s="18"/>
    </row>
    <row r="40" spans="1:61" s="19" customFormat="1" ht="15.75" x14ac:dyDescent="0.25">
      <c r="A40" s="18"/>
      <c r="B40" s="18"/>
      <c r="C40" s="18"/>
      <c r="D40" s="18"/>
      <c r="E40" s="18"/>
      <c r="S40" s="20"/>
      <c r="T40" s="21"/>
      <c r="U40" s="21"/>
      <c r="V40" s="21"/>
      <c r="W40" s="21"/>
      <c r="X40" s="21"/>
      <c r="Y40" s="21"/>
      <c r="Z40" s="21"/>
      <c r="AA40" s="18"/>
      <c r="AB40" s="21"/>
      <c r="AC40" s="21"/>
      <c r="AD40" s="21"/>
      <c r="AE40" s="21"/>
      <c r="AF40" s="21"/>
      <c r="AG40" s="21"/>
      <c r="AH40" s="21"/>
      <c r="AI40" s="18"/>
      <c r="AJ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58"/>
      <c r="BD40" s="21"/>
      <c r="BE40" s="58"/>
      <c r="BF40" s="21"/>
      <c r="BG40" s="21"/>
      <c r="BH40" s="18"/>
      <c r="BI40" s="18"/>
    </row>
    <row r="41" spans="1:61" s="19" customFormat="1" ht="15.75" x14ac:dyDescent="0.25">
      <c r="A41" s="18"/>
      <c r="B41" s="18"/>
      <c r="C41" s="18"/>
      <c r="D41" s="18"/>
      <c r="E41" s="18"/>
      <c r="S41" s="20"/>
      <c r="T41" s="21"/>
      <c r="U41" s="21"/>
      <c r="V41" s="21"/>
      <c r="W41" s="21"/>
      <c r="X41" s="21"/>
      <c r="Y41" s="21"/>
      <c r="Z41" s="21"/>
      <c r="AA41" s="18"/>
      <c r="AB41" s="21"/>
      <c r="AC41" s="21"/>
      <c r="AD41" s="21"/>
      <c r="AE41" s="21"/>
      <c r="AF41" s="21"/>
      <c r="AG41" s="21"/>
      <c r="AH41" s="21"/>
      <c r="AI41" s="18"/>
      <c r="AJ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58"/>
      <c r="BD41" s="21"/>
      <c r="BE41" s="58"/>
      <c r="BF41" s="21"/>
      <c r="BG41" s="21"/>
      <c r="BH41" s="18"/>
      <c r="BI41" s="18"/>
    </row>
    <row r="42" spans="1:61" s="19" customFormat="1" ht="15.75" x14ac:dyDescent="0.25">
      <c r="A42" s="18"/>
      <c r="B42" s="18"/>
      <c r="C42" s="18"/>
      <c r="D42" s="18"/>
      <c r="E42" s="18"/>
      <c r="S42" s="20"/>
      <c r="T42" s="21"/>
      <c r="U42" s="21"/>
      <c r="V42" s="21"/>
      <c r="W42" s="21"/>
      <c r="X42" s="21"/>
      <c r="Y42" s="21"/>
      <c r="Z42" s="21"/>
      <c r="AA42" s="18"/>
      <c r="AB42" s="21"/>
      <c r="AC42" s="21"/>
      <c r="AD42" s="21"/>
      <c r="AE42" s="21"/>
      <c r="AF42" s="21"/>
      <c r="AG42" s="21"/>
      <c r="AH42" s="21"/>
      <c r="AI42" s="18"/>
      <c r="AJ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58"/>
      <c r="BD42" s="21"/>
      <c r="BE42" s="58"/>
      <c r="BF42" s="21"/>
      <c r="BG42" s="21"/>
      <c r="BH42" s="18"/>
      <c r="BI42" s="18"/>
    </row>
    <row r="43" spans="1:61" s="19" customFormat="1" ht="15.75" x14ac:dyDescent="0.25">
      <c r="A43" s="18"/>
      <c r="B43" s="18"/>
      <c r="C43" s="18"/>
      <c r="D43" s="18"/>
      <c r="E43" s="18"/>
      <c r="S43" s="20"/>
      <c r="T43" s="21"/>
      <c r="U43" s="21"/>
      <c r="V43" s="21"/>
      <c r="W43" s="21"/>
      <c r="X43" s="21"/>
      <c r="Y43" s="21"/>
      <c r="Z43" s="21"/>
      <c r="AA43" s="18"/>
      <c r="AB43" s="21"/>
      <c r="AC43" s="21"/>
      <c r="AD43" s="21"/>
      <c r="AE43" s="21"/>
      <c r="AF43" s="21"/>
      <c r="AG43" s="21"/>
      <c r="AH43" s="21"/>
      <c r="AI43" s="18"/>
      <c r="AJ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58"/>
      <c r="BD43" s="21"/>
      <c r="BE43" s="58"/>
      <c r="BF43" s="21"/>
      <c r="BG43" s="21"/>
      <c r="BH43" s="18"/>
      <c r="BI43" s="18"/>
    </row>
    <row r="44" spans="1:61" s="19" customFormat="1" ht="15.75" x14ac:dyDescent="0.25">
      <c r="A44" s="18"/>
      <c r="B44" s="18"/>
      <c r="C44" s="18"/>
      <c r="D44" s="18"/>
      <c r="E44" s="18"/>
      <c r="S44" s="20"/>
      <c r="T44" s="21"/>
      <c r="U44" s="21"/>
      <c r="V44" s="21"/>
      <c r="W44" s="21"/>
      <c r="X44" s="21"/>
      <c r="Y44" s="21"/>
      <c r="Z44" s="21"/>
      <c r="AA44" s="18"/>
      <c r="AB44" s="21"/>
      <c r="AC44" s="21"/>
      <c r="AD44" s="21"/>
      <c r="AE44" s="21"/>
      <c r="AF44" s="21"/>
      <c r="AG44" s="21"/>
      <c r="AH44" s="21"/>
      <c r="AI44" s="18"/>
      <c r="AJ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58"/>
      <c r="BD44" s="21"/>
      <c r="BE44" s="58"/>
      <c r="BF44" s="21"/>
      <c r="BG44" s="21"/>
      <c r="BH44" s="18"/>
      <c r="BI44" s="18"/>
    </row>
    <row r="45" spans="1:61" s="19" customFormat="1" ht="15.75" x14ac:dyDescent="0.25">
      <c r="A45" s="18"/>
      <c r="B45" s="18"/>
      <c r="C45" s="18"/>
      <c r="D45" s="18"/>
      <c r="E45" s="18"/>
      <c r="S45" s="20"/>
      <c r="T45" s="21"/>
      <c r="U45" s="21"/>
      <c r="V45" s="21"/>
      <c r="W45" s="21"/>
      <c r="X45" s="21"/>
      <c r="Y45" s="21"/>
      <c r="Z45" s="21"/>
      <c r="AA45" s="18"/>
      <c r="AB45" s="21"/>
      <c r="AC45" s="21"/>
      <c r="AD45" s="21"/>
      <c r="AE45" s="21"/>
      <c r="AF45" s="21"/>
      <c r="AG45" s="21"/>
      <c r="AH45" s="21"/>
      <c r="AI45" s="18"/>
      <c r="AJ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58"/>
      <c r="BD45" s="21"/>
      <c r="BE45" s="58"/>
      <c r="BF45" s="21"/>
      <c r="BG45" s="21"/>
      <c r="BH45" s="18"/>
      <c r="BI45" s="18"/>
    </row>
    <row r="46" spans="1:61" s="19" customFormat="1" ht="15.75" x14ac:dyDescent="0.25">
      <c r="A46" s="18"/>
      <c r="B46" s="18"/>
      <c r="C46" s="18"/>
      <c r="D46" s="18"/>
      <c r="E46" s="18"/>
      <c r="S46" s="20"/>
      <c r="T46" s="21"/>
      <c r="U46" s="21"/>
      <c r="V46" s="21"/>
      <c r="W46" s="21"/>
      <c r="X46" s="21"/>
      <c r="Y46" s="21"/>
      <c r="Z46" s="21"/>
      <c r="AA46" s="18"/>
      <c r="AB46" s="21"/>
      <c r="AC46" s="21"/>
      <c r="AD46" s="21"/>
      <c r="AE46" s="21"/>
      <c r="AF46" s="21"/>
      <c r="AG46" s="21"/>
      <c r="AH46" s="21"/>
      <c r="AI46" s="18"/>
      <c r="AJ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58"/>
      <c r="BD46" s="21"/>
      <c r="BE46" s="58"/>
      <c r="BF46" s="21"/>
      <c r="BG46" s="21"/>
      <c r="BH46" s="18"/>
      <c r="BI46" s="18"/>
    </row>
    <row r="47" spans="1:61" s="19" customFormat="1" ht="15.75" x14ac:dyDescent="0.25">
      <c r="A47" s="18"/>
      <c r="B47" s="18"/>
      <c r="C47" s="18"/>
      <c r="D47" s="18"/>
      <c r="E47" s="18"/>
      <c r="S47" s="20"/>
      <c r="T47" s="21"/>
      <c r="U47" s="21"/>
      <c r="V47" s="21"/>
      <c r="W47" s="21"/>
      <c r="X47" s="21"/>
      <c r="Y47" s="21"/>
      <c r="Z47" s="21"/>
      <c r="AA47" s="18"/>
      <c r="AB47" s="21"/>
      <c r="AC47" s="21"/>
      <c r="AD47" s="21"/>
      <c r="AE47" s="21"/>
      <c r="AF47" s="21"/>
      <c r="AG47" s="21"/>
      <c r="AH47" s="21"/>
      <c r="AI47" s="18"/>
      <c r="AJ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58"/>
      <c r="BD47" s="21"/>
      <c r="BE47" s="58"/>
      <c r="BF47" s="21"/>
      <c r="BG47" s="21"/>
      <c r="BH47" s="18"/>
      <c r="BI47" s="18"/>
    </row>
    <row r="48" spans="1:61" s="19" customFormat="1" ht="15.75" x14ac:dyDescent="0.25">
      <c r="A48" s="18"/>
      <c r="B48" s="18"/>
      <c r="C48" s="18"/>
      <c r="D48" s="18"/>
      <c r="E48" s="18"/>
      <c r="S48" s="20"/>
      <c r="T48" s="21"/>
      <c r="U48" s="21"/>
      <c r="V48" s="21"/>
      <c r="W48" s="21"/>
      <c r="X48" s="21"/>
      <c r="Y48" s="21"/>
      <c r="Z48" s="21"/>
      <c r="AA48" s="18"/>
      <c r="AB48" s="21"/>
      <c r="AC48" s="21"/>
      <c r="AD48" s="21"/>
      <c r="AE48" s="21"/>
      <c r="AF48" s="21"/>
      <c r="AG48" s="21"/>
      <c r="AH48" s="21"/>
      <c r="AI48" s="18"/>
      <c r="AJ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58"/>
      <c r="BD48" s="21"/>
      <c r="BE48" s="58"/>
      <c r="BF48" s="21"/>
      <c r="BG48" s="21"/>
      <c r="BH48" s="18"/>
      <c r="BI48" s="18"/>
    </row>
    <row r="49" spans="1:61" s="19" customFormat="1" ht="15.75" x14ac:dyDescent="0.25">
      <c r="A49" s="18"/>
      <c r="B49" s="18"/>
      <c r="C49" s="18"/>
      <c r="D49" s="18"/>
      <c r="E49" s="18"/>
      <c r="S49" s="20"/>
      <c r="T49" s="21"/>
      <c r="U49" s="21"/>
      <c r="V49" s="21"/>
      <c r="W49" s="21"/>
      <c r="X49" s="21"/>
      <c r="Y49" s="21"/>
      <c r="Z49" s="21"/>
      <c r="AA49" s="18"/>
      <c r="AB49" s="21"/>
      <c r="AC49" s="21"/>
      <c r="AD49" s="21"/>
      <c r="AE49" s="21"/>
      <c r="AF49" s="21"/>
      <c r="AG49" s="21"/>
      <c r="AH49" s="21"/>
      <c r="AI49" s="18"/>
      <c r="AJ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58"/>
      <c r="BD49" s="21"/>
      <c r="BE49" s="58"/>
      <c r="BF49" s="21"/>
      <c r="BG49" s="21"/>
      <c r="BH49" s="18"/>
      <c r="BI49" s="18"/>
    </row>
    <row r="50" spans="1:61" s="19" customFormat="1" ht="15.75" x14ac:dyDescent="0.25">
      <c r="A50" s="18"/>
      <c r="B50" s="18"/>
      <c r="C50" s="18"/>
      <c r="D50" s="18"/>
      <c r="E50" s="18"/>
      <c r="S50" s="20"/>
      <c r="T50" s="21"/>
      <c r="U50" s="21"/>
      <c r="V50" s="21"/>
      <c r="W50" s="21"/>
      <c r="X50" s="21"/>
      <c r="Y50" s="21"/>
      <c r="Z50" s="21"/>
      <c r="AA50" s="18"/>
      <c r="AB50" s="21"/>
      <c r="AC50" s="21"/>
      <c r="AD50" s="21"/>
      <c r="AE50" s="21"/>
      <c r="AF50" s="21"/>
      <c r="AG50" s="21"/>
      <c r="AH50" s="21"/>
      <c r="AI50" s="18"/>
      <c r="AJ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58"/>
      <c r="BD50" s="21"/>
      <c r="BE50" s="58"/>
      <c r="BF50" s="21"/>
      <c r="BG50" s="21"/>
      <c r="BH50" s="18"/>
      <c r="BI50" s="18"/>
    </row>
    <row r="51" spans="1:61" s="19" customFormat="1" ht="15.75" x14ac:dyDescent="0.25">
      <c r="A51" s="18"/>
      <c r="B51" s="18"/>
      <c r="C51" s="18"/>
      <c r="D51" s="18"/>
      <c r="E51" s="18"/>
      <c r="S51" s="20"/>
      <c r="T51" s="21"/>
      <c r="U51" s="21"/>
      <c r="V51" s="21"/>
      <c r="W51" s="21"/>
      <c r="X51" s="21"/>
      <c r="Y51" s="21"/>
      <c r="Z51" s="21"/>
      <c r="AA51" s="18"/>
      <c r="AB51" s="21"/>
      <c r="AC51" s="21"/>
      <c r="AD51" s="21"/>
      <c r="AE51" s="21"/>
      <c r="AF51" s="21"/>
      <c r="AG51" s="21"/>
      <c r="AH51" s="21"/>
      <c r="AI51" s="18"/>
      <c r="AJ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58"/>
      <c r="BD51" s="21"/>
      <c r="BE51" s="58"/>
      <c r="BF51" s="21"/>
      <c r="BG51" s="21"/>
      <c r="BH51" s="18"/>
      <c r="BI51" s="18"/>
    </row>
    <row r="52" spans="1:61" s="19" customFormat="1" ht="15.75" x14ac:dyDescent="0.25">
      <c r="A52" s="18"/>
      <c r="B52" s="18"/>
      <c r="C52" s="18"/>
      <c r="D52" s="18"/>
      <c r="E52" s="18"/>
      <c r="S52" s="20"/>
      <c r="T52" s="21"/>
      <c r="U52" s="21"/>
      <c r="V52" s="21"/>
      <c r="W52" s="21"/>
      <c r="X52" s="21"/>
      <c r="Y52" s="21"/>
      <c r="Z52" s="21"/>
      <c r="AA52" s="18"/>
      <c r="AB52" s="21"/>
      <c r="AC52" s="21"/>
      <c r="AD52" s="21"/>
      <c r="AE52" s="21"/>
      <c r="AF52" s="21"/>
      <c r="AG52" s="21"/>
      <c r="AH52" s="21"/>
      <c r="AI52" s="18"/>
      <c r="AJ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58"/>
      <c r="BD52" s="21"/>
      <c r="BE52" s="58"/>
      <c r="BF52" s="21"/>
      <c r="BG52" s="21"/>
      <c r="BH52" s="18"/>
      <c r="BI52" s="18"/>
    </row>
    <row r="53" spans="1:61" s="19" customFormat="1" ht="15.75" x14ac:dyDescent="0.25">
      <c r="A53" s="18"/>
      <c r="B53" s="18"/>
      <c r="C53" s="18"/>
      <c r="D53" s="18"/>
      <c r="E53" s="18"/>
      <c r="S53" s="20"/>
      <c r="T53" s="21"/>
      <c r="U53" s="21"/>
      <c r="V53" s="21"/>
      <c r="W53" s="21"/>
      <c r="X53" s="21"/>
      <c r="Y53" s="21"/>
      <c r="Z53" s="21"/>
      <c r="AA53" s="18"/>
      <c r="AB53" s="21"/>
      <c r="AC53" s="21"/>
      <c r="AD53" s="21"/>
      <c r="AE53" s="21"/>
      <c r="AF53" s="21"/>
      <c r="AG53" s="21"/>
      <c r="AH53" s="21"/>
      <c r="AI53" s="18"/>
      <c r="AJ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58"/>
      <c r="BD53" s="21"/>
      <c r="BE53" s="58"/>
      <c r="BF53" s="21"/>
      <c r="BG53" s="21"/>
      <c r="BH53" s="18"/>
      <c r="BI53" s="18"/>
    </row>
    <row r="54" spans="1:61" s="19" customFormat="1" ht="15.75" x14ac:dyDescent="0.25">
      <c r="A54" s="18"/>
      <c r="B54" s="18"/>
      <c r="C54" s="18"/>
      <c r="D54" s="18"/>
      <c r="E54" s="18"/>
      <c r="S54" s="20"/>
      <c r="T54" s="21"/>
      <c r="U54" s="21"/>
      <c r="V54" s="21"/>
      <c r="W54" s="21"/>
      <c r="X54" s="21"/>
      <c r="Y54" s="21"/>
      <c r="Z54" s="21"/>
      <c r="AA54" s="18"/>
      <c r="AB54" s="21"/>
      <c r="AC54" s="21"/>
      <c r="AD54" s="21"/>
      <c r="AE54" s="21"/>
      <c r="AF54" s="21"/>
      <c r="AG54" s="21"/>
      <c r="AH54" s="21"/>
      <c r="AI54" s="18"/>
      <c r="AJ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58"/>
      <c r="BD54" s="21"/>
      <c r="BE54" s="58"/>
      <c r="BF54" s="21"/>
      <c r="BG54" s="21"/>
      <c r="BH54" s="18"/>
      <c r="BI54" s="18"/>
    </row>
    <row r="55" spans="1:61" s="19" customFormat="1" ht="15.75" x14ac:dyDescent="0.25">
      <c r="A55" s="18"/>
      <c r="B55" s="18"/>
      <c r="C55" s="18"/>
      <c r="D55" s="18"/>
      <c r="E55" s="18"/>
      <c r="S55" s="20"/>
      <c r="T55" s="21"/>
      <c r="U55" s="21"/>
      <c r="V55" s="21"/>
      <c r="W55" s="21"/>
      <c r="X55" s="21"/>
      <c r="Y55" s="21"/>
      <c r="Z55" s="21"/>
      <c r="AA55" s="18"/>
      <c r="AB55" s="21"/>
      <c r="AC55" s="21"/>
      <c r="AD55" s="21"/>
      <c r="AE55" s="21"/>
      <c r="AF55" s="21"/>
      <c r="AG55" s="21"/>
      <c r="AH55" s="21"/>
      <c r="AI55" s="18"/>
      <c r="AJ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58"/>
      <c r="BD55" s="21"/>
      <c r="BE55" s="58"/>
      <c r="BF55" s="21"/>
      <c r="BG55" s="21"/>
      <c r="BH55" s="18"/>
      <c r="BI55" s="18"/>
    </row>
    <row r="56" spans="1:61" s="19" customFormat="1" ht="15.75" x14ac:dyDescent="0.25">
      <c r="A56" s="18"/>
      <c r="B56" s="18"/>
      <c r="C56" s="18"/>
      <c r="D56" s="18"/>
      <c r="E56" s="18"/>
      <c r="S56" s="20"/>
      <c r="T56" s="21"/>
      <c r="U56" s="21"/>
      <c r="V56" s="21"/>
      <c r="W56" s="21"/>
      <c r="X56" s="21"/>
      <c r="Y56" s="21"/>
      <c r="Z56" s="21"/>
      <c r="AA56" s="18"/>
      <c r="AB56" s="21"/>
      <c r="AC56" s="21"/>
      <c r="AD56" s="21"/>
      <c r="AE56" s="21"/>
      <c r="AF56" s="21"/>
      <c r="AG56" s="21"/>
      <c r="AH56" s="21"/>
      <c r="AI56" s="18"/>
      <c r="AJ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58"/>
      <c r="BD56" s="21"/>
      <c r="BE56" s="58"/>
      <c r="BF56" s="21"/>
      <c r="BG56" s="21"/>
      <c r="BH56" s="18"/>
      <c r="BI56" s="18"/>
    </row>
    <row r="57" spans="1:61" s="19" customFormat="1" ht="15.75" x14ac:dyDescent="0.25">
      <c r="A57" s="18"/>
      <c r="B57" s="18"/>
      <c r="C57" s="18"/>
      <c r="D57" s="18"/>
      <c r="E57" s="18"/>
      <c r="S57" s="20"/>
      <c r="T57" s="21"/>
      <c r="U57" s="21"/>
      <c r="V57" s="21"/>
      <c r="W57" s="21"/>
      <c r="X57" s="21"/>
      <c r="Y57" s="21"/>
      <c r="Z57" s="21"/>
      <c r="AA57" s="18"/>
      <c r="AB57" s="21"/>
      <c r="AC57" s="21"/>
      <c r="AD57" s="21"/>
      <c r="AE57" s="21"/>
      <c r="AF57" s="21"/>
      <c r="AG57" s="21"/>
      <c r="AH57" s="21"/>
      <c r="AI57" s="18"/>
      <c r="AJ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58"/>
      <c r="BD57" s="21"/>
      <c r="BE57" s="58"/>
      <c r="BF57" s="21"/>
      <c r="BG57" s="21"/>
      <c r="BH57" s="18"/>
      <c r="BI57" s="18"/>
    </row>
    <row r="58" spans="1:61" s="19" customFormat="1" ht="15.75" x14ac:dyDescent="0.25">
      <c r="A58" s="18"/>
      <c r="B58" s="18"/>
      <c r="C58" s="18"/>
      <c r="D58" s="18"/>
      <c r="E58" s="18"/>
      <c r="S58" s="20"/>
      <c r="T58" s="21"/>
      <c r="U58" s="21"/>
      <c r="V58" s="21"/>
      <c r="W58" s="21"/>
      <c r="X58" s="21"/>
      <c r="Y58" s="21"/>
      <c r="Z58" s="21"/>
      <c r="AA58" s="18"/>
      <c r="AB58" s="21"/>
      <c r="AC58" s="21"/>
      <c r="AD58" s="21"/>
      <c r="AE58" s="21"/>
      <c r="AF58" s="21"/>
      <c r="AG58" s="21"/>
      <c r="AH58" s="21"/>
      <c r="AI58" s="18"/>
      <c r="AJ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58"/>
      <c r="BD58" s="21"/>
      <c r="BE58" s="58"/>
      <c r="BF58" s="21"/>
      <c r="BG58" s="21"/>
      <c r="BH58" s="18"/>
      <c r="BI58" s="18"/>
    </row>
    <row r="59" spans="1:61" s="19" customFormat="1" ht="15.75" x14ac:dyDescent="0.25">
      <c r="A59" s="18"/>
      <c r="B59" s="18"/>
      <c r="C59" s="18"/>
      <c r="D59" s="18"/>
      <c r="E59" s="18"/>
      <c r="S59" s="20"/>
      <c r="T59" s="21"/>
      <c r="U59" s="21"/>
      <c r="V59" s="21"/>
      <c r="W59" s="21"/>
      <c r="X59" s="21"/>
      <c r="Y59" s="21"/>
      <c r="Z59" s="21"/>
      <c r="AA59" s="18"/>
      <c r="AB59" s="21"/>
      <c r="AC59" s="21"/>
      <c r="AD59" s="21"/>
      <c r="AE59" s="21"/>
      <c r="AF59" s="21"/>
      <c r="AG59" s="21"/>
      <c r="AH59" s="21"/>
      <c r="AI59" s="18"/>
      <c r="AJ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58"/>
      <c r="BD59" s="21"/>
      <c r="BE59" s="58"/>
      <c r="BF59" s="21"/>
      <c r="BG59" s="21"/>
      <c r="BH59" s="18"/>
      <c r="BI59" s="18"/>
    </row>
    <row r="60" spans="1:61" s="19" customFormat="1" ht="15.75" x14ac:dyDescent="0.25">
      <c r="A60" s="18"/>
      <c r="B60" s="18"/>
      <c r="C60" s="18"/>
      <c r="D60" s="18"/>
      <c r="E60" s="18"/>
      <c r="S60" s="20"/>
      <c r="T60" s="21"/>
      <c r="U60" s="21"/>
      <c r="V60" s="21"/>
      <c r="W60" s="21"/>
      <c r="X60" s="21"/>
      <c r="Y60" s="21"/>
      <c r="Z60" s="21"/>
      <c r="AA60" s="18"/>
      <c r="AB60" s="21"/>
      <c r="AC60" s="21"/>
      <c r="AD60" s="21"/>
      <c r="AE60" s="21"/>
      <c r="AF60" s="21"/>
      <c r="AG60" s="21"/>
      <c r="AH60" s="21"/>
      <c r="AI60" s="18"/>
      <c r="AJ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58"/>
      <c r="BD60" s="21"/>
      <c r="BE60" s="58"/>
      <c r="BF60" s="21"/>
      <c r="BG60" s="21"/>
      <c r="BH60" s="18"/>
      <c r="BI60" s="18"/>
    </row>
    <row r="61" spans="1:61" s="19" customFormat="1" ht="15.75" x14ac:dyDescent="0.25">
      <c r="A61" s="18"/>
      <c r="B61" s="18"/>
      <c r="C61" s="18"/>
      <c r="D61" s="18"/>
      <c r="E61" s="18"/>
      <c r="S61" s="20"/>
      <c r="T61" s="21"/>
      <c r="U61" s="21"/>
      <c r="V61" s="21"/>
      <c r="W61" s="21"/>
      <c r="X61" s="21"/>
      <c r="Y61" s="21"/>
      <c r="Z61" s="21"/>
      <c r="AA61" s="18"/>
      <c r="AB61" s="21"/>
      <c r="AC61" s="21"/>
      <c r="AD61" s="21"/>
      <c r="AE61" s="21"/>
      <c r="AF61" s="21"/>
      <c r="AG61" s="21"/>
      <c r="AH61" s="21"/>
      <c r="AI61" s="18"/>
      <c r="AJ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58"/>
      <c r="BD61" s="21"/>
      <c r="BE61" s="58"/>
      <c r="BF61" s="21"/>
      <c r="BG61" s="21"/>
      <c r="BH61" s="18"/>
      <c r="BI61" s="18"/>
    </row>
    <row r="62" spans="1:61" s="19" customFormat="1" ht="15.75" x14ac:dyDescent="0.25">
      <c r="A62" s="18"/>
      <c r="B62" s="18"/>
      <c r="C62" s="18"/>
      <c r="D62" s="18"/>
      <c r="E62" s="18"/>
      <c r="S62" s="20"/>
      <c r="T62" s="21"/>
      <c r="U62" s="21"/>
      <c r="V62" s="21"/>
      <c r="W62" s="21"/>
      <c r="X62" s="21"/>
      <c r="Y62" s="21"/>
      <c r="Z62" s="21"/>
      <c r="AA62" s="18"/>
      <c r="AB62" s="21"/>
      <c r="AC62" s="21"/>
      <c r="AD62" s="21"/>
      <c r="AE62" s="21"/>
      <c r="AF62" s="21"/>
      <c r="AG62" s="21"/>
      <c r="AH62" s="21"/>
      <c r="AI62" s="18"/>
      <c r="AJ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58"/>
      <c r="BD62" s="21"/>
      <c r="BE62" s="58"/>
      <c r="BF62" s="21"/>
      <c r="BG62" s="21"/>
      <c r="BH62" s="18"/>
      <c r="BI62" s="18"/>
    </row>
    <row r="63" spans="1:61" s="19" customFormat="1" ht="15.75" x14ac:dyDescent="0.25">
      <c r="A63" s="18"/>
      <c r="B63" s="18"/>
      <c r="C63" s="18"/>
      <c r="D63" s="18"/>
      <c r="E63" s="18"/>
      <c r="S63" s="20"/>
      <c r="T63" s="21"/>
      <c r="U63" s="21"/>
      <c r="V63" s="21"/>
      <c r="W63" s="21"/>
      <c r="X63" s="21"/>
      <c r="Y63" s="21"/>
      <c r="Z63" s="21"/>
      <c r="AA63" s="18"/>
      <c r="AB63" s="21"/>
      <c r="AC63" s="21"/>
      <c r="AD63" s="21"/>
      <c r="AE63" s="21"/>
      <c r="AF63" s="21"/>
      <c r="AG63" s="21"/>
      <c r="AH63" s="21"/>
      <c r="AI63" s="18"/>
      <c r="AJ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58"/>
      <c r="BD63" s="21"/>
      <c r="BE63" s="58"/>
      <c r="BF63" s="21"/>
      <c r="BG63" s="21"/>
      <c r="BH63" s="18"/>
      <c r="BI63" s="18"/>
    </row>
    <row r="64" spans="1:61" s="19" customFormat="1" ht="15.75" x14ac:dyDescent="0.25">
      <c r="A64" s="18"/>
      <c r="B64" s="18"/>
      <c r="C64" s="18"/>
      <c r="D64" s="18"/>
      <c r="E64" s="18"/>
      <c r="S64" s="20"/>
      <c r="T64" s="21"/>
      <c r="U64" s="21"/>
      <c r="V64" s="21"/>
      <c r="W64" s="21"/>
      <c r="X64" s="21"/>
      <c r="Y64" s="21"/>
      <c r="Z64" s="21"/>
      <c r="AA64" s="18"/>
      <c r="AB64" s="21"/>
      <c r="AC64" s="21"/>
      <c r="AD64" s="21"/>
      <c r="AE64" s="21"/>
      <c r="AF64" s="21"/>
      <c r="AG64" s="21"/>
      <c r="AH64" s="21"/>
      <c r="AI64" s="18"/>
      <c r="AJ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58"/>
      <c r="BD64" s="21"/>
      <c r="BE64" s="58"/>
      <c r="BF64" s="21"/>
      <c r="BG64" s="21"/>
      <c r="BH64" s="18"/>
      <c r="BI64" s="18"/>
    </row>
    <row r="65" spans="1:61" s="19" customFormat="1" ht="15.75" x14ac:dyDescent="0.25">
      <c r="A65" s="18"/>
      <c r="B65" s="18"/>
      <c r="C65" s="18"/>
      <c r="D65" s="18"/>
      <c r="E65" s="18"/>
      <c r="S65" s="20"/>
      <c r="T65" s="21"/>
      <c r="U65" s="21"/>
      <c r="V65" s="21"/>
      <c r="W65" s="21"/>
      <c r="X65" s="21"/>
      <c r="Y65" s="21"/>
      <c r="Z65" s="21"/>
      <c r="AA65" s="18"/>
      <c r="AB65" s="21"/>
      <c r="AC65" s="21"/>
      <c r="AD65" s="21"/>
      <c r="AE65" s="21"/>
      <c r="AF65" s="21"/>
      <c r="AG65" s="21"/>
      <c r="AH65" s="21"/>
      <c r="AI65" s="18"/>
      <c r="AJ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58"/>
      <c r="BD65" s="21"/>
      <c r="BE65" s="58"/>
      <c r="BF65" s="21"/>
      <c r="BG65" s="21"/>
      <c r="BH65" s="18"/>
      <c r="BI65" s="18"/>
    </row>
    <row r="66" spans="1:61" s="19" customFormat="1" ht="15.75" x14ac:dyDescent="0.25">
      <c r="A66" s="18"/>
      <c r="B66" s="18"/>
      <c r="C66" s="18"/>
      <c r="D66" s="18"/>
      <c r="E66" s="18"/>
      <c r="S66" s="20"/>
      <c r="T66" s="21"/>
      <c r="U66" s="21"/>
      <c r="V66" s="21"/>
      <c r="W66" s="21"/>
      <c r="X66" s="21"/>
      <c r="Y66" s="21"/>
      <c r="Z66" s="21"/>
      <c r="AA66" s="18"/>
      <c r="AB66" s="21"/>
      <c r="AC66" s="21"/>
      <c r="AD66" s="21"/>
      <c r="AE66" s="21"/>
      <c r="AF66" s="21"/>
      <c r="AG66" s="21"/>
      <c r="AH66" s="21"/>
      <c r="AI66" s="18"/>
      <c r="AJ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58"/>
      <c r="BD66" s="21"/>
      <c r="BE66" s="58"/>
      <c r="BF66" s="21"/>
      <c r="BG66" s="21"/>
      <c r="BH66" s="18"/>
      <c r="BI66" s="18"/>
    </row>
    <row r="67" spans="1:61" s="19" customFormat="1" ht="15.75" x14ac:dyDescent="0.25">
      <c r="A67" s="18"/>
      <c r="B67" s="18"/>
      <c r="C67" s="18"/>
      <c r="D67" s="18"/>
      <c r="E67" s="18"/>
      <c r="S67" s="20"/>
      <c r="T67" s="21"/>
      <c r="U67" s="21"/>
      <c r="V67" s="21"/>
      <c r="W67" s="21"/>
      <c r="X67" s="21"/>
      <c r="Y67" s="21"/>
      <c r="Z67" s="21"/>
      <c r="AA67" s="18"/>
      <c r="AB67" s="21"/>
      <c r="AC67" s="21"/>
      <c r="AD67" s="21"/>
      <c r="AE67" s="21"/>
      <c r="AF67" s="21"/>
      <c r="AG67" s="21"/>
      <c r="AH67" s="21"/>
      <c r="AI67" s="18"/>
      <c r="AJ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58"/>
      <c r="BD67" s="21"/>
      <c r="BE67" s="58"/>
      <c r="BF67" s="21"/>
      <c r="BG67" s="21"/>
      <c r="BH67" s="18"/>
      <c r="BI67" s="18"/>
    </row>
    <row r="68" spans="1:61" s="19" customFormat="1" ht="15.75" x14ac:dyDescent="0.25">
      <c r="A68" s="18"/>
      <c r="B68" s="18"/>
      <c r="C68" s="18"/>
      <c r="D68" s="18"/>
      <c r="E68" s="18"/>
      <c r="S68" s="20"/>
      <c r="T68" s="21"/>
      <c r="U68" s="21"/>
      <c r="V68" s="21"/>
      <c r="W68" s="21"/>
      <c r="X68" s="21"/>
      <c r="Y68" s="21"/>
      <c r="Z68" s="21"/>
      <c r="AA68" s="18"/>
      <c r="AB68" s="21"/>
      <c r="AC68" s="21"/>
      <c r="AD68" s="21"/>
      <c r="AE68" s="21"/>
      <c r="AF68" s="21"/>
      <c r="AG68" s="21"/>
      <c r="AH68" s="21"/>
      <c r="AI68" s="18"/>
      <c r="AJ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58"/>
      <c r="BD68" s="21"/>
      <c r="BE68" s="58"/>
      <c r="BF68" s="21"/>
      <c r="BG68" s="21"/>
      <c r="BH68" s="18"/>
      <c r="BI68" s="18"/>
    </row>
    <row r="69" spans="1:61" s="19" customFormat="1" ht="15.75" x14ac:dyDescent="0.25">
      <c r="A69" s="18"/>
      <c r="B69" s="18"/>
      <c r="C69" s="18"/>
      <c r="D69" s="18"/>
      <c r="E69" s="18"/>
      <c r="S69" s="20"/>
      <c r="T69" s="21"/>
      <c r="U69" s="21"/>
      <c r="V69" s="21"/>
      <c r="W69" s="21"/>
      <c r="X69" s="21"/>
      <c r="Y69" s="21"/>
      <c r="Z69" s="21"/>
      <c r="AA69" s="18"/>
      <c r="AB69" s="21"/>
      <c r="AC69" s="21"/>
      <c r="AD69" s="21"/>
      <c r="AE69" s="21"/>
      <c r="AF69" s="21"/>
      <c r="AG69" s="21"/>
      <c r="AH69" s="21"/>
      <c r="AI69" s="18"/>
      <c r="AJ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58"/>
      <c r="BD69" s="21"/>
      <c r="BE69" s="58"/>
      <c r="BF69" s="21"/>
      <c r="BG69" s="21"/>
      <c r="BH69" s="18"/>
      <c r="BI69" s="18"/>
    </row>
    <row r="70" spans="1:61" s="19" customFormat="1" ht="15.75" x14ac:dyDescent="0.25">
      <c r="A70" s="18"/>
      <c r="B70" s="18"/>
      <c r="C70" s="18"/>
      <c r="D70" s="18"/>
      <c r="E70" s="18"/>
      <c r="S70" s="20"/>
      <c r="T70" s="21"/>
      <c r="U70" s="21"/>
      <c r="V70" s="21"/>
      <c r="W70" s="21"/>
      <c r="X70" s="21"/>
      <c r="Y70" s="21"/>
      <c r="Z70" s="21"/>
      <c r="AA70" s="18"/>
      <c r="AB70" s="21"/>
      <c r="AC70" s="21"/>
      <c r="AD70" s="21"/>
      <c r="AE70" s="21"/>
      <c r="AF70" s="21"/>
      <c r="AG70" s="21"/>
      <c r="AH70" s="21"/>
      <c r="AI70" s="18"/>
      <c r="AJ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58"/>
      <c r="BD70" s="21"/>
      <c r="BE70" s="58"/>
      <c r="BF70" s="21"/>
      <c r="BG70" s="21"/>
      <c r="BH70" s="18"/>
      <c r="BI70" s="18"/>
    </row>
    <row r="71" spans="1:61" s="19" customFormat="1" ht="15.75" x14ac:dyDescent="0.25">
      <c r="A71" s="18"/>
      <c r="B71" s="18"/>
      <c r="C71" s="18"/>
      <c r="D71" s="18"/>
      <c r="E71" s="18"/>
      <c r="S71" s="20"/>
      <c r="T71" s="21"/>
      <c r="U71" s="21"/>
      <c r="V71" s="21"/>
      <c r="W71" s="21"/>
      <c r="X71" s="21"/>
      <c r="Y71" s="21"/>
      <c r="Z71" s="21"/>
      <c r="AA71" s="18"/>
      <c r="AB71" s="21"/>
      <c r="AC71" s="21"/>
      <c r="AD71" s="21"/>
      <c r="AE71" s="21"/>
      <c r="AF71" s="21"/>
      <c r="AG71" s="21"/>
      <c r="AH71" s="21"/>
      <c r="AI71" s="18"/>
      <c r="AJ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58"/>
      <c r="BD71" s="21"/>
      <c r="BE71" s="58"/>
      <c r="BF71" s="21"/>
      <c r="BG71" s="21"/>
      <c r="BH71" s="18"/>
      <c r="BI71" s="18"/>
    </row>
    <row r="72" spans="1:61" s="19" customFormat="1" ht="15.75" x14ac:dyDescent="0.25">
      <c r="A72" s="18"/>
      <c r="B72" s="18"/>
      <c r="C72" s="18"/>
      <c r="D72" s="18"/>
      <c r="E72" s="18"/>
      <c r="S72" s="20"/>
      <c r="T72" s="21"/>
      <c r="U72" s="21"/>
      <c r="V72" s="21"/>
      <c r="W72" s="21"/>
      <c r="X72" s="21"/>
      <c r="Y72" s="21"/>
      <c r="Z72" s="21"/>
      <c r="AA72" s="18"/>
      <c r="AB72" s="21"/>
      <c r="AC72" s="21"/>
      <c r="AD72" s="21"/>
      <c r="AE72" s="21"/>
      <c r="AF72" s="21"/>
      <c r="AG72" s="21"/>
      <c r="AH72" s="21"/>
      <c r="AI72" s="18"/>
      <c r="AJ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58"/>
      <c r="BD72" s="21"/>
      <c r="BE72" s="58"/>
      <c r="BF72" s="21"/>
      <c r="BG72" s="21"/>
      <c r="BH72" s="18"/>
      <c r="BI72" s="18"/>
    </row>
    <row r="73" spans="1:61" s="19" customFormat="1" ht="15.75" x14ac:dyDescent="0.25">
      <c r="A73" s="18"/>
      <c r="B73" s="18"/>
      <c r="C73" s="18"/>
      <c r="D73" s="18"/>
      <c r="E73" s="18"/>
      <c r="S73" s="20"/>
      <c r="T73" s="21"/>
      <c r="U73" s="21"/>
      <c r="V73" s="21"/>
      <c r="W73" s="21"/>
      <c r="X73" s="21"/>
      <c r="Y73" s="21"/>
      <c r="Z73" s="21"/>
      <c r="AA73" s="18"/>
      <c r="AB73" s="21"/>
      <c r="AC73" s="21"/>
      <c r="AD73" s="21"/>
      <c r="AE73" s="21"/>
      <c r="AF73" s="21"/>
      <c r="AG73" s="21"/>
      <c r="AH73" s="21"/>
      <c r="AI73" s="18"/>
      <c r="AJ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58"/>
      <c r="BD73" s="21"/>
      <c r="BE73" s="58"/>
      <c r="BF73" s="21"/>
      <c r="BG73" s="21"/>
      <c r="BH73" s="18"/>
      <c r="BI73" s="18"/>
    </row>
    <row r="74" spans="1:61" s="19" customFormat="1" ht="15.75" x14ac:dyDescent="0.25">
      <c r="A74" s="18"/>
      <c r="B74" s="18"/>
      <c r="C74" s="18"/>
      <c r="D74" s="18"/>
      <c r="E74" s="18"/>
      <c r="S74" s="20"/>
      <c r="T74" s="21"/>
      <c r="U74" s="21"/>
      <c r="V74" s="21"/>
      <c r="W74" s="21"/>
      <c r="X74" s="21"/>
      <c r="Y74" s="21"/>
      <c r="Z74" s="21"/>
      <c r="AA74" s="18"/>
      <c r="AB74" s="21"/>
      <c r="AC74" s="21"/>
      <c r="AD74" s="21"/>
      <c r="AE74" s="21"/>
      <c r="AF74" s="21"/>
      <c r="AG74" s="21"/>
      <c r="AH74" s="21"/>
      <c r="AI74" s="18"/>
      <c r="AJ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58"/>
      <c r="BD74" s="21"/>
      <c r="BE74" s="58"/>
      <c r="BF74" s="21"/>
      <c r="BG74" s="21"/>
      <c r="BH74" s="18"/>
      <c r="BI74" s="18"/>
    </row>
    <row r="75" spans="1:61" s="19" customFormat="1" ht="15.75" x14ac:dyDescent="0.25">
      <c r="A75" s="18"/>
      <c r="B75" s="18"/>
      <c r="C75" s="18"/>
      <c r="D75" s="18"/>
      <c r="E75" s="18"/>
      <c r="S75" s="20"/>
      <c r="T75" s="21"/>
      <c r="U75" s="21"/>
      <c r="V75" s="21"/>
      <c r="W75" s="21"/>
      <c r="X75" s="21"/>
      <c r="Y75" s="21"/>
      <c r="Z75" s="21"/>
      <c r="AA75" s="18"/>
      <c r="AB75" s="21"/>
      <c r="AC75" s="21"/>
      <c r="AD75" s="21"/>
      <c r="AE75" s="21"/>
      <c r="AF75" s="21"/>
      <c r="AG75" s="21"/>
      <c r="AH75" s="21"/>
      <c r="AI75" s="18"/>
      <c r="AJ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58"/>
      <c r="BD75" s="21"/>
      <c r="BE75" s="58"/>
      <c r="BF75" s="21"/>
      <c r="BG75" s="21"/>
      <c r="BH75" s="18"/>
      <c r="BI75" s="18"/>
    </row>
    <row r="76" spans="1:61" s="19" customFormat="1" ht="15.75" x14ac:dyDescent="0.25">
      <c r="A76" s="18"/>
      <c r="B76" s="18"/>
      <c r="C76" s="18"/>
      <c r="D76" s="18"/>
      <c r="E76" s="18"/>
      <c r="S76" s="20"/>
      <c r="T76" s="21"/>
      <c r="U76" s="21"/>
      <c r="V76" s="21"/>
      <c r="W76" s="21"/>
      <c r="X76" s="21"/>
      <c r="Y76" s="21"/>
      <c r="Z76" s="21"/>
      <c r="AA76" s="18"/>
      <c r="AB76" s="21"/>
      <c r="AC76" s="21"/>
      <c r="AD76" s="21"/>
      <c r="AE76" s="21"/>
      <c r="AF76" s="21"/>
      <c r="AG76" s="21"/>
      <c r="AH76" s="21"/>
      <c r="AI76" s="18"/>
      <c r="AJ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58"/>
      <c r="BD76" s="21"/>
      <c r="BE76" s="58"/>
      <c r="BF76" s="21"/>
      <c r="BG76" s="21"/>
      <c r="BH76" s="18"/>
      <c r="BI76" s="18"/>
    </row>
    <row r="77" spans="1:61" s="19" customFormat="1" ht="15.75" x14ac:dyDescent="0.25">
      <c r="A77" s="18"/>
      <c r="B77" s="18"/>
      <c r="C77" s="18"/>
      <c r="D77" s="18"/>
      <c r="E77" s="18"/>
      <c r="S77" s="20"/>
      <c r="T77" s="21"/>
      <c r="U77" s="21"/>
      <c r="V77" s="21"/>
      <c r="W77" s="21"/>
      <c r="X77" s="21"/>
      <c r="Y77" s="21"/>
      <c r="Z77" s="21"/>
      <c r="AA77" s="18"/>
      <c r="AB77" s="21"/>
      <c r="AC77" s="21"/>
      <c r="AD77" s="21"/>
      <c r="AE77" s="21"/>
      <c r="AF77" s="21"/>
      <c r="AG77" s="21"/>
      <c r="AH77" s="21"/>
      <c r="AI77" s="18"/>
      <c r="AJ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58"/>
      <c r="BD77" s="21"/>
      <c r="BE77" s="58"/>
      <c r="BF77" s="21"/>
      <c r="BG77" s="21"/>
      <c r="BH77" s="18"/>
      <c r="BI77" s="18"/>
    </row>
    <row r="78" spans="1:61" s="19" customFormat="1" ht="15.75" x14ac:dyDescent="0.25">
      <c r="A78" s="18"/>
      <c r="B78" s="18"/>
      <c r="C78" s="18"/>
      <c r="D78" s="18"/>
      <c r="E78" s="18"/>
      <c r="S78" s="20"/>
      <c r="T78" s="21"/>
      <c r="U78" s="21"/>
      <c r="V78" s="21"/>
      <c r="W78" s="21"/>
      <c r="X78" s="21"/>
      <c r="Y78" s="21"/>
      <c r="Z78" s="21"/>
      <c r="AA78" s="18"/>
      <c r="AB78" s="21"/>
      <c r="AC78" s="21"/>
      <c r="AD78" s="21"/>
      <c r="AE78" s="21"/>
      <c r="AF78" s="21"/>
      <c r="AG78" s="21"/>
      <c r="AH78" s="21"/>
      <c r="AI78" s="18"/>
      <c r="AJ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58"/>
      <c r="BD78" s="21"/>
      <c r="BE78" s="58"/>
      <c r="BF78" s="21"/>
      <c r="BG78" s="21"/>
      <c r="BH78" s="18"/>
      <c r="BI78" s="18"/>
    </row>
    <row r="79" spans="1:61" s="19" customFormat="1" ht="15.75" x14ac:dyDescent="0.25">
      <c r="A79" s="18"/>
      <c r="B79" s="18"/>
      <c r="C79" s="18"/>
      <c r="D79" s="18"/>
      <c r="E79" s="18"/>
      <c r="S79" s="20"/>
      <c r="T79" s="21"/>
      <c r="U79" s="21"/>
      <c r="V79" s="21"/>
      <c r="W79" s="21"/>
      <c r="X79" s="21"/>
      <c r="Y79" s="21"/>
      <c r="Z79" s="21"/>
      <c r="AA79" s="18"/>
      <c r="AB79" s="21"/>
      <c r="AC79" s="21"/>
      <c r="AD79" s="21"/>
      <c r="AE79" s="21"/>
      <c r="AF79" s="21"/>
      <c r="AG79" s="21"/>
      <c r="AH79" s="21"/>
      <c r="AI79" s="18"/>
      <c r="AJ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58"/>
      <c r="BD79" s="21"/>
      <c r="BE79" s="58"/>
      <c r="BF79" s="21"/>
      <c r="BG79" s="21"/>
      <c r="BH79" s="18"/>
      <c r="BI79" s="18"/>
    </row>
    <row r="80" spans="1:61" s="19" customFormat="1" ht="15.75" x14ac:dyDescent="0.25">
      <c r="A80" s="18"/>
      <c r="B80" s="18"/>
      <c r="C80" s="18"/>
      <c r="D80" s="18"/>
      <c r="E80" s="18"/>
      <c r="S80" s="20"/>
      <c r="T80" s="21"/>
      <c r="U80" s="21"/>
      <c r="V80" s="21"/>
      <c r="W80" s="21"/>
      <c r="X80" s="21"/>
      <c r="Y80" s="21"/>
      <c r="Z80" s="21"/>
      <c r="AA80" s="18"/>
      <c r="AB80" s="21"/>
      <c r="AC80" s="21"/>
      <c r="AD80" s="21"/>
      <c r="AE80" s="21"/>
      <c r="AF80" s="21"/>
      <c r="AG80" s="21"/>
      <c r="AH80" s="21"/>
      <c r="AI80" s="18"/>
      <c r="AJ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58"/>
      <c r="BD80" s="21"/>
      <c r="BE80" s="58"/>
      <c r="BF80" s="21"/>
      <c r="BG80" s="21"/>
      <c r="BH80" s="18"/>
      <c r="BI80" s="18"/>
    </row>
    <row r="81" spans="1:61" s="19" customFormat="1" ht="15.75" x14ac:dyDescent="0.25">
      <c r="A81" s="18"/>
      <c r="B81" s="18"/>
      <c r="C81" s="18"/>
      <c r="D81" s="18"/>
      <c r="E81" s="18"/>
      <c r="S81" s="20"/>
      <c r="T81" s="21"/>
      <c r="U81" s="21"/>
      <c r="V81" s="21"/>
      <c r="W81" s="21"/>
      <c r="X81" s="21"/>
      <c r="Y81" s="21"/>
      <c r="Z81" s="21"/>
      <c r="AA81" s="18"/>
      <c r="AB81" s="21"/>
      <c r="AC81" s="21"/>
      <c r="AD81" s="21"/>
      <c r="AE81" s="21"/>
      <c r="AF81" s="21"/>
      <c r="AG81" s="21"/>
      <c r="AH81" s="21"/>
      <c r="AI81" s="18"/>
      <c r="AJ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58"/>
      <c r="BD81" s="21"/>
      <c r="BE81" s="58"/>
      <c r="BF81" s="21"/>
      <c r="BG81" s="21"/>
      <c r="BH81" s="18"/>
      <c r="BI81" s="18"/>
    </row>
    <row r="82" spans="1:61" s="19" customFormat="1" ht="15.75" x14ac:dyDescent="0.25">
      <c r="A82" s="18"/>
      <c r="B82" s="18"/>
      <c r="C82" s="18"/>
      <c r="D82" s="18"/>
      <c r="E82" s="18"/>
      <c r="S82" s="20"/>
      <c r="T82" s="21"/>
      <c r="U82" s="21"/>
      <c r="V82" s="21"/>
      <c r="W82" s="21"/>
      <c r="X82" s="21"/>
      <c r="Y82" s="21"/>
      <c r="Z82" s="21"/>
      <c r="AA82" s="18"/>
      <c r="AB82" s="21"/>
      <c r="AC82" s="21"/>
      <c r="AD82" s="21"/>
      <c r="AE82" s="21"/>
      <c r="AF82" s="21"/>
      <c r="AG82" s="21"/>
      <c r="AH82" s="21"/>
      <c r="AI82" s="18"/>
      <c r="AJ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58"/>
      <c r="BD82" s="21"/>
      <c r="BE82" s="58"/>
      <c r="BF82" s="21"/>
      <c r="BG82" s="21"/>
      <c r="BH82" s="18"/>
      <c r="BI82" s="18"/>
    </row>
    <row r="83" spans="1:61" s="19" customFormat="1" ht="15.75" x14ac:dyDescent="0.25">
      <c r="A83" s="18"/>
      <c r="B83" s="18"/>
      <c r="C83" s="18"/>
      <c r="D83" s="18"/>
      <c r="E83" s="18"/>
      <c r="S83" s="20"/>
      <c r="T83" s="21"/>
      <c r="U83" s="21"/>
      <c r="V83" s="21"/>
      <c r="W83" s="21"/>
      <c r="X83" s="21"/>
      <c r="Y83" s="21"/>
      <c r="Z83" s="21"/>
      <c r="AA83" s="18"/>
      <c r="AB83" s="21"/>
      <c r="AC83" s="21"/>
      <c r="AD83" s="21"/>
      <c r="AE83" s="21"/>
      <c r="AF83" s="21"/>
      <c r="AG83" s="21"/>
      <c r="AH83" s="21"/>
      <c r="AI83" s="18"/>
      <c r="AJ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58"/>
      <c r="BD83" s="21"/>
      <c r="BE83" s="58"/>
      <c r="BF83" s="21"/>
      <c r="BG83" s="21"/>
      <c r="BH83" s="18"/>
      <c r="BI83" s="18"/>
    </row>
    <row r="84" spans="1:61" s="19" customFormat="1" ht="15.75" x14ac:dyDescent="0.25">
      <c r="A84" s="18"/>
      <c r="B84" s="18"/>
      <c r="C84" s="18"/>
      <c r="D84" s="18"/>
      <c r="E84" s="18"/>
      <c r="S84" s="20"/>
      <c r="T84" s="21"/>
      <c r="U84" s="21"/>
      <c r="V84" s="21"/>
      <c r="W84" s="21"/>
      <c r="X84" s="21"/>
      <c r="Y84" s="21"/>
      <c r="Z84" s="21"/>
      <c r="AA84" s="18"/>
      <c r="AB84" s="21"/>
      <c r="AC84" s="21"/>
      <c r="AD84" s="21"/>
      <c r="AE84" s="21"/>
      <c r="AF84" s="21"/>
      <c r="AG84" s="21"/>
      <c r="AH84" s="21"/>
      <c r="AI84" s="18"/>
      <c r="AJ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58"/>
      <c r="BD84" s="21"/>
      <c r="BE84" s="58"/>
      <c r="BF84" s="21"/>
      <c r="BG84" s="21"/>
      <c r="BH84" s="18"/>
      <c r="BI84" s="18"/>
    </row>
    <row r="85" spans="1:61" s="19" customFormat="1" ht="15.75" x14ac:dyDescent="0.25">
      <c r="A85" s="18"/>
      <c r="B85" s="18"/>
      <c r="C85" s="18"/>
      <c r="D85" s="18"/>
      <c r="E85" s="18"/>
      <c r="S85" s="20"/>
      <c r="T85" s="21"/>
      <c r="U85" s="21"/>
      <c r="V85" s="21"/>
      <c r="W85" s="21"/>
      <c r="X85" s="21"/>
      <c r="Y85" s="21"/>
      <c r="Z85" s="21"/>
      <c r="AA85" s="18"/>
      <c r="AB85" s="21"/>
      <c r="AC85" s="21"/>
      <c r="AD85" s="21"/>
      <c r="AE85" s="21"/>
      <c r="AF85" s="21"/>
      <c r="AG85" s="21"/>
      <c r="AH85" s="21"/>
      <c r="AI85" s="18"/>
      <c r="AJ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58"/>
      <c r="BD85" s="21"/>
      <c r="BE85" s="58"/>
      <c r="BF85" s="21"/>
      <c r="BG85" s="21"/>
      <c r="BH85" s="18"/>
      <c r="BI85" s="18"/>
    </row>
    <row r="86" spans="1:61" s="19" customFormat="1" ht="15.75" x14ac:dyDescent="0.25">
      <c r="A86" s="18"/>
      <c r="B86" s="18"/>
      <c r="C86" s="18"/>
      <c r="D86" s="18"/>
      <c r="E86" s="18"/>
      <c r="S86" s="20"/>
      <c r="T86" s="21"/>
      <c r="U86" s="21"/>
      <c r="V86" s="21"/>
      <c r="W86" s="21"/>
      <c r="X86" s="21"/>
      <c r="Y86" s="21"/>
      <c r="Z86" s="21"/>
      <c r="AA86" s="18"/>
      <c r="AB86" s="21"/>
      <c r="AC86" s="21"/>
      <c r="AD86" s="21"/>
      <c r="AE86" s="21"/>
      <c r="AF86" s="21"/>
      <c r="AG86" s="21"/>
      <c r="AH86" s="21"/>
      <c r="AI86" s="18"/>
      <c r="AJ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58"/>
      <c r="BD86" s="21"/>
      <c r="BE86" s="58"/>
      <c r="BF86" s="21"/>
      <c r="BG86" s="21"/>
      <c r="BH86" s="18"/>
      <c r="BI86" s="18"/>
    </row>
    <row r="87" spans="1:61" s="19" customFormat="1" ht="15.75" x14ac:dyDescent="0.25">
      <c r="A87" s="18"/>
      <c r="B87" s="18"/>
      <c r="C87" s="18"/>
      <c r="D87" s="18"/>
      <c r="E87" s="18"/>
      <c r="S87" s="20"/>
      <c r="T87" s="21"/>
      <c r="U87" s="21"/>
      <c r="V87" s="21"/>
      <c r="W87" s="21"/>
      <c r="X87" s="21"/>
      <c r="Y87" s="21"/>
      <c r="Z87" s="21"/>
      <c r="AA87" s="18"/>
      <c r="AB87" s="21"/>
      <c r="AC87" s="21"/>
      <c r="AD87" s="21"/>
      <c r="AE87" s="21"/>
      <c r="AF87" s="21"/>
      <c r="AG87" s="21"/>
      <c r="AH87" s="21"/>
      <c r="AI87" s="18"/>
      <c r="AJ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58"/>
      <c r="BD87" s="21"/>
      <c r="BE87" s="58"/>
      <c r="BF87" s="21"/>
      <c r="BG87" s="21"/>
      <c r="BH87" s="18"/>
      <c r="BI87" s="18"/>
    </row>
    <row r="88" spans="1:61" s="19" customFormat="1" ht="15.75" x14ac:dyDescent="0.25">
      <c r="A88" s="18"/>
      <c r="B88" s="18"/>
      <c r="C88" s="18"/>
      <c r="D88" s="18"/>
      <c r="E88" s="18"/>
      <c r="S88" s="20"/>
      <c r="T88" s="21"/>
      <c r="U88" s="21"/>
      <c r="V88" s="21"/>
      <c r="W88" s="21"/>
      <c r="X88" s="21"/>
      <c r="Y88" s="21"/>
      <c r="Z88" s="21"/>
      <c r="AA88" s="18"/>
      <c r="AB88" s="21"/>
      <c r="AC88" s="21"/>
      <c r="AD88" s="21"/>
      <c r="AE88" s="21"/>
      <c r="AF88" s="21"/>
      <c r="AG88" s="21"/>
      <c r="AH88" s="21"/>
      <c r="AI88" s="18"/>
      <c r="AJ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58"/>
      <c r="BD88" s="21"/>
      <c r="BE88" s="58"/>
      <c r="BF88" s="21"/>
      <c r="BG88" s="21"/>
      <c r="BH88" s="18"/>
      <c r="BI88" s="18"/>
    </row>
    <row r="89" spans="1:61" s="19" customFormat="1" ht="15.75" x14ac:dyDescent="0.25">
      <c r="A89" s="18"/>
      <c r="B89" s="18"/>
      <c r="C89" s="18"/>
      <c r="D89" s="18"/>
      <c r="E89" s="18"/>
      <c r="S89" s="20"/>
      <c r="T89" s="21"/>
      <c r="U89" s="21"/>
      <c r="V89" s="21"/>
      <c r="W89" s="21"/>
      <c r="X89" s="21"/>
      <c r="Y89" s="21"/>
      <c r="Z89" s="21"/>
      <c r="AA89" s="18"/>
      <c r="AB89" s="21"/>
      <c r="AC89" s="21"/>
      <c r="AD89" s="21"/>
      <c r="AE89" s="21"/>
      <c r="AF89" s="21"/>
      <c r="AG89" s="21"/>
      <c r="AH89" s="21"/>
      <c r="AI89" s="18"/>
      <c r="AJ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58"/>
      <c r="BD89" s="21"/>
      <c r="BE89" s="58"/>
      <c r="BF89" s="21"/>
      <c r="BG89" s="21"/>
      <c r="BH89" s="18"/>
      <c r="BI89" s="18"/>
    </row>
    <row r="90" spans="1:61" s="19" customFormat="1" ht="15.75" x14ac:dyDescent="0.25">
      <c r="A90" s="18"/>
      <c r="B90" s="18"/>
      <c r="C90" s="18"/>
      <c r="D90" s="18"/>
      <c r="E90" s="18"/>
      <c r="S90" s="20"/>
      <c r="T90" s="21"/>
      <c r="U90" s="21"/>
      <c r="V90" s="21"/>
      <c r="W90" s="21"/>
      <c r="X90" s="21"/>
      <c r="Y90" s="21"/>
      <c r="Z90" s="21"/>
      <c r="AA90" s="18"/>
      <c r="AB90" s="21"/>
      <c r="AC90" s="21"/>
      <c r="AD90" s="21"/>
      <c r="AE90" s="21"/>
      <c r="AF90" s="21"/>
      <c r="AG90" s="21"/>
      <c r="AH90" s="21"/>
      <c r="AI90" s="18"/>
      <c r="AJ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58"/>
      <c r="BD90" s="21"/>
      <c r="BE90" s="58"/>
      <c r="BF90" s="21"/>
      <c r="BG90" s="21"/>
      <c r="BH90" s="18"/>
      <c r="BI90" s="18"/>
    </row>
    <row r="91" spans="1:61" s="19" customFormat="1" ht="15.75" x14ac:dyDescent="0.25">
      <c r="A91" s="18"/>
      <c r="B91" s="18"/>
      <c r="C91" s="18"/>
      <c r="D91" s="18"/>
      <c r="E91" s="18"/>
      <c r="S91" s="20"/>
      <c r="T91" s="21"/>
      <c r="U91" s="21"/>
      <c r="V91" s="21"/>
      <c r="W91" s="21"/>
      <c r="X91" s="21"/>
      <c r="Y91" s="21"/>
      <c r="Z91" s="21"/>
      <c r="AA91" s="18"/>
      <c r="AB91" s="21"/>
      <c r="AC91" s="21"/>
      <c r="AD91" s="21"/>
      <c r="AE91" s="21"/>
      <c r="AF91" s="21"/>
      <c r="AG91" s="21"/>
      <c r="AH91" s="21"/>
      <c r="AI91" s="18"/>
      <c r="AJ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58"/>
      <c r="BD91" s="21"/>
      <c r="BE91" s="58"/>
      <c r="BF91" s="21"/>
      <c r="BG91" s="21"/>
      <c r="BH91" s="18"/>
      <c r="BI91" s="18"/>
    </row>
    <row r="92" spans="1:61" s="19" customFormat="1" ht="15.75" x14ac:dyDescent="0.25">
      <c r="A92" s="18"/>
      <c r="B92" s="18"/>
      <c r="C92" s="18"/>
      <c r="D92" s="18"/>
      <c r="E92" s="18"/>
      <c r="S92" s="20"/>
      <c r="T92" s="21"/>
      <c r="U92" s="21"/>
      <c r="V92" s="21"/>
      <c r="W92" s="21"/>
      <c r="X92" s="21"/>
      <c r="Y92" s="21"/>
      <c r="Z92" s="21"/>
      <c r="AA92" s="18"/>
      <c r="AB92" s="21"/>
      <c r="AC92" s="21"/>
      <c r="AD92" s="21"/>
      <c r="AE92" s="21"/>
      <c r="AF92" s="21"/>
      <c r="AG92" s="21"/>
      <c r="AH92" s="21"/>
      <c r="AI92" s="18"/>
      <c r="AJ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58"/>
      <c r="BD92" s="21"/>
      <c r="BE92" s="58"/>
      <c r="BF92" s="21"/>
      <c r="BG92" s="21"/>
      <c r="BH92" s="18"/>
      <c r="BI92" s="18"/>
    </row>
    <row r="93" spans="1:61" s="19" customFormat="1" ht="15.75" x14ac:dyDescent="0.25">
      <c r="A93" s="18"/>
      <c r="B93" s="18"/>
      <c r="C93" s="18"/>
      <c r="D93" s="18"/>
      <c r="E93" s="18"/>
      <c r="S93" s="20"/>
      <c r="T93" s="21"/>
      <c r="U93" s="21"/>
      <c r="V93" s="21"/>
      <c r="W93" s="21"/>
      <c r="X93" s="21"/>
      <c r="Y93" s="21"/>
      <c r="Z93" s="21"/>
      <c r="AA93" s="18"/>
      <c r="AB93" s="21"/>
      <c r="AC93" s="21"/>
      <c r="AD93" s="21"/>
      <c r="AE93" s="21"/>
      <c r="AF93" s="21"/>
      <c r="AG93" s="21"/>
      <c r="AH93" s="21"/>
      <c r="AI93" s="18"/>
      <c r="AJ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58"/>
      <c r="BD93" s="21"/>
      <c r="BE93" s="58"/>
      <c r="BF93" s="21"/>
      <c r="BG93" s="21"/>
      <c r="BH93" s="18"/>
      <c r="BI93" s="18"/>
    </row>
    <row r="94" spans="1:61" s="19" customFormat="1" ht="15.75" x14ac:dyDescent="0.25">
      <c r="A94" s="18"/>
      <c r="B94" s="18"/>
      <c r="C94" s="18"/>
      <c r="D94" s="18"/>
      <c r="E94" s="18"/>
      <c r="S94" s="20"/>
      <c r="T94" s="21"/>
      <c r="U94" s="21"/>
      <c r="V94" s="21"/>
      <c r="W94" s="21"/>
      <c r="X94" s="21"/>
      <c r="Y94" s="21"/>
      <c r="Z94" s="21"/>
      <c r="AA94" s="18"/>
      <c r="AB94" s="21"/>
      <c r="AC94" s="21"/>
      <c r="AD94" s="21"/>
      <c r="AE94" s="21"/>
      <c r="AF94" s="21"/>
      <c r="AG94" s="21"/>
      <c r="AH94" s="21"/>
      <c r="AI94" s="18"/>
      <c r="AJ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58"/>
      <c r="BD94" s="21"/>
      <c r="BE94" s="58"/>
      <c r="BF94" s="21"/>
      <c r="BG94" s="21"/>
      <c r="BH94" s="18"/>
      <c r="BI94" s="18"/>
    </row>
    <row r="95" spans="1:61" s="19" customFormat="1" ht="15.75" x14ac:dyDescent="0.25">
      <c r="A95" s="18"/>
      <c r="B95" s="18"/>
      <c r="C95" s="18"/>
      <c r="D95" s="18"/>
      <c r="E95" s="18"/>
      <c r="S95" s="20"/>
      <c r="T95" s="21"/>
      <c r="U95" s="21"/>
      <c r="V95" s="21"/>
      <c r="W95" s="21"/>
      <c r="X95" s="21"/>
      <c r="Y95" s="21"/>
      <c r="Z95" s="21"/>
      <c r="AA95" s="18"/>
      <c r="AB95" s="21"/>
      <c r="AC95" s="21"/>
      <c r="AD95" s="21"/>
      <c r="AE95" s="21"/>
      <c r="AF95" s="21"/>
      <c r="AG95" s="21"/>
      <c r="AH95" s="21"/>
      <c r="AI95" s="18"/>
      <c r="AJ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58"/>
      <c r="BD95" s="21"/>
      <c r="BE95" s="58"/>
      <c r="BF95" s="21"/>
      <c r="BG95" s="21"/>
      <c r="BH95" s="18"/>
      <c r="BI95" s="18"/>
    </row>
    <row r="96" spans="1:61" s="19" customFormat="1" ht="15.75" x14ac:dyDescent="0.25">
      <c r="A96" s="18"/>
      <c r="B96" s="18"/>
      <c r="C96" s="18"/>
      <c r="D96" s="18"/>
      <c r="E96" s="18"/>
      <c r="S96" s="20"/>
      <c r="T96" s="21"/>
      <c r="U96" s="21"/>
      <c r="V96" s="21"/>
      <c r="W96" s="21"/>
      <c r="X96" s="21"/>
      <c r="Y96" s="21"/>
      <c r="Z96" s="21"/>
      <c r="AA96" s="18"/>
      <c r="AB96" s="21"/>
      <c r="AC96" s="21"/>
      <c r="AD96" s="21"/>
      <c r="AE96" s="21"/>
      <c r="AF96" s="21"/>
      <c r="AG96" s="21"/>
      <c r="AH96" s="21"/>
      <c r="AI96" s="18"/>
      <c r="AJ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58"/>
      <c r="BD96" s="21"/>
      <c r="BE96" s="58"/>
      <c r="BF96" s="21"/>
      <c r="BG96" s="21"/>
      <c r="BH96" s="18"/>
      <c r="BI96" s="18"/>
    </row>
    <row r="97" spans="1:61" s="19" customFormat="1" ht="15.75" x14ac:dyDescent="0.25">
      <c r="A97" s="18"/>
      <c r="B97" s="18"/>
      <c r="C97" s="18"/>
      <c r="D97" s="18"/>
      <c r="E97" s="18"/>
      <c r="S97" s="20"/>
      <c r="T97" s="21"/>
      <c r="U97" s="21"/>
      <c r="V97" s="21"/>
      <c r="W97" s="21"/>
      <c r="X97" s="21"/>
      <c r="Y97" s="21"/>
      <c r="Z97" s="21"/>
      <c r="AA97" s="18"/>
      <c r="AB97" s="21"/>
      <c r="AC97" s="21"/>
      <c r="AD97" s="21"/>
      <c r="AE97" s="21"/>
      <c r="AF97" s="21"/>
      <c r="AG97" s="21"/>
      <c r="AH97" s="21"/>
      <c r="AI97" s="18"/>
      <c r="AJ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58"/>
      <c r="BD97" s="21"/>
      <c r="BE97" s="58"/>
      <c r="BF97" s="21"/>
      <c r="BG97" s="21"/>
      <c r="BH97" s="18"/>
      <c r="BI97" s="18"/>
    </row>
    <row r="98" spans="1:61" s="19" customFormat="1" ht="15.75" x14ac:dyDescent="0.25">
      <c r="A98" s="18"/>
      <c r="B98" s="18"/>
      <c r="C98" s="18"/>
      <c r="D98" s="18"/>
      <c r="E98" s="18"/>
      <c r="S98" s="20"/>
      <c r="T98" s="21"/>
      <c r="U98" s="21"/>
      <c r="V98" s="21"/>
      <c r="W98" s="21"/>
      <c r="X98" s="21"/>
      <c r="Y98" s="21"/>
      <c r="Z98" s="21"/>
      <c r="AA98" s="18"/>
      <c r="AB98" s="21"/>
      <c r="AC98" s="21"/>
      <c r="AD98" s="21"/>
      <c r="AE98" s="21"/>
      <c r="AF98" s="21"/>
      <c r="AG98" s="21"/>
      <c r="AH98" s="21"/>
      <c r="AI98" s="18"/>
      <c r="AJ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58"/>
      <c r="BD98" s="21"/>
      <c r="BE98" s="58"/>
      <c r="BF98" s="21"/>
      <c r="BG98" s="21"/>
      <c r="BH98" s="18"/>
      <c r="BI98" s="18"/>
    </row>
    <row r="99" spans="1:61" s="19" customFormat="1" ht="15.75" x14ac:dyDescent="0.25">
      <c r="A99" s="18"/>
      <c r="B99" s="18"/>
      <c r="C99" s="18"/>
      <c r="D99" s="18"/>
      <c r="E99" s="18"/>
      <c r="S99" s="20"/>
      <c r="T99" s="21"/>
      <c r="U99" s="21"/>
      <c r="V99" s="21"/>
      <c r="W99" s="21"/>
      <c r="X99" s="21"/>
      <c r="Y99" s="21"/>
      <c r="Z99" s="21"/>
      <c r="AA99" s="18"/>
      <c r="AB99" s="21"/>
      <c r="AC99" s="21"/>
      <c r="AD99" s="21"/>
      <c r="AE99" s="21"/>
      <c r="AF99" s="21"/>
      <c r="AG99" s="21"/>
      <c r="AH99" s="21"/>
      <c r="AI99" s="18"/>
      <c r="AJ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58"/>
      <c r="BD99" s="21"/>
      <c r="BE99" s="58"/>
      <c r="BF99" s="21"/>
      <c r="BG99" s="21"/>
      <c r="BH99" s="18"/>
      <c r="BI99" s="18"/>
    </row>
    <row r="100" spans="1:61" s="19" customFormat="1" ht="15.75" x14ac:dyDescent="0.25">
      <c r="A100" s="18"/>
      <c r="B100" s="18"/>
      <c r="C100" s="18"/>
      <c r="D100" s="18"/>
      <c r="E100" s="18"/>
      <c r="S100" s="20"/>
      <c r="T100" s="21"/>
      <c r="U100" s="21"/>
      <c r="V100" s="21"/>
      <c r="W100" s="21"/>
      <c r="X100" s="21"/>
      <c r="Y100" s="21"/>
      <c r="Z100" s="21"/>
      <c r="AA100" s="18"/>
      <c r="AB100" s="21"/>
      <c r="AC100" s="21"/>
      <c r="AD100" s="21"/>
      <c r="AE100" s="21"/>
      <c r="AF100" s="21"/>
      <c r="AG100" s="21"/>
      <c r="AH100" s="21"/>
      <c r="AI100" s="18"/>
      <c r="AJ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58"/>
      <c r="BD100" s="21"/>
      <c r="BE100" s="58"/>
      <c r="BF100" s="21"/>
      <c r="BG100" s="21"/>
      <c r="BH100" s="18"/>
      <c r="BI100" s="18"/>
    </row>
    <row r="101" spans="1:61" s="19" customFormat="1" ht="15.75" x14ac:dyDescent="0.25">
      <c r="A101" s="18"/>
      <c r="B101" s="18"/>
      <c r="C101" s="18"/>
      <c r="D101" s="18"/>
      <c r="E101" s="18"/>
      <c r="S101" s="20"/>
      <c r="T101" s="21"/>
      <c r="U101" s="21"/>
      <c r="V101" s="21"/>
      <c r="W101" s="21"/>
      <c r="X101" s="21"/>
      <c r="Y101" s="21"/>
      <c r="Z101" s="21"/>
      <c r="AA101" s="18"/>
      <c r="AB101" s="21"/>
      <c r="AC101" s="21"/>
      <c r="AD101" s="21"/>
      <c r="AE101" s="21"/>
      <c r="AF101" s="21"/>
      <c r="AG101" s="21"/>
      <c r="AH101" s="21"/>
      <c r="AI101" s="18"/>
      <c r="AJ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58"/>
      <c r="BD101" s="21"/>
      <c r="BE101" s="58"/>
      <c r="BF101" s="21"/>
      <c r="BG101" s="21"/>
      <c r="BH101" s="18"/>
      <c r="BI101" s="18"/>
    </row>
    <row r="102" spans="1:61" s="19" customFormat="1" ht="15.75" x14ac:dyDescent="0.25">
      <c r="A102" s="18"/>
      <c r="B102" s="18"/>
      <c r="C102" s="18"/>
      <c r="D102" s="18"/>
      <c r="E102" s="18"/>
      <c r="S102" s="20"/>
      <c r="T102" s="21"/>
      <c r="U102" s="21"/>
      <c r="V102" s="21"/>
      <c r="W102" s="21"/>
      <c r="X102" s="21"/>
      <c r="Y102" s="21"/>
      <c r="Z102" s="21"/>
      <c r="AA102" s="18"/>
      <c r="AB102" s="21"/>
      <c r="AC102" s="21"/>
      <c r="AD102" s="21"/>
      <c r="AE102" s="21"/>
      <c r="AF102" s="21"/>
      <c r="AG102" s="21"/>
      <c r="AH102" s="21"/>
      <c r="AI102" s="18"/>
      <c r="AJ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58"/>
      <c r="BD102" s="21"/>
      <c r="BE102" s="58"/>
      <c r="BF102" s="21"/>
      <c r="BG102" s="21"/>
      <c r="BH102" s="18"/>
      <c r="BI102" s="18"/>
    </row>
    <row r="103" spans="1:61" s="19" customFormat="1" ht="15.75" x14ac:dyDescent="0.25">
      <c r="A103" s="18"/>
      <c r="B103" s="18"/>
      <c r="C103" s="18"/>
      <c r="D103" s="18"/>
      <c r="E103" s="18"/>
      <c r="S103" s="20"/>
      <c r="T103" s="21"/>
      <c r="U103" s="21"/>
      <c r="V103" s="21"/>
      <c r="W103" s="21"/>
      <c r="X103" s="21"/>
      <c r="Y103" s="21"/>
      <c r="Z103" s="21"/>
      <c r="AA103" s="18"/>
      <c r="AB103" s="21"/>
      <c r="AC103" s="21"/>
      <c r="AD103" s="21"/>
      <c r="AE103" s="21"/>
      <c r="AF103" s="21"/>
      <c r="AG103" s="21"/>
      <c r="AH103" s="21"/>
      <c r="AI103" s="18"/>
      <c r="AJ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58"/>
      <c r="BD103" s="21"/>
      <c r="BE103" s="58"/>
      <c r="BF103" s="21"/>
      <c r="BG103" s="21"/>
      <c r="BH103" s="18"/>
      <c r="BI103" s="18"/>
    </row>
    <row r="104" spans="1:61" s="19" customFormat="1" ht="15.75" x14ac:dyDescent="0.25">
      <c r="A104" s="18"/>
      <c r="B104" s="18"/>
      <c r="C104" s="18"/>
      <c r="D104" s="18"/>
      <c r="E104" s="18"/>
      <c r="S104" s="20"/>
      <c r="T104" s="21"/>
      <c r="U104" s="21"/>
      <c r="V104" s="21"/>
      <c r="W104" s="21"/>
      <c r="X104" s="21"/>
      <c r="Y104" s="21"/>
      <c r="Z104" s="21"/>
      <c r="AA104" s="18"/>
      <c r="AB104" s="21"/>
      <c r="AC104" s="21"/>
      <c r="AD104" s="21"/>
      <c r="AE104" s="21"/>
      <c r="AF104" s="21"/>
      <c r="AG104" s="21"/>
      <c r="AH104" s="21"/>
      <c r="AI104" s="18"/>
      <c r="AJ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58"/>
      <c r="BD104" s="21"/>
      <c r="BE104" s="58"/>
      <c r="BF104" s="21"/>
      <c r="BG104" s="21"/>
      <c r="BH104" s="18"/>
      <c r="BI104" s="18"/>
    </row>
    <row r="105" spans="1:61" s="19" customFormat="1" ht="15.75" x14ac:dyDescent="0.25">
      <c r="A105" s="18"/>
      <c r="B105" s="18"/>
      <c r="C105" s="18"/>
      <c r="D105" s="18"/>
      <c r="E105" s="18"/>
      <c r="S105" s="20"/>
      <c r="T105" s="21"/>
      <c r="U105" s="21"/>
      <c r="V105" s="21"/>
      <c r="W105" s="21"/>
      <c r="X105" s="21"/>
      <c r="Y105" s="21"/>
      <c r="Z105" s="21"/>
      <c r="AA105" s="18"/>
      <c r="AB105" s="21"/>
      <c r="AC105" s="21"/>
      <c r="AD105" s="21"/>
      <c r="AE105" s="21"/>
      <c r="AF105" s="21"/>
      <c r="AG105" s="21"/>
      <c r="AH105" s="21"/>
      <c r="AI105" s="18"/>
      <c r="AJ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58"/>
      <c r="BD105" s="21"/>
      <c r="BE105" s="58"/>
      <c r="BF105" s="21"/>
      <c r="BG105" s="21"/>
      <c r="BH105" s="18"/>
      <c r="BI105" s="18"/>
    </row>
    <row r="106" spans="1:61" s="19" customFormat="1" ht="15.75" x14ac:dyDescent="0.25">
      <c r="A106" s="18"/>
      <c r="B106" s="18"/>
      <c r="C106" s="18"/>
      <c r="D106" s="18"/>
      <c r="E106" s="18"/>
      <c r="S106" s="20"/>
      <c r="T106" s="21"/>
      <c r="U106" s="21"/>
      <c r="V106" s="21"/>
      <c r="W106" s="21"/>
      <c r="X106" s="21"/>
      <c r="Y106" s="21"/>
      <c r="Z106" s="21"/>
      <c r="AA106" s="18"/>
      <c r="AB106" s="21"/>
      <c r="AC106" s="21"/>
      <c r="AD106" s="21"/>
      <c r="AE106" s="21"/>
      <c r="AF106" s="21"/>
      <c r="AG106" s="21"/>
      <c r="AH106" s="21"/>
      <c r="AI106" s="18"/>
      <c r="AJ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58"/>
      <c r="BD106" s="21"/>
      <c r="BE106" s="58"/>
      <c r="BF106" s="21"/>
      <c r="BG106" s="21"/>
      <c r="BH106" s="18"/>
      <c r="BI106" s="18"/>
    </row>
    <row r="107" spans="1:61" s="19" customFormat="1" ht="15.75" x14ac:dyDescent="0.25">
      <c r="A107" s="18"/>
      <c r="B107" s="18"/>
      <c r="C107" s="18"/>
      <c r="D107" s="18"/>
      <c r="E107" s="18"/>
      <c r="S107" s="20"/>
      <c r="T107" s="21"/>
      <c r="U107" s="21"/>
      <c r="V107" s="21"/>
      <c r="W107" s="21"/>
      <c r="X107" s="21"/>
      <c r="Y107" s="21"/>
      <c r="Z107" s="21"/>
      <c r="AA107" s="18"/>
      <c r="AB107" s="21"/>
      <c r="AC107" s="21"/>
      <c r="AD107" s="21"/>
      <c r="AE107" s="21"/>
      <c r="AF107" s="21"/>
      <c r="AG107" s="21"/>
      <c r="AH107" s="21"/>
      <c r="AI107" s="18"/>
      <c r="AJ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58"/>
      <c r="BD107" s="21"/>
      <c r="BE107" s="58"/>
      <c r="BF107" s="21"/>
      <c r="BG107" s="21"/>
      <c r="BH107" s="18"/>
      <c r="BI107" s="18"/>
    </row>
    <row r="108" spans="1:61" s="19" customFormat="1" ht="15.75" x14ac:dyDescent="0.25">
      <c r="A108" s="18"/>
      <c r="B108" s="18"/>
      <c r="C108" s="18"/>
      <c r="D108" s="18"/>
      <c r="E108" s="18"/>
      <c r="S108" s="20"/>
      <c r="T108" s="21"/>
      <c r="U108" s="21"/>
      <c r="V108" s="21"/>
      <c r="W108" s="21"/>
      <c r="X108" s="21"/>
      <c r="Y108" s="21"/>
      <c r="Z108" s="21"/>
      <c r="AA108" s="18"/>
      <c r="AB108" s="21"/>
      <c r="AC108" s="21"/>
      <c r="AD108" s="21"/>
      <c r="AE108" s="21"/>
      <c r="AF108" s="21"/>
      <c r="AG108" s="21"/>
      <c r="AH108" s="21"/>
      <c r="AI108" s="18"/>
      <c r="AJ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58"/>
      <c r="BD108" s="21"/>
      <c r="BE108" s="58"/>
      <c r="BF108" s="21"/>
      <c r="BG108" s="21"/>
      <c r="BH108" s="18"/>
      <c r="BI108" s="18"/>
    </row>
    <row r="109" spans="1:61" s="19" customFormat="1" ht="15.75" x14ac:dyDescent="0.25">
      <c r="A109" s="18"/>
      <c r="B109" s="18"/>
      <c r="C109" s="18"/>
      <c r="D109" s="18"/>
      <c r="E109" s="18"/>
      <c r="S109" s="20"/>
      <c r="T109" s="21"/>
      <c r="U109" s="21"/>
      <c r="V109" s="21"/>
      <c r="W109" s="21"/>
      <c r="X109" s="21"/>
      <c r="Y109" s="21"/>
      <c r="Z109" s="21"/>
      <c r="AA109" s="18"/>
      <c r="AB109" s="21"/>
      <c r="AC109" s="21"/>
      <c r="AD109" s="21"/>
      <c r="AE109" s="21"/>
      <c r="AF109" s="21"/>
      <c r="AG109" s="21"/>
      <c r="AH109" s="21"/>
      <c r="AI109" s="18"/>
      <c r="AJ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58"/>
      <c r="BD109" s="21"/>
      <c r="BE109" s="58"/>
      <c r="BF109" s="21"/>
      <c r="BG109" s="21"/>
      <c r="BH109" s="18"/>
      <c r="BI109" s="18"/>
    </row>
    <row r="110" spans="1:61" s="19" customFormat="1" ht="15.75" x14ac:dyDescent="0.25">
      <c r="A110" s="18"/>
      <c r="B110" s="18"/>
      <c r="C110" s="18"/>
      <c r="D110" s="18"/>
      <c r="E110" s="18"/>
      <c r="S110" s="20"/>
      <c r="T110" s="21"/>
      <c r="U110" s="21"/>
      <c r="V110" s="21"/>
      <c r="W110" s="21"/>
      <c r="X110" s="21"/>
      <c r="Y110" s="21"/>
      <c r="Z110" s="21"/>
      <c r="AA110" s="18"/>
      <c r="AB110" s="21"/>
      <c r="AC110" s="21"/>
      <c r="AD110" s="21"/>
      <c r="AE110" s="21"/>
      <c r="AF110" s="21"/>
      <c r="AG110" s="21"/>
      <c r="AH110" s="21"/>
      <c r="AI110" s="18"/>
      <c r="AJ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58"/>
      <c r="BD110" s="21"/>
      <c r="BE110" s="58"/>
      <c r="BF110" s="21"/>
      <c r="BG110" s="21"/>
      <c r="BH110" s="18"/>
      <c r="BI110" s="18"/>
    </row>
    <row r="111" spans="1:61" s="19" customFormat="1" ht="15.75" x14ac:dyDescent="0.25">
      <c r="A111" s="18"/>
      <c r="B111" s="18"/>
      <c r="C111" s="18"/>
      <c r="D111" s="18"/>
      <c r="E111" s="18"/>
      <c r="S111" s="20"/>
      <c r="T111" s="21"/>
      <c r="U111" s="21"/>
      <c r="V111" s="21"/>
      <c r="W111" s="21"/>
      <c r="X111" s="21"/>
      <c r="Y111" s="21"/>
      <c r="Z111" s="21"/>
      <c r="AA111" s="18"/>
      <c r="AB111" s="21"/>
      <c r="AC111" s="21"/>
      <c r="AD111" s="21"/>
      <c r="AE111" s="21"/>
      <c r="AF111" s="21"/>
      <c r="AG111" s="21"/>
      <c r="AH111" s="21"/>
      <c r="AI111" s="18"/>
      <c r="AJ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58"/>
      <c r="BD111" s="21"/>
      <c r="BE111" s="58"/>
      <c r="BF111" s="21"/>
      <c r="BG111" s="21"/>
      <c r="BH111" s="18"/>
      <c r="BI111" s="18"/>
    </row>
    <row r="112" spans="1:61" s="19" customFormat="1" ht="15.75" x14ac:dyDescent="0.25">
      <c r="A112" s="18"/>
      <c r="B112" s="18"/>
      <c r="C112" s="18"/>
      <c r="D112" s="18"/>
      <c r="E112" s="18"/>
      <c r="S112" s="20"/>
      <c r="T112" s="21"/>
      <c r="U112" s="21"/>
      <c r="V112" s="21"/>
      <c r="W112" s="21"/>
      <c r="X112" s="21"/>
      <c r="Y112" s="21"/>
      <c r="Z112" s="21"/>
      <c r="AA112" s="18"/>
      <c r="AB112" s="21"/>
      <c r="AC112" s="21"/>
      <c r="AD112" s="21"/>
      <c r="AE112" s="21"/>
      <c r="AF112" s="21"/>
      <c r="AG112" s="21"/>
      <c r="AH112" s="21"/>
      <c r="AI112" s="18"/>
      <c r="AJ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58"/>
      <c r="BD112" s="21"/>
      <c r="BE112" s="58"/>
      <c r="BF112" s="21"/>
      <c r="BG112" s="21"/>
      <c r="BH112" s="18"/>
      <c r="BI112" s="18"/>
    </row>
    <row r="113" spans="1:61" s="19" customFormat="1" ht="15.75" x14ac:dyDescent="0.25">
      <c r="A113" s="18"/>
      <c r="B113" s="18"/>
      <c r="C113" s="18"/>
      <c r="D113" s="18"/>
      <c r="E113" s="18"/>
      <c r="S113" s="20"/>
      <c r="T113" s="21"/>
      <c r="U113" s="21"/>
      <c r="V113" s="21"/>
      <c r="W113" s="21"/>
      <c r="X113" s="21"/>
      <c r="Y113" s="21"/>
      <c r="Z113" s="21"/>
      <c r="AA113" s="18"/>
      <c r="AB113" s="21"/>
      <c r="AC113" s="21"/>
      <c r="AD113" s="21"/>
      <c r="AE113" s="21"/>
      <c r="AF113" s="21"/>
      <c r="AG113" s="21"/>
      <c r="AH113" s="21"/>
      <c r="AI113" s="18"/>
      <c r="AJ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58"/>
      <c r="BD113" s="21"/>
      <c r="BE113" s="58"/>
      <c r="BF113" s="21"/>
      <c r="BG113" s="21"/>
      <c r="BH113" s="18"/>
      <c r="BI113" s="18"/>
    </row>
    <row r="114" spans="1:61" s="19" customFormat="1" ht="15.75" x14ac:dyDescent="0.25">
      <c r="A114" s="18"/>
      <c r="B114" s="18"/>
      <c r="C114" s="18"/>
      <c r="D114" s="18"/>
      <c r="E114" s="18"/>
      <c r="S114" s="20"/>
      <c r="T114" s="21"/>
      <c r="U114" s="21"/>
      <c r="V114" s="21"/>
      <c r="W114" s="21"/>
      <c r="X114" s="21"/>
      <c r="Y114" s="21"/>
      <c r="Z114" s="21"/>
      <c r="AA114" s="18"/>
      <c r="AB114" s="21"/>
      <c r="AC114" s="21"/>
      <c r="AD114" s="21"/>
      <c r="AE114" s="21"/>
      <c r="AF114" s="21"/>
      <c r="AG114" s="21"/>
      <c r="AH114" s="21"/>
      <c r="AI114" s="18"/>
      <c r="AJ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58"/>
      <c r="BD114" s="21"/>
      <c r="BE114" s="58"/>
      <c r="BF114" s="21"/>
      <c r="BG114" s="21"/>
      <c r="BH114" s="18"/>
      <c r="BI114" s="18"/>
    </row>
    <row r="115" spans="1:61" s="19" customFormat="1" ht="15.75" x14ac:dyDescent="0.25">
      <c r="A115" s="18"/>
      <c r="B115" s="18"/>
      <c r="C115" s="18"/>
      <c r="D115" s="18"/>
      <c r="E115" s="18"/>
      <c r="S115" s="20"/>
      <c r="T115" s="21"/>
      <c r="U115" s="21"/>
      <c r="V115" s="21"/>
      <c r="W115" s="21"/>
      <c r="X115" s="21"/>
      <c r="Y115" s="21"/>
      <c r="Z115" s="21"/>
      <c r="AA115" s="18"/>
      <c r="AB115" s="21"/>
      <c r="AC115" s="21"/>
      <c r="AD115" s="21"/>
      <c r="AE115" s="21"/>
      <c r="AF115" s="21"/>
      <c r="AG115" s="21"/>
      <c r="AH115" s="21"/>
      <c r="AI115" s="18"/>
      <c r="AJ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58"/>
      <c r="BD115" s="21"/>
      <c r="BE115" s="58"/>
      <c r="BF115" s="21"/>
      <c r="BG115" s="21"/>
      <c r="BH115" s="18"/>
      <c r="BI115" s="18"/>
    </row>
    <row r="116" spans="1:61" s="19" customFormat="1" ht="15.75" x14ac:dyDescent="0.25">
      <c r="A116" s="18"/>
      <c r="B116" s="18"/>
      <c r="C116" s="18"/>
      <c r="D116" s="18"/>
      <c r="E116" s="18"/>
      <c r="S116" s="20"/>
      <c r="T116" s="21"/>
      <c r="U116" s="21"/>
      <c r="V116" s="21"/>
      <c r="W116" s="21"/>
      <c r="X116" s="21"/>
      <c r="Y116" s="21"/>
      <c r="Z116" s="21"/>
      <c r="AA116" s="18"/>
      <c r="AB116" s="21"/>
      <c r="AC116" s="21"/>
      <c r="AD116" s="21"/>
      <c r="AE116" s="21"/>
      <c r="AF116" s="21"/>
      <c r="AG116" s="21"/>
      <c r="AH116" s="21"/>
      <c r="AI116" s="18"/>
      <c r="AJ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58"/>
      <c r="BD116" s="21"/>
      <c r="BE116" s="58"/>
      <c r="BF116" s="21"/>
      <c r="BG116" s="21"/>
      <c r="BH116" s="18"/>
      <c r="BI116" s="18"/>
    </row>
    <row r="117" spans="1:61" s="19" customFormat="1" ht="15.75" x14ac:dyDescent="0.25">
      <c r="A117" s="18"/>
      <c r="B117" s="18"/>
      <c r="C117" s="18"/>
      <c r="D117" s="18"/>
      <c r="E117" s="18"/>
      <c r="S117" s="20"/>
      <c r="T117" s="21"/>
      <c r="U117" s="21"/>
      <c r="V117" s="21"/>
      <c r="W117" s="21"/>
      <c r="X117" s="21"/>
      <c r="Y117" s="21"/>
      <c r="Z117" s="21"/>
      <c r="AA117" s="18"/>
      <c r="AB117" s="21"/>
      <c r="AC117" s="21"/>
      <c r="AD117" s="21"/>
      <c r="AE117" s="21"/>
      <c r="AF117" s="21"/>
      <c r="AG117" s="21"/>
      <c r="AH117" s="21"/>
      <c r="AI117" s="18"/>
      <c r="AJ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58"/>
      <c r="BD117" s="21"/>
      <c r="BE117" s="58"/>
      <c r="BF117" s="21"/>
      <c r="BG117" s="21"/>
      <c r="BH117" s="18"/>
      <c r="BI117" s="18"/>
    </row>
    <row r="118" spans="1:61" s="19" customFormat="1" ht="15.75" x14ac:dyDescent="0.25">
      <c r="A118" s="18"/>
      <c r="B118" s="18"/>
      <c r="C118" s="18"/>
      <c r="D118" s="18"/>
      <c r="E118" s="18"/>
      <c r="S118" s="20"/>
      <c r="T118" s="21"/>
      <c r="U118" s="21"/>
      <c r="V118" s="21"/>
      <c r="W118" s="21"/>
      <c r="X118" s="21"/>
      <c r="Y118" s="21"/>
      <c r="Z118" s="21"/>
      <c r="AA118" s="18"/>
      <c r="AB118" s="21"/>
      <c r="AC118" s="21"/>
      <c r="AD118" s="21"/>
      <c r="AE118" s="21"/>
      <c r="AF118" s="21"/>
      <c r="AG118" s="21"/>
      <c r="AH118" s="21"/>
      <c r="AI118" s="18"/>
      <c r="AJ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58"/>
      <c r="BD118" s="21"/>
      <c r="BE118" s="58"/>
      <c r="BF118" s="21"/>
      <c r="BG118" s="21"/>
      <c r="BH118" s="18"/>
      <c r="BI118" s="18"/>
    </row>
    <row r="119" spans="1:61" s="19" customFormat="1" ht="15.75" x14ac:dyDescent="0.25">
      <c r="A119" s="18"/>
      <c r="B119" s="18"/>
      <c r="C119" s="18"/>
      <c r="D119" s="18"/>
      <c r="E119" s="18"/>
      <c r="S119" s="20"/>
      <c r="T119" s="21"/>
      <c r="U119" s="21"/>
      <c r="V119" s="21"/>
      <c r="W119" s="21"/>
      <c r="X119" s="21"/>
      <c r="Y119" s="21"/>
      <c r="Z119" s="21"/>
      <c r="AA119" s="18"/>
      <c r="AB119" s="21"/>
      <c r="AC119" s="21"/>
      <c r="AD119" s="21"/>
      <c r="AE119" s="21"/>
      <c r="AF119" s="21"/>
      <c r="AG119" s="21"/>
      <c r="AH119" s="21"/>
      <c r="AI119" s="18"/>
      <c r="AJ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58"/>
      <c r="BD119" s="21"/>
      <c r="BE119" s="58"/>
      <c r="BF119" s="21"/>
      <c r="BG119" s="21"/>
      <c r="BH119" s="18"/>
      <c r="BI119" s="18"/>
    </row>
    <row r="120" spans="1:61" s="19" customFormat="1" ht="15.75" x14ac:dyDescent="0.25">
      <c r="A120" s="18"/>
      <c r="B120" s="18"/>
      <c r="C120" s="18"/>
      <c r="D120" s="18"/>
      <c r="E120" s="18"/>
      <c r="S120" s="20"/>
      <c r="T120" s="21"/>
      <c r="U120" s="21"/>
      <c r="V120" s="21"/>
      <c r="W120" s="21"/>
      <c r="X120" s="21"/>
      <c r="Y120" s="21"/>
      <c r="Z120" s="21"/>
      <c r="AA120" s="18"/>
      <c r="AB120" s="21"/>
      <c r="AC120" s="21"/>
      <c r="AD120" s="21"/>
      <c r="AE120" s="21"/>
      <c r="AF120" s="21"/>
      <c r="AG120" s="21"/>
      <c r="AH120" s="21"/>
      <c r="AI120" s="18"/>
      <c r="AJ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58"/>
      <c r="BD120" s="21"/>
      <c r="BE120" s="58"/>
      <c r="BF120" s="21"/>
      <c r="BG120" s="21"/>
      <c r="BH120" s="18"/>
      <c r="BI120" s="18"/>
    </row>
    <row r="121" spans="1:61" s="19" customFormat="1" ht="15.75" x14ac:dyDescent="0.25">
      <c r="A121" s="18"/>
      <c r="B121" s="18"/>
      <c r="C121" s="18"/>
      <c r="D121" s="18"/>
      <c r="E121" s="18"/>
      <c r="S121" s="20"/>
      <c r="T121" s="21"/>
      <c r="U121" s="21"/>
      <c r="V121" s="21"/>
      <c r="W121" s="21"/>
      <c r="X121" s="21"/>
      <c r="Y121" s="21"/>
      <c r="Z121" s="21"/>
      <c r="AA121" s="18"/>
      <c r="AB121" s="21"/>
      <c r="AC121" s="21"/>
      <c r="AD121" s="21"/>
      <c r="AE121" s="21"/>
      <c r="AF121" s="21"/>
      <c r="AG121" s="21"/>
      <c r="AH121" s="21"/>
      <c r="AI121" s="18"/>
      <c r="AJ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58"/>
      <c r="BD121" s="21"/>
      <c r="BE121" s="58"/>
      <c r="BF121" s="21"/>
      <c r="BG121" s="21"/>
      <c r="BH121" s="18"/>
      <c r="BI121" s="18"/>
    </row>
    <row r="122" spans="1:61" s="19" customFormat="1" ht="15.75" x14ac:dyDescent="0.25">
      <c r="A122" s="18"/>
      <c r="B122" s="18"/>
      <c r="C122" s="18"/>
      <c r="D122" s="18"/>
      <c r="E122" s="18"/>
      <c r="S122" s="20"/>
      <c r="T122" s="21"/>
      <c r="U122" s="21"/>
      <c r="V122" s="21"/>
      <c r="W122" s="21"/>
      <c r="X122" s="21"/>
      <c r="Y122" s="21"/>
      <c r="Z122" s="21"/>
      <c r="AA122" s="18"/>
      <c r="AB122" s="21"/>
      <c r="AC122" s="21"/>
      <c r="AD122" s="21"/>
      <c r="AE122" s="21"/>
      <c r="AF122" s="21"/>
      <c r="AG122" s="21"/>
      <c r="AH122" s="21"/>
      <c r="AI122" s="18"/>
      <c r="AJ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58"/>
      <c r="BD122" s="21"/>
      <c r="BE122" s="58"/>
      <c r="BF122" s="21"/>
      <c r="BG122" s="21"/>
      <c r="BH122" s="18"/>
      <c r="BI122" s="18"/>
    </row>
    <row r="123" spans="1:61" s="19" customFormat="1" ht="15.75" x14ac:dyDescent="0.25">
      <c r="A123" s="18"/>
      <c r="B123" s="18"/>
      <c r="C123" s="18"/>
      <c r="D123" s="18"/>
      <c r="E123" s="18"/>
      <c r="S123" s="20"/>
      <c r="T123" s="21"/>
      <c r="U123" s="21"/>
      <c r="V123" s="21"/>
      <c r="W123" s="21"/>
      <c r="X123" s="21"/>
      <c r="Y123" s="21"/>
      <c r="Z123" s="21"/>
      <c r="AA123" s="18"/>
      <c r="AB123" s="21"/>
      <c r="AC123" s="21"/>
      <c r="AD123" s="21"/>
      <c r="AE123" s="21"/>
      <c r="AF123" s="21"/>
      <c r="AG123" s="21"/>
      <c r="AH123" s="21"/>
      <c r="AI123" s="18"/>
      <c r="AJ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58"/>
      <c r="BD123" s="21"/>
      <c r="BE123" s="58"/>
      <c r="BF123" s="21"/>
      <c r="BG123" s="21"/>
      <c r="BH123" s="18"/>
      <c r="BI123" s="18"/>
    </row>
    <row r="124" spans="1:61" s="19" customFormat="1" ht="15.75" x14ac:dyDescent="0.25">
      <c r="A124" s="18"/>
      <c r="B124" s="18"/>
      <c r="C124" s="18"/>
      <c r="D124" s="18"/>
      <c r="E124" s="18"/>
      <c r="S124" s="20"/>
      <c r="T124" s="21"/>
      <c r="U124" s="21"/>
      <c r="V124" s="21"/>
      <c r="W124" s="21"/>
      <c r="X124" s="21"/>
      <c r="Y124" s="21"/>
      <c r="Z124" s="21"/>
      <c r="AA124" s="18"/>
      <c r="AB124" s="21"/>
      <c r="AC124" s="21"/>
      <c r="AD124" s="21"/>
      <c r="AE124" s="21"/>
      <c r="AF124" s="21"/>
      <c r="AG124" s="21"/>
      <c r="AH124" s="21"/>
      <c r="AI124" s="18"/>
      <c r="AJ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58"/>
      <c r="BD124" s="21"/>
      <c r="BE124" s="58"/>
      <c r="BF124" s="21"/>
      <c r="BG124" s="21"/>
      <c r="BH124" s="18"/>
      <c r="BI124" s="18"/>
    </row>
    <row r="125" spans="1:61" s="19" customFormat="1" ht="15.75" x14ac:dyDescent="0.25">
      <c r="A125" s="18"/>
      <c r="B125" s="18"/>
      <c r="C125" s="18"/>
      <c r="D125" s="18"/>
      <c r="E125" s="18"/>
      <c r="S125" s="20"/>
      <c r="T125" s="21"/>
      <c r="U125" s="21"/>
      <c r="V125" s="21"/>
      <c r="W125" s="21"/>
      <c r="X125" s="21"/>
      <c r="Y125" s="21"/>
      <c r="Z125" s="21"/>
      <c r="AA125" s="18"/>
      <c r="AB125" s="21"/>
      <c r="AC125" s="21"/>
      <c r="AD125" s="21"/>
      <c r="AE125" s="21"/>
      <c r="AF125" s="21"/>
      <c r="AG125" s="21"/>
      <c r="AH125" s="21"/>
      <c r="AI125" s="18"/>
      <c r="AJ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58"/>
      <c r="BD125" s="21"/>
      <c r="BE125" s="58"/>
      <c r="BF125" s="21"/>
      <c r="BG125" s="21"/>
      <c r="BH125" s="18"/>
      <c r="BI125" s="18"/>
    </row>
    <row r="126" spans="1:61" s="19" customFormat="1" ht="15.75" x14ac:dyDescent="0.25">
      <c r="A126" s="18"/>
      <c r="B126" s="18"/>
      <c r="C126" s="18"/>
      <c r="D126" s="18"/>
      <c r="E126" s="18"/>
      <c r="S126" s="20"/>
      <c r="T126" s="21"/>
      <c r="U126" s="21"/>
      <c r="V126" s="21"/>
      <c r="W126" s="21"/>
      <c r="X126" s="21"/>
      <c r="Y126" s="21"/>
      <c r="Z126" s="21"/>
      <c r="AA126" s="18"/>
      <c r="AB126" s="21"/>
      <c r="AC126" s="21"/>
      <c r="AD126" s="21"/>
      <c r="AE126" s="21"/>
      <c r="AF126" s="21"/>
      <c r="AG126" s="21"/>
      <c r="AH126" s="21"/>
      <c r="AI126" s="18"/>
      <c r="AJ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58"/>
      <c r="BD126" s="21"/>
      <c r="BE126" s="58"/>
      <c r="BF126" s="21"/>
      <c r="BG126" s="21"/>
      <c r="BH126" s="18"/>
      <c r="BI126" s="18"/>
    </row>
    <row r="127" spans="1:61" s="19" customFormat="1" ht="15.75" x14ac:dyDescent="0.25">
      <c r="A127" s="18"/>
      <c r="B127" s="18"/>
      <c r="C127" s="18"/>
      <c r="D127" s="18"/>
      <c r="E127" s="18"/>
      <c r="S127" s="20"/>
      <c r="T127" s="21"/>
      <c r="U127" s="21"/>
      <c r="V127" s="21"/>
      <c r="W127" s="21"/>
      <c r="X127" s="21"/>
      <c r="Y127" s="21"/>
      <c r="Z127" s="21"/>
      <c r="AA127" s="18"/>
      <c r="AB127" s="21"/>
      <c r="AC127" s="21"/>
      <c r="AD127" s="21"/>
      <c r="AE127" s="21"/>
      <c r="AF127" s="21"/>
      <c r="AG127" s="21"/>
      <c r="AH127" s="21"/>
      <c r="AI127" s="18"/>
      <c r="AJ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58"/>
      <c r="BD127" s="21"/>
      <c r="BE127" s="58"/>
      <c r="BF127" s="21"/>
      <c r="BG127" s="21"/>
      <c r="BH127" s="18"/>
      <c r="BI127" s="18"/>
    </row>
    <row r="128" spans="1:61" s="19" customFormat="1" ht="15.75" x14ac:dyDescent="0.25">
      <c r="A128" s="18"/>
      <c r="B128" s="18"/>
      <c r="C128" s="18"/>
      <c r="D128" s="18"/>
      <c r="E128" s="18"/>
      <c r="S128" s="20"/>
      <c r="T128" s="21"/>
      <c r="U128" s="21"/>
      <c r="V128" s="21"/>
      <c r="W128" s="21"/>
      <c r="X128" s="21"/>
      <c r="Y128" s="21"/>
      <c r="Z128" s="21"/>
      <c r="AA128" s="18"/>
      <c r="AB128" s="21"/>
      <c r="AC128" s="21"/>
      <c r="AD128" s="21"/>
      <c r="AE128" s="21"/>
      <c r="AF128" s="21"/>
      <c r="AG128" s="21"/>
      <c r="AH128" s="21"/>
      <c r="AI128" s="18"/>
      <c r="AJ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58"/>
      <c r="BD128" s="21"/>
      <c r="BE128" s="58"/>
      <c r="BF128" s="21"/>
      <c r="BG128" s="21"/>
      <c r="BH128" s="18"/>
      <c r="BI128" s="18"/>
    </row>
    <row r="129" spans="1:61" s="19" customFormat="1" ht="15.75" x14ac:dyDescent="0.25">
      <c r="A129" s="18"/>
      <c r="B129" s="18"/>
      <c r="C129" s="18"/>
      <c r="D129" s="18"/>
      <c r="E129" s="18"/>
      <c r="S129" s="20"/>
      <c r="T129" s="21"/>
      <c r="U129" s="21"/>
      <c r="V129" s="21"/>
      <c r="W129" s="21"/>
      <c r="X129" s="21"/>
      <c r="Y129" s="21"/>
      <c r="Z129" s="21"/>
      <c r="AA129" s="18"/>
      <c r="AB129" s="21"/>
      <c r="AC129" s="21"/>
      <c r="AD129" s="21"/>
      <c r="AE129" s="21"/>
      <c r="AF129" s="21"/>
      <c r="AG129" s="21"/>
      <c r="AH129" s="21"/>
      <c r="AI129" s="18"/>
      <c r="AJ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58"/>
      <c r="BD129" s="21"/>
      <c r="BE129" s="58"/>
      <c r="BF129" s="21"/>
      <c r="BG129" s="21"/>
      <c r="BH129" s="18"/>
      <c r="BI129" s="18"/>
    </row>
    <row r="130" spans="1:61" s="19" customFormat="1" ht="15.75" x14ac:dyDescent="0.25">
      <c r="A130" s="18"/>
      <c r="B130" s="18"/>
      <c r="C130" s="18"/>
      <c r="D130" s="18"/>
      <c r="E130" s="18"/>
      <c r="S130" s="20"/>
      <c r="T130" s="21"/>
      <c r="U130" s="21"/>
      <c r="V130" s="21"/>
      <c r="W130" s="21"/>
      <c r="X130" s="21"/>
      <c r="Y130" s="21"/>
      <c r="Z130" s="21"/>
      <c r="AA130" s="18"/>
      <c r="AB130" s="21"/>
      <c r="AC130" s="21"/>
      <c r="AD130" s="21"/>
      <c r="AE130" s="21"/>
      <c r="AF130" s="21"/>
      <c r="AG130" s="21"/>
      <c r="AH130" s="21"/>
      <c r="AI130" s="18"/>
      <c r="AJ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58"/>
      <c r="BD130" s="21"/>
      <c r="BE130" s="58"/>
      <c r="BF130" s="21"/>
      <c r="BG130" s="21"/>
      <c r="BH130" s="18"/>
      <c r="BI130" s="18"/>
    </row>
    <row r="131" spans="1:61" s="19" customFormat="1" ht="15.75" x14ac:dyDescent="0.25">
      <c r="A131" s="18"/>
      <c r="B131" s="18"/>
      <c r="C131" s="18"/>
      <c r="D131" s="18"/>
      <c r="E131" s="18"/>
      <c r="S131" s="20"/>
      <c r="T131" s="21"/>
      <c r="U131" s="21"/>
      <c r="V131" s="21"/>
      <c r="W131" s="21"/>
      <c r="X131" s="21"/>
      <c r="Y131" s="21"/>
      <c r="Z131" s="21"/>
      <c r="AA131" s="18"/>
      <c r="AB131" s="21"/>
      <c r="AC131" s="21"/>
      <c r="AD131" s="21"/>
      <c r="AE131" s="21"/>
      <c r="AF131" s="21"/>
      <c r="AG131" s="21"/>
      <c r="AH131" s="21"/>
      <c r="AI131" s="18"/>
      <c r="AJ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58"/>
      <c r="BD131" s="21"/>
      <c r="BE131" s="58"/>
      <c r="BF131" s="21"/>
      <c r="BG131" s="21"/>
      <c r="BH131" s="18"/>
      <c r="BI131" s="18"/>
    </row>
    <row r="132" spans="1:61" s="19" customFormat="1" ht="15.75" x14ac:dyDescent="0.25">
      <c r="A132" s="18"/>
      <c r="B132" s="18"/>
      <c r="C132" s="18"/>
      <c r="D132" s="18"/>
      <c r="E132" s="18"/>
      <c r="S132" s="20"/>
      <c r="T132" s="21"/>
      <c r="U132" s="21"/>
      <c r="V132" s="21"/>
      <c r="W132" s="21"/>
      <c r="X132" s="21"/>
      <c r="Y132" s="21"/>
      <c r="Z132" s="21"/>
      <c r="AA132" s="18"/>
      <c r="AB132" s="21"/>
      <c r="AC132" s="21"/>
      <c r="AD132" s="21"/>
      <c r="AE132" s="21"/>
      <c r="AF132" s="21"/>
      <c r="AG132" s="21"/>
      <c r="AH132" s="21"/>
      <c r="AI132" s="18"/>
      <c r="AJ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58"/>
      <c r="BD132" s="21"/>
      <c r="BE132" s="58"/>
      <c r="BF132" s="21"/>
      <c r="BG132" s="21"/>
      <c r="BH132" s="18"/>
      <c r="BI132" s="18"/>
    </row>
    <row r="133" spans="1:61" s="19" customFormat="1" ht="15.75" x14ac:dyDescent="0.25">
      <c r="A133" s="18"/>
      <c r="B133" s="18"/>
      <c r="C133" s="18"/>
      <c r="D133" s="18"/>
      <c r="E133" s="18"/>
      <c r="S133" s="20"/>
      <c r="T133" s="21"/>
      <c r="U133" s="21"/>
      <c r="V133" s="21"/>
      <c r="W133" s="21"/>
      <c r="X133" s="21"/>
      <c r="Y133" s="21"/>
      <c r="Z133" s="21"/>
      <c r="AA133" s="18"/>
      <c r="AB133" s="21"/>
      <c r="AC133" s="21"/>
      <c r="AD133" s="21"/>
      <c r="AE133" s="21"/>
      <c r="AF133" s="21"/>
      <c r="AG133" s="21"/>
      <c r="AH133" s="21"/>
      <c r="AI133" s="18"/>
      <c r="AJ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58"/>
      <c r="BD133" s="21"/>
      <c r="BE133" s="58"/>
      <c r="BF133" s="21"/>
      <c r="BG133" s="21"/>
      <c r="BH133" s="18"/>
      <c r="BI133" s="18"/>
    </row>
    <row r="134" spans="1:61" s="19" customFormat="1" ht="15.75" x14ac:dyDescent="0.25">
      <c r="A134" s="18"/>
      <c r="B134" s="18"/>
      <c r="C134" s="18"/>
      <c r="D134" s="18"/>
      <c r="E134" s="18"/>
      <c r="S134" s="20"/>
      <c r="T134" s="21"/>
      <c r="U134" s="21"/>
      <c r="V134" s="21"/>
      <c r="W134" s="21"/>
      <c r="X134" s="21"/>
      <c r="Y134" s="21"/>
      <c r="Z134" s="21"/>
      <c r="AA134" s="18"/>
      <c r="AB134" s="21"/>
      <c r="AC134" s="21"/>
      <c r="AD134" s="21"/>
      <c r="AE134" s="21"/>
      <c r="AF134" s="21"/>
      <c r="AG134" s="21"/>
      <c r="AH134" s="21"/>
      <c r="AI134" s="18"/>
      <c r="AJ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58"/>
      <c r="BD134" s="21"/>
      <c r="BE134" s="58"/>
      <c r="BF134" s="21"/>
      <c r="BG134" s="21"/>
      <c r="BH134" s="18"/>
      <c r="BI134" s="18"/>
    </row>
    <row r="135" spans="1:61" s="19" customFormat="1" ht="15.75" x14ac:dyDescent="0.25">
      <c r="A135" s="18"/>
      <c r="B135" s="18"/>
      <c r="C135" s="18"/>
      <c r="D135" s="18"/>
      <c r="E135" s="18"/>
      <c r="S135" s="20"/>
      <c r="T135" s="21"/>
      <c r="U135" s="21"/>
      <c r="V135" s="21"/>
      <c r="W135" s="21"/>
      <c r="X135" s="21"/>
      <c r="Y135" s="21"/>
      <c r="Z135" s="21"/>
      <c r="AA135" s="18"/>
      <c r="AB135" s="21"/>
      <c r="AC135" s="21"/>
      <c r="AD135" s="21"/>
      <c r="AE135" s="21"/>
      <c r="AF135" s="21"/>
      <c r="AG135" s="21"/>
      <c r="AH135" s="21"/>
      <c r="AI135" s="18"/>
      <c r="AJ135" s="21"/>
      <c r="AS135" s="18"/>
      <c r="AT135" s="18"/>
      <c r="AU135" s="18"/>
      <c r="AV135" s="18"/>
      <c r="AW135" s="18"/>
      <c r="AX135" s="18"/>
      <c r="AY135" s="18"/>
      <c r="AZ135" s="21"/>
      <c r="BA135" s="21"/>
      <c r="BB135" s="21"/>
      <c r="BC135" s="58"/>
      <c r="BD135" s="21"/>
      <c r="BE135" s="58"/>
      <c r="BF135" s="21"/>
      <c r="BG135" s="21"/>
      <c r="BH135" s="18"/>
      <c r="BI135" s="18"/>
    </row>
    <row r="136" spans="1:61" s="19" customFormat="1" ht="15.75" x14ac:dyDescent="0.25">
      <c r="A136" s="18"/>
      <c r="B136" s="18"/>
      <c r="C136" s="18"/>
      <c r="D136" s="18"/>
      <c r="E136" s="18"/>
      <c r="S136" s="20"/>
      <c r="T136" s="21"/>
      <c r="U136" s="21"/>
      <c r="V136" s="21"/>
      <c r="W136" s="21"/>
      <c r="X136" s="21"/>
      <c r="Y136" s="21"/>
      <c r="Z136" s="21"/>
      <c r="AA136" s="18"/>
      <c r="AB136" s="21"/>
      <c r="AC136" s="21"/>
      <c r="AD136" s="21"/>
      <c r="AE136" s="21"/>
      <c r="AF136" s="21"/>
      <c r="AG136" s="21"/>
      <c r="AH136" s="21"/>
      <c r="AI136" s="18"/>
      <c r="AJ136" s="18"/>
      <c r="AS136" s="18"/>
      <c r="AT136" s="18"/>
      <c r="AU136" s="18"/>
      <c r="AV136" s="18"/>
      <c r="AW136" s="18"/>
      <c r="AX136" s="18"/>
      <c r="AY136" s="18"/>
      <c r="AZ136" s="21"/>
      <c r="BA136" s="21"/>
      <c r="BB136" s="21"/>
      <c r="BC136" s="58"/>
      <c r="BD136" s="21"/>
      <c r="BE136" s="58"/>
      <c r="BF136" s="21"/>
      <c r="BG136" s="21"/>
      <c r="BH136" s="18"/>
      <c r="BI136" s="18"/>
    </row>
    <row r="137" spans="1:61" s="19" customFormat="1" ht="15.75" x14ac:dyDescent="0.25">
      <c r="A137" s="18"/>
      <c r="B137" s="18"/>
      <c r="C137" s="18"/>
      <c r="D137" s="18"/>
      <c r="E137" s="18"/>
      <c r="S137" s="20"/>
      <c r="T137" s="21"/>
      <c r="U137" s="21"/>
      <c r="V137" s="21"/>
      <c r="W137" s="21"/>
      <c r="X137" s="21"/>
      <c r="Y137" s="21"/>
      <c r="Z137" s="21"/>
      <c r="AA137" s="18"/>
      <c r="AB137" s="21"/>
      <c r="AC137" s="21"/>
      <c r="AD137" s="21"/>
      <c r="AE137" s="21"/>
      <c r="AF137" s="21"/>
      <c r="AG137" s="21"/>
      <c r="AH137" s="21"/>
      <c r="AI137" s="18"/>
      <c r="AJ137" s="18"/>
      <c r="AS137" s="18"/>
      <c r="AT137" s="18"/>
      <c r="AU137" s="18"/>
      <c r="AV137" s="18"/>
      <c r="AW137" s="18"/>
      <c r="AX137" s="18"/>
      <c r="AY137" s="18"/>
      <c r="AZ137" s="21"/>
      <c r="BA137" s="21"/>
      <c r="BB137" s="21"/>
      <c r="BC137" s="58"/>
      <c r="BD137" s="21"/>
      <c r="BE137" s="58"/>
      <c r="BF137" s="21"/>
      <c r="BG137" s="21"/>
      <c r="BH137" s="18"/>
      <c r="BI137" s="18"/>
    </row>
    <row r="138" spans="1:61" s="19" customFormat="1" ht="15.75" x14ac:dyDescent="0.25">
      <c r="A138" s="18"/>
      <c r="B138" s="18"/>
      <c r="C138" s="18"/>
      <c r="D138" s="18"/>
      <c r="E138" s="18"/>
      <c r="S138" s="20"/>
      <c r="T138" s="21"/>
      <c r="U138" s="21"/>
      <c r="V138" s="21"/>
      <c r="W138" s="21"/>
      <c r="X138" s="21"/>
      <c r="Y138" s="21"/>
      <c r="Z138" s="21"/>
      <c r="AA138" s="18"/>
      <c r="AB138" s="21"/>
      <c r="AC138" s="21"/>
      <c r="AD138" s="21"/>
      <c r="AE138" s="21"/>
      <c r="AF138" s="21"/>
      <c r="AG138" s="21"/>
      <c r="AH138" s="21"/>
      <c r="AI138" s="18"/>
      <c r="AJ138" s="18"/>
      <c r="AS138" s="18"/>
      <c r="AT138" s="18"/>
      <c r="AU138" s="18"/>
      <c r="AV138" s="18"/>
      <c r="AW138" s="18"/>
      <c r="AX138" s="18"/>
      <c r="AY138" s="18"/>
      <c r="AZ138" s="21"/>
      <c r="BA138" s="21"/>
      <c r="BB138" s="21"/>
      <c r="BC138" s="58"/>
      <c r="BD138" s="21"/>
      <c r="BE138" s="58"/>
      <c r="BF138" s="21"/>
      <c r="BG138" s="21"/>
      <c r="BH138" s="18"/>
      <c r="BI138" s="18"/>
    </row>
    <row r="139" spans="1:61" s="19" customFormat="1" ht="15.75" x14ac:dyDescent="0.25">
      <c r="A139" s="18"/>
      <c r="B139" s="18"/>
      <c r="C139" s="18"/>
      <c r="D139" s="18"/>
      <c r="E139" s="18"/>
      <c r="S139" s="20"/>
      <c r="T139" s="21"/>
      <c r="U139" s="21"/>
      <c r="V139" s="21"/>
      <c r="W139" s="21"/>
      <c r="X139" s="21"/>
      <c r="Y139" s="21"/>
      <c r="Z139" s="21"/>
      <c r="AA139" s="18"/>
      <c r="AB139" s="21"/>
      <c r="AC139" s="21"/>
      <c r="AD139" s="21"/>
      <c r="AE139" s="21"/>
      <c r="AF139" s="21"/>
      <c r="AG139" s="21"/>
      <c r="AH139" s="21"/>
      <c r="AI139" s="18"/>
      <c r="AJ139" s="18"/>
      <c r="AS139" s="18"/>
      <c r="AT139" s="18"/>
      <c r="AU139" s="18"/>
      <c r="AV139" s="18"/>
      <c r="AW139" s="18"/>
      <c r="AX139" s="18"/>
      <c r="AY139" s="18"/>
      <c r="AZ139" s="21"/>
      <c r="BA139" s="21"/>
      <c r="BB139" s="21"/>
      <c r="BC139" s="58"/>
      <c r="BD139" s="21"/>
      <c r="BE139" s="58"/>
      <c r="BF139" s="21"/>
      <c r="BG139" s="21"/>
      <c r="BH139" s="18"/>
      <c r="BI139" s="18"/>
    </row>
    <row r="140" spans="1:61" s="19" customFormat="1" ht="15.75" x14ac:dyDescent="0.25">
      <c r="A140" s="18"/>
      <c r="B140" s="18"/>
      <c r="C140" s="18"/>
      <c r="D140" s="18"/>
      <c r="E140" s="18"/>
      <c r="S140" s="20"/>
      <c r="T140" s="21"/>
      <c r="U140" s="21"/>
      <c r="V140" s="21"/>
      <c r="W140" s="21"/>
      <c r="X140" s="21"/>
      <c r="Y140" s="21"/>
      <c r="Z140" s="21"/>
      <c r="AA140" s="18"/>
      <c r="AB140" s="21"/>
      <c r="AC140" s="21"/>
      <c r="AD140" s="21"/>
      <c r="AE140" s="21"/>
      <c r="AF140" s="21"/>
      <c r="AG140" s="21"/>
      <c r="AH140" s="21"/>
      <c r="AI140" s="18"/>
      <c r="AJ140" s="18"/>
      <c r="AS140" s="18"/>
      <c r="AT140" s="18"/>
      <c r="AU140" s="18"/>
      <c r="AV140" s="18"/>
      <c r="AW140" s="18"/>
      <c r="AX140" s="18"/>
      <c r="AY140" s="18"/>
      <c r="AZ140" s="21"/>
      <c r="BA140" s="21"/>
      <c r="BB140" s="21"/>
      <c r="BC140" s="58"/>
      <c r="BD140" s="21"/>
      <c r="BE140" s="58"/>
      <c r="BF140" s="21"/>
      <c r="BG140" s="21"/>
      <c r="BH140" s="18"/>
      <c r="BI140" s="18"/>
    </row>
    <row r="141" spans="1:61" s="19" customFormat="1" ht="15.75" x14ac:dyDescent="0.25">
      <c r="A141" s="18"/>
      <c r="B141" s="18"/>
      <c r="C141" s="18"/>
      <c r="D141" s="18"/>
      <c r="E141" s="18"/>
      <c r="S141" s="20"/>
      <c r="T141" s="21"/>
      <c r="U141" s="21"/>
      <c r="V141" s="21"/>
      <c r="W141" s="21"/>
      <c r="X141" s="21"/>
      <c r="Y141" s="21"/>
      <c r="Z141" s="21"/>
      <c r="AA141" s="18"/>
      <c r="AB141" s="21"/>
      <c r="AC141" s="21"/>
      <c r="AD141" s="21"/>
      <c r="AE141" s="21"/>
      <c r="AF141" s="21"/>
      <c r="AG141" s="21"/>
      <c r="AH141" s="21"/>
      <c r="AI141" s="18"/>
      <c r="AJ141" s="18"/>
      <c r="AS141" s="18"/>
      <c r="AT141" s="18"/>
      <c r="AU141" s="18"/>
      <c r="AV141" s="18"/>
      <c r="AW141" s="18"/>
      <c r="AX141" s="18"/>
      <c r="AY141" s="18"/>
      <c r="AZ141" s="21"/>
      <c r="BA141" s="21"/>
      <c r="BB141" s="21"/>
      <c r="BC141" s="58"/>
      <c r="BD141" s="21"/>
      <c r="BE141" s="58"/>
      <c r="BF141" s="21"/>
      <c r="BG141" s="21"/>
      <c r="BH141" s="18"/>
      <c r="BI141" s="18"/>
    </row>
    <row r="142" spans="1:61" s="19" customFormat="1" ht="15.75" x14ac:dyDescent="0.25">
      <c r="A142" s="18"/>
      <c r="B142" s="18"/>
      <c r="C142" s="18"/>
      <c r="D142" s="18"/>
      <c r="E142" s="18"/>
      <c r="S142" s="20"/>
      <c r="T142" s="21"/>
      <c r="U142" s="21"/>
      <c r="V142" s="21"/>
      <c r="W142" s="21"/>
      <c r="X142" s="21"/>
      <c r="Y142" s="21"/>
      <c r="Z142" s="21"/>
      <c r="AA142" s="18"/>
      <c r="AB142" s="21"/>
      <c r="AC142" s="21"/>
      <c r="AD142" s="21"/>
      <c r="AE142" s="21"/>
      <c r="AF142" s="21"/>
      <c r="AG142" s="21"/>
      <c r="AH142" s="21"/>
      <c r="AI142" s="18"/>
      <c r="AJ142" s="18"/>
      <c r="AS142" s="18"/>
      <c r="AT142" s="18"/>
      <c r="AU142" s="18"/>
      <c r="AV142" s="18"/>
      <c r="AW142" s="18"/>
      <c r="AX142" s="18"/>
      <c r="AY142" s="18"/>
      <c r="AZ142" s="21"/>
      <c r="BA142" s="21"/>
      <c r="BB142" s="21"/>
      <c r="BC142" s="58"/>
      <c r="BD142" s="21"/>
      <c r="BE142" s="58"/>
      <c r="BF142" s="21"/>
      <c r="BG142" s="21"/>
      <c r="BH142" s="18"/>
      <c r="BI142" s="18"/>
    </row>
    <row r="143" spans="1:61" s="19" customFormat="1" ht="15.75" x14ac:dyDescent="0.25">
      <c r="A143" s="18"/>
      <c r="B143" s="18"/>
      <c r="C143" s="18"/>
      <c r="D143" s="18"/>
      <c r="E143" s="18"/>
      <c r="S143" s="20"/>
      <c r="T143" s="21"/>
      <c r="U143" s="21"/>
      <c r="V143" s="21"/>
      <c r="W143" s="21"/>
      <c r="X143" s="21"/>
      <c r="Y143" s="21"/>
      <c r="Z143" s="21"/>
      <c r="AA143" s="18"/>
      <c r="AB143" s="21"/>
      <c r="AC143" s="21"/>
      <c r="AD143" s="21"/>
      <c r="AE143" s="21"/>
      <c r="AF143" s="21"/>
      <c r="AG143" s="21"/>
      <c r="AH143" s="21"/>
      <c r="AI143" s="18"/>
      <c r="AJ143" s="18"/>
      <c r="AS143" s="18"/>
      <c r="AT143" s="18"/>
      <c r="AU143" s="18"/>
      <c r="AV143" s="18"/>
      <c r="AW143" s="18"/>
      <c r="AX143" s="18"/>
      <c r="AY143" s="18"/>
      <c r="AZ143" s="21"/>
      <c r="BA143" s="21"/>
      <c r="BB143" s="21"/>
      <c r="BC143" s="58"/>
      <c r="BD143" s="21"/>
      <c r="BE143" s="58"/>
      <c r="BF143" s="21"/>
      <c r="BG143" s="21"/>
      <c r="BH143" s="18"/>
      <c r="BI143" s="18"/>
    </row>
    <row r="144" spans="1:61" s="19" customFormat="1" ht="15.75" x14ac:dyDescent="0.25">
      <c r="A144" s="18"/>
      <c r="B144" s="18"/>
      <c r="C144" s="18"/>
      <c r="D144" s="18"/>
      <c r="E144" s="18"/>
      <c r="S144" s="20"/>
      <c r="T144" s="21"/>
      <c r="U144" s="21"/>
      <c r="V144" s="21"/>
      <c r="W144" s="21"/>
      <c r="X144" s="21"/>
      <c r="Y144" s="21"/>
      <c r="Z144" s="21"/>
      <c r="AA144" s="18"/>
      <c r="AB144" s="21"/>
      <c r="AC144" s="21"/>
      <c r="AD144" s="21"/>
      <c r="AE144" s="21"/>
      <c r="AF144" s="21"/>
      <c r="AG144" s="21"/>
      <c r="AH144" s="21"/>
      <c r="AI144" s="18"/>
      <c r="AJ144" s="18"/>
      <c r="AS144" s="18"/>
      <c r="AT144" s="18"/>
      <c r="AU144" s="18"/>
      <c r="AV144" s="18"/>
      <c r="AW144" s="18"/>
      <c r="AX144" s="18"/>
      <c r="AY144" s="18"/>
      <c r="AZ144" s="21"/>
      <c r="BA144" s="21"/>
      <c r="BB144" s="21"/>
      <c r="BC144" s="58"/>
      <c r="BD144" s="21"/>
      <c r="BE144" s="58"/>
      <c r="BF144" s="21"/>
      <c r="BG144" s="21"/>
      <c r="BH144" s="18"/>
      <c r="BI144" s="18"/>
    </row>
    <row r="145" spans="1:61" s="19" customFormat="1" ht="15.75" x14ac:dyDescent="0.25">
      <c r="A145" s="18"/>
      <c r="B145" s="18"/>
      <c r="C145" s="18"/>
      <c r="D145" s="18"/>
      <c r="E145" s="18"/>
      <c r="S145" s="20"/>
      <c r="T145" s="21"/>
      <c r="U145" s="21"/>
      <c r="V145" s="21"/>
      <c r="W145" s="21"/>
      <c r="X145" s="21"/>
      <c r="Y145" s="21"/>
      <c r="Z145" s="21"/>
      <c r="AA145" s="18"/>
      <c r="AB145" s="21"/>
      <c r="AC145" s="21"/>
      <c r="AD145" s="21"/>
      <c r="AE145" s="21"/>
      <c r="AF145" s="21"/>
      <c r="AG145" s="21"/>
      <c r="AH145" s="21"/>
      <c r="AI145" s="18"/>
      <c r="AJ145" s="18"/>
      <c r="AS145" s="18"/>
      <c r="AT145" s="18"/>
      <c r="AU145" s="18"/>
      <c r="AV145" s="18"/>
      <c r="AW145" s="18"/>
      <c r="AX145" s="18"/>
      <c r="AY145" s="18"/>
      <c r="AZ145" s="21"/>
      <c r="BA145" s="21"/>
      <c r="BB145" s="21"/>
      <c r="BC145" s="58"/>
      <c r="BD145" s="21"/>
      <c r="BE145" s="58"/>
      <c r="BF145" s="21"/>
      <c r="BG145" s="21"/>
      <c r="BH145" s="18"/>
      <c r="BI145" s="18"/>
    </row>
    <row r="146" spans="1:61" s="19" customFormat="1" ht="15.75" x14ac:dyDescent="0.25">
      <c r="A146" s="18"/>
      <c r="B146" s="18"/>
      <c r="C146" s="18"/>
      <c r="D146" s="18"/>
      <c r="E146" s="18"/>
      <c r="S146" s="20"/>
      <c r="T146" s="21"/>
      <c r="U146" s="21"/>
      <c r="V146" s="21"/>
      <c r="W146" s="21"/>
      <c r="X146" s="21"/>
      <c r="Y146" s="21"/>
      <c r="Z146" s="21"/>
      <c r="AA146" s="18"/>
      <c r="AB146" s="21"/>
      <c r="AC146" s="21"/>
      <c r="AD146" s="21"/>
      <c r="AE146" s="21"/>
      <c r="AF146" s="21"/>
      <c r="AG146" s="21"/>
      <c r="AH146" s="21"/>
      <c r="AI146" s="18"/>
      <c r="AJ146" s="18"/>
      <c r="AS146" s="18"/>
      <c r="AT146" s="18"/>
      <c r="AU146" s="18"/>
      <c r="AV146" s="18"/>
      <c r="AW146" s="18"/>
      <c r="AX146" s="18"/>
      <c r="AY146" s="18"/>
      <c r="AZ146" s="21"/>
      <c r="BA146" s="21"/>
      <c r="BB146" s="21"/>
      <c r="BC146" s="58"/>
      <c r="BD146" s="21"/>
      <c r="BE146" s="58"/>
      <c r="BF146" s="21"/>
      <c r="BG146" s="21"/>
      <c r="BH146" s="18"/>
      <c r="BI146" s="18"/>
    </row>
    <row r="147" spans="1:61" s="19" customFormat="1" ht="15.75" x14ac:dyDescent="0.25">
      <c r="A147" s="18"/>
      <c r="B147" s="18"/>
      <c r="C147" s="18"/>
      <c r="D147" s="18"/>
      <c r="E147" s="18"/>
      <c r="S147" s="20"/>
      <c r="T147" s="21"/>
      <c r="U147" s="21"/>
      <c r="V147" s="21"/>
      <c r="W147" s="21"/>
      <c r="X147" s="21"/>
      <c r="Y147" s="21"/>
      <c r="Z147" s="21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S147" s="18"/>
      <c r="AT147" s="18"/>
      <c r="AU147" s="18"/>
      <c r="AV147" s="18"/>
      <c r="AW147" s="18"/>
      <c r="AX147" s="18"/>
      <c r="AY147" s="18"/>
      <c r="AZ147" s="21"/>
      <c r="BA147" s="21"/>
      <c r="BB147" s="21"/>
      <c r="BC147" s="58"/>
      <c r="BD147" s="21"/>
      <c r="BE147" s="58"/>
      <c r="BF147" s="21"/>
      <c r="BG147" s="21"/>
      <c r="BH147" s="18"/>
      <c r="BI147" s="18"/>
    </row>
    <row r="148" spans="1:61" s="19" customFormat="1" ht="15.75" x14ac:dyDescent="0.25">
      <c r="A148" s="18"/>
      <c r="B148" s="18"/>
      <c r="C148" s="18"/>
      <c r="D148" s="18"/>
      <c r="E148" s="18"/>
      <c r="S148" s="20"/>
      <c r="T148" s="21"/>
      <c r="U148" s="21"/>
      <c r="V148" s="21"/>
      <c r="W148" s="21"/>
      <c r="X148" s="21"/>
      <c r="Y148" s="21"/>
      <c r="Z148" s="21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S148" s="18"/>
      <c r="AT148" s="18"/>
      <c r="AU148" s="18"/>
      <c r="AV148" s="18"/>
      <c r="AW148" s="18"/>
      <c r="AX148" s="18"/>
      <c r="AY148" s="18"/>
      <c r="AZ148" s="21"/>
      <c r="BA148" s="21"/>
      <c r="BB148" s="21"/>
      <c r="BC148" s="58"/>
      <c r="BD148" s="21"/>
      <c r="BE148" s="58"/>
      <c r="BF148" s="21"/>
      <c r="BG148" s="21"/>
      <c r="BH148" s="18"/>
      <c r="BI148" s="18"/>
    </row>
    <row r="149" spans="1:61" s="19" customFormat="1" ht="15.75" x14ac:dyDescent="0.25">
      <c r="A149" s="18"/>
      <c r="B149" s="18"/>
      <c r="C149" s="18"/>
      <c r="D149" s="18"/>
      <c r="E149" s="18"/>
      <c r="S149" s="20"/>
      <c r="T149" s="21"/>
      <c r="U149" s="21"/>
      <c r="V149" s="21"/>
      <c r="W149" s="21"/>
      <c r="X149" s="21"/>
      <c r="Y149" s="21"/>
      <c r="Z149" s="21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S149" s="18"/>
      <c r="AT149" s="18"/>
      <c r="AU149" s="18"/>
      <c r="AV149" s="18"/>
      <c r="AW149" s="18"/>
      <c r="AX149" s="18"/>
      <c r="AY149" s="18"/>
      <c r="AZ149" s="21"/>
      <c r="BA149" s="21"/>
      <c r="BB149" s="21"/>
      <c r="BC149" s="58"/>
      <c r="BD149" s="21"/>
      <c r="BE149" s="58"/>
      <c r="BF149" s="21"/>
      <c r="BG149" s="21"/>
      <c r="BH149" s="18"/>
      <c r="BI149" s="18"/>
    </row>
    <row r="150" spans="1:61" s="19" customFormat="1" ht="15.75" x14ac:dyDescent="0.25">
      <c r="A150" s="18"/>
      <c r="B150" s="18"/>
      <c r="C150" s="18"/>
      <c r="D150" s="18"/>
      <c r="E150" s="18"/>
      <c r="S150" s="20"/>
      <c r="T150" s="21"/>
      <c r="U150" s="21"/>
      <c r="V150" s="21"/>
      <c r="W150" s="21"/>
      <c r="X150" s="21"/>
      <c r="Y150" s="21"/>
      <c r="Z150" s="21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S150" s="18"/>
      <c r="AT150" s="18"/>
      <c r="AU150" s="18"/>
      <c r="AV150" s="18"/>
      <c r="AW150" s="18"/>
      <c r="AX150" s="18"/>
      <c r="AY150" s="18"/>
      <c r="AZ150" s="21"/>
      <c r="BA150" s="21"/>
      <c r="BB150" s="21"/>
      <c r="BC150" s="58"/>
      <c r="BD150" s="21"/>
      <c r="BE150" s="58"/>
      <c r="BF150" s="21"/>
      <c r="BG150" s="21"/>
      <c r="BH150" s="18"/>
      <c r="BI150" s="18"/>
    </row>
    <row r="151" spans="1:61" s="19" customFormat="1" ht="15.75" x14ac:dyDescent="0.25">
      <c r="A151" s="18"/>
      <c r="B151" s="18"/>
      <c r="C151" s="18"/>
      <c r="D151" s="18"/>
      <c r="E151" s="18"/>
      <c r="S151" s="20"/>
      <c r="T151" s="21"/>
      <c r="U151" s="21"/>
      <c r="V151" s="21"/>
      <c r="W151" s="21"/>
      <c r="X151" s="21"/>
      <c r="Y151" s="21"/>
      <c r="Z151" s="21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S151" s="18"/>
      <c r="AT151" s="18"/>
      <c r="AU151" s="18"/>
      <c r="AV151" s="18"/>
      <c r="AW151" s="18"/>
      <c r="AX151" s="18"/>
      <c r="AY151" s="18"/>
      <c r="AZ151" s="21"/>
      <c r="BA151" s="21"/>
      <c r="BB151" s="21"/>
      <c r="BC151" s="58"/>
      <c r="BD151" s="21"/>
      <c r="BE151" s="58"/>
      <c r="BF151" s="21"/>
      <c r="BG151" s="21"/>
      <c r="BH151" s="18"/>
      <c r="BI151" s="18"/>
    </row>
    <row r="152" spans="1:61" s="19" customFormat="1" ht="15.75" x14ac:dyDescent="0.25">
      <c r="A152" s="18"/>
      <c r="B152" s="18"/>
      <c r="C152" s="18"/>
      <c r="D152" s="18"/>
      <c r="E152" s="18"/>
      <c r="S152" s="20"/>
      <c r="T152" s="21"/>
      <c r="U152" s="21"/>
      <c r="V152" s="21"/>
      <c r="W152" s="21"/>
      <c r="X152" s="21"/>
      <c r="Y152" s="21"/>
      <c r="Z152" s="21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S152" s="18"/>
      <c r="AT152" s="18"/>
      <c r="AU152" s="18"/>
      <c r="AV152" s="18"/>
      <c r="AW152" s="18"/>
      <c r="AX152" s="18"/>
      <c r="AY152" s="18"/>
      <c r="AZ152" s="21"/>
      <c r="BA152" s="21"/>
      <c r="BB152" s="21"/>
      <c r="BC152" s="58"/>
      <c r="BD152" s="21"/>
      <c r="BE152" s="58"/>
      <c r="BF152" s="21"/>
      <c r="BG152" s="21"/>
      <c r="BH152" s="18"/>
      <c r="BI152" s="18"/>
    </row>
    <row r="153" spans="1:61" s="19" customFormat="1" ht="15.75" x14ac:dyDescent="0.25">
      <c r="A153" s="18"/>
      <c r="B153" s="18"/>
      <c r="C153" s="18"/>
      <c r="D153" s="18"/>
      <c r="E153" s="18"/>
      <c r="S153" s="20"/>
      <c r="T153" s="21"/>
      <c r="U153" s="21"/>
      <c r="V153" s="21"/>
      <c r="W153" s="21"/>
      <c r="X153" s="21"/>
      <c r="Y153" s="21"/>
      <c r="Z153" s="21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S153" s="18"/>
      <c r="AT153" s="18"/>
      <c r="AU153" s="18"/>
      <c r="AV153" s="18"/>
      <c r="AW153" s="18"/>
      <c r="AX153" s="18"/>
      <c r="AY153" s="18"/>
      <c r="AZ153" s="21"/>
      <c r="BA153" s="21"/>
      <c r="BB153" s="21"/>
      <c r="BC153" s="58"/>
      <c r="BD153" s="21"/>
      <c r="BE153" s="58"/>
      <c r="BF153" s="21"/>
      <c r="BG153" s="21"/>
      <c r="BH153" s="18"/>
      <c r="BI153" s="18"/>
    </row>
    <row r="154" spans="1:61" s="19" customFormat="1" ht="15.75" x14ac:dyDescent="0.25">
      <c r="A154" s="18"/>
      <c r="B154" s="18"/>
      <c r="C154" s="18"/>
      <c r="D154" s="18"/>
      <c r="E154" s="18"/>
      <c r="S154" s="20"/>
      <c r="T154" s="21"/>
      <c r="U154" s="21"/>
      <c r="V154" s="21"/>
      <c r="W154" s="21"/>
      <c r="X154" s="21"/>
      <c r="Y154" s="21"/>
      <c r="Z154" s="21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S154" s="18"/>
      <c r="AT154" s="18"/>
      <c r="AU154" s="18"/>
      <c r="AV154" s="18"/>
      <c r="AW154" s="18"/>
      <c r="AX154" s="18"/>
      <c r="AY154" s="18"/>
      <c r="AZ154" s="21"/>
      <c r="BA154" s="21"/>
      <c r="BB154" s="21"/>
      <c r="BC154" s="58"/>
      <c r="BD154" s="21"/>
      <c r="BE154" s="58"/>
      <c r="BF154" s="21"/>
      <c r="BG154" s="21"/>
      <c r="BH154" s="18"/>
      <c r="BI154" s="18"/>
    </row>
    <row r="155" spans="1:61" s="19" customFormat="1" ht="15.75" x14ac:dyDescent="0.25">
      <c r="A155" s="18"/>
      <c r="B155" s="18"/>
      <c r="C155" s="18"/>
      <c r="D155" s="18"/>
      <c r="E155" s="18"/>
      <c r="S155" s="20"/>
      <c r="T155" s="21"/>
      <c r="U155" s="21"/>
      <c r="V155" s="21"/>
      <c r="W155" s="21"/>
      <c r="X155" s="21"/>
      <c r="Y155" s="21"/>
      <c r="Z155" s="21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S155" s="18"/>
      <c r="AT155" s="18"/>
      <c r="AU155" s="18"/>
      <c r="AV155" s="18"/>
      <c r="AW155" s="18"/>
      <c r="AX155" s="18"/>
      <c r="AY155" s="18"/>
      <c r="AZ155" s="21"/>
      <c r="BA155" s="21"/>
      <c r="BB155" s="21"/>
      <c r="BC155" s="58"/>
      <c r="BD155" s="21"/>
      <c r="BE155" s="58"/>
      <c r="BF155" s="21"/>
      <c r="BG155" s="21"/>
      <c r="BH155" s="18"/>
      <c r="BI155" s="18"/>
    </row>
    <row r="156" spans="1:61" s="19" customFormat="1" ht="15.75" x14ac:dyDescent="0.25">
      <c r="A156" s="18"/>
      <c r="B156" s="18"/>
      <c r="C156" s="18"/>
      <c r="D156" s="18"/>
      <c r="E156" s="18"/>
      <c r="S156" s="20"/>
      <c r="T156" s="21"/>
      <c r="U156" s="21"/>
      <c r="V156" s="21"/>
      <c r="W156" s="21"/>
      <c r="X156" s="21"/>
      <c r="Y156" s="21"/>
      <c r="Z156" s="21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S156" s="18"/>
      <c r="AT156" s="18"/>
      <c r="AU156" s="18"/>
      <c r="AV156" s="18"/>
      <c r="AW156" s="18"/>
      <c r="AX156" s="18"/>
      <c r="AY156" s="18"/>
      <c r="AZ156" s="21"/>
      <c r="BA156" s="21"/>
      <c r="BB156" s="21"/>
      <c r="BC156" s="58"/>
      <c r="BD156" s="21"/>
      <c r="BE156" s="58"/>
      <c r="BF156" s="21"/>
      <c r="BG156" s="21"/>
      <c r="BH156" s="18"/>
      <c r="BI156" s="18"/>
    </row>
    <row r="157" spans="1:61" s="19" customFormat="1" ht="15.75" x14ac:dyDescent="0.25">
      <c r="A157" s="18"/>
      <c r="B157" s="18"/>
      <c r="C157" s="18"/>
      <c r="D157" s="18"/>
      <c r="E157" s="18"/>
      <c r="S157" s="20"/>
      <c r="T157" s="21"/>
      <c r="U157" s="21"/>
      <c r="V157" s="21"/>
      <c r="W157" s="21"/>
      <c r="X157" s="21"/>
      <c r="Y157" s="21"/>
      <c r="Z157" s="21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S157" s="18"/>
      <c r="AT157" s="18"/>
      <c r="AU157" s="18"/>
      <c r="AV157" s="18"/>
      <c r="AW157" s="18"/>
      <c r="AX157" s="18"/>
      <c r="AY157" s="18"/>
      <c r="AZ157" s="21"/>
      <c r="BA157" s="21"/>
      <c r="BB157" s="21"/>
      <c r="BC157" s="58"/>
      <c r="BD157" s="21"/>
      <c r="BE157" s="58"/>
      <c r="BF157" s="21"/>
      <c r="BG157" s="21"/>
      <c r="BH157" s="18"/>
      <c r="BI157" s="18"/>
    </row>
    <row r="158" spans="1:61" s="19" customFormat="1" ht="15.75" x14ac:dyDescent="0.25">
      <c r="A158" s="18"/>
      <c r="B158" s="18"/>
      <c r="C158" s="18"/>
      <c r="D158" s="18"/>
      <c r="E158" s="18"/>
      <c r="S158" s="20"/>
      <c r="T158" s="21"/>
      <c r="U158" s="21"/>
      <c r="V158" s="21"/>
      <c r="W158" s="21"/>
      <c r="X158" s="21"/>
      <c r="Y158" s="21"/>
      <c r="Z158" s="21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S158" s="18"/>
      <c r="AT158" s="18"/>
      <c r="AU158" s="18"/>
      <c r="AV158" s="18"/>
      <c r="AW158" s="18"/>
      <c r="AX158" s="18"/>
      <c r="AY158" s="18"/>
      <c r="AZ158" s="21"/>
      <c r="BA158" s="21"/>
      <c r="BB158" s="21"/>
      <c r="BC158" s="58"/>
      <c r="BD158" s="21"/>
      <c r="BE158" s="58"/>
      <c r="BF158" s="21"/>
      <c r="BG158" s="21"/>
      <c r="BH158" s="18"/>
      <c r="BI158" s="18"/>
    </row>
    <row r="159" spans="1:61" s="19" customFormat="1" ht="15.75" x14ac:dyDescent="0.25">
      <c r="A159" s="18"/>
      <c r="B159" s="18"/>
      <c r="C159" s="18"/>
      <c r="D159" s="18"/>
      <c r="E159" s="18"/>
      <c r="S159" s="20"/>
      <c r="T159" s="21"/>
      <c r="U159" s="21"/>
      <c r="V159" s="21"/>
      <c r="W159" s="21"/>
      <c r="X159" s="21"/>
      <c r="Y159" s="21"/>
      <c r="Z159" s="21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S159" s="18"/>
      <c r="AT159" s="18"/>
      <c r="AU159" s="18"/>
      <c r="AV159" s="18"/>
      <c r="AW159" s="18"/>
      <c r="AX159" s="18"/>
      <c r="AY159" s="18"/>
      <c r="AZ159" s="21"/>
      <c r="BA159" s="21"/>
      <c r="BB159" s="21"/>
      <c r="BC159" s="58"/>
      <c r="BD159" s="21"/>
      <c r="BE159" s="58"/>
      <c r="BF159" s="21"/>
      <c r="BG159" s="21"/>
      <c r="BH159" s="18"/>
      <c r="BI159" s="18"/>
    </row>
    <row r="160" spans="1:61" s="19" customFormat="1" ht="15.75" x14ac:dyDescent="0.25">
      <c r="A160" s="18"/>
      <c r="B160" s="18"/>
      <c r="C160" s="18"/>
      <c r="D160" s="18"/>
      <c r="E160" s="18"/>
      <c r="S160" s="20"/>
      <c r="T160" s="21"/>
      <c r="U160" s="21"/>
      <c r="V160" s="21"/>
      <c r="W160" s="21"/>
      <c r="X160" s="21"/>
      <c r="Y160" s="21"/>
      <c r="Z160" s="21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S160" s="18"/>
      <c r="AT160" s="18"/>
      <c r="AU160" s="18"/>
      <c r="AV160" s="18"/>
      <c r="AW160" s="18"/>
      <c r="AX160" s="18"/>
      <c r="AY160" s="18"/>
      <c r="AZ160" s="21"/>
      <c r="BA160" s="21"/>
      <c r="BB160" s="21"/>
      <c r="BC160" s="58"/>
      <c r="BD160" s="21"/>
      <c r="BE160" s="58"/>
      <c r="BF160" s="21"/>
      <c r="BG160" s="21"/>
      <c r="BH160" s="18"/>
      <c r="BI160" s="18"/>
    </row>
    <row r="161" spans="1:61" s="19" customFormat="1" ht="15.75" x14ac:dyDescent="0.25">
      <c r="A161" s="18"/>
      <c r="B161" s="18"/>
      <c r="C161" s="18"/>
      <c r="D161" s="18"/>
      <c r="E161" s="18"/>
      <c r="S161" s="20"/>
      <c r="T161" s="21"/>
      <c r="U161" s="21"/>
      <c r="V161" s="21"/>
      <c r="W161" s="21"/>
      <c r="X161" s="21"/>
      <c r="Y161" s="21"/>
      <c r="Z161" s="21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S161" s="18"/>
      <c r="AT161" s="18"/>
      <c r="AU161" s="18"/>
      <c r="AV161" s="18"/>
      <c r="AW161" s="18"/>
      <c r="AX161" s="18"/>
      <c r="AY161" s="18"/>
      <c r="AZ161" s="21"/>
      <c r="BA161" s="21"/>
      <c r="BB161" s="21"/>
      <c r="BC161" s="58"/>
      <c r="BD161" s="21"/>
      <c r="BE161" s="58"/>
      <c r="BF161" s="21"/>
      <c r="BG161" s="21"/>
      <c r="BH161" s="18"/>
      <c r="BI161" s="18"/>
    </row>
    <row r="162" spans="1:61" s="19" customFormat="1" ht="15.75" x14ac:dyDescent="0.25">
      <c r="A162" s="18"/>
      <c r="B162" s="18"/>
      <c r="C162" s="18"/>
      <c r="D162" s="18"/>
      <c r="E162" s="18"/>
      <c r="S162" s="20"/>
      <c r="T162" s="21"/>
      <c r="U162" s="21"/>
      <c r="V162" s="21"/>
      <c r="W162" s="21"/>
      <c r="X162" s="21"/>
      <c r="Y162" s="21"/>
      <c r="Z162" s="21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S162" s="18"/>
      <c r="AT162" s="18"/>
      <c r="AU162" s="18"/>
      <c r="AV162" s="18"/>
      <c r="AW162" s="18"/>
      <c r="AX162" s="18"/>
      <c r="AY162" s="18"/>
      <c r="AZ162" s="21"/>
      <c r="BA162" s="21"/>
      <c r="BB162" s="21"/>
      <c r="BC162" s="58"/>
      <c r="BD162" s="21"/>
      <c r="BE162" s="58"/>
      <c r="BF162" s="21"/>
      <c r="BG162" s="21"/>
      <c r="BH162" s="18"/>
      <c r="BI162" s="18"/>
    </row>
    <row r="163" spans="1:61" s="19" customFormat="1" ht="15.75" x14ac:dyDescent="0.25">
      <c r="A163" s="18"/>
      <c r="B163" s="18"/>
      <c r="C163" s="18"/>
      <c r="D163" s="18"/>
      <c r="E163" s="18"/>
      <c r="S163" s="20"/>
      <c r="T163" s="21"/>
      <c r="U163" s="21"/>
      <c r="V163" s="21"/>
      <c r="W163" s="21"/>
      <c r="X163" s="21"/>
      <c r="Y163" s="21"/>
      <c r="Z163" s="21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S163" s="18"/>
      <c r="AT163" s="18"/>
      <c r="AU163" s="18"/>
      <c r="AV163" s="18"/>
      <c r="AW163" s="18"/>
      <c r="AX163" s="18"/>
      <c r="AY163" s="18"/>
      <c r="AZ163" s="21"/>
      <c r="BA163" s="21"/>
      <c r="BB163" s="21"/>
      <c r="BC163" s="58"/>
      <c r="BD163" s="21"/>
      <c r="BE163" s="58"/>
      <c r="BF163" s="21"/>
      <c r="BG163" s="21"/>
      <c r="BH163" s="18"/>
      <c r="BI163" s="18"/>
    </row>
    <row r="164" spans="1:61" s="19" customFormat="1" ht="15.75" x14ac:dyDescent="0.25">
      <c r="A164" s="18"/>
      <c r="B164" s="18"/>
      <c r="C164" s="18"/>
      <c r="D164" s="18"/>
      <c r="E164" s="18"/>
      <c r="S164" s="20"/>
      <c r="T164" s="21"/>
      <c r="U164" s="21"/>
      <c r="V164" s="21"/>
      <c r="W164" s="21"/>
      <c r="X164" s="21"/>
      <c r="Y164" s="21"/>
      <c r="Z164" s="21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S164" s="18"/>
      <c r="AT164" s="18"/>
      <c r="AU164" s="18"/>
      <c r="AV164" s="18"/>
      <c r="AW164" s="18"/>
      <c r="AX164" s="18"/>
      <c r="AY164" s="18"/>
      <c r="AZ164" s="21"/>
      <c r="BA164" s="21"/>
      <c r="BB164" s="21"/>
      <c r="BC164" s="58"/>
      <c r="BD164" s="21"/>
      <c r="BE164" s="58"/>
      <c r="BF164" s="21"/>
      <c r="BG164" s="21"/>
      <c r="BH164" s="18"/>
      <c r="BI164" s="18"/>
    </row>
    <row r="165" spans="1:61" s="19" customFormat="1" ht="15.75" x14ac:dyDescent="0.25">
      <c r="A165" s="18"/>
      <c r="B165" s="18"/>
      <c r="C165" s="18"/>
      <c r="D165" s="18"/>
      <c r="E165" s="18"/>
      <c r="S165" s="20"/>
      <c r="T165" s="21"/>
      <c r="U165" s="21"/>
      <c r="V165" s="21"/>
      <c r="W165" s="21"/>
      <c r="X165" s="21"/>
      <c r="Y165" s="21"/>
      <c r="Z165" s="21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S165" s="18"/>
      <c r="AT165" s="18"/>
      <c r="AU165" s="18"/>
      <c r="AV165" s="18"/>
      <c r="AW165" s="18"/>
      <c r="AX165" s="18"/>
      <c r="AY165" s="18"/>
      <c r="AZ165" s="21"/>
      <c r="BA165" s="21"/>
      <c r="BB165" s="21"/>
      <c r="BC165" s="58"/>
      <c r="BD165" s="21"/>
      <c r="BE165" s="58"/>
      <c r="BF165" s="21"/>
      <c r="BG165" s="21"/>
      <c r="BH165" s="18"/>
      <c r="BI165" s="18"/>
    </row>
    <row r="166" spans="1:61" s="19" customFormat="1" ht="15.75" x14ac:dyDescent="0.25">
      <c r="A166" s="18"/>
      <c r="B166" s="18"/>
      <c r="C166" s="18"/>
      <c r="D166" s="18"/>
      <c r="E166" s="18"/>
      <c r="S166" s="20"/>
      <c r="T166" s="21"/>
      <c r="U166" s="21"/>
      <c r="V166" s="21"/>
      <c r="W166" s="21"/>
      <c r="X166" s="21"/>
      <c r="Y166" s="21"/>
      <c r="Z166" s="21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S166" s="18"/>
      <c r="AT166" s="18"/>
      <c r="AU166" s="18"/>
      <c r="AV166" s="18"/>
      <c r="AW166" s="18"/>
      <c r="AX166" s="18"/>
      <c r="AY166" s="18"/>
      <c r="AZ166" s="21"/>
      <c r="BA166" s="21"/>
      <c r="BB166" s="21"/>
      <c r="BC166" s="58"/>
      <c r="BD166" s="21"/>
      <c r="BE166" s="58"/>
      <c r="BF166" s="21"/>
      <c r="BG166" s="21"/>
      <c r="BH166" s="18"/>
      <c r="BI166" s="18"/>
    </row>
    <row r="167" spans="1:61" s="19" customFormat="1" ht="15.75" x14ac:dyDescent="0.25">
      <c r="A167" s="18"/>
      <c r="B167" s="18"/>
      <c r="C167" s="18"/>
      <c r="D167" s="18"/>
      <c r="E167" s="18"/>
      <c r="S167" s="20"/>
      <c r="T167" s="21"/>
      <c r="U167" s="21"/>
      <c r="V167" s="21"/>
      <c r="W167" s="21"/>
      <c r="X167" s="21"/>
      <c r="Y167" s="21"/>
      <c r="Z167" s="21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S167" s="18"/>
      <c r="AT167" s="18"/>
      <c r="AU167" s="18"/>
      <c r="AV167" s="18"/>
      <c r="AW167" s="18"/>
      <c r="AX167" s="18"/>
      <c r="AY167" s="18"/>
      <c r="AZ167" s="21"/>
      <c r="BA167" s="21"/>
      <c r="BB167" s="21"/>
      <c r="BC167" s="58"/>
      <c r="BD167" s="21"/>
      <c r="BE167" s="58"/>
      <c r="BF167" s="21"/>
      <c r="BG167" s="21"/>
      <c r="BH167" s="18"/>
      <c r="BI167" s="18"/>
    </row>
    <row r="168" spans="1:61" s="19" customFormat="1" ht="15.75" x14ac:dyDescent="0.25">
      <c r="A168" s="18"/>
      <c r="B168" s="18"/>
      <c r="C168" s="18"/>
      <c r="D168" s="18"/>
      <c r="E168" s="18"/>
      <c r="S168" s="20"/>
      <c r="T168" s="21"/>
      <c r="U168" s="21"/>
      <c r="V168" s="21"/>
      <c r="W168" s="21"/>
      <c r="X168" s="21"/>
      <c r="Y168" s="21"/>
      <c r="Z168" s="21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S168" s="18"/>
      <c r="AT168" s="18"/>
      <c r="AU168" s="18"/>
      <c r="AV168" s="18"/>
      <c r="AW168" s="18"/>
      <c r="AX168" s="18"/>
      <c r="AY168" s="18"/>
      <c r="AZ168" s="21"/>
      <c r="BA168" s="21"/>
      <c r="BB168" s="21"/>
      <c r="BC168" s="58"/>
      <c r="BD168" s="21"/>
      <c r="BE168" s="58"/>
      <c r="BF168" s="21"/>
      <c r="BG168" s="21"/>
      <c r="BH168" s="18"/>
      <c r="BI168" s="18"/>
    </row>
    <row r="169" spans="1:61" s="19" customFormat="1" ht="15.75" x14ac:dyDescent="0.25">
      <c r="A169" s="18"/>
      <c r="B169" s="18"/>
      <c r="C169" s="18"/>
      <c r="D169" s="18"/>
      <c r="E169" s="18"/>
      <c r="S169" s="20"/>
      <c r="T169" s="21"/>
      <c r="U169" s="21"/>
      <c r="V169" s="21"/>
      <c r="W169" s="21"/>
      <c r="X169" s="21"/>
      <c r="Y169" s="21"/>
      <c r="Z169" s="21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S169" s="18"/>
      <c r="AT169" s="18"/>
      <c r="AU169" s="18"/>
      <c r="AV169" s="18"/>
      <c r="AW169" s="18"/>
      <c r="AX169" s="18"/>
      <c r="AY169" s="18"/>
      <c r="AZ169" s="21"/>
      <c r="BA169" s="21"/>
      <c r="BB169" s="21"/>
      <c r="BC169" s="58"/>
      <c r="BD169" s="21"/>
      <c r="BE169" s="58"/>
      <c r="BF169" s="21"/>
      <c r="BG169" s="21"/>
      <c r="BH169" s="18"/>
      <c r="BI169" s="18"/>
    </row>
    <row r="170" spans="1:61" s="19" customFormat="1" ht="15.75" x14ac:dyDescent="0.25">
      <c r="A170" s="18"/>
      <c r="B170" s="18"/>
      <c r="C170" s="18"/>
      <c r="D170" s="18"/>
      <c r="E170" s="18"/>
      <c r="S170" s="20"/>
      <c r="T170" s="21"/>
      <c r="U170" s="21"/>
      <c r="V170" s="21"/>
      <c r="W170" s="21"/>
      <c r="X170" s="21"/>
      <c r="Y170" s="21"/>
      <c r="Z170" s="21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S170" s="18"/>
      <c r="AT170" s="18"/>
      <c r="AU170" s="18"/>
      <c r="AV170" s="18"/>
      <c r="AW170" s="18"/>
      <c r="AX170" s="18"/>
      <c r="AY170" s="18"/>
      <c r="AZ170" s="21"/>
      <c r="BA170" s="21"/>
      <c r="BB170" s="21"/>
      <c r="BC170" s="58"/>
      <c r="BD170" s="21"/>
      <c r="BE170" s="58"/>
      <c r="BF170" s="21"/>
      <c r="BG170" s="21"/>
      <c r="BH170" s="18"/>
      <c r="BI170" s="18"/>
    </row>
    <row r="171" spans="1:61" s="19" customFormat="1" ht="15.75" x14ac:dyDescent="0.25">
      <c r="A171" s="18"/>
      <c r="B171" s="18"/>
      <c r="C171" s="18"/>
      <c r="D171" s="18"/>
      <c r="E171" s="18"/>
      <c r="S171" s="20"/>
      <c r="T171" s="21"/>
      <c r="U171" s="21"/>
      <c r="V171" s="21"/>
      <c r="W171" s="21"/>
      <c r="X171" s="21"/>
      <c r="Y171" s="21"/>
      <c r="Z171" s="21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S171" s="18"/>
      <c r="AT171" s="18"/>
      <c r="AU171" s="18"/>
      <c r="AV171" s="18"/>
      <c r="AW171" s="18"/>
      <c r="AX171" s="18"/>
      <c r="AY171" s="18"/>
      <c r="AZ171" s="21"/>
      <c r="BA171" s="21"/>
      <c r="BB171" s="21"/>
      <c r="BC171" s="58"/>
      <c r="BD171" s="21"/>
      <c r="BE171" s="58"/>
      <c r="BF171" s="21"/>
      <c r="BG171" s="21"/>
      <c r="BH171" s="18"/>
      <c r="BI171" s="18"/>
    </row>
    <row r="172" spans="1:61" s="19" customFormat="1" ht="15.75" x14ac:dyDescent="0.25">
      <c r="A172" s="18"/>
      <c r="B172" s="18"/>
      <c r="C172" s="18"/>
      <c r="D172" s="18"/>
      <c r="E172" s="18"/>
      <c r="S172" s="20"/>
      <c r="T172" s="21"/>
      <c r="U172" s="21"/>
      <c r="V172" s="21"/>
      <c r="W172" s="21"/>
      <c r="X172" s="21"/>
      <c r="Y172" s="21"/>
      <c r="Z172" s="21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S172" s="18"/>
      <c r="AT172" s="18"/>
      <c r="AU172" s="18"/>
      <c r="AV172" s="18"/>
      <c r="AW172" s="18"/>
      <c r="AX172" s="18"/>
      <c r="AY172" s="18"/>
      <c r="AZ172" s="21"/>
      <c r="BA172" s="21"/>
      <c r="BB172" s="21"/>
      <c r="BC172" s="58"/>
      <c r="BD172" s="21"/>
      <c r="BE172" s="58"/>
      <c r="BF172" s="21"/>
      <c r="BG172" s="21"/>
      <c r="BH172" s="18"/>
      <c r="BI172" s="18"/>
    </row>
    <row r="173" spans="1:61" s="19" customFormat="1" ht="15.75" x14ac:dyDescent="0.25">
      <c r="A173" s="18"/>
      <c r="B173" s="18"/>
      <c r="C173" s="18"/>
      <c r="D173" s="18"/>
      <c r="E173" s="18"/>
      <c r="S173" s="20"/>
      <c r="T173" s="21"/>
      <c r="U173" s="21"/>
      <c r="V173" s="21"/>
      <c r="W173" s="21"/>
      <c r="X173" s="21"/>
      <c r="Y173" s="21"/>
      <c r="Z173" s="21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S173" s="18"/>
      <c r="AT173" s="18"/>
      <c r="AU173" s="18"/>
      <c r="AV173" s="18"/>
      <c r="AW173" s="18"/>
      <c r="AX173" s="18"/>
      <c r="AY173" s="18"/>
      <c r="AZ173" s="21"/>
      <c r="BA173" s="21"/>
      <c r="BB173" s="21"/>
      <c r="BC173" s="58"/>
      <c r="BD173" s="21"/>
      <c r="BE173" s="58"/>
      <c r="BF173" s="21"/>
      <c r="BG173" s="21"/>
      <c r="BH173" s="18"/>
      <c r="BI173" s="18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5"/>
  <sheetViews>
    <sheetView topLeftCell="AJ16" zoomScale="80" zoomScaleNormal="80" workbookViewId="0">
      <selection activeCell="AV38" sqref="AV38"/>
    </sheetView>
  </sheetViews>
  <sheetFormatPr defaultColWidth="9.140625" defaultRowHeight="15.75" outlineLevelCol="1" x14ac:dyDescent="0.25"/>
  <cols>
    <col min="1" max="1" width="4.140625" style="18" bestFit="1" customWidth="1"/>
    <col min="2" max="2" width="19.140625" style="18" bestFit="1" customWidth="1"/>
    <col min="3" max="3" width="19.7109375" style="18" customWidth="1"/>
    <col min="4" max="4" width="17" style="18" bestFit="1" customWidth="1"/>
    <col min="5" max="5" width="53.85546875" style="19" customWidth="1"/>
    <col min="6" max="7" width="20.28515625" style="19" bestFit="1" customWidth="1" outlineLevel="1"/>
    <col min="8" max="8" width="33.140625" style="19" bestFit="1" customWidth="1" outlineLevel="1"/>
    <col min="9" max="9" width="7.28515625" style="19" bestFit="1" customWidth="1"/>
    <col min="10" max="10" width="24.5703125" style="19" customWidth="1"/>
    <col min="11" max="11" width="29.140625" style="19" bestFit="1" customWidth="1"/>
    <col min="12" max="12" width="9.42578125" style="19" customWidth="1"/>
    <col min="13" max="13" width="14.28515625" style="19" customWidth="1" outlineLevel="1"/>
    <col min="14" max="14" width="14.85546875" style="19" customWidth="1" outlineLevel="1"/>
    <col min="15" max="15" width="8.85546875" style="19" bestFit="1" customWidth="1" outlineLevel="1"/>
    <col min="16" max="16" width="12.28515625" style="19" customWidth="1" outlineLevel="1"/>
    <col min="17" max="17" width="12.7109375" style="19" customWidth="1" outlineLevel="1"/>
    <col min="18" max="18" width="7.5703125" style="20" customWidth="1" outlineLevel="1"/>
    <col min="19" max="19" width="9.5703125" style="21" customWidth="1" outlineLevel="1"/>
    <col min="20" max="20" width="10.140625" style="21" bestFit="1" customWidth="1" outlineLevel="1"/>
    <col min="21" max="21" width="5.28515625" style="21" bestFit="1" customWidth="1" outlineLevel="1"/>
    <col min="22" max="23" width="11.5703125" style="21" bestFit="1" customWidth="1" outlineLevel="1"/>
    <col min="24" max="24" width="13.140625" style="21" bestFit="1" customWidth="1" outlineLevel="1"/>
    <col min="25" max="25" width="9.7109375" style="21" customWidth="1"/>
    <col min="26" max="26" width="12.7109375" style="18" customWidth="1"/>
    <col min="27" max="27" width="14.28515625" style="18" bestFit="1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12.85546875" style="18" customWidth="1"/>
    <col min="32" max="33" width="12.7109375" style="18" customWidth="1"/>
    <col min="34" max="34" width="9.28515625" style="18" bestFit="1" customWidth="1"/>
    <col min="35" max="35" width="15.28515625" style="18" bestFit="1" customWidth="1"/>
    <col min="36" max="36" width="24.5703125" style="19" customWidth="1"/>
    <col min="37" max="37" width="26.28515625" style="19" customWidth="1"/>
    <col min="38" max="38" width="22.5703125" style="19" customWidth="1"/>
    <col min="39" max="40" width="21" style="19" customWidth="1"/>
    <col min="41" max="41" width="11.85546875" style="19" customWidth="1"/>
    <col min="42" max="42" width="26.5703125" style="19" bestFit="1" customWidth="1"/>
    <col min="43" max="43" width="18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19.140625" style="18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8" hidden="1" customWidth="1" outlineLevel="1"/>
    <col min="55" max="55" width="13.28515625" style="21" hidden="1" customWidth="1" outlineLevel="1"/>
    <col min="56" max="56" width="13" style="58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183.140625" style="18" customWidth="1" collapsed="1"/>
    <col min="60" max="16384" width="9.140625" style="18"/>
  </cols>
  <sheetData>
    <row r="1" spans="1:16379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SUM(AA3:AA43)</f>
        <v>0</v>
      </c>
      <c r="AI1" s="23"/>
      <c r="AJ1" s="25"/>
      <c r="AK1" s="25"/>
      <c r="AL1" s="25"/>
      <c r="AM1" s="25"/>
      <c r="AN1" s="25"/>
      <c r="AO1" s="25"/>
      <c r="AP1" s="25"/>
      <c r="AQ1" s="25"/>
      <c r="AR1" s="23"/>
      <c r="AS1" s="23"/>
      <c r="AT1" s="23"/>
      <c r="AU1" s="23"/>
      <c r="AV1" s="23"/>
      <c r="AW1" s="23"/>
      <c r="AX1" s="23"/>
      <c r="AY1" s="26"/>
      <c r="AZ1" s="137" t="s">
        <v>0</v>
      </c>
      <c r="BA1" s="138"/>
      <c r="BB1" s="138"/>
      <c r="BC1" s="138"/>
      <c r="BD1" s="138"/>
      <c r="BE1" s="138"/>
      <c r="BF1" s="138"/>
    </row>
    <row r="2" spans="1:16379" s="34" customFormat="1" ht="47.25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1" t="s">
        <v>98</v>
      </c>
      <c r="AF2" s="32" t="s">
        <v>24</v>
      </c>
      <c r="AG2" s="32" t="s">
        <v>25</v>
      </c>
      <c r="AH2" s="31" t="s">
        <v>26</v>
      </c>
      <c r="AI2" s="64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99" t="s">
        <v>386</v>
      </c>
      <c r="AW2" s="99" t="s">
        <v>387</v>
      </c>
      <c r="AX2" s="99" t="s">
        <v>388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57" customFormat="1" x14ac:dyDescent="0.25">
      <c r="A3" s="50"/>
      <c r="B3" s="98" t="s">
        <v>385</v>
      </c>
      <c r="C3" s="51"/>
      <c r="D3" s="88" t="s">
        <v>219</v>
      </c>
      <c r="E3" s="39" t="s">
        <v>158</v>
      </c>
      <c r="F3" s="59" t="s">
        <v>160</v>
      </c>
      <c r="G3" s="59" t="s">
        <v>160</v>
      </c>
      <c r="H3" s="26"/>
      <c r="I3" s="39">
        <f t="shared" ref="I3:I4" si="0">LEN(F3)</f>
        <v>4</v>
      </c>
      <c r="J3" s="39" t="str">
        <f>IF(LEN(F3)&lt;=$J$1,F3,"")</f>
        <v>Ввод</v>
      </c>
      <c r="K3" s="52" t="s">
        <v>202</v>
      </c>
      <c r="L3" s="53" t="s">
        <v>54</v>
      </c>
      <c r="M3" s="54" t="s">
        <v>51</v>
      </c>
      <c r="N3" s="54" t="s">
        <v>52</v>
      </c>
      <c r="O3" s="54"/>
      <c r="P3" s="41"/>
      <c r="Q3" s="41"/>
      <c r="R3" s="54" t="s">
        <v>53</v>
      </c>
      <c r="S3" s="54" t="s">
        <v>53</v>
      </c>
      <c r="T3" s="54" t="s">
        <v>53</v>
      </c>
      <c r="U3" s="54" t="s">
        <v>53</v>
      </c>
      <c r="V3" s="51"/>
      <c r="W3" s="51"/>
      <c r="X3" s="54" t="s">
        <v>53</v>
      </c>
      <c r="Y3" s="54">
        <v>2</v>
      </c>
      <c r="Z3" s="51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65"/>
      <c r="AJ3" s="55"/>
      <c r="AK3" s="55"/>
      <c r="AL3" s="55"/>
      <c r="AM3" s="55"/>
      <c r="AN3" s="55"/>
      <c r="AO3" s="55"/>
      <c r="AP3" s="55"/>
      <c r="AQ3" s="55"/>
      <c r="AR3" s="51">
        <v>0</v>
      </c>
      <c r="AS3" s="51">
        <v>1</v>
      </c>
      <c r="AT3" s="51">
        <v>0</v>
      </c>
      <c r="AU3" s="51">
        <v>1</v>
      </c>
      <c r="AV3" s="51">
        <v>1</v>
      </c>
      <c r="AW3" s="51">
        <v>1</v>
      </c>
      <c r="AX3" s="51">
        <v>1</v>
      </c>
      <c r="AY3" s="56"/>
      <c r="AZ3" s="51"/>
      <c r="BA3" s="51"/>
      <c r="BB3" s="51"/>
      <c r="BC3" s="51"/>
      <c r="BD3" s="51"/>
      <c r="BE3" s="51"/>
      <c r="BF3" s="51"/>
      <c r="BG3" s="42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7" customFormat="1" x14ac:dyDescent="0.25">
      <c r="A4" s="50"/>
      <c r="B4" s="98" t="s">
        <v>385</v>
      </c>
      <c r="C4" s="51"/>
      <c r="D4" s="88" t="s">
        <v>219</v>
      </c>
      <c r="E4" s="39" t="s">
        <v>159</v>
      </c>
      <c r="F4" s="59" t="s">
        <v>155</v>
      </c>
      <c r="G4" s="59" t="s">
        <v>155</v>
      </c>
      <c r="H4" s="26"/>
      <c r="I4" s="39">
        <f t="shared" si="0"/>
        <v>17</v>
      </c>
      <c r="J4" s="39" t="str">
        <f t="shared" ref="J4" si="2">IF(LEN(F4)&lt;=$J$1,F4,"")</f>
        <v>Оперативный вывод</v>
      </c>
      <c r="K4" s="52" t="s">
        <v>203</v>
      </c>
      <c r="L4" s="53" t="s">
        <v>54</v>
      </c>
      <c r="M4" s="54" t="s">
        <v>51</v>
      </c>
      <c r="N4" s="54" t="s">
        <v>52</v>
      </c>
      <c r="O4" s="54"/>
      <c r="P4" s="41"/>
      <c r="Q4" s="41"/>
      <c r="R4" s="54" t="s">
        <v>53</v>
      </c>
      <c r="S4" s="54" t="s">
        <v>53</v>
      </c>
      <c r="T4" s="54" t="s">
        <v>53</v>
      </c>
      <c r="U4" s="54" t="s">
        <v>53</v>
      </c>
      <c r="V4" s="51"/>
      <c r="W4" s="51"/>
      <c r="X4" s="54" t="s">
        <v>53</v>
      </c>
      <c r="Y4" s="54">
        <v>2</v>
      </c>
      <c r="Z4" s="51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5"/>
      <c r="AJ4" s="55"/>
      <c r="AK4" s="55"/>
      <c r="AL4" s="55"/>
      <c r="AM4" s="55"/>
      <c r="AN4" s="55"/>
      <c r="AO4" s="55"/>
      <c r="AP4" s="55"/>
      <c r="AQ4" s="55"/>
      <c r="AR4" s="51">
        <v>0</v>
      </c>
      <c r="AS4" s="51">
        <v>1</v>
      </c>
      <c r="AT4" s="51">
        <v>0</v>
      </c>
      <c r="AU4" s="51">
        <v>1</v>
      </c>
      <c r="AV4" s="51">
        <v>1</v>
      </c>
      <c r="AW4" s="51">
        <v>1</v>
      </c>
      <c r="AX4" s="51">
        <v>1</v>
      </c>
      <c r="AY4" s="56"/>
      <c r="AZ4" s="51"/>
      <c r="BA4" s="51"/>
      <c r="BB4" s="51"/>
      <c r="BC4" s="51"/>
      <c r="BD4" s="51"/>
      <c r="BE4" s="51"/>
      <c r="BF4" s="51"/>
      <c r="BG4" s="42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7" customFormat="1" x14ac:dyDescent="0.25">
      <c r="A5" s="50"/>
      <c r="B5" s="98" t="s">
        <v>385</v>
      </c>
      <c r="C5" s="51"/>
      <c r="D5" s="88" t="s">
        <v>219</v>
      </c>
      <c r="E5" s="39" t="s">
        <v>210</v>
      </c>
      <c r="F5" s="59" t="s">
        <v>211</v>
      </c>
      <c r="G5" s="59" t="s">
        <v>211</v>
      </c>
      <c r="H5" s="26"/>
      <c r="I5" s="39">
        <f>LEN(F5)</f>
        <v>5</v>
      </c>
      <c r="J5" s="39" t="str">
        <f>IF(LEN(F5)&lt;=$J$1,F5,"")</f>
        <v>ИО F&gt;</v>
      </c>
      <c r="K5" s="52" t="s">
        <v>204</v>
      </c>
      <c r="L5" s="53" t="s">
        <v>54</v>
      </c>
      <c r="M5" s="54" t="s">
        <v>51</v>
      </c>
      <c r="N5" s="54" t="s">
        <v>52</v>
      </c>
      <c r="O5" s="54"/>
      <c r="P5" s="41"/>
      <c r="Q5" s="41"/>
      <c r="R5" s="54" t="s">
        <v>53</v>
      </c>
      <c r="S5" s="54" t="s">
        <v>53</v>
      </c>
      <c r="T5" s="54" t="s">
        <v>53</v>
      </c>
      <c r="U5" s="54" t="s">
        <v>53</v>
      </c>
      <c r="V5" s="51"/>
      <c r="W5" s="51"/>
      <c r="X5" s="54" t="s">
        <v>53</v>
      </c>
      <c r="Y5" s="54">
        <v>2</v>
      </c>
      <c r="Z5" s="51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50"/>
      <c r="AJ5" s="50"/>
      <c r="AK5" s="50"/>
      <c r="AL5" s="50"/>
      <c r="AM5" s="50"/>
      <c r="AN5" s="50"/>
      <c r="AO5" s="50"/>
      <c r="AP5" s="50"/>
      <c r="AQ5" s="50"/>
      <c r="AR5" s="51">
        <v>0</v>
      </c>
      <c r="AS5" s="51">
        <v>1</v>
      </c>
      <c r="AT5" s="51">
        <v>0</v>
      </c>
      <c r="AU5" s="51">
        <v>1</v>
      </c>
      <c r="AV5" s="51">
        <v>1</v>
      </c>
      <c r="AW5" s="51">
        <v>1</v>
      </c>
      <c r="AX5" s="51">
        <v>1</v>
      </c>
      <c r="AY5" s="56"/>
      <c r="AZ5" s="51"/>
      <c r="BA5" s="51"/>
      <c r="BB5" s="51"/>
      <c r="BC5" s="51"/>
      <c r="BD5" s="51"/>
      <c r="BE5" s="51"/>
      <c r="BF5" s="51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F&gt;", note: "Пуск ИО увеличения частоты", group: "status", minValue: null, maxValue: null, step: null, units: "null", defaultValue: null, eventRegistration: 2</v>
      </c>
    </row>
    <row r="6" spans="1:16379" s="57" customFormat="1" x14ac:dyDescent="0.25">
      <c r="A6" s="50"/>
      <c r="B6" s="98" t="s">
        <v>385</v>
      </c>
      <c r="C6" s="51"/>
      <c r="D6" s="88" t="s">
        <v>219</v>
      </c>
      <c r="E6" s="39" t="s">
        <v>167</v>
      </c>
      <c r="F6" s="39" t="s">
        <v>161</v>
      </c>
      <c r="G6" s="39" t="s">
        <v>161</v>
      </c>
      <c r="H6" s="51"/>
      <c r="I6" s="39">
        <f t="shared" ref="I6:I11" si="3">LEN(F6)</f>
        <v>5</v>
      </c>
      <c r="J6" s="39" t="str">
        <f t="shared" ref="J6:J11" si="4">IF(LEN(F6)&lt;=$J$1,F6,"")</f>
        <v>ИО U&lt;</v>
      </c>
      <c r="K6" s="52" t="s">
        <v>205</v>
      </c>
      <c r="L6" s="53" t="s">
        <v>54</v>
      </c>
      <c r="M6" s="54" t="s">
        <v>51</v>
      </c>
      <c r="N6" s="54" t="s">
        <v>52</v>
      </c>
      <c r="O6" s="54"/>
      <c r="P6" s="51"/>
      <c r="Q6" s="51"/>
      <c r="R6" s="54" t="s">
        <v>53</v>
      </c>
      <c r="S6" s="54" t="s">
        <v>53</v>
      </c>
      <c r="T6" s="54" t="s">
        <v>53</v>
      </c>
      <c r="U6" s="54" t="s">
        <v>53</v>
      </c>
      <c r="V6" s="51"/>
      <c r="W6" s="51"/>
      <c r="X6" s="54" t="s">
        <v>53</v>
      </c>
      <c r="Y6" s="54">
        <v>2</v>
      </c>
      <c r="Z6" s="51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5"/>
      <c r="AJ6" s="55"/>
      <c r="AK6" s="55"/>
      <c r="AL6" s="55"/>
      <c r="AM6" s="55"/>
      <c r="AN6" s="55"/>
      <c r="AO6" s="55"/>
      <c r="AP6" s="55"/>
      <c r="AQ6" s="55"/>
      <c r="AR6" s="51">
        <v>0</v>
      </c>
      <c r="AS6" s="51">
        <v>1</v>
      </c>
      <c r="AT6" s="51">
        <v>0</v>
      </c>
      <c r="AU6" s="51">
        <v>1</v>
      </c>
      <c r="AV6" s="51">
        <v>1</v>
      </c>
      <c r="AW6" s="51">
        <v>1</v>
      </c>
      <c r="AX6" s="51">
        <v>1</v>
      </c>
      <c r="AY6" s="56"/>
      <c r="AZ6" s="51"/>
      <c r="BA6" s="51"/>
      <c r="BB6" s="51"/>
      <c r="BC6" s="51"/>
      <c r="BD6" s="51"/>
      <c r="BE6" s="51"/>
      <c r="BF6" s="51"/>
      <c r="BG6" s="42" t="str">
        <f t="shared" ref="BG6:BG11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U&lt;", note: "Пуск ИО снижения напряжения", group: "status", minValue: null, maxValue: null, step: null, units: "null", defaultValue: null, eventRegistration: 2</v>
      </c>
    </row>
    <row r="7" spans="1:16379" s="57" customFormat="1" x14ac:dyDescent="0.25">
      <c r="A7" s="50"/>
      <c r="B7" s="98" t="s">
        <v>385</v>
      </c>
      <c r="C7" s="51"/>
      <c r="D7" s="88" t="s">
        <v>219</v>
      </c>
      <c r="E7" s="39" t="s">
        <v>212</v>
      </c>
      <c r="F7" s="39" t="s">
        <v>218</v>
      </c>
      <c r="G7" s="39" t="s">
        <v>218</v>
      </c>
      <c r="H7" s="51"/>
      <c r="I7" s="39">
        <f t="shared" ref="I7:I8" si="6">LEN(F7)</f>
        <v>17</v>
      </c>
      <c r="J7" s="39" t="str">
        <f t="shared" ref="J7:J8" si="7">IF(LEN(F7)&lt;=$J$1,F7,"")</f>
        <v>Блок. повт. ЧАПВ1</v>
      </c>
      <c r="K7" s="52" t="s">
        <v>213</v>
      </c>
      <c r="L7" s="53" t="s">
        <v>54</v>
      </c>
      <c r="M7" s="54" t="s">
        <v>51</v>
      </c>
      <c r="N7" s="54" t="s">
        <v>52</v>
      </c>
      <c r="O7" s="54"/>
      <c r="P7" s="51"/>
      <c r="Q7" s="51"/>
      <c r="R7" s="54" t="s">
        <v>53</v>
      </c>
      <c r="S7" s="54" t="s">
        <v>53</v>
      </c>
      <c r="T7" s="54" t="s">
        <v>53</v>
      </c>
      <c r="U7" s="54" t="s">
        <v>53</v>
      </c>
      <c r="V7" s="51"/>
      <c r="W7" s="51"/>
      <c r="X7" s="54" t="s">
        <v>53</v>
      </c>
      <c r="Y7" s="54">
        <v>2</v>
      </c>
      <c r="Z7" s="51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65"/>
      <c r="AJ7" s="55"/>
      <c r="AK7" s="55"/>
      <c r="AL7" s="55"/>
      <c r="AM7" s="55"/>
      <c r="AN7" s="55"/>
      <c r="AO7" s="55"/>
      <c r="AP7" s="55"/>
      <c r="AQ7" s="55"/>
      <c r="AR7" s="51">
        <v>0</v>
      </c>
      <c r="AS7" s="51">
        <v>1</v>
      </c>
      <c r="AT7" s="51">
        <v>0</v>
      </c>
      <c r="AU7" s="51">
        <v>1</v>
      </c>
      <c r="AV7" s="51">
        <v>1</v>
      </c>
      <c r="AW7" s="51">
        <v>1</v>
      </c>
      <c r="AX7" s="51">
        <v>1</v>
      </c>
      <c r="AY7" s="56"/>
      <c r="AZ7" s="51"/>
      <c r="BA7" s="51"/>
      <c r="BB7" s="51"/>
      <c r="BC7" s="51"/>
      <c r="BD7" s="51"/>
      <c r="BE7" s="51"/>
      <c r="BF7" s="51"/>
      <c r="BG7" s="42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"Блок. повт. ЧАПВ1", note: "Блокировка от многократных включений", group: "status", minValue: null, maxValue: null, step: null, units: "null", defaultValue: null, eventRegistration: 2</v>
      </c>
    </row>
    <row r="8" spans="1:16379" s="57" customFormat="1" x14ac:dyDescent="0.25">
      <c r="A8" s="50"/>
      <c r="B8" s="98" t="s">
        <v>385</v>
      </c>
      <c r="C8" s="51"/>
      <c r="D8" s="88" t="s">
        <v>219</v>
      </c>
      <c r="E8" s="39" t="s">
        <v>214</v>
      </c>
      <c r="F8" s="39" t="s">
        <v>215</v>
      </c>
      <c r="G8" s="39" t="s">
        <v>215</v>
      </c>
      <c r="H8" s="51"/>
      <c r="I8" s="39">
        <f t="shared" si="6"/>
        <v>10</v>
      </c>
      <c r="J8" s="39" t="str">
        <f t="shared" si="7"/>
        <v>Разрешение</v>
      </c>
      <c r="K8" s="52" t="s">
        <v>216</v>
      </c>
      <c r="L8" s="53" t="s">
        <v>54</v>
      </c>
      <c r="M8" s="54" t="s">
        <v>51</v>
      </c>
      <c r="N8" s="54" t="s">
        <v>52</v>
      </c>
      <c r="O8" s="54"/>
      <c r="P8" s="51"/>
      <c r="Q8" s="51"/>
      <c r="R8" s="54" t="s">
        <v>53</v>
      </c>
      <c r="S8" s="54" t="s">
        <v>53</v>
      </c>
      <c r="T8" s="54" t="s">
        <v>53</v>
      </c>
      <c r="U8" s="54" t="s">
        <v>53</v>
      </c>
      <c r="V8" s="51"/>
      <c r="W8" s="51"/>
      <c r="X8" s="54" t="s">
        <v>53</v>
      </c>
      <c r="Y8" s="54">
        <v>2</v>
      </c>
      <c r="Z8" s="51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65"/>
      <c r="AJ8" s="55"/>
      <c r="AK8" s="55"/>
      <c r="AL8" s="55"/>
      <c r="AM8" s="55"/>
      <c r="AN8" s="55"/>
      <c r="AO8" s="55"/>
      <c r="AP8" s="55"/>
      <c r="AQ8" s="55"/>
      <c r="AR8" s="51">
        <v>0</v>
      </c>
      <c r="AS8" s="51">
        <v>1</v>
      </c>
      <c r="AT8" s="51">
        <v>0</v>
      </c>
      <c r="AU8" s="51">
        <v>1</v>
      </c>
      <c r="AV8" s="51">
        <v>1</v>
      </c>
      <c r="AW8" s="51">
        <v>1</v>
      </c>
      <c r="AX8" s="51">
        <v>1</v>
      </c>
      <c r="AY8" s="56"/>
      <c r="AZ8" s="51"/>
      <c r="BA8" s="51"/>
      <c r="BB8" s="51"/>
      <c r="BC8" s="51"/>
      <c r="BD8" s="51"/>
      <c r="BE8" s="51"/>
      <c r="BF8" s="51"/>
      <c r="BG8" s="42" t="str">
        <f t="shared" si="8"/>
        <v>description: "Разрешение", note: "Разрешение ЧАПВ", group: "status", minValue: null, maxValue: null, step: null, units: "null", defaultValue: null, eventRegistration: 2</v>
      </c>
    </row>
    <row r="9" spans="1:16379" s="57" customFormat="1" x14ac:dyDescent="0.25">
      <c r="A9" s="50"/>
      <c r="B9" s="98" t="s">
        <v>385</v>
      </c>
      <c r="C9" s="51"/>
      <c r="D9" s="88" t="s">
        <v>219</v>
      </c>
      <c r="E9" s="39" t="s">
        <v>217</v>
      </c>
      <c r="F9" s="39" t="s">
        <v>162</v>
      </c>
      <c r="G9" s="39" t="s">
        <v>162</v>
      </c>
      <c r="H9" s="51"/>
      <c r="I9" s="39">
        <f t="shared" si="3"/>
        <v>12</v>
      </c>
      <c r="J9" s="39" t="str">
        <f t="shared" si="4"/>
        <v>Динам. блок.</v>
      </c>
      <c r="K9" s="52" t="s">
        <v>206</v>
      </c>
      <c r="L9" s="53" t="s">
        <v>54</v>
      </c>
      <c r="M9" s="54" t="s">
        <v>51</v>
      </c>
      <c r="N9" s="54" t="s">
        <v>52</v>
      </c>
      <c r="O9" s="54"/>
      <c r="P9" s="41"/>
      <c r="Q9" s="41"/>
      <c r="R9" s="54" t="s">
        <v>53</v>
      </c>
      <c r="S9" s="54" t="s">
        <v>53</v>
      </c>
      <c r="T9" s="54" t="s">
        <v>53</v>
      </c>
      <c r="U9" s="54" t="s">
        <v>53</v>
      </c>
      <c r="V9" s="51"/>
      <c r="W9" s="51"/>
      <c r="X9" s="54" t="s">
        <v>53</v>
      </c>
      <c r="Y9" s="54">
        <v>2</v>
      </c>
      <c r="Z9" s="51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65" t="s">
        <v>223</v>
      </c>
      <c r="AJ9" s="55" t="s">
        <v>224</v>
      </c>
      <c r="AK9" s="55" t="s">
        <v>227</v>
      </c>
      <c r="AL9" s="55" t="s">
        <v>64</v>
      </c>
      <c r="AM9" s="55" t="s">
        <v>106</v>
      </c>
      <c r="AN9" s="55"/>
      <c r="AO9" s="55" t="s">
        <v>67</v>
      </c>
      <c r="AP9" s="55" t="str">
        <f>CONCATENATE(AJ9, ".", AL9)</f>
        <v>ECAPTOF1.Blk.stVal</v>
      </c>
      <c r="AQ9" s="55" t="s">
        <v>63</v>
      </c>
      <c r="AR9" s="51">
        <v>0</v>
      </c>
      <c r="AS9" s="51">
        <v>1</v>
      </c>
      <c r="AT9" s="51">
        <v>0</v>
      </c>
      <c r="AU9" s="51">
        <v>1</v>
      </c>
      <c r="AV9" s="51">
        <v>1</v>
      </c>
      <c r="AW9" s="51">
        <v>1</v>
      </c>
      <c r="AX9" s="51">
        <v>1</v>
      </c>
      <c r="AY9" s="56"/>
      <c r="AZ9" s="51"/>
      <c r="BA9" s="51"/>
      <c r="BB9" s="51"/>
      <c r="BC9" s="51"/>
      <c r="BD9" s="51"/>
      <c r="BE9" s="51"/>
      <c r="BF9" s="51"/>
      <c r="BG9" s="42" t="str">
        <f t="shared" si="5"/>
        <v>description: "Динам. блок.", note: "Динамическая блокировка ЧАПВ", group: "status", minValue: null, maxValue: null, step: null, units: "null", defaultValue: null, eventRegistration: 2</v>
      </c>
    </row>
    <row r="10" spans="1:16379" s="57" customFormat="1" x14ac:dyDescent="0.25">
      <c r="A10" s="50"/>
      <c r="B10" s="98" t="s">
        <v>385</v>
      </c>
      <c r="C10" s="51"/>
      <c r="D10" s="88" t="s">
        <v>219</v>
      </c>
      <c r="E10" s="39" t="s">
        <v>163</v>
      </c>
      <c r="F10" s="39" t="s">
        <v>163</v>
      </c>
      <c r="G10" s="39" t="s">
        <v>163</v>
      </c>
      <c r="H10" s="51"/>
      <c r="I10" s="39">
        <f t="shared" si="3"/>
        <v>4</v>
      </c>
      <c r="J10" s="39" t="str">
        <f t="shared" si="4"/>
        <v>Пуск</v>
      </c>
      <c r="K10" s="52" t="s">
        <v>207</v>
      </c>
      <c r="L10" s="53" t="s">
        <v>54</v>
      </c>
      <c r="M10" s="54" t="s">
        <v>51</v>
      </c>
      <c r="N10" s="54" t="s">
        <v>52</v>
      </c>
      <c r="O10" s="54"/>
      <c r="P10" s="51"/>
      <c r="Q10" s="51"/>
      <c r="R10" s="54" t="s">
        <v>53</v>
      </c>
      <c r="S10" s="54" t="s">
        <v>53</v>
      </c>
      <c r="T10" s="54" t="s">
        <v>53</v>
      </c>
      <c r="U10" s="54" t="s">
        <v>53</v>
      </c>
      <c r="V10" s="51"/>
      <c r="W10" s="51"/>
      <c r="X10" s="54" t="s">
        <v>53</v>
      </c>
      <c r="Y10" s="54">
        <v>2</v>
      </c>
      <c r="Z10" s="51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65" t="s">
        <v>223</v>
      </c>
      <c r="AJ10" s="55" t="s">
        <v>225</v>
      </c>
      <c r="AK10" s="55" t="s">
        <v>150</v>
      </c>
      <c r="AL10" s="55" t="s">
        <v>75</v>
      </c>
      <c r="AM10" s="55" t="s">
        <v>106</v>
      </c>
      <c r="AN10" s="55"/>
      <c r="AO10" s="55" t="s">
        <v>67</v>
      </c>
      <c r="AP10" s="55" t="str">
        <f>CONCATENATE(AJ10, ".", AL10)</f>
        <v>ECAPTOF1.Str.general</v>
      </c>
      <c r="AQ10" s="55" t="s">
        <v>63</v>
      </c>
      <c r="AR10" s="51">
        <v>0</v>
      </c>
      <c r="AS10" s="51">
        <v>1</v>
      </c>
      <c r="AT10" s="51">
        <v>0</v>
      </c>
      <c r="AU10" s="51">
        <v>1</v>
      </c>
      <c r="AV10" s="51">
        <v>1</v>
      </c>
      <c r="AW10" s="51">
        <v>1</v>
      </c>
      <c r="AX10" s="51">
        <v>1</v>
      </c>
      <c r="AY10" s="56"/>
      <c r="AZ10" s="51"/>
      <c r="BA10" s="51"/>
      <c r="BB10" s="51"/>
      <c r="BC10" s="51"/>
      <c r="BD10" s="51"/>
      <c r="BE10" s="51"/>
      <c r="BF10" s="51"/>
      <c r="BG10" s="42" t="str">
        <f t="shared" si="5"/>
        <v>description: "Пуск", note: "Пуск", group: "status", minValue: null, maxValue: null, step: null, units: "null", defaultValue: null, eventRegistration: 2</v>
      </c>
    </row>
    <row r="11" spans="1:16379" s="57" customFormat="1" x14ac:dyDescent="0.25">
      <c r="A11" s="50"/>
      <c r="B11" s="98" t="s">
        <v>385</v>
      </c>
      <c r="C11" s="51"/>
      <c r="D11" s="88" t="s">
        <v>219</v>
      </c>
      <c r="E11" s="39" t="s">
        <v>156</v>
      </c>
      <c r="F11" s="39" t="s">
        <v>157</v>
      </c>
      <c r="G11" s="39" t="s">
        <v>157</v>
      </c>
      <c r="H11" s="51"/>
      <c r="I11" s="39">
        <f t="shared" si="3"/>
        <v>17</v>
      </c>
      <c r="J11" s="39" t="str">
        <f t="shared" si="4"/>
        <v>Срабатывание сигн</v>
      </c>
      <c r="K11" s="52" t="s">
        <v>208</v>
      </c>
      <c r="L11" s="53" t="s">
        <v>54</v>
      </c>
      <c r="M11" s="54" t="s">
        <v>51</v>
      </c>
      <c r="N11" s="54" t="s">
        <v>52</v>
      </c>
      <c r="O11" s="54"/>
      <c r="P11" s="41"/>
      <c r="Q11" s="41"/>
      <c r="R11" s="54" t="s">
        <v>53</v>
      </c>
      <c r="S11" s="54" t="s">
        <v>53</v>
      </c>
      <c r="T11" s="54" t="s">
        <v>53</v>
      </c>
      <c r="U11" s="54" t="s">
        <v>53</v>
      </c>
      <c r="V11" s="51"/>
      <c r="W11" s="51"/>
      <c r="X11" s="54" t="s">
        <v>53</v>
      </c>
      <c r="Y11" s="54">
        <v>2</v>
      </c>
      <c r="Z11" s="51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5"/>
      <c r="AJ11" s="55"/>
      <c r="AK11" s="55"/>
      <c r="AL11" s="55"/>
      <c r="AM11" s="55"/>
      <c r="AN11" s="55"/>
      <c r="AO11" s="55"/>
      <c r="AP11" s="55"/>
      <c r="AQ11" s="55"/>
      <c r="AR11" s="51">
        <v>0</v>
      </c>
      <c r="AS11" s="51">
        <v>1</v>
      </c>
      <c r="AT11" s="51">
        <v>0</v>
      </c>
      <c r="AU11" s="51">
        <v>1</v>
      </c>
      <c r="AV11" s="51">
        <v>1</v>
      </c>
      <c r="AW11" s="51">
        <v>1</v>
      </c>
      <c r="AX11" s="51">
        <v>1</v>
      </c>
      <c r="AY11" s="56"/>
      <c r="AZ11" s="51"/>
      <c r="BA11" s="51"/>
      <c r="BB11" s="51"/>
      <c r="BC11" s="51"/>
      <c r="BD11" s="51"/>
      <c r="BE11" s="51"/>
      <c r="BF11" s="51"/>
      <c r="BG11" s="42" t="str">
        <f t="shared" si="5"/>
        <v>description: "Срабатывание сигн", note: "Срабатывание на сигнал", group: "status", minValue: null, maxValue: null, step: null, units: "null", defaultValue: null, eventRegistration: 2</v>
      </c>
    </row>
    <row r="12" spans="1:16379" s="57" customFormat="1" x14ac:dyDescent="0.25">
      <c r="A12" s="50"/>
      <c r="B12" s="98" t="s">
        <v>385</v>
      </c>
      <c r="C12" s="51"/>
      <c r="D12" s="88" t="s">
        <v>219</v>
      </c>
      <c r="E12" s="39" t="s">
        <v>133</v>
      </c>
      <c r="F12" s="39" t="s">
        <v>133</v>
      </c>
      <c r="G12" s="39" t="s">
        <v>133</v>
      </c>
      <c r="H12" s="51"/>
      <c r="I12" s="39">
        <f t="shared" ref="I12:I14" si="9">LEN(F12)</f>
        <v>12</v>
      </c>
      <c r="J12" s="39" t="str">
        <f t="shared" ref="J12" si="10">IF(LEN(F12)&lt;=$J$1,F12,"")</f>
        <v>Срабатывание</v>
      </c>
      <c r="K12" s="52" t="s">
        <v>209</v>
      </c>
      <c r="L12" s="53" t="s">
        <v>54</v>
      </c>
      <c r="M12" s="54" t="s">
        <v>51</v>
      </c>
      <c r="N12" s="54" t="s">
        <v>52</v>
      </c>
      <c r="O12" s="54"/>
      <c r="P12" s="41"/>
      <c r="Q12" s="41"/>
      <c r="R12" s="54" t="s">
        <v>53</v>
      </c>
      <c r="S12" s="54" t="s">
        <v>53</v>
      </c>
      <c r="T12" s="54" t="s">
        <v>53</v>
      </c>
      <c r="U12" s="54" t="s">
        <v>53</v>
      </c>
      <c r="V12" s="51"/>
      <c r="W12" s="51"/>
      <c r="X12" s="54" t="s">
        <v>53</v>
      </c>
      <c r="Y12" s="54">
        <v>2</v>
      </c>
      <c r="Z12" s="51"/>
      <c r="AA12" s="44">
        <v>0</v>
      </c>
      <c r="AB12" s="44"/>
      <c r="AC12" s="44"/>
      <c r="AD12" s="44"/>
      <c r="AE12" s="44"/>
      <c r="AF12" s="44">
        <v>0</v>
      </c>
      <c r="AG12" s="44">
        <v>0</v>
      </c>
      <c r="AH12" s="44">
        <v>0</v>
      </c>
      <c r="AI12" s="65" t="s">
        <v>223</v>
      </c>
      <c r="AJ12" s="55" t="s">
        <v>226</v>
      </c>
      <c r="AK12" s="55" t="s">
        <v>112</v>
      </c>
      <c r="AL12" s="55" t="s">
        <v>75</v>
      </c>
      <c r="AM12" s="55" t="s">
        <v>106</v>
      </c>
      <c r="AN12" s="55"/>
      <c r="AO12" s="55" t="s">
        <v>67</v>
      </c>
      <c r="AP12" s="55" t="str">
        <f>CONCATENATE(AJ12, ".", AL12)</f>
        <v>ECAPTOF1.Op.general</v>
      </c>
      <c r="AQ12" s="55" t="s">
        <v>63</v>
      </c>
      <c r="AR12" s="51">
        <v>0</v>
      </c>
      <c r="AS12" s="51">
        <v>1</v>
      </c>
      <c r="AT12" s="51">
        <v>0</v>
      </c>
      <c r="AU12" s="51">
        <v>1</v>
      </c>
      <c r="AV12" s="51">
        <v>1</v>
      </c>
      <c r="AW12" s="51">
        <v>1</v>
      </c>
      <c r="AX12" s="51">
        <v>1</v>
      </c>
      <c r="AY12" s="56"/>
      <c r="AZ12" s="51"/>
      <c r="BA12" s="51"/>
      <c r="BB12" s="51"/>
      <c r="BC12" s="51"/>
      <c r="BD12" s="51"/>
      <c r="BE12" s="51"/>
      <c r="BF12" s="51"/>
      <c r="BG12" s="42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"Срабатывание", note: "Срабатывание", group: "status", minValue: null, maxValue: null, step: null, units: "null", defaultValue: null, eventRegistration: 2</v>
      </c>
    </row>
    <row r="13" spans="1:16379" s="81" customFormat="1" x14ac:dyDescent="0.25">
      <c r="A13" s="71"/>
      <c r="B13" s="98" t="s">
        <v>385</v>
      </c>
      <c r="C13" s="72"/>
      <c r="D13" s="86" t="s">
        <v>220</v>
      </c>
      <c r="E13" s="66" t="s">
        <v>158</v>
      </c>
      <c r="F13" s="73" t="s">
        <v>160</v>
      </c>
      <c r="G13" s="73" t="s">
        <v>160</v>
      </c>
      <c r="H13" s="74"/>
      <c r="I13" s="66">
        <f t="shared" si="9"/>
        <v>4</v>
      </c>
      <c r="J13" s="66" t="str">
        <f>IF(LEN(F13)&lt;=$J$1,F13,"")</f>
        <v>Ввод</v>
      </c>
      <c r="K13" s="75" t="s">
        <v>229</v>
      </c>
      <c r="L13" s="76" t="s">
        <v>54</v>
      </c>
      <c r="M13" s="77" t="s">
        <v>51</v>
      </c>
      <c r="N13" s="77" t="s">
        <v>52</v>
      </c>
      <c r="O13" s="77"/>
      <c r="P13" s="68"/>
      <c r="Q13" s="68"/>
      <c r="R13" s="77" t="s">
        <v>53</v>
      </c>
      <c r="S13" s="77" t="s">
        <v>53</v>
      </c>
      <c r="T13" s="77" t="s">
        <v>53</v>
      </c>
      <c r="U13" s="77" t="s">
        <v>53</v>
      </c>
      <c r="V13" s="72"/>
      <c r="W13" s="72"/>
      <c r="X13" s="77" t="s">
        <v>53</v>
      </c>
      <c r="Y13" s="77">
        <v>2</v>
      </c>
      <c r="Z13" s="72"/>
      <c r="AA13" s="69">
        <v>0</v>
      </c>
      <c r="AB13" s="69"/>
      <c r="AC13" s="69"/>
      <c r="AD13" s="69"/>
      <c r="AE13" s="69"/>
      <c r="AF13" s="69">
        <v>0</v>
      </c>
      <c r="AG13" s="69">
        <v>0</v>
      </c>
      <c r="AH13" s="69">
        <v>0</v>
      </c>
      <c r="AI13" s="70"/>
      <c r="AJ13" s="78"/>
      <c r="AK13" s="78"/>
      <c r="AL13" s="78"/>
      <c r="AM13" s="78"/>
      <c r="AN13" s="78"/>
      <c r="AO13" s="78"/>
      <c r="AP13" s="78"/>
      <c r="AQ13" s="78"/>
      <c r="AR13" s="72">
        <v>0</v>
      </c>
      <c r="AS13" s="72">
        <v>1</v>
      </c>
      <c r="AT13" s="72">
        <v>0</v>
      </c>
      <c r="AU13" s="72">
        <v>1</v>
      </c>
      <c r="AV13" s="51">
        <v>1</v>
      </c>
      <c r="AW13" s="51">
        <v>1</v>
      </c>
      <c r="AX13" s="51">
        <v>1</v>
      </c>
      <c r="AY13" s="79"/>
      <c r="AZ13" s="72"/>
      <c r="BA13" s="72"/>
      <c r="BB13" s="72"/>
      <c r="BC13" s="72"/>
      <c r="BD13" s="72"/>
      <c r="BE13" s="72"/>
      <c r="BF13" s="72"/>
      <c r="BG13" s="80" t="str">
        <f t="shared" si="11"/>
        <v>description: "Ввод", note: "Функция введена в работу", group: "status", minValue: null, maxValue: null, step: null, units: "null", defaultValue: null, eventRegistration: 2</v>
      </c>
    </row>
    <row r="14" spans="1:16379" s="81" customFormat="1" x14ac:dyDescent="0.25">
      <c r="A14" s="71"/>
      <c r="B14" s="98" t="s">
        <v>385</v>
      </c>
      <c r="C14" s="72"/>
      <c r="D14" s="86" t="s">
        <v>220</v>
      </c>
      <c r="E14" s="66" t="s">
        <v>159</v>
      </c>
      <c r="F14" s="73" t="s">
        <v>155</v>
      </c>
      <c r="G14" s="73" t="s">
        <v>155</v>
      </c>
      <c r="H14" s="74"/>
      <c r="I14" s="66">
        <f t="shared" si="9"/>
        <v>17</v>
      </c>
      <c r="J14" s="66" t="str">
        <f t="shared" ref="J14" si="12">IF(LEN(F14)&lt;=$J$1,F14,"")</f>
        <v>Оперативный вывод</v>
      </c>
      <c r="K14" s="75" t="s">
        <v>230</v>
      </c>
      <c r="L14" s="76" t="s">
        <v>54</v>
      </c>
      <c r="M14" s="77" t="s">
        <v>51</v>
      </c>
      <c r="N14" s="77" t="s">
        <v>52</v>
      </c>
      <c r="O14" s="77"/>
      <c r="P14" s="68"/>
      <c r="Q14" s="68"/>
      <c r="R14" s="77" t="s">
        <v>53</v>
      </c>
      <c r="S14" s="77" t="s">
        <v>53</v>
      </c>
      <c r="T14" s="77" t="s">
        <v>53</v>
      </c>
      <c r="U14" s="77" t="s">
        <v>53</v>
      </c>
      <c r="V14" s="72"/>
      <c r="W14" s="72"/>
      <c r="X14" s="77" t="s">
        <v>53</v>
      </c>
      <c r="Y14" s="77">
        <v>2</v>
      </c>
      <c r="Z14" s="72"/>
      <c r="AA14" s="69">
        <v>0</v>
      </c>
      <c r="AB14" s="69"/>
      <c r="AC14" s="69"/>
      <c r="AD14" s="69"/>
      <c r="AE14" s="69"/>
      <c r="AF14" s="69">
        <v>0</v>
      </c>
      <c r="AG14" s="69">
        <v>0</v>
      </c>
      <c r="AH14" s="69">
        <v>0</v>
      </c>
      <c r="AI14" s="70"/>
      <c r="AJ14" s="78"/>
      <c r="AK14" s="78"/>
      <c r="AL14" s="78"/>
      <c r="AM14" s="78"/>
      <c r="AN14" s="78"/>
      <c r="AO14" s="78"/>
      <c r="AP14" s="78"/>
      <c r="AQ14" s="78"/>
      <c r="AR14" s="72">
        <v>0</v>
      </c>
      <c r="AS14" s="72">
        <v>1</v>
      </c>
      <c r="AT14" s="72">
        <v>0</v>
      </c>
      <c r="AU14" s="72">
        <v>1</v>
      </c>
      <c r="AV14" s="51">
        <v>1</v>
      </c>
      <c r="AW14" s="51">
        <v>1</v>
      </c>
      <c r="AX14" s="51">
        <v>1</v>
      </c>
      <c r="AY14" s="79"/>
      <c r="AZ14" s="72"/>
      <c r="BA14" s="72"/>
      <c r="BB14" s="72"/>
      <c r="BC14" s="72"/>
      <c r="BD14" s="72"/>
      <c r="BE14" s="72"/>
      <c r="BF14" s="72"/>
      <c r="BG14" s="80" t="str">
        <f t="shared" si="1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5" spans="1:16379" s="81" customFormat="1" x14ac:dyDescent="0.25">
      <c r="A15" s="71"/>
      <c r="B15" s="98" t="s">
        <v>385</v>
      </c>
      <c r="C15" s="72"/>
      <c r="D15" s="86" t="s">
        <v>220</v>
      </c>
      <c r="E15" s="66" t="s">
        <v>210</v>
      </c>
      <c r="F15" s="73" t="s">
        <v>211</v>
      </c>
      <c r="G15" s="73" t="s">
        <v>211</v>
      </c>
      <c r="H15" s="74"/>
      <c r="I15" s="66">
        <f>LEN(F15)</f>
        <v>5</v>
      </c>
      <c r="J15" s="66" t="str">
        <f>IF(LEN(F15)&lt;=$J$1,F15,"")</f>
        <v>ИО F&gt;</v>
      </c>
      <c r="K15" s="75" t="s">
        <v>231</v>
      </c>
      <c r="L15" s="76" t="s">
        <v>54</v>
      </c>
      <c r="M15" s="77" t="s">
        <v>51</v>
      </c>
      <c r="N15" s="77" t="s">
        <v>52</v>
      </c>
      <c r="O15" s="77"/>
      <c r="P15" s="68"/>
      <c r="Q15" s="68"/>
      <c r="R15" s="77" t="s">
        <v>53</v>
      </c>
      <c r="S15" s="77" t="s">
        <v>53</v>
      </c>
      <c r="T15" s="77" t="s">
        <v>53</v>
      </c>
      <c r="U15" s="77" t="s">
        <v>53</v>
      </c>
      <c r="V15" s="72"/>
      <c r="W15" s="72"/>
      <c r="X15" s="77" t="s">
        <v>53</v>
      </c>
      <c r="Y15" s="77">
        <v>2</v>
      </c>
      <c r="Z15" s="72"/>
      <c r="AA15" s="69">
        <v>0</v>
      </c>
      <c r="AB15" s="69"/>
      <c r="AC15" s="69"/>
      <c r="AD15" s="69"/>
      <c r="AE15" s="69"/>
      <c r="AF15" s="69">
        <v>0</v>
      </c>
      <c r="AG15" s="69">
        <v>0</v>
      </c>
      <c r="AH15" s="69">
        <v>0</v>
      </c>
      <c r="AI15" s="71"/>
      <c r="AJ15" s="71"/>
      <c r="AK15" s="71"/>
      <c r="AL15" s="71"/>
      <c r="AM15" s="71"/>
      <c r="AN15" s="71"/>
      <c r="AO15" s="71"/>
      <c r="AP15" s="71"/>
      <c r="AQ15" s="71"/>
      <c r="AR15" s="72">
        <v>0</v>
      </c>
      <c r="AS15" s="72">
        <v>1</v>
      </c>
      <c r="AT15" s="72">
        <v>0</v>
      </c>
      <c r="AU15" s="72">
        <v>1</v>
      </c>
      <c r="AV15" s="51">
        <v>1</v>
      </c>
      <c r="AW15" s="51">
        <v>1</v>
      </c>
      <c r="AX15" s="51">
        <v>1</v>
      </c>
      <c r="AY15" s="79"/>
      <c r="AZ15" s="72"/>
      <c r="BA15" s="72"/>
      <c r="BB15" s="72"/>
      <c r="BC15" s="72"/>
      <c r="BD15" s="72"/>
      <c r="BE15" s="72"/>
      <c r="BF15" s="72"/>
      <c r="BG15" s="80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"ИО F&gt;", note: "Пуск ИО увеличения частоты", group: "status", minValue: null, maxValue: null, step: null, units: "null", defaultValue: null, eventRegistration: 2</v>
      </c>
    </row>
    <row r="16" spans="1:16379" s="81" customFormat="1" x14ac:dyDescent="0.25">
      <c r="A16" s="71"/>
      <c r="B16" s="98" t="s">
        <v>385</v>
      </c>
      <c r="C16" s="72"/>
      <c r="D16" s="86" t="s">
        <v>220</v>
      </c>
      <c r="E16" s="66" t="s">
        <v>167</v>
      </c>
      <c r="F16" s="66" t="s">
        <v>161</v>
      </c>
      <c r="G16" s="66" t="s">
        <v>161</v>
      </c>
      <c r="H16" s="72"/>
      <c r="I16" s="66">
        <f t="shared" ref="I16:I24" si="13">LEN(F16)</f>
        <v>5</v>
      </c>
      <c r="J16" s="66" t="str">
        <f t="shared" ref="J16:J22" si="14">IF(LEN(F16)&lt;=$J$1,F16,"")</f>
        <v>ИО U&lt;</v>
      </c>
      <c r="K16" s="75" t="s">
        <v>232</v>
      </c>
      <c r="L16" s="76" t="s">
        <v>54</v>
      </c>
      <c r="M16" s="77" t="s">
        <v>51</v>
      </c>
      <c r="N16" s="77" t="s">
        <v>52</v>
      </c>
      <c r="O16" s="77"/>
      <c r="P16" s="72"/>
      <c r="Q16" s="72"/>
      <c r="R16" s="77" t="s">
        <v>53</v>
      </c>
      <c r="S16" s="77" t="s">
        <v>53</v>
      </c>
      <c r="T16" s="77" t="s">
        <v>53</v>
      </c>
      <c r="U16" s="77" t="s">
        <v>53</v>
      </c>
      <c r="V16" s="72"/>
      <c r="W16" s="72"/>
      <c r="X16" s="77" t="s">
        <v>53</v>
      </c>
      <c r="Y16" s="77">
        <v>2</v>
      </c>
      <c r="Z16" s="72"/>
      <c r="AA16" s="69">
        <v>0</v>
      </c>
      <c r="AB16" s="69"/>
      <c r="AC16" s="69"/>
      <c r="AD16" s="69"/>
      <c r="AE16" s="69"/>
      <c r="AF16" s="69">
        <v>0</v>
      </c>
      <c r="AG16" s="69">
        <v>0</v>
      </c>
      <c r="AH16" s="69">
        <v>0</v>
      </c>
      <c r="AI16" s="70"/>
      <c r="AJ16" s="78"/>
      <c r="AK16" s="78"/>
      <c r="AL16" s="78"/>
      <c r="AM16" s="78"/>
      <c r="AN16" s="78"/>
      <c r="AO16" s="78"/>
      <c r="AP16" s="78"/>
      <c r="AQ16" s="78"/>
      <c r="AR16" s="72">
        <v>0</v>
      </c>
      <c r="AS16" s="72">
        <v>1</v>
      </c>
      <c r="AT16" s="72">
        <v>0</v>
      </c>
      <c r="AU16" s="72">
        <v>1</v>
      </c>
      <c r="AV16" s="51">
        <v>1</v>
      </c>
      <c r="AW16" s="51">
        <v>1</v>
      </c>
      <c r="AX16" s="51">
        <v>1</v>
      </c>
      <c r="AY16" s="79"/>
      <c r="AZ16" s="72"/>
      <c r="BA16" s="72"/>
      <c r="BB16" s="72"/>
      <c r="BC16" s="72"/>
      <c r="BD16" s="72"/>
      <c r="BE16" s="72"/>
      <c r="BF16" s="72"/>
      <c r="BG16" s="80" t="str">
        <f t="shared" ref="BG16:BG24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U&lt;", note: "Пуск ИО снижения напряжения", group: "status", minValue: null, maxValue: null, step: null, units: "null", defaultValue: null, eventRegistration: 2</v>
      </c>
    </row>
    <row r="17" spans="1:59" s="81" customFormat="1" x14ac:dyDescent="0.25">
      <c r="A17" s="71"/>
      <c r="B17" s="98" t="s">
        <v>385</v>
      </c>
      <c r="C17" s="72"/>
      <c r="D17" s="86" t="s">
        <v>220</v>
      </c>
      <c r="E17" s="66" t="s">
        <v>212</v>
      </c>
      <c r="F17" s="66" t="s">
        <v>228</v>
      </c>
      <c r="G17" s="66" t="s">
        <v>228</v>
      </c>
      <c r="H17" s="72"/>
      <c r="I17" s="66">
        <f t="shared" si="13"/>
        <v>17</v>
      </c>
      <c r="J17" s="66" t="str">
        <f t="shared" si="14"/>
        <v>Блок. повт. ЧАПВ2</v>
      </c>
      <c r="K17" s="75" t="s">
        <v>233</v>
      </c>
      <c r="L17" s="76" t="s">
        <v>54</v>
      </c>
      <c r="M17" s="77" t="s">
        <v>51</v>
      </c>
      <c r="N17" s="77" t="s">
        <v>52</v>
      </c>
      <c r="O17" s="77"/>
      <c r="P17" s="72"/>
      <c r="Q17" s="72"/>
      <c r="R17" s="77" t="s">
        <v>53</v>
      </c>
      <c r="S17" s="77" t="s">
        <v>53</v>
      </c>
      <c r="T17" s="77" t="s">
        <v>53</v>
      </c>
      <c r="U17" s="77" t="s">
        <v>53</v>
      </c>
      <c r="V17" s="72"/>
      <c r="W17" s="72"/>
      <c r="X17" s="77" t="s">
        <v>53</v>
      </c>
      <c r="Y17" s="77">
        <v>2</v>
      </c>
      <c r="Z17" s="72"/>
      <c r="AA17" s="69">
        <v>0</v>
      </c>
      <c r="AB17" s="69"/>
      <c r="AC17" s="69"/>
      <c r="AD17" s="69"/>
      <c r="AE17" s="69"/>
      <c r="AF17" s="69">
        <v>0</v>
      </c>
      <c r="AG17" s="69">
        <v>0</v>
      </c>
      <c r="AH17" s="69">
        <v>0</v>
      </c>
      <c r="AI17" s="70"/>
      <c r="AJ17" s="78"/>
      <c r="AK17" s="78"/>
      <c r="AL17" s="78"/>
      <c r="AM17" s="78"/>
      <c r="AN17" s="78"/>
      <c r="AO17" s="78"/>
      <c r="AP17" s="78"/>
      <c r="AQ17" s="78"/>
      <c r="AR17" s="72">
        <v>0</v>
      </c>
      <c r="AS17" s="72">
        <v>1</v>
      </c>
      <c r="AT17" s="72">
        <v>0</v>
      </c>
      <c r="AU17" s="72">
        <v>1</v>
      </c>
      <c r="AV17" s="51">
        <v>1</v>
      </c>
      <c r="AW17" s="51">
        <v>1</v>
      </c>
      <c r="AX17" s="51">
        <v>1</v>
      </c>
      <c r="AY17" s="79"/>
      <c r="AZ17" s="72"/>
      <c r="BA17" s="72"/>
      <c r="BB17" s="72"/>
      <c r="BC17" s="72"/>
      <c r="BD17" s="72"/>
      <c r="BE17" s="72"/>
      <c r="BF17" s="72"/>
      <c r="BG17" s="80" t="str">
        <f t="shared" si="15"/>
        <v>description: "Блок. повт. ЧАПВ2", note: "Блокировка от многократных включений", group: "status", minValue: null, maxValue: null, step: null, units: "null", defaultValue: null, eventRegistration: 2</v>
      </c>
    </row>
    <row r="18" spans="1:59" s="81" customFormat="1" x14ac:dyDescent="0.25">
      <c r="A18" s="71"/>
      <c r="B18" s="98" t="s">
        <v>385</v>
      </c>
      <c r="C18" s="72"/>
      <c r="D18" s="86" t="s">
        <v>220</v>
      </c>
      <c r="E18" s="66" t="s">
        <v>214</v>
      </c>
      <c r="F18" s="66" t="s">
        <v>215</v>
      </c>
      <c r="G18" s="66" t="s">
        <v>215</v>
      </c>
      <c r="H18" s="72"/>
      <c r="I18" s="66">
        <f t="shared" si="13"/>
        <v>10</v>
      </c>
      <c r="J18" s="66" t="str">
        <f t="shared" si="14"/>
        <v>Разрешение</v>
      </c>
      <c r="K18" s="75" t="s">
        <v>234</v>
      </c>
      <c r="L18" s="76" t="s">
        <v>54</v>
      </c>
      <c r="M18" s="77" t="s">
        <v>51</v>
      </c>
      <c r="N18" s="77" t="s">
        <v>52</v>
      </c>
      <c r="O18" s="77"/>
      <c r="P18" s="72"/>
      <c r="Q18" s="72"/>
      <c r="R18" s="77" t="s">
        <v>53</v>
      </c>
      <c r="S18" s="77" t="s">
        <v>53</v>
      </c>
      <c r="T18" s="77" t="s">
        <v>53</v>
      </c>
      <c r="U18" s="77" t="s">
        <v>53</v>
      </c>
      <c r="V18" s="72"/>
      <c r="W18" s="72"/>
      <c r="X18" s="77" t="s">
        <v>53</v>
      </c>
      <c r="Y18" s="77">
        <v>2</v>
      </c>
      <c r="Z18" s="72"/>
      <c r="AA18" s="69">
        <v>0</v>
      </c>
      <c r="AB18" s="69"/>
      <c r="AC18" s="69"/>
      <c r="AD18" s="69"/>
      <c r="AE18" s="69"/>
      <c r="AF18" s="69">
        <v>0</v>
      </c>
      <c r="AG18" s="69">
        <v>0</v>
      </c>
      <c r="AH18" s="69">
        <v>0</v>
      </c>
      <c r="AI18" s="70"/>
      <c r="AJ18" s="78"/>
      <c r="AK18" s="78"/>
      <c r="AL18" s="78"/>
      <c r="AM18" s="78"/>
      <c r="AN18" s="78"/>
      <c r="AO18" s="78"/>
      <c r="AP18" s="78"/>
      <c r="AQ18" s="78"/>
      <c r="AR18" s="72">
        <v>0</v>
      </c>
      <c r="AS18" s="72">
        <v>1</v>
      </c>
      <c r="AT18" s="72">
        <v>0</v>
      </c>
      <c r="AU18" s="72">
        <v>1</v>
      </c>
      <c r="AV18" s="51">
        <v>1</v>
      </c>
      <c r="AW18" s="51">
        <v>1</v>
      </c>
      <c r="AX18" s="51">
        <v>1</v>
      </c>
      <c r="AY18" s="79"/>
      <c r="AZ18" s="72"/>
      <c r="BA18" s="72"/>
      <c r="BB18" s="72"/>
      <c r="BC18" s="72"/>
      <c r="BD18" s="72"/>
      <c r="BE18" s="72"/>
      <c r="BF18" s="72"/>
      <c r="BG18" s="80" t="str">
        <f t="shared" si="15"/>
        <v>description: "Разрешение", note: "Разрешение ЧАПВ", group: "status", minValue: null, maxValue: null, step: null, units: "null", defaultValue: null, eventRegistration: 2</v>
      </c>
    </row>
    <row r="19" spans="1:59" s="81" customFormat="1" x14ac:dyDescent="0.25">
      <c r="A19" s="71"/>
      <c r="B19" s="98" t="s">
        <v>385</v>
      </c>
      <c r="C19" s="72"/>
      <c r="D19" s="86" t="s">
        <v>220</v>
      </c>
      <c r="E19" s="66" t="s">
        <v>217</v>
      </c>
      <c r="F19" s="66" t="s">
        <v>162</v>
      </c>
      <c r="G19" s="66" t="s">
        <v>162</v>
      </c>
      <c r="H19" s="72"/>
      <c r="I19" s="66">
        <f t="shared" si="13"/>
        <v>12</v>
      </c>
      <c r="J19" s="66" t="str">
        <f t="shared" si="14"/>
        <v>Динам. блок.</v>
      </c>
      <c r="K19" s="75" t="s">
        <v>235</v>
      </c>
      <c r="L19" s="76" t="s">
        <v>54</v>
      </c>
      <c r="M19" s="77" t="s">
        <v>51</v>
      </c>
      <c r="N19" s="77" t="s">
        <v>52</v>
      </c>
      <c r="O19" s="77"/>
      <c r="P19" s="68"/>
      <c r="Q19" s="68"/>
      <c r="R19" s="77" t="s">
        <v>53</v>
      </c>
      <c r="S19" s="77" t="s">
        <v>53</v>
      </c>
      <c r="T19" s="77" t="s">
        <v>53</v>
      </c>
      <c r="U19" s="77" t="s">
        <v>53</v>
      </c>
      <c r="V19" s="72"/>
      <c r="W19" s="72"/>
      <c r="X19" s="77" t="s">
        <v>53</v>
      </c>
      <c r="Y19" s="77">
        <v>2</v>
      </c>
      <c r="Z19" s="72"/>
      <c r="AA19" s="69">
        <v>0</v>
      </c>
      <c r="AB19" s="69"/>
      <c r="AC19" s="69"/>
      <c r="AD19" s="69"/>
      <c r="AE19" s="69"/>
      <c r="AF19" s="69">
        <v>0</v>
      </c>
      <c r="AG19" s="69">
        <v>0</v>
      </c>
      <c r="AH19" s="69">
        <v>0</v>
      </c>
      <c r="AI19" s="70" t="s">
        <v>223</v>
      </c>
      <c r="AJ19" s="78" t="s">
        <v>239</v>
      </c>
      <c r="AK19" s="78" t="s">
        <v>227</v>
      </c>
      <c r="AL19" s="78" t="s">
        <v>64</v>
      </c>
      <c r="AM19" s="78" t="s">
        <v>106</v>
      </c>
      <c r="AN19" s="78"/>
      <c r="AO19" s="78" t="s">
        <v>67</v>
      </c>
      <c r="AP19" s="78" t="str">
        <f>CONCATENATE(AJ19, ".", AL19)</f>
        <v>ECAPTOF2.Blk.stVal</v>
      </c>
      <c r="AQ19" s="78" t="s">
        <v>63</v>
      </c>
      <c r="AR19" s="72">
        <v>0</v>
      </c>
      <c r="AS19" s="72">
        <v>1</v>
      </c>
      <c r="AT19" s="72">
        <v>0</v>
      </c>
      <c r="AU19" s="72">
        <v>1</v>
      </c>
      <c r="AV19" s="51">
        <v>1</v>
      </c>
      <c r="AW19" s="51">
        <v>1</v>
      </c>
      <c r="AX19" s="51">
        <v>1</v>
      </c>
      <c r="AY19" s="79"/>
      <c r="AZ19" s="72"/>
      <c r="BA19" s="72"/>
      <c r="BB19" s="72"/>
      <c r="BC19" s="72"/>
      <c r="BD19" s="72"/>
      <c r="BE19" s="72"/>
      <c r="BF19" s="72"/>
      <c r="BG19" s="80" t="str">
        <f t="shared" si="15"/>
        <v>description: "Динам. блок.", note: "Динамическая блокировка ЧАПВ", group: "status", minValue: null, maxValue: null, step: null, units: "null", defaultValue: null, eventRegistration: 2</v>
      </c>
    </row>
    <row r="20" spans="1:59" s="81" customFormat="1" x14ac:dyDescent="0.25">
      <c r="A20" s="71"/>
      <c r="B20" s="98" t="s">
        <v>385</v>
      </c>
      <c r="C20" s="72"/>
      <c r="D20" s="86" t="s">
        <v>220</v>
      </c>
      <c r="E20" s="66" t="s">
        <v>163</v>
      </c>
      <c r="F20" s="66" t="s">
        <v>163</v>
      </c>
      <c r="G20" s="66" t="s">
        <v>163</v>
      </c>
      <c r="H20" s="72"/>
      <c r="I20" s="66">
        <f t="shared" si="13"/>
        <v>4</v>
      </c>
      <c r="J20" s="66" t="str">
        <f t="shared" si="14"/>
        <v>Пуск</v>
      </c>
      <c r="K20" s="75" t="s">
        <v>236</v>
      </c>
      <c r="L20" s="76" t="s">
        <v>54</v>
      </c>
      <c r="M20" s="77" t="s">
        <v>51</v>
      </c>
      <c r="N20" s="77" t="s">
        <v>52</v>
      </c>
      <c r="O20" s="77"/>
      <c r="P20" s="72"/>
      <c r="Q20" s="72"/>
      <c r="R20" s="77" t="s">
        <v>53</v>
      </c>
      <c r="S20" s="77" t="s">
        <v>53</v>
      </c>
      <c r="T20" s="77" t="s">
        <v>53</v>
      </c>
      <c r="U20" s="77" t="s">
        <v>53</v>
      </c>
      <c r="V20" s="72"/>
      <c r="W20" s="72"/>
      <c r="X20" s="77" t="s">
        <v>53</v>
      </c>
      <c r="Y20" s="77">
        <v>2</v>
      </c>
      <c r="Z20" s="72"/>
      <c r="AA20" s="69">
        <v>0</v>
      </c>
      <c r="AB20" s="69"/>
      <c r="AC20" s="69"/>
      <c r="AD20" s="69"/>
      <c r="AE20" s="69"/>
      <c r="AF20" s="69">
        <v>0</v>
      </c>
      <c r="AG20" s="69">
        <v>0</v>
      </c>
      <c r="AH20" s="69">
        <v>0</v>
      </c>
      <c r="AI20" s="70" t="s">
        <v>223</v>
      </c>
      <c r="AJ20" s="78" t="s">
        <v>240</v>
      </c>
      <c r="AK20" s="78" t="s">
        <v>150</v>
      </c>
      <c r="AL20" s="78" t="s">
        <v>75</v>
      </c>
      <c r="AM20" s="78" t="s">
        <v>106</v>
      </c>
      <c r="AN20" s="78"/>
      <c r="AO20" s="78" t="s">
        <v>67</v>
      </c>
      <c r="AP20" s="78" t="str">
        <f>CONCATENATE(AJ20, ".", AL20)</f>
        <v>ECAPTOF2.Str.general</v>
      </c>
      <c r="AQ20" s="78" t="s">
        <v>63</v>
      </c>
      <c r="AR20" s="72">
        <v>0</v>
      </c>
      <c r="AS20" s="72">
        <v>1</v>
      </c>
      <c r="AT20" s="72">
        <v>0</v>
      </c>
      <c r="AU20" s="72">
        <v>1</v>
      </c>
      <c r="AV20" s="51">
        <v>1</v>
      </c>
      <c r="AW20" s="51">
        <v>1</v>
      </c>
      <c r="AX20" s="51">
        <v>1</v>
      </c>
      <c r="AY20" s="79"/>
      <c r="AZ20" s="72"/>
      <c r="BA20" s="72"/>
      <c r="BB20" s="72"/>
      <c r="BC20" s="72"/>
      <c r="BD20" s="72"/>
      <c r="BE20" s="72"/>
      <c r="BF20" s="72"/>
      <c r="BG20" s="80" t="str">
        <f t="shared" si="15"/>
        <v>description: "Пуск", note: "Пуск", group: "status", minValue: null, maxValue: null, step: null, units: "null", defaultValue: null, eventRegistration: 2</v>
      </c>
    </row>
    <row r="21" spans="1:59" s="81" customFormat="1" x14ac:dyDescent="0.25">
      <c r="A21" s="71"/>
      <c r="B21" s="98" t="s">
        <v>385</v>
      </c>
      <c r="C21" s="72"/>
      <c r="D21" s="86" t="s">
        <v>220</v>
      </c>
      <c r="E21" s="66" t="s">
        <v>156</v>
      </c>
      <c r="F21" s="66" t="s">
        <v>157</v>
      </c>
      <c r="G21" s="66" t="s">
        <v>157</v>
      </c>
      <c r="H21" s="72"/>
      <c r="I21" s="66">
        <f t="shared" si="13"/>
        <v>17</v>
      </c>
      <c r="J21" s="66" t="str">
        <f t="shared" si="14"/>
        <v>Срабатывание сигн</v>
      </c>
      <c r="K21" s="75" t="s">
        <v>237</v>
      </c>
      <c r="L21" s="76" t="s">
        <v>54</v>
      </c>
      <c r="M21" s="77" t="s">
        <v>51</v>
      </c>
      <c r="N21" s="77" t="s">
        <v>52</v>
      </c>
      <c r="O21" s="77"/>
      <c r="P21" s="68"/>
      <c r="Q21" s="68"/>
      <c r="R21" s="77" t="s">
        <v>53</v>
      </c>
      <c r="S21" s="77" t="s">
        <v>53</v>
      </c>
      <c r="T21" s="77" t="s">
        <v>53</v>
      </c>
      <c r="U21" s="77" t="s">
        <v>53</v>
      </c>
      <c r="V21" s="72"/>
      <c r="W21" s="72"/>
      <c r="X21" s="77" t="s">
        <v>53</v>
      </c>
      <c r="Y21" s="77">
        <v>2</v>
      </c>
      <c r="Z21" s="72"/>
      <c r="AA21" s="69">
        <v>0</v>
      </c>
      <c r="AB21" s="69"/>
      <c r="AC21" s="69"/>
      <c r="AD21" s="69"/>
      <c r="AE21" s="69"/>
      <c r="AF21" s="69">
        <v>0</v>
      </c>
      <c r="AG21" s="69">
        <v>0</v>
      </c>
      <c r="AH21" s="69">
        <v>0</v>
      </c>
      <c r="AI21" s="70"/>
      <c r="AJ21" s="78"/>
      <c r="AK21" s="78"/>
      <c r="AL21" s="78"/>
      <c r="AM21" s="78"/>
      <c r="AN21" s="78"/>
      <c r="AO21" s="78"/>
      <c r="AP21" s="78"/>
      <c r="AQ21" s="78"/>
      <c r="AR21" s="72">
        <v>0</v>
      </c>
      <c r="AS21" s="72">
        <v>1</v>
      </c>
      <c r="AT21" s="72">
        <v>0</v>
      </c>
      <c r="AU21" s="72">
        <v>1</v>
      </c>
      <c r="AV21" s="51">
        <v>1</v>
      </c>
      <c r="AW21" s="51">
        <v>1</v>
      </c>
      <c r="AX21" s="51">
        <v>1</v>
      </c>
      <c r="AY21" s="79"/>
      <c r="AZ21" s="72"/>
      <c r="BA21" s="72"/>
      <c r="BB21" s="72"/>
      <c r="BC21" s="72"/>
      <c r="BD21" s="72"/>
      <c r="BE21" s="72"/>
      <c r="BF21" s="72"/>
      <c r="BG21" s="80" t="str">
        <f t="shared" si="15"/>
        <v>description: "Срабатывание сигн", note: "Срабатывание на сигнал", group: "status", minValue: null, maxValue: null, step: null, units: "null", defaultValue: null, eventRegistration: 2</v>
      </c>
    </row>
    <row r="22" spans="1:59" s="81" customFormat="1" x14ac:dyDescent="0.25">
      <c r="A22" s="71"/>
      <c r="B22" s="98" t="s">
        <v>385</v>
      </c>
      <c r="C22" s="72"/>
      <c r="D22" s="86" t="s">
        <v>220</v>
      </c>
      <c r="E22" s="66" t="s">
        <v>133</v>
      </c>
      <c r="F22" s="66" t="s">
        <v>133</v>
      </c>
      <c r="G22" s="66" t="s">
        <v>133</v>
      </c>
      <c r="H22" s="72"/>
      <c r="I22" s="66">
        <f t="shared" si="13"/>
        <v>12</v>
      </c>
      <c r="J22" s="66" t="str">
        <f t="shared" si="14"/>
        <v>Срабатывание</v>
      </c>
      <c r="K22" s="75" t="s">
        <v>238</v>
      </c>
      <c r="L22" s="76" t="s">
        <v>54</v>
      </c>
      <c r="M22" s="77" t="s">
        <v>51</v>
      </c>
      <c r="N22" s="77" t="s">
        <v>52</v>
      </c>
      <c r="O22" s="77"/>
      <c r="P22" s="68"/>
      <c r="Q22" s="68"/>
      <c r="R22" s="77" t="s">
        <v>53</v>
      </c>
      <c r="S22" s="77" t="s">
        <v>53</v>
      </c>
      <c r="T22" s="77" t="s">
        <v>53</v>
      </c>
      <c r="U22" s="77" t="s">
        <v>53</v>
      </c>
      <c r="V22" s="72"/>
      <c r="W22" s="72"/>
      <c r="X22" s="77" t="s">
        <v>53</v>
      </c>
      <c r="Y22" s="77">
        <v>2</v>
      </c>
      <c r="Z22" s="72"/>
      <c r="AA22" s="69">
        <v>0</v>
      </c>
      <c r="AB22" s="69"/>
      <c r="AC22" s="69"/>
      <c r="AD22" s="69"/>
      <c r="AE22" s="69"/>
      <c r="AF22" s="69">
        <v>0</v>
      </c>
      <c r="AG22" s="69">
        <v>0</v>
      </c>
      <c r="AH22" s="69">
        <v>0</v>
      </c>
      <c r="AI22" s="70" t="s">
        <v>223</v>
      </c>
      <c r="AJ22" s="78" t="s">
        <v>241</v>
      </c>
      <c r="AK22" s="78" t="s">
        <v>112</v>
      </c>
      <c r="AL22" s="78" t="s">
        <v>75</v>
      </c>
      <c r="AM22" s="78" t="s">
        <v>106</v>
      </c>
      <c r="AN22" s="78"/>
      <c r="AO22" s="78" t="s">
        <v>67</v>
      </c>
      <c r="AP22" s="78" t="str">
        <f>CONCATENATE(AJ22, ".", AL22)</f>
        <v>ECAPTOF2.Op.general</v>
      </c>
      <c r="AQ22" s="78" t="s">
        <v>63</v>
      </c>
      <c r="AR22" s="72">
        <v>0</v>
      </c>
      <c r="AS22" s="72">
        <v>1</v>
      </c>
      <c r="AT22" s="72">
        <v>0</v>
      </c>
      <c r="AU22" s="72">
        <v>1</v>
      </c>
      <c r="AV22" s="51">
        <v>1</v>
      </c>
      <c r="AW22" s="51">
        <v>1</v>
      </c>
      <c r="AX22" s="51">
        <v>1</v>
      </c>
      <c r="AY22" s="79"/>
      <c r="AZ22" s="72"/>
      <c r="BA22" s="72"/>
      <c r="BB22" s="72"/>
      <c r="BC22" s="72"/>
      <c r="BD22" s="72"/>
      <c r="BE22" s="72"/>
      <c r="BF22" s="72"/>
      <c r="BG22" s="80" t="str">
        <f t="shared" si="15"/>
        <v>description: "Срабатывание", note: "Срабатывание", group: "status", minValue: null, maxValue: null, step: null, units: "null", defaultValue: null, eventRegistration: 2</v>
      </c>
    </row>
    <row r="23" spans="1:59" s="57" customFormat="1" x14ac:dyDescent="0.25">
      <c r="A23" s="50"/>
      <c r="B23" s="98" t="s">
        <v>385</v>
      </c>
      <c r="C23" s="51"/>
      <c r="D23" s="88" t="s">
        <v>221</v>
      </c>
      <c r="E23" s="39" t="s">
        <v>158</v>
      </c>
      <c r="F23" s="59" t="s">
        <v>160</v>
      </c>
      <c r="G23" s="59" t="s">
        <v>160</v>
      </c>
      <c r="H23" s="26"/>
      <c r="I23" s="39">
        <f t="shared" si="13"/>
        <v>4</v>
      </c>
      <c r="J23" s="39" t="str">
        <f>IF(LEN(F23)&lt;=$J$1,F23,"")</f>
        <v>Ввод</v>
      </c>
      <c r="K23" s="52" t="s">
        <v>243</v>
      </c>
      <c r="L23" s="53" t="s">
        <v>54</v>
      </c>
      <c r="M23" s="54" t="s">
        <v>51</v>
      </c>
      <c r="N23" s="54" t="s">
        <v>52</v>
      </c>
      <c r="O23" s="54"/>
      <c r="P23" s="41"/>
      <c r="Q23" s="41"/>
      <c r="R23" s="54" t="s">
        <v>53</v>
      </c>
      <c r="S23" s="54" t="s">
        <v>53</v>
      </c>
      <c r="T23" s="54" t="s">
        <v>53</v>
      </c>
      <c r="U23" s="54" t="s">
        <v>53</v>
      </c>
      <c r="V23" s="51"/>
      <c r="W23" s="51"/>
      <c r="X23" s="54" t="s">
        <v>53</v>
      </c>
      <c r="Y23" s="54">
        <v>2</v>
      </c>
      <c r="Z23" s="51"/>
      <c r="AA23" s="44">
        <v>0</v>
      </c>
      <c r="AB23" s="44"/>
      <c r="AC23" s="44"/>
      <c r="AD23" s="44"/>
      <c r="AE23" s="44"/>
      <c r="AF23" s="44">
        <v>0</v>
      </c>
      <c r="AG23" s="44">
        <v>0</v>
      </c>
      <c r="AH23" s="44">
        <v>0</v>
      </c>
      <c r="AI23" s="65"/>
      <c r="AJ23" s="55"/>
      <c r="AK23" s="55"/>
      <c r="AL23" s="55"/>
      <c r="AM23" s="55"/>
      <c r="AN23" s="55"/>
      <c r="AO23" s="55"/>
      <c r="AP23" s="55"/>
      <c r="AQ23" s="55"/>
      <c r="AR23" s="51">
        <v>0</v>
      </c>
      <c r="AS23" s="51">
        <v>1</v>
      </c>
      <c r="AT23" s="51">
        <v>0</v>
      </c>
      <c r="AU23" s="51">
        <v>1</v>
      </c>
      <c r="AV23" s="51">
        <v>1</v>
      </c>
      <c r="AW23" s="51">
        <v>1</v>
      </c>
      <c r="AX23" s="51">
        <v>1</v>
      </c>
      <c r="AY23" s="56"/>
      <c r="AZ23" s="51"/>
      <c r="BA23" s="51"/>
      <c r="BB23" s="51"/>
      <c r="BC23" s="51"/>
      <c r="BD23" s="51"/>
      <c r="BE23" s="51"/>
      <c r="BF23" s="51"/>
      <c r="BG23" s="42" t="str">
        <f t="shared" si="15"/>
        <v>description: "Ввод", note: "Функция введена в работу", group: "status", minValue: null, maxValue: null, step: null, units: "null", defaultValue: null, eventRegistration: 2</v>
      </c>
    </row>
    <row r="24" spans="1:59" s="57" customFormat="1" x14ac:dyDescent="0.25">
      <c r="A24" s="50"/>
      <c r="B24" s="98" t="s">
        <v>385</v>
      </c>
      <c r="C24" s="51"/>
      <c r="D24" s="88" t="s">
        <v>221</v>
      </c>
      <c r="E24" s="39" t="s">
        <v>159</v>
      </c>
      <c r="F24" s="59" t="s">
        <v>155</v>
      </c>
      <c r="G24" s="59" t="s">
        <v>155</v>
      </c>
      <c r="H24" s="26"/>
      <c r="I24" s="39">
        <f t="shared" si="13"/>
        <v>17</v>
      </c>
      <c r="J24" s="39" t="str">
        <f t="shared" ref="J24" si="16">IF(LEN(F24)&lt;=$J$1,F24,"")</f>
        <v>Оперативный вывод</v>
      </c>
      <c r="K24" s="52" t="s">
        <v>244</v>
      </c>
      <c r="L24" s="53" t="s">
        <v>54</v>
      </c>
      <c r="M24" s="54" t="s">
        <v>51</v>
      </c>
      <c r="N24" s="54" t="s">
        <v>52</v>
      </c>
      <c r="O24" s="54"/>
      <c r="P24" s="41"/>
      <c r="Q24" s="41"/>
      <c r="R24" s="54" t="s">
        <v>53</v>
      </c>
      <c r="S24" s="54" t="s">
        <v>53</v>
      </c>
      <c r="T24" s="54" t="s">
        <v>53</v>
      </c>
      <c r="U24" s="54" t="s">
        <v>53</v>
      </c>
      <c r="V24" s="51"/>
      <c r="W24" s="51"/>
      <c r="X24" s="54" t="s">
        <v>53</v>
      </c>
      <c r="Y24" s="54">
        <v>2</v>
      </c>
      <c r="Z24" s="51"/>
      <c r="AA24" s="44">
        <v>0</v>
      </c>
      <c r="AB24" s="44"/>
      <c r="AC24" s="44"/>
      <c r="AD24" s="44"/>
      <c r="AE24" s="44"/>
      <c r="AF24" s="44">
        <v>0</v>
      </c>
      <c r="AG24" s="44">
        <v>0</v>
      </c>
      <c r="AH24" s="44">
        <v>0</v>
      </c>
      <c r="AI24" s="65"/>
      <c r="AJ24" s="55"/>
      <c r="AK24" s="55"/>
      <c r="AL24" s="55"/>
      <c r="AM24" s="55"/>
      <c r="AN24" s="55"/>
      <c r="AO24" s="55"/>
      <c r="AP24" s="55"/>
      <c r="AQ24" s="55"/>
      <c r="AR24" s="51">
        <v>0</v>
      </c>
      <c r="AS24" s="51">
        <v>1</v>
      </c>
      <c r="AT24" s="51">
        <v>0</v>
      </c>
      <c r="AU24" s="51">
        <v>1</v>
      </c>
      <c r="AV24" s="51">
        <v>1</v>
      </c>
      <c r="AW24" s="51">
        <v>1</v>
      </c>
      <c r="AX24" s="51">
        <v>1</v>
      </c>
      <c r="AY24" s="56"/>
      <c r="AZ24" s="51"/>
      <c r="BA24" s="51"/>
      <c r="BB24" s="51"/>
      <c r="BC24" s="51"/>
      <c r="BD24" s="51"/>
      <c r="BE24" s="51"/>
      <c r="BF24" s="51"/>
      <c r="BG24" s="42" t="str">
        <f t="shared" si="1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5" spans="1:59" s="57" customFormat="1" x14ac:dyDescent="0.25">
      <c r="A25" s="50"/>
      <c r="B25" s="98" t="s">
        <v>385</v>
      </c>
      <c r="C25" s="51"/>
      <c r="D25" s="88" t="s">
        <v>221</v>
      </c>
      <c r="E25" s="39" t="s">
        <v>210</v>
      </c>
      <c r="F25" s="59" t="s">
        <v>211</v>
      </c>
      <c r="G25" s="59" t="s">
        <v>211</v>
      </c>
      <c r="H25" s="26"/>
      <c r="I25" s="39">
        <f>LEN(F25)</f>
        <v>5</v>
      </c>
      <c r="J25" s="39" t="str">
        <f>IF(LEN(F25)&lt;=$J$1,F25,"")</f>
        <v>ИО F&gt;</v>
      </c>
      <c r="K25" s="52" t="s">
        <v>245</v>
      </c>
      <c r="L25" s="53" t="s">
        <v>54</v>
      </c>
      <c r="M25" s="54" t="s">
        <v>51</v>
      </c>
      <c r="N25" s="54" t="s">
        <v>52</v>
      </c>
      <c r="O25" s="54"/>
      <c r="P25" s="41"/>
      <c r="Q25" s="41"/>
      <c r="R25" s="54" t="s">
        <v>53</v>
      </c>
      <c r="S25" s="54" t="s">
        <v>53</v>
      </c>
      <c r="T25" s="54" t="s">
        <v>53</v>
      </c>
      <c r="U25" s="54" t="s">
        <v>53</v>
      </c>
      <c r="V25" s="51"/>
      <c r="W25" s="51"/>
      <c r="X25" s="54" t="s">
        <v>53</v>
      </c>
      <c r="Y25" s="54">
        <v>2</v>
      </c>
      <c r="Z25" s="51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>
        <v>0</v>
      </c>
      <c r="AI25" s="50"/>
      <c r="AJ25" s="50"/>
      <c r="AK25" s="50"/>
      <c r="AL25" s="50"/>
      <c r="AM25" s="50"/>
      <c r="AN25" s="50"/>
      <c r="AO25" s="50"/>
      <c r="AP25" s="50"/>
      <c r="AQ25" s="50"/>
      <c r="AR25" s="51">
        <v>0</v>
      </c>
      <c r="AS25" s="51">
        <v>1</v>
      </c>
      <c r="AT25" s="51">
        <v>0</v>
      </c>
      <c r="AU25" s="51">
        <v>1</v>
      </c>
      <c r="AV25" s="51">
        <v>1</v>
      </c>
      <c r="AW25" s="51">
        <v>1</v>
      </c>
      <c r="AX25" s="51">
        <v>1</v>
      </c>
      <c r="AY25" s="56"/>
      <c r="AZ25" s="51"/>
      <c r="BA25" s="51"/>
      <c r="BB25" s="51"/>
      <c r="BC25" s="51"/>
      <c r="BD25" s="51"/>
      <c r="BE25" s="51"/>
      <c r="BF25" s="51"/>
      <c r="BG25" s="42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"ИО F&gt;", note: "Пуск ИО увеличения частоты", group: "status", minValue: null, maxValue: null, step: null, units: "null", defaultValue: null, eventRegistration: 2</v>
      </c>
    </row>
    <row r="26" spans="1:59" s="57" customFormat="1" x14ac:dyDescent="0.25">
      <c r="A26" s="50"/>
      <c r="B26" s="98" t="s">
        <v>385</v>
      </c>
      <c r="C26" s="51"/>
      <c r="D26" s="88" t="s">
        <v>221</v>
      </c>
      <c r="E26" s="39" t="s">
        <v>167</v>
      </c>
      <c r="F26" s="39" t="s">
        <v>161</v>
      </c>
      <c r="G26" s="39" t="s">
        <v>161</v>
      </c>
      <c r="H26" s="51"/>
      <c r="I26" s="39">
        <f t="shared" ref="I26:I34" si="17">LEN(F26)</f>
        <v>5</v>
      </c>
      <c r="J26" s="39" t="str">
        <f t="shared" ref="J26:J32" si="18">IF(LEN(F26)&lt;=$J$1,F26,"")</f>
        <v>ИО U&lt;</v>
      </c>
      <c r="K26" s="52" t="s">
        <v>246</v>
      </c>
      <c r="L26" s="53" t="s">
        <v>54</v>
      </c>
      <c r="M26" s="54" t="s">
        <v>51</v>
      </c>
      <c r="N26" s="54" t="s">
        <v>52</v>
      </c>
      <c r="O26" s="54"/>
      <c r="P26" s="51"/>
      <c r="Q26" s="51"/>
      <c r="R26" s="54" t="s">
        <v>53</v>
      </c>
      <c r="S26" s="54" t="s">
        <v>53</v>
      </c>
      <c r="T26" s="54" t="s">
        <v>53</v>
      </c>
      <c r="U26" s="54" t="s">
        <v>53</v>
      </c>
      <c r="V26" s="51"/>
      <c r="W26" s="51"/>
      <c r="X26" s="54" t="s">
        <v>53</v>
      </c>
      <c r="Y26" s="54">
        <v>2</v>
      </c>
      <c r="Z26" s="51"/>
      <c r="AA26" s="44">
        <v>0</v>
      </c>
      <c r="AB26" s="44"/>
      <c r="AC26" s="44"/>
      <c r="AD26" s="44"/>
      <c r="AE26" s="44"/>
      <c r="AF26" s="44">
        <v>0</v>
      </c>
      <c r="AG26" s="44">
        <v>0</v>
      </c>
      <c r="AH26" s="44">
        <v>0</v>
      </c>
      <c r="AI26" s="65"/>
      <c r="AJ26" s="55"/>
      <c r="AK26" s="55"/>
      <c r="AL26" s="55"/>
      <c r="AM26" s="55"/>
      <c r="AN26" s="55"/>
      <c r="AO26" s="55"/>
      <c r="AP26" s="55"/>
      <c r="AQ26" s="55"/>
      <c r="AR26" s="51">
        <v>0</v>
      </c>
      <c r="AS26" s="51">
        <v>1</v>
      </c>
      <c r="AT26" s="51">
        <v>0</v>
      </c>
      <c r="AU26" s="51">
        <v>1</v>
      </c>
      <c r="AV26" s="51">
        <v>1</v>
      </c>
      <c r="AW26" s="51">
        <v>1</v>
      </c>
      <c r="AX26" s="51">
        <v>1</v>
      </c>
      <c r="AY26" s="56"/>
      <c r="AZ26" s="51"/>
      <c r="BA26" s="51"/>
      <c r="BB26" s="51"/>
      <c r="BC26" s="51"/>
      <c r="BD26" s="51"/>
      <c r="BE26" s="51"/>
      <c r="BF26" s="51"/>
      <c r="BG26" s="42" t="str">
        <f t="shared" ref="BG26:BG34" si="1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"ИО U&lt;", note: "Пуск ИО снижения напряжения", group: "status", minValue: null, maxValue: null, step: null, units: "null", defaultValue: null, eventRegistration: 2</v>
      </c>
    </row>
    <row r="27" spans="1:59" s="57" customFormat="1" x14ac:dyDescent="0.25">
      <c r="A27" s="50"/>
      <c r="B27" s="98" t="s">
        <v>385</v>
      </c>
      <c r="C27" s="51"/>
      <c r="D27" s="88" t="s">
        <v>221</v>
      </c>
      <c r="E27" s="39" t="s">
        <v>212</v>
      </c>
      <c r="F27" s="39" t="s">
        <v>242</v>
      </c>
      <c r="G27" s="39" t="s">
        <v>242</v>
      </c>
      <c r="H27" s="51"/>
      <c r="I27" s="39">
        <f t="shared" si="17"/>
        <v>17</v>
      </c>
      <c r="J27" s="39" t="str">
        <f t="shared" si="18"/>
        <v>Блок. повт. ЧАПВ3</v>
      </c>
      <c r="K27" s="52" t="s">
        <v>247</v>
      </c>
      <c r="L27" s="53" t="s">
        <v>54</v>
      </c>
      <c r="M27" s="54" t="s">
        <v>51</v>
      </c>
      <c r="N27" s="54" t="s">
        <v>52</v>
      </c>
      <c r="O27" s="54"/>
      <c r="P27" s="51"/>
      <c r="Q27" s="51"/>
      <c r="R27" s="54" t="s">
        <v>53</v>
      </c>
      <c r="S27" s="54" t="s">
        <v>53</v>
      </c>
      <c r="T27" s="54" t="s">
        <v>53</v>
      </c>
      <c r="U27" s="54" t="s">
        <v>53</v>
      </c>
      <c r="V27" s="51"/>
      <c r="W27" s="51"/>
      <c r="X27" s="54" t="s">
        <v>53</v>
      </c>
      <c r="Y27" s="54">
        <v>2</v>
      </c>
      <c r="Z27" s="51"/>
      <c r="AA27" s="44">
        <v>0</v>
      </c>
      <c r="AB27" s="44"/>
      <c r="AC27" s="44"/>
      <c r="AD27" s="44"/>
      <c r="AE27" s="44"/>
      <c r="AF27" s="44">
        <v>0</v>
      </c>
      <c r="AG27" s="44">
        <v>0</v>
      </c>
      <c r="AH27" s="44">
        <v>0</v>
      </c>
      <c r="AI27" s="65"/>
      <c r="AJ27" s="55"/>
      <c r="AK27" s="55"/>
      <c r="AL27" s="55"/>
      <c r="AM27" s="55"/>
      <c r="AN27" s="55"/>
      <c r="AO27" s="55"/>
      <c r="AP27" s="55"/>
      <c r="AQ27" s="55"/>
      <c r="AR27" s="51">
        <v>0</v>
      </c>
      <c r="AS27" s="51">
        <v>1</v>
      </c>
      <c r="AT27" s="51">
        <v>0</v>
      </c>
      <c r="AU27" s="51">
        <v>1</v>
      </c>
      <c r="AV27" s="51">
        <v>1</v>
      </c>
      <c r="AW27" s="51">
        <v>1</v>
      </c>
      <c r="AX27" s="51">
        <v>1</v>
      </c>
      <c r="AY27" s="56"/>
      <c r="AZ27" s="51"/>
      <c r="BA27" s="51"/>
      <c r="BB27" s="51"/>
      <c r="BC27" s="51"/>
      <c r="BD27" s="51"/>
      <c r="BE27" s="51"/>
      <c r="BF27" s="51"/>
      <c r="BG27" s="42" t="str">
        <f t="shared" si="19"/>
        <v>description: "Блок. повт. ЧАПВ3", note: "Блокировка от многократных включений", group: "status", minValue: null, maxValue: null, step: null, units: "null", defaultValue: null, eventRegistration: 2</v>
      </c>
    </row>
    <row r="28" spans="1:59" s="57" customFormat="1" x14ac:dyDescent="0.25">
      <c r="A28" s="50"/>
      <c r="B28" s="98" t="s">
        <v>385</v>
      </c>
      <c r="C28" s="51"/>
      <c r="D28" s="88" t="s">
        <v>221</v>
      </c>
      <c r="E28" s="39" t="s">
        <v>214</v>
      </c>
      <c r="F28" s="39" t="s">
        <v>215</v>
      </c>
      <c r="G28" s="39" t="s">
        <v>215</v>
      </c>
      <c r="H28" s="51"/>
      <c r="I28" s="39">
        <f t="shared" si="17"/>
        <v>10</v>
      </c>
      <c r="J28" s="39" t="str">
        <f t="shared" si="18"/>
        <v>Разрешение</v>
      </c>
      <c r="K28" s="52" t="s">
        <v>248</v>
      </c>
      <c r="L28" s="53" t="s">
        <v>54</v>
      </c>
      <c r="M28" s="54" t="s">
        <v>51</v>
      </c>
      <c r="N28" s="54" t="s">
        <v>52</v>
      </c>
      <c r="O28" s="54"/>
      <c r="P28" s="51"/>
      <c r="Q28" s="51"/>
      <c r="R28" s="54" t="s">
        <v>53</v>
      </c>
      <c r="S28" s="54" t="s">
        <v>53</v>
      </c>
      <c r="T28" s="54" t="s">
        <v>53</v>
      </c>
      <c r="U28" s="54" t="s">
        <v>53</v>
      </c>
      <c r="V28" s="51"/>
      <c r="W28" s="51"/>
      <c r="X28" s="54" t="s">
        <v>53</v>
      </c>
      <c r="Y28" s="54">
        <v>2</v>
      </c>
      <c r="Z28" s="51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0</v>
      </c>
      <c r="AI28" s="65"/>
      <c r="AJ28" s="55"/>
      <c r="AK28" s="55"/>
      <c r="AL28" s="55"/>
      <c r="AM28" s="55"/>
      <c r="AN28" s="55"/>
      <c r="AO28" s="55"/>
      <c r="AP28" s="55"/>
      <c r="AQ28" s="55"/>
      <c r="AR28" s="51">
        <v>0</v>
      </c>
      <c r="AS28" s="51">
        <v>1</v>
      </c>
      <c r="AT28" s="51">
        <v>0</v>
      </c>
      <c r="AU28" s="51">
        <v>1</v>
      </c>
      <c r="AV28" s="51">
        <v>1</v>
      </c>
      <c r="AW28" s="51">
        <v>1</v>
      </c>
      <c r="AX28" s="51">
        <v>1</v>
      </c>
      <c r="AY28" s="56"/>
      <c r="AZ28" s="51"/>
      <c r="BA28" s="51"/>
      <c r="BB28" s="51"/>
      <c r="BC28" s="51"/>
      <c r="BD28" s="51"/>
      <c r="BE28" s="51"/>
      <c r="BF28" s="51"/>
      <c r="BG28" s="42" t="str">
        <f t="shared" si="19"/>
        <v>description: "Разрешение", note: "Разрешение ЧАПВ", group: "status", minValue: null, maxValue: null, step: null, units: "null", defaultValue: null, eventRegistration: 2</v>
      </c>
    </row>
    <row r="29" spans="1:59" s="57" customFormat="1" x14ac:dyDescent="0.25">
      <c r="A29" s="50"/>
      <c r="B29" s="98" t="s">
        <v>385</v>
      </c>
      <c r="C29" s="51"/>
      <c r="D29" s="88" t="s">
        <v>221</v>
      </c>
      <c r="E29" s="39" t="s">
        <v>217</v>
      </c>
      <c r="F29" s="39" t="s">
        <v>162</v>
      </c>
      <c r="G29" s="39" t="s">
        <v>162</v>
      </c>
      <c r="H29" s="51"/>
      <c r="I29" s="39">
        <f t="shared" si="17"/>
        <v>12</v>
      </c>
      <c r="J29" s="39" t="str">
        <f t="shared" si="18"/>
        <v>Динам. блок.</v>
      </c>
      <c r="K29" s="52" t="s">
        <v>249</v>
      </c>
      <c r="L29" s="53" t="s">
        <v>54</v>
      </c>
      <c r="M29" s="54" t="s">
        <v>51</v>
      </c>
      <c r="N29" s="54" t="s">
        <v>52</v>
      </c>
      <c r="O29" s="54"/>
      <c r="P29" s="41"/>
      <c r="Q29" s="41"/>
      <c r="R29" s="54" t="s">
        <v>53</v>
      </c>
      <c r="S29" s="54" t="s">
        <v>53</v>
      </c>
      <c r="T29" s="54" t="s">
        <v>53</v>
      </c>
      <c r="U29" s="54" t="s">
        <v>53</v>
      </c>
      <c r="V29" s="51"/>
      <c r="W29" s="51"/>
      <c r="X29" s="54" t="s">
        <v>53</v>
      </c>
      <c r="Y29" s="54">
        <v>2</v>
      </c>
      <c r="Z29" s="51"/>
      <c r="AA29" s="44">
        <v>0</v>
      </c>
      <c r="AB29" s="44"/>
      <c r="AC29" s="44"/>
      <c r="AD29" s="44"/>
      <c r="AE29" s="44"/>
      <c r="AF29" s="44">
        <v>0</v>
      </c>
      <c r="AG29" s="44">
        <v>0</v>
      </c>
      <c r="AH29" s="44">
        <v>0</v>
      </c>
      <c r="AI29" s="65" t="s">
        <v>223</v>
      </c>
      <c r="AJ29" s="55" t="s">
        <v>253</v>
      </c>
      <c r="AK29" s="55" t="s">
        <v>227</v>
      </c>
      <c r="AL29" s="55" t="s">
        <v>64</v>
      </c>
      <c r="AM29" s="55" t="s">
        <v>106</v>
      </c>
      <c r="AN29" s="55"/>
      <c r="AO29" s="55" t="s">
        <v>67</v>
      </c>
      <c r="AP29" s="55" t="str">
        <f>CONCATENATE(AJ29, ".", AL29)</f>
        <v>ECAPTOF3.Blk.stVal</v>
      </c>
      <c r="AQ29" s="55" t="s">
        <v>63</v>
      </c>
      <c r="AR29" s="51">
        <v>0</v>
      </c>
      <c r="AS29" s="51">
        <v>1</v>
      </c>
      <c r="AT29" s="51">
        <v>0</v>
      </c>
      <c r="AU29" s="51">
        <v>1</v>
      </c>
      <c r="AV29" s="51">
        <v>1</v>
      </c>
      <c r="AW29" s="51">
        <v>1</v>
      </c>
      <c r="AX29" s="51">
        <v>1</v>
      </c>
      <c r="AY29" s="56"/>
      <c r="AZ29" s="51"/>
      <c r="BA29" s="51"/>
      <c r="BB29" s="51"/>
      <c r="BC29" s="51"/>
      <c r="BD29" s="51"/>
      <c r="BE29" s="51"/>
      <c r="BF29" s="51"/>
      <c r="BG29" s="42" t="str">
        <f t="shared" si="19"/>
        <v>description: "Динам. блок.", note: "Динамическая блокировка ЧАПВ", group: "status", minValue: null, maxValue: null, step: null, units: "null", defaultValue: null, eventRegistration: 2</v>
      </c>
    </row>
    <row r="30" spans="1:59" s="57" customFormat="1" x14ac:dyDescent="0.25">
      <c r="A30" s="50"/>
      <c r="B30" s="98" t="s">
        <v>385</v>
      </c>
      <c r="C30" s="51"/>
      <c r="D30" s="88" t="s">
        <v>221</v>
      </c>
      <c r="E30" s="39" t="s">
        <v>163</v>
      </c>
      <c r="F30" s="39" t="s">
        <v>163</v>
      </c>
      <c r="G30" s="39" t="s">
        <v>163</v>
      </c>
      <c r="H30" s="51"/>
      <c r="I30" s="39">
        <f t="shared" si="17"/>
        <v>4</v>
      </c>
      <c r="J30" s="39" t="str">
        <f t="shared" si="18"/>
        <v>Пуск</v>
      </c>
      <c r="K30" s="52" t="s">
        <v>250</v>
      </c>
      <c r="L30" s="53" t="s">
        <v>54</v>
      </c>
      <c r="M30" s="54" t="s">
        <v>51</v>
      </c>
      <c r="N30" s="54" t="s">
        <v>52</v>
      </c>
      <c r="O30" s="54"/>
      <c r="P30" s="51"/>
      <c r="Q30" s="51"/>
      <c r="R30" s="54" t="s">
        <v>53</v>
      </c>
      <c r="S30" s="54" t="s">
        <v>53</v>
      </c>
      <c r="T30" s="54" t="s">
        <v>53</v>
      </c>
      <c r="U30" s="54" t="s">
        <v>53</v>
      </c>
      <c r="V30" s="51"/>
      <c r="W30" s="51"/>
      <c r="X30" s="54" t="s">
        <v>53</v>
      </c>
      <c r="Y30" s="54">
        <v>2</v>
      </c>
      <c r="Z30" s="51"/>
      <c r="AA30" s="44">
        <v>0</v>
      </c>
      <c r="AB30" s="44"/>
      <c r="AC30" s="44"/>
      <c r="AD30" s="44"/>
      <c r="AE30" s="44"/>
      <c r="AF30" s="44">
        <v>0</v>
      </c>
      <c r="AG30" s="44">
        <v>0</v>
      </c>
      <c r="AH30" s="44">
        <v>0</v>
      </c>
      <c r="AI30" s="65" t="s">
        <v>223</v>
      </c>
      <c r="AJ30" s="55" t="s">
        <v>254</v>
      </c>
      <c r="AK30" s="55" t="s">
        <v>150</v>
      </c>
      <c r="AL30" s="55" t="s">
        <v>75</v>
      </c>
      <c r="AM30" s="55" t="s">
        <v>106</v>
      </c>
      <c r="AN30" s="55"/>
      <c r="AO30" s="55" t="s">
        <v>67</v>
      </c>
      <c r="AP30" s="55" t="str">
        <f>CONCATENATE(AJ30, ".", AL30)</f>
        <v>ECAPTOF3.Str.general</v>
      </c>
      <c r="AQ30" s="55" t="s">
        <v>63</v>
      </c>
      <c r="AR30" s="51">
        <v>0</v>
      </c>
      <c r="AS30" s="51">
        <v>1</v>
      </c>
      <c r="AT30" s="51">
        <v>0</v>
      </c>
      <c r="AU30" s="51">
        <v>1</v>
      </c>
      <c r="AV30" s="51">
        <v>1</v>
      </c>
      <c r="AW30" s="51">
        <v>1</v>
      </c>
      <c r="AX30" s="51">
        <v>1</v>
      </c>
      <c r="AY30" s="56"/>
      <c r="AZ30" s="51"/>
      <c r="BA30" s="51"/>
      <c r="BB30" s="51"/>
      <c r="BC30" s="51"/>
      <c r="BD30" s="51"/>
      <c r="BE30" s="51"/>
      <c r="BF30" s="51"/>
      <c r="BG30" s="42" t="str">
        <f t="shared" si="19"/>
        <v>description: "Пуск", note: "Пуск", group: "status", minValue: null, maxValue: null, step: null, units: "null", defaultValue: null, eventRegistration: 2</v>
      </c>
    </row>
    <row r="31" spans="1:59" s="57" customFormat="1" x14ac:dyDescent="0.25">
      <c r="A31" s="50"/>
      <c r="B31" s="98" t="s">
        <v>385</v>
      </c>
      <c r="C31" s="51"/>
      <c r="D31" s="88" t="s">
        <v>221</v>
      </c>
      <c r="E31" s="39" t="s">
        <v>156</v>
      </c>
      <c r="F31" s="39" t="s">
        <v>157</v>
      </c>
      <c r="G31" s="39" t="s">
        <v>157</v>
      </c>
      <c r="H31" s="51"/>
      <c r="I31" s="39">
        <f t="shared" si="17"/>
        <v>17</v>
      </c>
      <c r="J31" s="39" t="str">
        <f t="shared" si="18"/>
        <v>Срабатывание сигн</v>
      </c>
      <c r="K31" s="52" t="s">
        <v>251</v>
      </c>
      <c r="L31" s="53" t="s">
        <v>54</v>
      </c>
      <c r="M31" s="54" t="s">
        <v>51</v>
      </c>
      <c r="N31" s="54" t="s">
        <v>52</v>
      </c>
      <c r="O31" s="54"/>
      <c r="P31" s="41"/>
      <c r="Q31" s="41"/>
      <c r="R31" s="54" t="s">
        <v>53</v>
      </c>
      <c r="S31" s="54" t="s">
        <v>53</v>
      </c>
      <c r="T31" s="54" t="s">
        <v>53</v>
      </c>
      <c r="U31" s="54" t="s">
        <v>53</v>
      </c>
      <c r="V31" s="51"/>
      <c r="W31" s="51"/>
      <c r="X31" s="54" t="s">
        <v>53</v>
      </c>
      <c r="Y31" s="54">
        <v>2</v>
      </c>
      <c r="Z31" s="51"/>
      <c r="AA31" s="44">
        <v>0</v>
      </c>
      <c r="AB31" s="44"/>
      <c r="AC31" s="44"/>
      <c r="AD31" s="44"/>
      <c r="AE31" s="44"/>
      <c r="AF31" s="44">
        <v>0</v>
      </c>
      <c r="AG31" s="44">
        <v>0</v>
      </c>
      <c r="AH31" s="44">
        <v>0</v>
      </c>
      <c r="AI31" s="65"/>
      <c r="AJ31" s="55"/>
      <c r="AK31" s="55"/>
      <c r="AL31" s="55"/>
      <c r="AM31" s="55"/>
      <c r="AN31" s="55"/>
      <c r="AO31" s="55"/>
      <c r="AP31" s="55"/>
      <c r="AQ31" s="55"/>
      <c r="AR31" s="51">
        <v>0</v>
      </c>
      <c r="AS31" s="51">
        <v>1</v>
      </c>
      <c r="AT31" s="51">
        <v>0</v>
      </c>
      <c r="AU31" s="51">
        <v>1</v>
      </c>
      <c r="AV31" s="51">
        <v>1</v>
      </c>
      <c r="AW31" s="51">
        <v>1</v>
      </c>
      <c r="AX31" s="51">
        <v>1</v>
      </c>
      <c r="AY31" s="56"/>
      <c r="AZ31" s="51"/>
      <c r="BA31" s="51"/>
      <c r="BB31" s="51"/>
      <c r="BC31" s="51"/>
      <c r="BD31" s="51"/>
      <c r="BE31" s="51"/>
      <c r="BF31" s="51"/>
      <c r="BG31" s="42" t="str">
        <f t="shared" si="19"/>
        <v>description: "Срабатывание сигн", note: "Срабатывание на сигнал", group: "status", minValue: null, maxValue: null, step: null, units: "null", defaultValue: null, eventRegistration: 2</v>
      </c>
    </row>
    <row r="32" spans="1:59" s="57" customFormat="1" x14ac:dyDescent="0.25">
      <c r="A32" s="50"/>
      <c r="B32" s="98" t="s">
        <v>385</v>
      </c>
      <c r="C32" s="51"/>
      <c r="D32" s="88" t="s">
        <v>221</v>
      </c>
      <c r="E32" s="39" t="s">
        <v>133</v>
      </c>
      <c r="F32" s="39" t="s">
        <v>133</v>
      </c>
      <c r="G32" s="39" t="s">
        <v>133</v>
      </c>
      <c r="H32" s="51"/>
      <c r="I32" s="39">
        <f t="shared" si="17"/>
        <v>12</v>
      </c>
      <c r="J32" s="39" t="str">
        <f t="shared" si="18"/>
        <v>Срабатывание</v>
      </c>
      <c r="K32" s="52" t="s">
        <v>252</v>
      </c>
      <c r="L32" s="53" t="s">
        <v>54</v>
      </c>
      <c r="M32" s="54" t="s">
        <v>51</v>
      </c>
      <c r="N32" s="54" t="s">
        <v>52</v>
      </c>
      <c r="O32" s="54"/>
      <c r="P32" s="41"/>
      <c r="Q32" s="41"/>
      <c r="R32" s="54" t="s">
        <v>53</v>
      </c>
      <c r="S32" s="54" t="s">
        <v>53</v>
      </c>
      <c r="T32" s="54" t="s">
        <v>53</v>
      </c>
      <c r="U32" s="54" t="s">
        <v>53</v>
      </c>
      <c r="V32" s="51"/>
      <c r="W32" s="51"/>
      <c r="X32" s="54" t="s">
        <v>53</v>
      </c>
      <c r="Y32" s="54">
        <v>2</v>
      </c>
      <c r="Z32" s="51"/>
      <c r="AA32" s="44">
        <v>0</v>
      </c>
      <c r="AB32" s="44"/>
      <c r="AC32" s="44"/>
      <c r="AD32" s="44"/>
      <c r="AE32" s="44"/>
      <c r="AF32" s="44">
        <v>0</v>
      </c>
      <c r="AG32" s="44">
        <v>0</v>
      </c>
      <c r="AH32" s="44">
        <v>0</v>
      </c>
      <c r="AI32" s="65" t="s">
        <v>223</v>
      </c>
      <c r="AJ32" s="55" t="s">
        <v>255</v>
      </c>
      <c r="AK32" s="55" t="s">
        <v>112</v>
      </c>
      <c r="AL32" s="55" t="s">
        <v>75</v>
      </c>
      <c r="AM32" s="55" t="s">
        <v>106</v>
      </c>
      <c r="AN32" s="55"/>
      <c r="AO32" s="55" t="s">
        <v>67</v>
      </c>
      <c r="AP32" s="55" t="str">
        <f>CONCATENATE(AJ32, ".", AL32)</f>
        <v>ECAPTOF3.Op.general</v>
      </c>
      <c r="AQ32" s="55" t="s">
        <v>63</v>
      </c>
      <c r="AR32" s="51">
        <v>0</v>
      </c>
      <c r="AS32" s="51">
        <v>1</v>
      </c>
      <c r="AT32" s="51">
        <v>0</v>
      </c>
      <c r="AU32" s="51">
        <v>1</v>
      </c>
      <c r="AV32" s="51">
        <v>1</v>
      </c>
      <c r="AW32" s="51">
        <v>1</v>
      </c>
      <c r="AX32" s="51">
        <v>1</v>
      </c>
      <c r="AY32" s="56"/>
      <c r="AZ32" s="51"/>
      <c r="BA32" s="51"/>
      <c r="BB32" s="51"/>
      <c r="BC32" s="51"/>
      <c r="BD32" s="51"/>
      <c r="BE32" s="51"/>
      <c r="BF32" s="51"/>
      <c r="BG32" s="42" t="str">
        <f t="shared" si="19"/>
        <v>description: "Срабатывание", note: "Срабатывание", group: "status", minValue: null, maxValue: null, step: null, units: "null", defaultValue: null, eventRegistration: 2</v>
      </c>
    </row>
    <row r="33" spans="1:60" s="81" customFormat="1" x14ac:dyDescent="0.25">
      <c r="A33" s="71"/>
      <c r="B33" s="98" t="s">
        <v>385</v>
      </c>
      <c r="C33" s="72"/>
      <c r="D33" s="86" t="s">
        <v>222</v>
      </c>
      <c r="E33" s="66" t="s">
        <v>158</v>
      </c>
      <c r="F33" s="73" t="s">
        <v>160</v>
      </c>
      <c r="G33" s="73" t="s">
        <v>160</v>
      </c>
      <c r="H33" s="74"/>
      <c r="I33" s="66">
        <f t="shared" si="17"/>
        <v>4</v>
      </c>
      <c r="J33" s="66" t="str">
        <f>IF(LEN(F33)&lt;=$J$1,F33,"")</f>
        <v>Ввод</v>
      </c>
      <c r="K33" s="75" t="s">
        <v>257</v>
      </c>
      <c r="L33" s="76" t="s">
        <v>54</v>
      </c>
      <c r="M33" s="77" t="s">
        <v>51</v>
      </c>
      <c r="N33" s="77" t="s">
        <v>52</v>
      </c>
      <c r="O33" s="77"/>
      <c r="P33" s="68"/>
      <c r="Q33" s="68"/>
      <c r="R33" s="77" t="s">
        <v>53</v>
      </c>
      <c r="S33" s="77" t="s">
        <v>53</v>
      </c>
      <c r="T33" s="77" t="s">
        <v>53</v>
      </c>
      <c r="U33" s="77" t="s">
        <v>53</v>
      </c>
      <c r="V33" s="72"/>
      <c r="W33" s="72"/>
      <c r="X33" s="77" t="s">
        <v>53</v>
      </c>
      <c r="Y33" s="77">
        <v>2</v>
      </c>
      <c r="Z33" s="72"/>
      <c r="AA33" s="69">
        <v>0</v>
      </c>
      <c r="AB33" s="69"/>
      <c r="AC33" s="69"/>
      <c r="AD33" s="69"/>
      <c r="AE33" s="69"/>
      <c r="AF33" s="69">
        <v>0</v>
      </c>
      <c r="AG33" s="69">
        <v>0</v>
      </c>
      <c r="AH33" s="69">
        <v>0</v>
      </c>
      <c r="AI33" s="70"/>
      <c r="AJ33" s="78"/>
      <c r="AK33" s="78"/>
      <c r="AL33" s="78"/>
      <c r="AM33" s="78"/>
      <c r="AN33" s="78"/>
      <c r="AO33" s="78"/>
      <c r="AP33" s="78"/>
      <c r="AQ33" s="78"/>
      <c r="AR33" s="72">
        <v>0</v>
      </c>
      <c r="AS33" s="72">
        <v>1</v>
      </c>
      <c r="AT33" s="72">
        <v>0</v>
      </c>
      <c r="AU33" s="72">
        <v>1</v>
      </c>
      <c r="AV33" s="51">
        <v>1</v>
      </c>
      <c r="AW33" s="51">
        <v>1</v>
      </c>
      <c r="AX33" s="51">
        <v>1</v>
      </c>
      <c r="AY33" s="79"/>
      <c r="AZ33" s="72"/>
      <c r="BA33" s="72"/>
      <c r="BB33" s="72"/>
      <c r="BC33" s="72"/>
      <c r="BD33" s="72"/>
      <c r="BE33" s="72"/>
      <c r="BF33" s="72"/>
      <c r="BG33" s="80" t="str">
        <f t="shared" si="19"/>
        <v>description: "Ввод", note: "Функция введена в работу", group: "status", minValue: null, maxValue: null, step: null, units: "null", defaultValue: null, eventRegistration: 2</v>
      </c>
    </row>
    <row r="34" spans="1:60" s="81" customFormat="1" x14ac:dyDescent="0.25">
      <c r="A34" s="71"/>
      <c r="B34" s="98" t="s">
        <v>385</v>
      </c>
      <c r="C34" s="72"/>
      <c r="D34" s="86" t="s">
        <v>222</v>
      </c>
      <c r="E34" s="66" t="s">
        <v>159</v>
      </c>
      <c r="F34" s="73" t="s">
        <v>155</v>
      </c>
      <c r="G34" s="73" t="s">
        <v>155</v>
      </c>
      <c r="H34" s="74"/>
      <c r="I34" s="66">
        <f t="shared" si="17"/>
        <v>17</v>
      </c>
      <c r="J34" s="66" t="str">
        <f t="shared" ref="J34" si="20">IF(LEN(F34)&lt;=$J$1,F34,"")</f>
        <v>Оперативный вывод</v>
      </c>
      <c r="K34" s="75" t="s">
        <v>258</v>
      </c>
      <c r="L34" s="76" t="s">
        <v>54</v>
      </c>
      <c r="M34" s="77" t="s">
        <v>51</v>
      </c>
      <c r="N34" s="77" t="s">
        <v>52</v>
      </c>
      <c r="O34" s="77"/>
      <c r="P34" s="68"/>
      <c r="Q34" s="68"/>
      <c r="R34" s="77" t="s">
        <v>53</v>
      </c>
      <c r="S34" s="77" t="s">
        <v>53</v>
      </c>
      <c r="T34" s="77" t="s">
        <v>53</v>
      </c>
      <c r="U34" s="77" t="s">
        <v>53</v>
      </c>
      <c r="V34" s="72"/>
      <c r="W34" s="72"/>
      <c r="X34" s="77" t="s">
        <v>53</v>
      </c>
      <c r="Y34" s="77">
        <v>2</v>
      </c>
      <c r="Z34" s="72"/>
      <c r="AA34" s="69">
        <v>0</v>
      </c>
      <c r="AB34" s="69"/>
      <c r="AC34" s="69"/>
      <c r="AD34" s="69"/>
      <c r="AE34" s="69"/>
      <c r="AF34" s="69">
        <v>0</v>
      </c>
      <c r="AG34" s="69">
        <v>0</v>
      </c>
      <c r="AH34" s="69">
        <v>0</v>
      </c>
      <c r="AI34" s="70"/>
      <c r="AJ34" s="78"/>
      <c r="AK34" s="78"/>
      <c r="AL34" s="78"/>
      <c r="AM34" s="78"/>
      <c r="AN34" s="78"/>
      <c r="AO34" s="78"/>
      <c r="AP34" s="78"/>
      <c r="AQ34" s="78"/>
      <c r="AR34" s="72">
        <v>0</v>
      </c>
      <c r="AS34" s="72">
        <v>1</v>
      </c>
      <c r="AT34" s="72">
        <v>0</v>
      </c>
      <c r="AU34" s="72">
        <v>1</v>
      </c>
      <c r="AV34" s="51">
        <v>1</v>
      </c>
      <c r="AW34" s="51">
        <v>1</v>
      </c>
      <c r="AX34" s="51">
        <v>1</v>
      </c>
      <c r="AY34" s="79"/>
      <c r="AZ34" s="72"/>
      <c r="BA34" s="72"/>
      <c r="BB34" s="72"/>
      <c r="BC34" s="72"/>
      <c r="BD34" s="72"/>
      <c r="BE34" s="72"/>
      <c r="BF34" s="72"/>
      <c r="BG34" s="80" t="str">
        <f t="shared" si="1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5" spans="1:60" s="81" customFormat="1" x14ac:dyDescent="0.25">
      <c r="A35" s="71"/>
      <c r="B35" s="98" t="s">
        <v>385</v>
      </c>
      <c r="C35" s="72"/>
      <c r="D35" s="86" t="s">
        <v>222</v>
      </c>
      <c r="E35" s="66" t="s">
        <v>210</v>
      </c>
      <c r="F35" s="73" t="s">
        <v>211</v>
      </c>
      <c r="G35" s="73" t="s">
        <v>211</v>
      </c>
      <c r="H35" s="74"/>
      <c r="I35" s="66">
        <f>LEN(F35)</f>
        <v>5</v>
      </c>
      <c r="J35" s="66" t="str">
        <f>IF(LEN(F35)&lt;=$J$1,F35,"")</f>
        <v>ИО F&gt;</v>
      </c>
      <c r="K35" s="75" t="s">
        <v>259</v>
      </c>
      <c r="L35" s="76" t="s">
        <v>54</v>
      </c>
      <c r="M35" s="77" t="s">
        <v>51</v>
      </c>
      <c r="N35" s="77" t="s">
        <v>52</v>
      </c>
      <c r="O35" s="77"/>
      <c r="P35" s="68"/>
      <c r="Q35" s="68"/>
      <c r="R35" s="77" t="s">
        <v>53</v>
      </c>
      <c r="S35" s="77" t="s">
        <v>53</v>
      </c>
      <c r="T35" s="77" t="s">
        <v>53</v>
      </c>
      <c r="U35" s="77" t="s">
        <v>53</v>
      </c>
      <c r="V35" s="72"/>
      <c r="W35" s="72"/>
      <c r="X35" s="77" t="s">
        <v>53</v>
      </c>
      <c r="Y35" s="77">
        <v>2</v>
      </c>
      <c r="Z35" s="72"/>
      <c r="AA35" s="69">
        <v>0</v>
      </c>
      <c r="AB35" s="69"/>
      <c r="AC35" s="69"/>
      <c r="AD35" s="69"/>
      <c r="AE35" s="69"/>
      <c r="AF35" s="69">
        <v>0</v>
      </c>
      <c r="AG35" s="69">
        <v>0</v>
      </c>
      <c r="AH35" s="69">
        <v>0</v>
      </c>
      <c r="AI35" s="71"/>
      <c r="AJ35" s="71"/>
      <c r="AK35" s="71"/>
      <c r="AL35" s="71"/>
      <c r="AM35" s="71"/>
      <c r="AN35" s="71"/>
      <c r="AO35" s="71"/>
      <c r="AP35" s="71"/>
      <c r="AQ35" s="71"/>
      <c r="AR35" s="72">
        <v>0</v>
      </c>
      <c r="AS35" s="72">
        <v>1</v>
      </c>
      <c r="AT35" s="72">
        <v>0</v>
      </c>
      <c r="AU35" s="72">
        <v>1</v>
      </c>
      <c r="AV35" s="51">
        <v>1</v>
      </c>
      <c r="AW35" s="51">
        <v>1</v>
      </c>
      <c r="AX35" s="51">
        <v>1</v>
      </c>
      <c r="AY35" s="79"/>
      <c r="AZ35" s="72"/>
      <c r="BA35" s="72"/>
      <c r="BB35" s="72"/>
      <c r="BC35" s="72"/>
      <c r="BD35" s="72"/>
      <c r="BE35" s="72"/>
      <c r="BF35" s="72"/>
      <c r="BG35" s="80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"ИО F&gt;", note: "Пуск ИО увеличения частоты", group: "status", minValue: null, maxValue: null, step: null, units: "null", defaultValue: null, eventRegistration: 2</v>
      </c>
    </row>
    <row r="36" spans="1:60" s="81" customFormat="1" x14ac:dyDescent="0.25">
      <c r="A36" s="71"/>
      <c r="B36" s="98" t="s">
        <v>385</v>
      </c>
      <c r="C36" s="72"/>
      <c r="D36" s="86" t="s">
        <v>222</v>
      </c>
      <c r="E36" s="66" t="s">
        <v>167</v>
      </c>
      <c r="F36" s="66" t="s">
        <v>161</v>
      </c>
      <c r="G36" s="66" t="s">
        <v>161</v>
      </c>
      <c r="H36" s="72"/>
      <c r="I36" s="66">
        <f t="shared" ref="I36:I42" si="21">LEN(F36)</f>
        <v>5</v>
      </c>
      <c r="J36" s="66" t="str">
        <f t="shared" ref="J36:J42" si="22">IF(LEN(F36)&lt;=$J$1,F36,"")</f>
        <v>ИО U&lt;</v>
      </c>
      <c r="K36" s="75" t="s">
        <v>260</v>
      </c>
      <c r="L36" s="76" t="s">
        <v>54</v>
      </c>
      <c r="M36" s="77" t="s">
        <v>51</v>
      </c>
      <c r="N36" s="77" t="s">
        <v>52</v>
      </c>
      <c r="O36" s="77"/>
      <c r="P36" s="72"/>
      <c r="Q36" s="72"/>
      <c r="R36" s="77" t="s">
        <v>53</v>
      </c>
      <c r="S36" s="77" t="s">
        <v>53</v>
      </c>
      <c r="T36" s="77" t="s">
        <v>53</v>
      </c>
      <c r="U36" s="77" t="s">
        <v>53</v>
      </c>
      <c r="V36" s="72"/>
      <c r="W36" s="72"/>
      <c r="X36" s="77" t="s">
        <v>53</v>
      </c>
      <c r="Y36" s="77">
        <v>2</v>
      </c>
      <c r="Z36" s="72"/>
      <c r="AA36" s="69">
        <v>0</v>
      </c>
      <c r="AB36" s="69"/>
      <c r="AC36" s="69"/>
      <c r="AD36" s="69"/>
      <c r="AE36" s="69"/>
      <c r="AF36" s="69">
        <v>0</v>
      </c>
      <c r="AG36" s="69">
        <v>0</v>
      </c>
      <c r="AH36" s="69">
        <v>0</v>
      </c>
      <c r="AI36" s="70"/>
      <c r="AJ36" s="78"/>
      <c r="AK36" s="78"/>
      <c r="AL36" s="78"/>
      <c r="AM36" s="78"/>
      <c r="AN36" s="78"/>
      <c r="AO36" s="78"/>
      <c r="AP36" s="78"/>
      <c r="AQ36" s="78"/>
      <c r="AR36" s="72">
        <v>0</v>
      </c>
      <c r="AS36" s="72">
        <v>1</v>
      </c>
      <c r="AT36" s="72">
        <v>0</v>
      </c>
      <c r="AU36" s="72">
        <v>1</v>
      </c>
      <c r="AV36" s="51">
        <v>1</v>
      </c>
      <c r="AW36" s="51">
        <v>1</v>
      </c>
      <c r="AX36" s="51">
        <v>1</v>
      </c>
      <c r="AY36" s="79"/>
      <c r="AZ36" s="72"/>
      <c r="BA36" s="72"/>
      <c r="BB36" s="72"/>
      <c r="BC36" s="72"/>
      <c r="BD36" s="72"/>
      <c r="BE36" s="72"/>
      <c r="BF36" s="72"/>
      <c r="BG36" s="80" t="str">
        <f t="shared" ref="BG36:BG42" si="23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"ИО U&lt;", note: "Пуск ИО снижения напряжения", group: "status", minValue: null, maxValue: null, step: null, units: "null", defaultValue: null, eventRegistration: 2</v>
      </c>
    </row>
    <row r="37" spans="1:60" s="81" customFormat="1" x14ac:dyDescent="0.25">
      <c r="A37" s="71"/>
      <c r="B37" s="98" t="s">
        <v>385</v>
      </c>
      <c r="C37" s="72"/>
      <c r="D37" s="86" t="s">
        <v>222</v>
      </c>
      <c r="E37" s="66" t="s">
        <v>212</v>
      </c>
      <c r="F37" s="66" t="s">
        <v>256</v>
      </c>
      <c r="G37" s="66" t="s">
        <v>256</v>
      </c>
      <c r="H37" s="72"/>
      <c r="I37" s="66">
        <f t="shared" si="21"/>
        <v>17</v>
      </c>
      <c r="J37" s="66" t="str">
        <f t="shared" si="22"/>
        <v>Блок. повт. ЧАПВ4</v>
      </c>
      <c r="K37" s="75" t="s">
        <v>261</v>
      </c>
      <c r="L37" s="76" t="s">
        <v>54</v>
      </c>
      <c r="M37" s="77" t="s">
        <v>51</v>
      </c>
      <c r="N37" s="77" t="s">
        <v>52</v>
      </c>
      <c r="O37" s="77"/>
      <c r="P37" s="72"/>
      <c r="Q37" s="72"/>
      <c r="R37" s="77" t="s">
        <v>53</v>
      </c>
      <c r="S37" s="77" t="s">
        <v>53</v>
      </c>
      <c r="T37" s="77" t="s">
        <v>53</v>
      </c>
      <c r="U37" s="77" t="s">
        <v>53</v>
      </c>
      <c r="V37" s="72"/>
      <c r="W37" s="72"/>
      <c r="X37" s="77" t="s">
        <v>53</v>
      </c>
      <c r="Y37" s="77">
        <v>2</v>
      </c>
      <c r="Z37" s="72"/>
      <c r="AA37" s="69">
        <v>0</v>
      </c>
      <c r="AB37" s="69"/>
      <c r="AC37" s="69"/>
      <c r="AD37" s="69"/>
      <c r="AE37" s="69"/>
      <c r="AF37" s="69">
        <v>0</v>
      </c>
      <c r="AG37" s="69">
        <v>0</v>
      </c>
      <c r="AH37" s="69">
        <v>0</v>
      </c>
      <c r="AI37" s="70"/>
      <c r="AJ37" s="78"/>
      <c r="AK37" s="78"/>
      <c r="AL37" s="78"/>
      <c r="AM37" s="78"/>
      <c r="AN37" s="78"/>
      <c r="AO37" s="78"/>
      <c r="AP37" s="78"/>
      <c r="AQ37" s="78"/>
      <c r="AR37" s="72">
        <v>0</v>
      </c>
      <c r="AS37" s="72">
        <v>1</v>
      </c>
      <c r="AT37" s="72">
        <v>0</v>
      </c>
      <c r="AU37" s="72">
        <v>1</v>
      </c>
      <c r="AV37" s="51">
        <v>1</v>
      </c>
      <c r="AW37" s="51">
        <v>1</v>
      </c>
      <c r="AX37" s="51">
        <v>1</v>
      </c>
      <c r="AY37" s="79"/>
      <c r="AZ37" s="72"/>
      <c r="BA37" s="72"/>
      <c r="BB37" s="72"/>
      <c r="BC37" s="72"/>
      <c r="BD37" s="72"/>
      <c r="BE37" s="72"/>
      <c r="BF37" s="72"/>
      <c r="BG37" s="80" t="str">
        <f t="shared" si="23"/>
        <v>description: "Блок. повт. ЧАПВ4", note: "Блокировка от многократных включений", group: "status", minValue: null, maxValue: null, step: null, units: "null", defaultValue: null, eventRegistration: 2</v>
      </c>
    </row>
    <row r="38" spans="1:60" s="81" customFormat="1" x14ac:dyDescent="0.25">
      <c r="A38" s="71"/>
      <c r="B38" s="98" t="s">
        <v>385</v>
      </c>
      <c r="C38" s="72"/>
      <c r="D38" s="86" t="s">
        <v>222</v>
      </c>
      <c r="E38" s="66" t="s">
        <v>214</v>
      </c>
      <c r="F38" s="66" t="s">
        <v>215</v>
      </c>
      <c r="G38" s="66" t="s">
        <v>215</v>
      </c>
      <c r="H38" s="72"/>
      <c r="I38" s="66">
        <f t="shared" si="21"/>
        <v>10</v>
      </c>
      <c r="J38" s="66" t="str">
        <f t="shared" si="22"/>
        <v>Разрешение</v>
      </c>
      <c r="K38" s="75" t="s">
        <v>262</v>
      </c>
      <c r="L38" s="76" t="s">
        <v>54</v>
      </c>
      <c r="M38" s="77" t="s">
        <v>51</v>
      </c>
      <c r="N38" s="77" t="s">
        <v>52</v>
      </c>
      <c r="O38" s="77"/>
      <c r="P38" s="72"/>
      <c r="Q38" s="72"/>
      <c r="R38" s="77" t="s">
        <v>53</v>
      </c>
      <c r="S38" s="77" t="s">
        <v>53</v>
      </c>
      <c r="T38" s="77" t="s">
        <v>53</v>
      </c>
      <c r="U38" s="77" t="s">
        <v>53</v>
      </c>
      <c r="V38" s="72"/>
      <c r="W38" s="72"/>
      <c r="X38" s="77" t="s">
        <v>53</v>
      </c>
      <c r="Y38" s="77">
        <v>2</v>
      </c>
      <c r="Z38" s="72"/>
      <c r="AA38" s="69">
        <v>0</v>
      </c>
      <c r="AB38" s="69"/>
      <c r="AC38" s="69"/>
      <c r="AD38" s="69"/>
      <c r="AE38" s="69"/>
      <c r="AF38" s="69">
        <v>0</v>
      </c>
      <c r="AG38" s="69">
        <v>0</v>
      </c>
      <c r="AH38" s="69">
        <v>0</v>
      </c>
      <c r="AI38" s="70"/>
      <c r="AJ38" s="78"/>
      <c r="AK38" s="78"/>
      <c r="AL38" s="78"/>
      <c r="AM38" s="78"/>
      <c r="AN38" s="78"/>
      <c r="AO38" s="78"/>
      <c r="AP38" s="78"/>
      <c r="AQ38" s="78"/>
      <c r="AR38" s="72">
        <v>0</v>
      </c>
      <c r="AS38" s="72">
        <v>1</v>
      </c>
      <c r="AT38" s="72">
        <v>0</v>
      </c>
      <c r="AU38" s="72">
        <v>1</v>
      </c>
      <c r="AV38" s="51">
        <v>1</v>
      </c>
      <c r="AW38" s="51">
        <v>1</v>
      </c>
      <c r="AX38" s="51">
        <v>1</v>
      </c>
      <c r="AY38" s="79"/>
      <c r="AZ38" s="72"/>
      <c r="BA38" s="72"/>
      <c r="BB38" s="72"/>
      <c r="BC38" s="72"/>
      <c r="BD38" s="72"/>
      <c r="BE38" s="72"/>
      <c r="BF38" s="72"/>
      <c r="BG38" s="80" t="str">
        <f t="shared" si="23"/>
        <v>description: "Разрешение", note: "Разрешение ЧАПВ", group: "status", minValue: null, maxValue: null, step: null, units: "null", defaultValue: null, eventRegistration: 2</v>
      </c>
    </row>
    <row r="39" spans="1:60" s="81" customFormat="1" x14ac:dyDescent="0.25">
      <c r="A39" s="71"/>
      <c r="B39" s="98" t="s">
        <v>385</v>
      </c>
      <c r="C39" s="72"/>
      <c r="D39" s="86" t="s">
        <v>222</v>
      </c>
      <c r="E39" s="66" t="s">
        <v>217</v>
      </c>
      <c r="F39" s="66" t="s">
        <v>162</v>
      </c>
      <c r="G39" s="66" t="s">
        <v>162</v>
      </c>
      <c r="H39" s="72"/>
      <c r="I39" s="66">
        <f t="shared" si="21"/>
        <v>12</v>
      </c>
      <c r="J39" s="66" t="str">
        <f t="shared" si="22"/>
        <v>Динам. блок.</v>
      </c>
      <c r="K39" s="75" t="s">
        <v>263</v>
      </c>
      <c r="L39" s="76" t="s">
        <v>54</v>
      </c>
      <c r="M39" s="77" t="s">
        <v>51</v>
      </c>
      <c r="N39" s="77" t="s">
        <v>52</v>
      </c>
      <c r="O39" s="77"/>
      <c r="P39" s="68"/>
      <c r="Q39" s="68"/>
      <c r="R39" s="77" t="s">
        <v>53</v>
      </c>
      <c r="S39" s="77" t="s">
        <v>53</v>
      </c>
      <c r="T39" s="77" t="s">
        <v>53</v>
      </c>
      <c r="U39" s="77" t="s">
        <v>53</v>
      </c>
      <c r="V39" s="72"/>
      <c r="W39" s="72"/>
      <c r="X39" s="77" t="s">
        <v>53</v>
      </c>
      <c r="Y39" s="77">
        <v>2</v>
      </c>
      <c r="Z39" s="72"/>
      <c r="AA39" s="69">
        <v>0</v>
      </c>
      <c r="AB39" s="69"/>
      <c r="AC39" s="69"/>
      <c r="AD39" s="69"/>
      <c r="AE39" s="69"/>
      <c r="AF39" s="69">
        <v>0</v>
      </c>
      <c r="AG39" s="69">
        <v>0</v>
      </c>
      <c r="AH39" s="69">
        <v>0</v>
      </c>
      <c r="AI39" s="70" t="s">
        <v>223</v>
      </c>
      <c r="AJ39" s="78" t="s">
        <v>267</v>
      </c>
      <c r="AK39" s="78" t="s">
        <v>227</v>
      </c>
      <c r="AL39" s="78" t="s">
        <v>64</v>
      </c>
      <c r="AM39" s="78" t="s">
        <v>106</v>
      </c>
      <c r="AN39" s="78"/>
      <c r="AO39" s="78" t="s">
        <v>67</v>
      </c>
      <c r="AP39" s="78" t="str">
        <f>CONCATENATE(AJ39, ".", AL39)</f>
        <v>ECAPTOF4.Blk.stVal</v>
      </c>
      <c r="AQ39" s="78" t="s">
        <v>63</v>
      </c>
      <c r="AR39" s="72">
        <v>0</v>
      </c>
      <c r="AS39" s="72">
        <v>1</v>
      </c>
      <c r="AT39" s="72">
        <v>0</v>
      </c>
      <c r="AU39" s="72">
        <v>1</v>
      </c>
      <c r="AV39" s="51">
        <v>1</v>
      </c>
      <c r="AW39" s="51">
        <v>1</v>
      </c>
      <c r="AX39" s="51">
        <v>1</v>
      </c>
      <c r="AY39" s="79"/>
      <c r="AZ39" s="72"/>
      <c r="BA39" s="72"/>
      <c r="BB39" s="72"/>
      <c r="BC39" s="72"/>
      <c r="BD39" s="72"/>
      <c r="BE39" s="72"/>
      <c r="BF39" s="72"/>
      <c r="BG39" s="80" t="str">
        <f t="shared" si="23"/>
        <v>description: "Динам. блок.", note: "Динамическая блокировка ЧАПВ", group: "status", minValue: null, maxValue: null, step: null, units: "null", defaultValue: null, eventRegistration: 2</v>
      </c>
    </row>
    <row r="40" spans="1:60" s="81" customFormat="1" x14ac:dyDescent="0.25">
      <c r="A40" s="71"/>
      <c r="B40" s="98" t="s">
        <v>385</v>
      </c>
      <c r="C40" s="72"/>
      <c r="D40" s="86" t="s">
        <v>222</v>
      </c>
      <c r="E40" s="66" t="s">
        <v>163</v>
      </c>
      <c r="F40" s="66" t="s">
        <v>163</v>
      </c>
      <c r="G40" s="66" t="s">
        <v>163</v>
      </c>
      <c r="H40" s="72"/>
      <c r="I40" s="66">
        <f t="shared" si="21"/>
        <v>4</v>
      </c>
      <c r="J40" s="66" t="str">
        <f t="shared" si="22"/>
        <v>Пуск</v>
      </c>
      <c r="K40" s="75" t="s">
        <v>264</v>
      </c>
      <c r="L40" s="76" t="s">
        <v>54</v>
      </c>
      <c r="M40" s="77" t="s">
        <v>51</v>
      </c>
      <c r="N40" s="77" t="s">
        <v>52</v>
      </c>
      <c r="O40" s="77"/>
      <c r="P40" s="72"/>
      <c r="Q40" s="72"/>
      <c r="R40" s="77" t="s">
        <v>53</v>
      </c>
      <c r="S40" s="77" t="s">
        <v>53</v>
      </c>
      <c r="T40" s="77" t="s">
        <v>53</v>
      </c>
      <c r="U40" s="77" t="s">
        <v>53</v>
      </c>
      <c r="V40" s="72"/>
      <c r="W40" s="72"/>
      <c r="X40" s="77" t="s">
        <v>53</v>
      </c>
      <c r="Y40" s="77">
        <v>2</v>
      </c>
      <c r="Z40" s="72"/>
      <c r="AA40" s="69">
        <v>0</v>
      </c>
      <c r="AB40" s="69"/>
      <c r="AC40" s="69"/>
      <c r="AD40" s="69"/>
      <c r="AE40" s="69"/>
      <c r="AF40" s="69">
        <v>0</v>
      </c>
      <c r="AG40" s="69">
        <v>0</v>
      </c>
      <c r="AH40" s="69">
        <v>0</v>
      </c>
      <c r="AI40" s="70" t="s">
        <v>223</v>
      </c>
      <c r="AJ40" s="78" t="s">
        <v>268</v>
      </c>
      <c r="AK40" s="78" t="s">
        <v>150</v>
      </c>
      <c r="AL40" s="78" t="s">
        <v>75</v>
      </c>
      <c r="AM40" s="78" t="s">
        <v>106</v>
      </c>
      <c r="AN40" s="78"/>
      <c r="AO40" s="78" t="s">
        <v>67</v>
      </c>
      <c r="AP40" s="78" t="str">
        <f>CONCATENATE(AJ40, ".", AL40)</f>
        <v>ECAPTOF4.Str.general</v>
      </c>
      <c r="AQ40" s="78" t="s">
        <v>63</v>
      </c>
      <c r="AR40" s="72">
        <v>0</v>
      </c>
      <c r="AS40" s="72">
        <v>1</v>
      </c>
      <c r="AT40" s="72">
        <v>0</v>
      </c>
      <c r="AU40" s="72">
        <v>1</v>
      </c>
      <c r="AV40" s="51">
        <v>1</v>
      </c>
      <c r="AW40" s="51">
        <v>1</v>
      </c>
      <c r="AX40" s="51">
        <v>1</v>
      </c>
      <c r="AY40" s="79"/>
      <c r="AZ40" s="72"/>
      <c r="BA40" s="72"/>
      <c r="BB40" s="72"/>
      <c r="BC40" s="72"/>
      <c r="BD40" s="72"/>
      <c r="BE40" s="72"/>
      <c r="BF40" s="72"/>
      <c r="BG40" s="80" t="str">
        <f t="shared" si="23"/>
        <v>description: "Пуск", note: "Пуск", group: "status", minValue: null, maxValue: null, step: null, units: "null", defaultValue: null, eventRegistration: 2</v>
      </c>
    </row>
    <row r="41" spans="1:60" s="81" customFormat="1" x14ac:dyDescent="0.25">
      <c r="A41" s="71"/>
      <c r="B41" s="98" t="s">
        <v>385</v>
      </c>
      <c r="C41" s="72"/>
      <c r="D41" s="86" t="s">
        <v>222</v>
      </c>
      <c r="E41" s="66" t="s">
        <v>156</v>
      </c>
      <c r="F41" s="66" t="s">
        <v>157</v>
      </c>
      <c r="G41" s="66" t="s">
        <v>157</v>
      </c>
      <c r="H41" s="72"/>
      <c r="I41" s="66">
        <f t="shared" si="21"/>
        <v>17</v>
      </c>
      <c r="J41" s="66" t="str">
        <f t="shared" si="22"/>
        <v>Срабатывание сигн</v>
      </c>
      <c r="K41" s="75" t="s">
        <v>265</v>
      </c>
      <c r="L41" s="76" t="s">
        <v>54</v>
      </c>
      <c r="M41" s="77" t="s">
        <v>51</v>
      </c>
      <c r="N41" s="77" t="s">
        <v>52</v>
      </c>
      <c r="O41" s="77"/>
      <c r="P41" s="68"/>
      <c r="Q41" s="68"/>
      <c r="R41" s="77" t="s">
        <v>53</v>
      </c>
      <c r="S41" s="77" t="s">
        <v>53</v>
      </c>
      <c r="T41" s="77" t="s">
        <v>53</v>
      </c>
      <c r="U41" s="77" t="s">
        <v>53</v>
      </c>
      <c r="V41" s="72"/>
      <c r="W41" s="72"/>
      <c r="X41" s="77" t="s">
        <v>53</v>
      </c>
      <c r="Y41" s="77">
        <v>2</v>
      </c>
      <c r="Z41" s="72"/>
      <c r="AA41" s="69">
        <v>0</v>
      </c>
      <c r="AB41" s="69"/>
      <c r="AC41" s="69"/>
      <c r="AD41" s="69"/>
      <c r="AE41" s="69"/>
      <c r="AF41" s="69">
        <v>0</v>
      </c>
      <c r="AG41" s="69">
        <v>0</v>
      </c>
      <c r="AH41" s="69">
        <v>0</v>
      </c>
      <c r="AI41" s="70"/>
      <c r="AJ41" s="78"/>
      <c r="AK41" s="78"/>
      <c r="AL41" s="78"/>
      <c r="AM41" s="78"/>
      <c r="AN41" s="78"/>
      <c r="AO41" s="78"/>
      <c r="AP41" s="78"/>
      <c r="AQ41" s="78"/>
      <c r="AR41" s="72">
        <v>0</v>
      </c>
      <c r="AS41" s="72">
        <v>1</v>
      </c>
      <c r="AT41" s="72">
        <v>0</v>
      </c>
      <c r="AU41" s="72">
        <v>1</v>
      </c>
      <c r="AV41" s="51">
        <v>1</v>
      </c>
      <c r="AW41" s="51">
        <v>1</v>
      </c>
      <c r="AX41" s="51">
        <v>1</v>
      </c>
      <c r="AY41" s="79"/>
      <c r="AZ41" s="72"/>
      <c r="BA41" s="72"/>
      <c r="BB41" s="72"/>
      <c r="BC41" s="72"/>
      <c r="BD41" s="72"/>
      <c r="BE41" s="72"/>
      <c r="BF41" s="72"/>
      <c r="BG41" s="80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2" spans="1:60" s="81" customFormat="1" x14ac:dyDescent="0.25">
      <c r="A42" s="71"/>
      <c r="B42" s="98" t="s">
        <v>385</v>
      </c>
      <c r="C42" s="72"/>
      <c r="D42" s="86" t="s">
        <v>222</v>
      </c>
      <c r="E42" s="66" t="s">
        <v>133</v>
      </c>
      <c r="F42" s="66" t="s">
        <v>133</v>
      </c>
      <c r="G42" s="66" t="s">
        <v>133</v>
      </c>
      <c r="H42" s="72"/>
      <c r="I42" s="66">
        <f t="shared" si="21"/>
        <v>12</v>
      </c>
      <c r="J42" s="66" t="str">
        <f t="shared" si="22"/>
        <v>Срабатывание</v>
      </c>
      <c r="K42" s="75" t="s">
        <v>266</v>
      </c>
      <c r="L42" s="76" t="s">
        <v>54</v>
      </c>
      <c r="M42" s="77" t="s">
        <v>51</v>
      </c>
      <c r="N42" s="77" t="s">
        <v>52</v>
      </c>
      <c r="O42" s="77"/>
      <c r="P42" s="68"/>
      <c r="Q42" s="68"/>
      <c r="R42" s="77" t="s">
        <v>53</v>
      </c>
      <c r="S42" s="77" t="s">
        <v>53</v>
      </c>
      <c r="T42" s="77" t="s">
        <v>53</v>
      </c>
      <c r="U42" s="77" t="s">
        <v>53</v>
      </c>
      <c r="V42" s="72"/>
      <c r="W42" s="72"/>
      <c r="X42" s="77" t="s">
        <v>53</v>
      </c>
      <c r="Y42" s="77">
        <v>2</v>
      </c>
      <c r="Z42" s="72"/>
      <c r="AA42" s="69">
        <v>0</v>
      </c>
      <c r="AB42" s="69"/>
      <c r="AC42" s="69"/>
      <c r="AD42" s="69"/>
      <c r="AE42" s="69"/>
      <c r="AF42" s="69">
        <v>0</v>
      </c>
      <c r="AG42" s="69">
        <v>0</v>
      </c>
      <c r="AH42" s="69">
        <v>0</v>
      </c>
      <c r="AI42" s="70" t="s">
        <v>223</v>
      </c>
      <c r="AJ42" s="78" t="s">
        <v>269</v>
      </c>
      <c r="AK42" s="78" t="s">
        <v>112</v>
      </c>
      <c r="AL42" s="78" t="s">
        <v>75</v>
      </c>
      <c r="AM42" s="78" t="s">
        <v>106</v>
      </c>
      <c r="AN42" s="78"/>
      <c r="AO42" s="78" t="s">
        <v>67</v>
      </c>
      <c r="AP42" s="78" t="str">
        <f>CONCATENATE(AJ42, ".", AL42)</f>
        <v>ECAPTOF4.Op.general</v>
      </c>
      <c r="AQ42" s="78" t="s">
        <v>63</v>
      </c>
      <c r="AR42" s="72">
        <v>0</v>
      </c>
      <c r="AS42" s="72">
        <v>1</v>
      </c>
      <c r="AT42" s="72">
        <v>0</v>
      </c>
      <c r="AU42" s="72">
        <v>1</v>
      </c>
      <c r="AV42" s="51">
        <v>1</v>
      </c>
      <c r="AW42" s="51">
        <v>1</v>
      </c>
      <c r="AX42" s="51">
        <v>1</v>
      </c>
      <c r="AY42" s="79"/>
      <c r="AZ42" s="72"/>
      <c r="BA42" s="72"/>
      <c r="BB42" s="72"/>
      <c r="BC42" s="72"/>
      <c r="BD42" s="72"/>
      <c r="BE42" s="72"/>
      <c r="BF42" s="72"/>
      <c r="BG42" s="80" t="str">
        <f t="shared" si="23"/>
        <v>description: "Срабатывание", note: "Срабатывание", group: "status", minValue: null, maxValue: null, step: null, units: "null", defaultValue: null, eventRegistration: 2</v>
      </c>
    </row>
    <row r="43" spans="1:60" s="57" customFormat="1" x14ac:dyDescent="0.25">
      <c r="A43" s="50"/>
      <c r="B43" s="98" t="s">
        <v>385</v>
      </c>
      <c r="C43" s="51"/>
      <c r="D43" s="88" t="s">
        <v>270</v>
      </c>
      <c r="E43" s="39" t="s">
        <v>271</v>
      </c>
      <c r="F43" s="39" t="s">
        <v>133</v>
      </c>
      <c r="G43" s="39" t="s">
        <v>133</v>
      </c>
      <c r="H43" s="51"/>
      <c r="I43" s="39">
        <f t="shared" ref="I43:I55" si="24">LEN(F43)</f>
        <v>12</v>
      </c>
      <c r="J43" s="39" t="str">
        <f t="shared" ref="J43:J55" si="25">IF(LEN(F43)&lt;=$J$1,F43,"")</f>
        <v>Срабатывание</v>
      </c>
      <c r="K43" s="52" t="s">
        <v>272</v>
      </c>
      <c r="L43" s="53" t="s">
        <v>54</v>
      </c>
      <c r="M43" s="54" t="s">
        <v>51</v>
      </c>
      <c r="N43" s="54" t="s">
        <v>52</v>
      </c>
      <c r="O43" s="54"/>
      <c r="P43" s="41"/>
      <c r="Q43" s="41"/>
      <c r="R43" s="54" t="s">
        <v>53</v>
      </c>
      <c r="S43" s="54" t="s">
        <v>53</v>
      </c>
      <c r="T43" s="54" t="s">
        <v>53</v>
      </c>
      <c r="U43" s="54" t="s">
        <v>53</v>
      </c>
      <c r="V43" s="51"/>
      <c r="W43" s="51"/>
      <c r="X43" s="54" t="s">
        <v>53</v>
      </c>
      <c r="Y43" s="54">
        <v>2</v>
      </c>
      <c r="Z43" s="51"/>
      <c r="AA43" s="44">
        <v>0</v>
      </c>
      <c r="AB43" s="44"/>
      <c r="AC43" s="44"/>
      <c r="AD43" s="44"/>
      <c r="AE43" s="44"/>
      <c r="AF43" s="44">
        <v>0</v>
      </c>
      <c r="AG43" s="44">
        <v>0</v>
      </c>
      <c r="AH43" s="44">
        <v>0</v>
      </c>
      <c r="AI43" s="65"/>
      <c r="AJ43" s="55"/>
      <c r="AK43" s="55"/>
      <c r="AL43" s="55"/>
      <c r="AM43" s="55"/>
      <c r="AN43" s="55"/>
      <c r="AO43" s="55"/>
      <c r="AP43" s="55"/>
      <c r="AQ43" s="55"/>
      <c r="AR43" s="51">
        <v>0</v>
      </c>
      <c r="AS43" s="51">
        <v>1</v>
      </c>
      <c r="AT43" s="51">
        <v>0</v>
      </c>
      <c r="AU43" s="51">
        <v>1</v>
      </c>
      <c r="AV43" s="51">
        <v>1</v>
      </c>
      <c r="AW43" s="51">
        <v>1</v>
      </c>
      <c r="AX43" s="51">
        <v>1</v>
      </c>
      <c r="AY43" s="56"/>
      <c r="AZ43" s="51"/>
      <c r="BA43" s="51"/>
      <c r="BB43" s="51"/>
      <c r="BC43" s="51"/>
      <c r="BD43" s="51"/>
      <c r="BE43" s="51"/>
      <c r="BF43" s="51"/>
      <c r="BG43" s="42" t="str">
        <f t="shared" ref="BG43" si="26">CONCATENATE("description: """,F43,"""", ", ", "note: """,E43,"""",", ","group: """, B43, """",", ","minValue: ", S43,", ","maxValue: ", T43,", ","step: ", U43,", ","units: """, R43, """",", ","defaultValue: ", X43,", ","eventRegistration: ", Y43,)</f>
        <v>description: "Срабатывание", note: "Срабатывание ЧАПВобщ", group: "status", minValue: null, maxValue: null, step: null, units: "null", defaultValue: null, eventRegistration: 2</v>
      </c>
    </row>
    <row r="44" spans="1:60" s="83" customFormat="1" x14ac:dyDescent="0.25">
      <c r="A44" s="6"/>
      <c r="B44" s="98" t="s">
        <v>385</v>
      </c>
      <c r="C44" s="7"/>
      <c r="D44" s="90"/>
      <c r="E44" s="8" t="s">
        <v>76</v>
      </c>
      <c r="F44" s="8" t="s">
        <v>77</v>
      </c>
      <c r="G44" s="8" t="s">
        <v>77</v>
      </c>
      <c r="H44" s="7"/>
      <c r="I44" s="8">
        <f t="shared" si="24"/>
        <v>12</v>
      </c>
      <c r="J44" s="8" t="str">
        <f t="shared" si="25"/>
        <v>Поведение LD</v>
      </c>
      <c r="K44" s="9" t="s">
        <v>78</v>
      </c>
      <c r="L44" s="10" t="s">
        <v>57</v>
      </c>
      <c r="M44" s="11" t="s">
        <v>51</v>
      </c>
      <c r="N44" s="11" t="s">
        <v>52</v>
      </c>
      <c r="O44" s="11"/>
      <c r="P44" s="7"/>
      <c r="Q44" s="7"/>
      <c r="R44" s="11" t="s">
        <v>53</v>
      </c>
      <c r="S44" s="11" t="s">
        <v>53</v>
      </c>
      <c r="T44" s="11" t="s">
        <v>53</v>
      </c>
      <c r="U44" s="11" t="s">
        <v>53</v>
      </c>
      <c r="V44" s="7"/>
      <c r="W44" s="7"/>
      <c r="X44" s="11" t="s">
        <v>53</v>
      </c>
      <c r="Y44" s="11">
        <v>0</v>
      </c>
      <c r="Z44" s="7"/>
      <c r="AA44" s="12">
        <v>0</v>
      </c>
      <c r="AB44" s="12"/>
      <c r="AC44" s="12"/>
      <c r="AD44" s="12"/>
      <c r="AE44" s="12"/>
      <c r="AF44" s="12">
        <v>0</v>
      </c>
      <c r="AG44" s="12">
        <v>0</v>
      </c>
      <c r="AH44" s="12">
        <v>0</v>
      </c>
      <c r="AI44" s="13" t="s">
        <v>93</v>
      </c>
      <c r="AJ44" s="14" t="s">
        <v>109</v>
      </c>
      <c r="AK44" s="14" t="s">
        <v>79</v>
      </c>
      <c r="AL44" s="14" t="s">
        <v>64</v>
      </c>
      <c r="AM44" s="14" t="s">
        <v>65</v>
      </c>
      <c r="AN44" s="14" t="s">
        <v>66</v>
      </c>
      <c r="AO44" s="14" t="s">
        <v>67</v>
      </c>
      <c r="AP44" s="14" t="str">
        <f t="shared" ref="AP44:AP47" si="27">CONCATENATE(AJ44, ".", AL44)</f>
        <v>LLN0.Beh.stVal</v>
      </c>
      <c r="AQ44" s="14" t="s">
        <v>63</v>
      </c>
      <c r="AR44" s="7">
        <v>0</v>
      </c>
      <c r="AS44" s="7">
        <v>0</v>
      </c>
      <c r="AT44" s="7">
        <v>0</v>
      </c>
      <c r="AU44" s="7">
        <v>0</v>
      </c>
      <c r="AV44" s="7">
        <f t="shared" ref="AV44:AV47" si="28">BIN2DEC(CONCATENATE(0,0,0,0,AR44,AS44,AT44,AU44))</f>
        <v>0</v>
      </c>
      <c r="AW44" s="6"/>
      <c r="AX44" s="7"/>
      <c r="AY44" s="15"/>
      <c r="AZ44" s="7"/>
      <c r="BA44" s="7"/>
      <c r="BB44" s="7"/>
      <c r="BC44" s="7"/>
      <c r="BD44" s="7"/>
      <c r="BE44" s="7"/>
      <c r="BF44" s="7"/>
      <c r="BG44" s="17" t="str">
        <f t="shared" ref="BG44:BG47" si="29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4" s="16"/>
    </row>
    <row r="45" spans="1:60" s="83" customFormat="1" x14ac:dyDescent="0.25">
      <c r="A45" s="6"/>
      <c r="B45" s="98" t="s">
        <v>385</v>
      </c>
      <c r="C45" s="7"/>
      <c r="D45" s="6"/>
      <c r="E45" s="8" t="s">
        <v>80</v>
      </c>
      <c r="F45" s="8" t="s">
        <v>81</v>
      </c>
      <c r="G45" s="8" t="s">
        <v>81</v>
      </c>
      <c r="H45" s="7"/>
      <c r="I45" s="8">
        <f t="shared" si="24"/>
        <v>14</v>
      </c>
      <c r="J45" s="8" t="str">
        <f t="shared" si="25"/>
        <v>Исправность LD</v>
      </c>
      <c r="K45" s="9" t="s">
        <v>82</v>
      </c>
      <c r="L45" s="10" t="s">
        <v>57</v>
      </c>
      <c r="M45" s="11" t="s">
        <v>51</v>
      </c>
      <c r="N45" s="11" t="s">
        <v>52</v>
      </c>
      <c r="O45" s="11"/>
      <c r="P45" s="84"/>
      <c r="Q45" s="84"/>
      <c r="R45" s="11" t="s">
        <v>53</v>
      </c>
      <c r="S45" s="11" t="s">
        <v>53</v>
      </c>
      <c r="T45" s="11" t="s">
        <v>53</v>
      </c>
      <c r="U45" s="11" t="s">
        <v>53</v>
      </c>
      <c r="V45" s="7"/>
      <c r="W45" s="7"/>
      <c r="X45" s="11" t="s">
        <v>53</v>
      </c>
      <c r="Y45" s="11">
        <v>0</v>
      </c>
      <c r="Z45" s="7"/>
      <c r="AA45" s="12">
        <v>0</v>
      </c>
      <c r="AB45" s="12"/>
      <c r="AC45" s="12"/>
      <c r="AD45" s="12"/>
      <c r="AE45" s="12"/>
      <c r="AF45" s="12">
        <v>0</v>
      </c>
      <c r="AG45" s="12">
        <v>0</v>
      </c>
      <c r="AH45" s="12">
        <v>0</v>
      </c>
      <c r="AI45" s="13" t="s">
        <v>93</v>
      </c>
      <c r="AJ45" s="14" t="s">
        <v>110</v>
      </c>
      <c r="AK45" s="14" t="s">
        <v>79</v>
      </c>
      <c r="AL45" s="14" t="s">
        <v>64</v>
      </c>
      <c r="AM45" s="14" t="s">
        <v>65</v>
      </c>
      <c r="AN45" s="14" t="s">
        <v>83</v>
      </c>
      <c r="AO45" s="14" t="s">
        <v>67</v>
      </c>
      <c r="AP45" s="14" t="str">
        <f t="shared" si="27"/>
        <v>LLN0.Health.stVal</v>
      </c>
      <c r="AQ45" s="14" t="s">
        <v>63</v>
      </c>
      <c r="AR45" s="7">
        <v>0</v>
      </c>
      <c r="AS45" s="7">
        <v>0</v>
      </c>
      <c r="AT45" s="7">
        <v>0</v>
      </c>
      <c r="AU45" s="7">
        <v>0</v>
      </c>
      <c r="AV45" s="7">
        <f t="shared" si="28"/>
        <v>0</v>
      </c>
      <c r="AW45" s="6"/>
      <c r="AX45" s="7"/>
      <c r="AY45" s="15"/>
      <c r="AZ45" s="7"/>
      <c r="BA45" s="7"/>
      <c r="BB45" s="7"/>
      <c r="BC45" s="7"/>
      <c r="BD45" s="7"/>
      <c r="BE45" s="7"/>
      <c r="BF45" s="7"/>
      <c r="BG45" s="17" t="str">
        <f t="shared" si="2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5" s="16"/>
    </row>
    <row r="46" spans="1:60" s="19" customFormat="1" x14ac:dyDescent="0.25">
      <c r="A46" s="50"/>
      <c r="B46" s="98" t="s">
        <v>385</v>
      </c>
      <c r="C46" s="51"/>
      <c r="D46" s="88" t="s">
        <v>219</v>
      </c>
      <c r="E46" s="39" t="s">
        <v>273</v>
      </c>
      <c r="F46" s="39" t="s">
        <v>84</v>
      </c>
      <c r="G46" s="39" t="s">
        <v>84</v>
      </c>
      <c r="H46" s="51"/>
      <c r="I46" s="39">
        <f t="shared" si="24"/>
        <v>9</v>
      </c>
      <c r="J46" s="39" t="str">
        <f t="shared" si="25"/>
        <v>Поведение</v>
      </c>
      <c r="K46" s="52" t="s">
        <v>275</v>
      </c>
      <c r="L46" s="53" t="s">
        <v>57</v>
      </c>
      <c r="M46" s="54" t="s">
        <v>51</v>
      </c>
      <c r="N46" s="54" t="s">
        <v>52</v>
      </c>
      <c r="O46" s="54"/>
      <c r="P46" s="51"/>
      <c r="Q46" s="51"/>
      <c r="R46" s="54" t="s">
        <v>53</v>
      </c>
      <c r="S46" s="54" t="s">
        <v>53</v>
      </c>
      <c r="T46" s="54" t="s">
        <v>53</v>
      </c>
      <c r="U46" s="54" t="s">
        <v>53</v>
      </c>
      <c r="V46" s="51"/>
      <c r="W46" s="51"/>
      <c r="X46" s="54" t="s">
        <v>53</v>
      </c>
      <c r="Y46" s="54">
        <v>0</v>
      </c>
      <c r="Z46" s="51"/>
      <c r="AA46" s="44">
        <v>0</v>
      </c>
      <c r="AB46" s="44"/>
      <c r="AC46" s="44"/>
      <c r="AD46" s="44"/>
      <c r="AE46" s="44"/>
      <c r="AF46" s="44">
        <v>0</v>
      </c>
      <c r="AG46" s="44">
        <v>0</v>
      </c>
      <c r="AH46" s="44">
        <v>0</v>
      </c>
      <c r="AI46" s="65" t="s">
        <v>223</v>
      </c>
      <c r="AJ46" s="55" t="s">
        <v>277</v>
      </c>
      <c r="AK46" s="55" t="s">
        <v>79</v>
      </c>
      <c r="AL46" s="55" t="s">
        <v>64</v>
      </c>
      <c r="AM46" s="55" t="s">
        <v>65</v>
      </c>
      <c r="AN46" s="55" t="s">
        <v>66</v>
      </c>
      <c r="AO46" s="55" t="s">
        <v>67</v>
      </c>
      <c r="AP46" s="55" t="str">
        <f t="shared" si="27"/>
        <v>ECAPTOF1.Beh.stVal</v>
      </c>
      <c r="AQ46" s="55" t="s">
        <v>63</v>
      </c>
      <c r="AR46" s="51">
        <v>0</v>
      </c>
      <c r="AS46" s="51">
        <v>0</v>
      </c>
      <c r="AT46" s="51">
        <v>0</v>
      </c>
      <c r="AU46" s="51">
        <v>0</v>
      </c>
      <c r="AV46" s="51">
        <f t="shared" si="28"/>
        <v>0</v>
      </c>
      <c r="AW46" s="50"/>
      <c r="AX46" s="51"/>
      <c r="AY46" s="56"/>
      <c r="AZ46" s="51"/>
      <c r="BA46" s="51"/>
      <c r="BB46" s="51"/>
      <c r="BC46" s="51"/>
      <c r="BD46" s="51"/>
      <c r="BE46" s="51"/>
      <c r="BF46" s="51"/>
      <c r="BG46" s="42" t="str">
        <f t="shared" si="29"/>
        <v>description: "Поведение", note: "Индикация поведения логического узла ЧАПВ1", group: "status", minValue: null, maxValue: null, step: null, units: "null", defaultValue: null, eventRegistration: 0</v>
      </c>
      <c r="BH46" s="57"/>
    </row>
    <row r="47" spans="1:60" s="19" customFormat="1" x14ac:dyDescent="0.25">
      <c r="A47" s="50"/>
      <c r="B47" s="98" t="s">
        <v>385</v>
      </c>
      <c r="C47" s="51"/>
      <c r="D47" s="88" t="s">
        <v>219</v>
      </c>
      <c r="E47" s="39" t="s">
        <v>274</v>
      </c>
      <c r="F47" s="39" t="s">
        <v>85</v>
      </c>
      <c r="G47" s="39" t="s">
        <v>85</v>
      </c>
      <c r="H47" s="51"/>
      <c r="I47" s="39">
        <f t="shared" si="24"/>
        <v>11</v>
      </c>
      <c r="J47" s="39" t="str">
        <f t="shared" si="25"/>
        <v>Исправность</v>
      </c>
      <c r="K47" s="52" t="s">
        <v>276</v>
      </c>
      <c r="L47" s="53" t="s">
        <v>57</v>
      </c>
      <c r="M47" s="54" t="s">
        <v>51</v>
      </c>
      <c r="N47" s="54" t="s">
        <v>52</v>
      </c>
      <c r="O47" s="54"/>
      <c r="P47" s="41"/>
      <c r="Q47" s="41"/>
      <c r="R47" s="54" t="s">
        <v>53</v>
      </c>
      <c r="S47" s="54" t="s">
        <v>53</v>
      </c>
      <c r="T47" s="54" t="s">
        <v>53</v>
      </c>
      <c r="U47" s="54" t="s">
        <v>53</v>
      </c>
      <c r="V47" s="51"/>
      <c r="W47" s="51"/>
      <c r="X47" s="54" t="s">
        <v>53</v>
      </c>
      <c r="Y47" s="54">
        <v>0</v>
      </c>
      <c r="Z47" s="51"/>
      <c r="AA47" s="44">
        <v>0</v>
      </c>
      <c r="AB47" s="44"/>
      <c r="AC47" s="44"/>
      <c r="AD47" s="44"/>
      <c r="AE47" s="44"/>
      <c r="AF47" s="44">
        <v>0</v>
      </c>
      <c r="AG47" s="44">
        <v>0</v>
      </c>
      <c r="AH47" s="44">
        <v>0</v>
      </c>
      <c r="AI47" s="65" t="s">
        <v>223</v>
      </c>
      <c r="AJ47" s="55" t="s">
        <v>278</v>
      </c>
      <c r="AK47" s="55" t="s">
        <v>79</v>
      </c>
      <c r="AL47" s="55" t="s">
        <v>64</v>
      </c>
      <c r="AM47" s="55" t="s">
        <v>65</v>
      </c>
      <c r="AN47" s="55" t="s">
        <v>83</v>
      </c>
      <c r="AO47" s="55" t="s">
        <v>67</v>
      </c>
      <c r="AP47" s="55" t="str">
        <f t="shared" si="27"/>
        <v>ECAPTOF1.Health.stVal</v>
      </c>
      <c r="AQ47" s="55" t="s">
        <v>63</v>
      </c>
      <c r="AR47" s="51">
        <v>0</v>
      </c>
      <c r="AS47" s="51">
        <v>0</v>
      </c>
      <c r="AT47" s="51">
        <v>0</v>
      </c>
      <c r="AU47" s="51">
        <v>0</v>
      </c>
      <c r="AV47" s="51">
        <f t="shared" si="28"/>
        <v>0</v>
      </c>
      <c r="AW47" s="50"/>
      <c r="AX47" s="51"/>
      <c r="AY47" s="56"/>
      <c r="AZ47" s="51"/>
      <c r="BA47" s="51"/>
      <c r="BB47" s="51"/>
      <c r="BC47" s="51"/>
      <c r="BD47" s="51"/>
      <c r="BE47" s="51"/>
      <c r="BF47" s="51"/>
      <c r="BG47" s="42" t="str">
        <f t="shared" si="29"/>
        <v>description: "Исправность", note: "Индикация исправности логического узла ЧАПВ1", group: "status", minValue: null, maxValue: null, step: null, units: "null", defaultValue: null, eventRegistration: 0</v>
      </c>
      <c r="BH47" s="57"/>
    </row>
    <row r="48" spans="1:60" s="83" customFormat="1" x14ac:dyDescent="0.25">
      <c r="A48" s="6"/>
      <c r="B48" s="98" t="s">
        <v>385</v>
      </c>
      <c r="C48" s="7"/>
      <c r="D48" s="90" t="s">
        <v>220</v>
      </c>
      <c r="E48" s="8" t="s">
        <v>281</v>
      </c>
      <c r="F48" s="8" t="s">
        <v>84</v>
      </c>
      <c r="G48" s="8" t="s">
        <v>84</v>
      </c>
      <c r="H48" s="7"/>
      <c r="I48" s="8">
        <f t="shared" si="24"/>
        <v>9</v>
      </c>
      <c r="J48" s="8" t="str">
        <f t="shared" si="25"/>
        <v>Поведение</v>
      </c>
      <c r="K48" s="9" t="s">
        <v>279</v>
      </c>
      <c r="L48" s="10" t="s">
        <v>57</v>
      </c>
      <c r="M48" s="11" t="s">
        <v>51</v>
      </c>
      <c r="N48" s="11" t="s">
        <v>52</v>
      </c>
      <c r="O48" s="11"/>
      <c r="P48" s="7"/>
      <c r="Q48" s="7"/>
      <c r="R48" s="11" t="s">
        <v>53</v>
      </c>
      <c r="S48" s="11" t="s">
        <v>53</v>
      </c>
      <c r="T48" s="11" t="s">
        <v>53</v>
      </c>
      <c r="U48" s="11" t="s">
        <v>53</v>
      </c>
      <c r="V48" s="7"/>
      <c r="W48" s="7"/>
      <c r="X48" s="11" t="s">
        <v>53</v>
      </c>
      <c r="Y48" s="11">
        <v>0</v>
      </c>
      <c r="Z48" s="7"/>
      <c r="AA48" s="12">
        <v>0</v>
      </c>
      <c r="AB48" s="12"/>
      <c r="AC48" s="12"/>
      <c r="AD48" s="12"/>
      <c r="AE48" s="12"/>
      <c r="AF48" s="12">
        <v>0</v>
      </c>
      <c r="AG48" s="12">
        <v>0</v>
      </c>
      <c r="AH48" s="12">
        <v>0</v>
      </c>
      <c r="AI48" s="13" t="s">
        <v>223</v>
      </c>
      <c r="AJ48" s="14" t="s">
        <v>293</v>
      </c>
      <c r="AK48" s="14" t="s">
        <v>79</v>
      </c>
      <c r="AL48" s="14" t="s">
        <v>64</v>
      </c>
      <c r="AM48" s="14" t="s">
        <v>65</v>
      </c>
      <c r="AN48" s="14" t="s">
        <v>66</v>
      </c>
      <c r="AO48" s="14" t="s">
        <v>67</v>
      </c>
      <c r="AP48" s="14" t="str">
        <f t="shared" ref="AP48:AP51" si="30">CONCATENATE(AJ48, ".", AL48)</f>
        <v>ECAPTOF2.Beh.stVal</v>
      </c>
      <c r="AQ48" s="14" t="s">
        <v>63</v>
      </c>
      <c r="AR48" s="7">
        <v>0</v>
      </c>
      <c r="AS48" s="7">
        <v>0</v>
      </c>
      <c r="AT48" s="7">
        <v>0</v>
      </c>
      <c r="AU48" s="7">
        <v>0</v>
      </c>
      <c r="AV48" s="7">
        <f t="shared" ref="AV48:AV51" si="31">BIN2DEC(CONCATENATE(0,0,0,0,AR48,AS48,AT48,AU48))</f>
        <v>0</v>
      </c>
      <c r="AW48" s="6"/>
      <c r="AX48" s="7"/>
      <c r="AY48" s="15"/>
      <c r="AZ48" s="7"/>
      <c r="BA48" s="7"/>
      <c r="BB48" s="7"/>
      <c r="BC48" s="7"/>
      <c r="BD48" s="7"/>
      <c r="BE48" s="7"/>
      <c r="BF48" s="7"/>
      <c r="BG48" s="17" t="str">
        <f t="shared" ref="BG48:BG51" si="32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"Поведение", note: "Индикация поведения логического узла ЧАПВ2", group: "status", minValue: null, maxValue: null, step: null, units: "null", defaultValue: null, eventRegistration: 0</v>
      </c>
      <c r="BH48" s="16"/>
    </row>
    <row r="49" spans="1:60" s="83" customFormat="1" x14ac:dyDescent="0.25">
      <c r="A49" s="6"/>
      <c r="B49" s="98" t="s">
        <v>385</v>
      </c>
      <c r="C49" s="7"/>
      <c r="D49" s="90" t="s">
        <v>220</v>
      </c>
      <c r="E49" s="8" t="s">
        <v>282</v>
      </c>
      <c r="F49" s="8" t="s">
        <v>85</v>
      </c>
      <c r="G49" s="8" t="s">
        <v>85</v>
      </c>
      <c r="H49" s="7"/>
      <c r="I49" s="8">
        <f t="shared" si="24"/>
        <v>11</v>
      </c>
      <c r="J49" s="8" t="str">
        <f t="shared" si="25"/>
        <v>Исправность</v>
      </c>
      <c r="K49" s="9" t="s">
        <v>280</v>
      </c>
      <c r="L49" s="10" t="s">
        <v>57</v>
      </c>
      <c r="M49" s="11" t="s">
        <v>51</v>
      </c>
      <c r="N49" s="11" t="s">
        <v>52</v>
      </c>
      <c r="O49" s="11"/>
      <c r="P49" s="84"/>
      <c r="Q49" s="84"/>
      <c r="R49" s="11" t="s">
        <v>53</v>
      </c>
      <c r="S49" s="11" t="s">
        <v>53</v>
      </c>
      <c r="T49" s="11" t="s">
        <v>53</v>
      </c>
      <c r="U49" s="11" t="s">
        <v>53</v>
      </c>
      <c r="V49" s="7"/>
      <c r="W49" s="7"/>
      <c r="X49" s="11" t="s">
        <v>53</v>
      </c>
      <c r="Y49" s="11">
        <v>0</v>
      </c>
      <c r="Z49" s="7"/>
      <c r="AA49" s="12">
        <v>0</v>
      </c>
      <c r="AB49" s="12"/>
      <c r="AC49" s="12"/>
      <c r="AD49" s="12"/>
      <c r="AE49" s="12"/>
      <c r="AF49" s="12">
        <v>0</v>
      </c>
      <c r="AG49" s="12">
        <v>0</v>
      </c>
      <c r="AH49" s="12">
        <v>0</v>
      </c>
      <c r="AI49" s="13" t="s">
        <v>223</v>
      </c>
      <c r="AJ49" s="14" t="s">
        <v>294</v>
      </c>
      <c r="AK49" s="14" t="s">
        <v>79</v>
      </c>
      <c r="AL49" s="14" t="s">
        <v>64</v>
      </c>
      <c r="AM49" s="14" t="s">
        <v>65</v>
      </c>
      <c r="AN49" s="14" t="s">
        <v>83</v>
      </c>
      <c r="AO49" s="14" t="s">
        <v>67</v>
      </c>
      <c r="AP49" s="14" t="str">
        <f t="shared" si="30"/>
        <v>ECAPTOF2.Health.stVal</v>
      </c>
      <c r="AQ49" s="14" t="s">
        <v>63</v>
      </c>
      <c r="AR49" s="7">
        <v>0</v>
      </c>
      <c r="AS49" s="7">
        <v>0</v>
      </c>
      <c r="AT49" s="7">
        <v>0</v>
      </c>
      <c r="AU49" s="7">
        <v>0</v>
      </c>
      <c r="AV49" s="7">
        <f t="shared" si="31"/>
        <v>0</v>
      </c>
      <c r="AW49" s="6"/>
      <c r="AX49" s="7"/>
      <c r="AY49" s="15"/>
      <c r="AZ49" s="7"/>
      <c r="BA49" s="7"/>
      <c r="BB49" s="7"/>
      <c r="BC49" s="7"/>
      <c r="BD49" s="7"/>
      <c r="BE49" s="7"/>
      <c r="BF49" s="7"/>
      <c r="BG49" s="17" t="str">
        <f t="shared" si="32"/>
        <v>description: "Исправность", note: "Индикация исправности логического узла ЧАПВ2", group: "status", minValue: null, maxValue: null, step: null, units: "null", defaultValue: null, eventRegistration: 0</v>
      </c>
      <c r="BH49" s="16"/>
    </row>
    <row r="50" spans="1:60" s="19" customFormat="1" x14ac:dyDescent="0.25">
      <c r="A50" s="50"/>
      <c r="B50" s="98" t="s">
        <v>385</v>
      </c>
      <c r="C50" s="51"/>
      <c r="D50" s="88" t="s">
        <v>221</v>
      </c>
      <c r="E50" s="39" t="s">
        <v>283</v>
      </c>
      <c r="F50" s="39" t="s">
        <v>84</v>
      </c>
      <c r="G50" s="39" t="s">
        <v>84</v>
      </c>
      <c r="H50" s="51"/>
      <c r="I50" s="39">
        <f t="shared" si="24"/>
        <v>9</v>
      </c>
      <c r="J50" s="39" t="str">
        <f t="shared" si="25"/>
        <v>Поведение</v>
      </c>
      <c r="K50" s="52" t="s">
        <v>289</v>
      </c>
      <c r="L50" s="53" t="s">
        <v>57</v>
      </c>
      <c r="M50" s="54" t="s">
        <v>51</v>
      </c>
      <c r="N50" s="54" t="s">
        <v>52</v>
      </c>
      <c r="O50" s="54"/>
      <c r="P50" s="51"/>
      <c r="Q50" s="51"/>
      <c r="R50" s="54" t="s">
        <v>53</v>
      </c>
      <c r="S50" s="54" t="s">
        <v>53</v>
      </c>
      <c r="T50" s="54" t="s">
        <v>53</v>
      </c>
      <c r="U50" s="54" t="s">
        <v>53</v>
      </c>
      <c r="V50" s="51"/>
      <c r="W50" s="51"/>
      <c r="X50" s="54" t="s">
        <v>53</v>
      </c>
      <c r="Y50" s="54">
        <v>0</v>
      </c>
      <c r="Z50" s="51"/>
      <c r="AA50" s="44">
        <v>0</v>
      </c>
      <c r="AB50" s="44"/>
      <c r="AC50" s="44"/>
      <c r="AD50" s="44"/>
      <c r="AE50" s="44"/>
      <c r="AF50" s="44">
        <v>0</v>
      </c>
      <c r="AG50" s="44">
        <v>0</v>
      </c>
      <c r="AH50" s="44">
        <v>0</v>
      </c>
      <c r="AI50" s="65" t="s">
        <v>223</v>
      </c>
      <c r="AJ50" s="55" t="s">
        <v>295</v>
      </c>
      <c r="AK50" s="55" t="s">
        <v>79</v>
      </c>
      <c r="AL50" s="55" t="s">
        <v>64</v>
      </c>
      <c r="AM50" s="55" t="s">
        <v>65</v>
      </c>
      <c r="AN50" s="55" t="s">
        <v>66</v>
      </c>
      <c r="AO50" s="55" t="s">
        <v>67</v>
      </c>
      <c r="AP50" s="55" t="str">
        <f t="shared" si="30"/>
        <v>ECAPTOF3.Beh.stVal</v>
      </c>
      <c r="AQ50" s="55" t="s">
        <v>63</v>
      </c>
      <c r="AR50" s="51">
        <v>0</v>
      </c>
      <c r="AS50" s="51">
        <v>0</v>
      </c>
      <c r="AT50" s="51">
        <v>0</v>
      </c>
      <c r="AU50" s="51">
        <v>0</v>
      </c>
      <c r="AV50" s="51">
        <f t="shared" si="31"/>
        <v>0</v>
      </c>
      <c r="AW50" s="50"/>
      <c r="AX50" s="51"/>
      <c r="AY50" s="56"/>
      <c r="AZ50" s="51"/>
      <c r="BA50" s="51"/>
      <c r="BB50" s="51"/>
      <c r="BC50" s="51"/>
      <c r="BD50" s="51"/>
      <c r="BE50" s="51"/>
      <c r="BF50" s="51"/>
      <c r="BG50" s="42" t="str">
        <f t="shared" si="32"/>
        <v>description: "Поведение", note: "Индикация поведения логического узла ЧАПВ3", group: "status", minValue: null, maxValue: null, step: null, units: "null", defaultValue: null, eventRegistration: 0</v>
      </c>
      <c r="BH50" s="57"/>
    </row>
    <row r="51" spans="1:60" s="19" customFormat="1" x14ac:dyDescent="0.25">
      <c r="A51" s="50"/>
      <c r="B51" s="98" t="s">
        <v>385</v>
      </c>
      <c r="C51" s="51"/>
      <c r="D51" s="88" t="s">
        <v>221</v>
      </c>
      <c r="E51" s="39" t="s">
        <v>284</v>
      </c>
      <c r="F51" s="39" t="s">
        <v>85</v>
      </c>
      <c r="G51" s="39" t="s">
        <v>85</v>
      </c>
      <c r="H51" s="51"/>
      <c r="I51" s="39">
        <f t="shared" si="24"/>
        <v>11</v>
      </c>
      <c r="J51" s="39" t="str">
        <f t="shared" si="25"/>
        <v>Исправность</v>
      </c>
      <c r="K51" s="52" t="s">
        <v>290</v>
      </c>
      <c r="L51" s="53" t="s">
        <v>57</v>
      </c>
      <c r="M51" s="54" t="s">
        <v>51</v>
      </c>
      <c r="N51" s="54" t="s">
        <v>52</v>
      </c>
      <c r="O51" s="54"/>
      <c r="P51" s="41"/>
      <c r="Q51" s="41"/>
      <c r="R51" s="54" t="s">
        <v>53</v>
      </c>
      <c r="S51" s="54" t="s">
        <v>53</v>
      </c>
      <c r="T51" s="54" t="s">
        <v>53</v>
      </c>
      <c r="U51" s="54" t="s">
        <v>53</v>
      </c>
      <c r="V51" s="51"/>
      <c r="W51" s="51"/>
      <c r="X51" s="54" t="s">
        <v>53</v>
      </c>
      <c r="Y51" s="54">
        <v>0</v>
      </c>
      <c r="Z51" s="51"/>
      <c r="AA51" s="44">
        <v>0</v>
      </c>
      <c r="AB51" s="44"/>
      <c r="AC51" s="44"/>
      <c r="AD51" s="44"/>
      <c r="AE51" s="44"/>
      <c r="AF51" s="44">
        <v>0</v>
      </c>
      <c r="AG51" s="44">
        <v>0</v>
      </c>
      <c r="AH51" s="44">
        <v>0</v>
      </c>
      <c r="AI51" s="65" t="s">
        <v>223</v>
      </c>
      <c r="AJ51" s="55" t="s">
        <v>296</v>
      </c>
      <c r="AK51" s="55" t="s">
        <v>79</v>
      </c>
      <c r="AL51" s="55" t="s">
        <v>64</v>
      </c>
      <c r="AM51" s="55" t="s">
        <v>65</v>
      </c>
      <c r="AN51" s="55" t="s">
        <v>83</v>
      </c>
      <c r="AO51" s="55" t="s">
        <v>67</v>
      </c>
      <c r="AP51" s="55" t="str">
        <f t="shared" si="30"/>
        <v>ECAPTOF3.Health.stVal</v>
      </c>
      <c r="AQ51" s="55" t="s">
        <v>63</v>
      </c>
      <c r="AR51" s="51">
        <v>0</v>
      </c>
      <c r="AS51" s="51">
        <v>0</v>
      </c>
      <c r="AT51" s="51">
        <v>0</v>
      </c>
      <c r="AU51" s="51">
        <v>0</v>
      </c>
      <c r="AV51" s="51">
        <f t="shared" si="31"/>
        <v>0</v>
      </c>
      <c r="AW51" s="50"/>
      <c r="AX51" s="51"/>
      <c r="AY51" s="56"/>
      <c r="AZ51" s="51"/>
      <c r="BA51" s="51"/>
      <c r="BB51" s="51"/>
      <c r="BC51" s="51"/>
      <c r="BD51" s="51"/>
      <c r="BE51" s="51"/>
      <c r="BF51" s="51"/>
      <c r="BG51" s="42" t="str">
        <f t="shared" si="32"/>
        <v>description: "Исправность", note: "Индикация исправности логического узла ЧАПВ3", group: "status", minValue: null, maxValue: null, step: null, units: "null", defaultValue: null, eventRegistration: 0</v>
      </c>
      <c r="BH51" s="57"/>
    </row>
    <row r="52" spans="1:60" s="83" customFormat="1" x14ac:dyDescent="0.25">
      <c r="A52" s="6"/>
      <c r="B52" s="98" t="s">
        <v>385</v>
      </c>
      <c r="C52" s="7"/>
      <c r="D52" s="90" t="s">
        <v>222</v>
      </c>
      <c r="E52" s="8" t="s">
        <v>285</v>
      </c>
      <c r="F52" s="8" t="s">
        <v>84</v>
      </c>
      <c r="G52" s="8" t="s">
        <v>84</v>
      </c>
      <c r="H52" s="7"/>
      <c r="I52" s="8">
        <f t="shared" si="24"/>
        <v>9</v>
      </c>
      <c r="J52" s="8" t="str">
        <f t="shared" si="25"/>
        <v>Поведение</v>
      </c>
      <c r="K52" s="9" t="s">
        <v>291</v>
      </c>
      <c r="L52" s="10" t="s">
        <v>57</v>
      </c>
      <c r="M52" s="11" t="s">
        <v>51</v>
      </c>
      <c r="N52" s="11" t="s">
        <v>52</v>
      </c>
      <c r="O52" s="11"/>
      <c r="P52" s="7"/>
      <c r="Q52" s="7"/>
      <c r="R52" s="11" t="s">
        <v>53</v>
      </c>
      <c r="S52" s="11" t="s">
        <v>53</v>
      </c>
      <c r="T52" s="11" t="s">
        <v>53</v>
      </c>
      <c r="U52" s="11" t="s">
        <v>53</v>
      </c>
      <c r="V52" s="7"/>
      <c r="W52" s="7"/>
      <c r="X52" s="11" t="s">
        <v>53</v>
      </c>
      <c r="Y52" s="11">
        <v>0</v>
      </c>
      <c r="Z52" s="7"/>
      <c r="AA52" s="12">
        <v>0</v>
      </c>
      <c r="AB52" s="12"/>
      <c r="AC52" s="12"/>
      <c r="AD52" s="12"/>
      <c r="AE52" s="12"/>
      <c r="AF52" s="12">
        <v>0</v>
      </c>
      <c r="AG52" s="12">
        <v>0</v>
      </c>
      <c r="AH52" s="12">
        <v>0</v>
      </c>
      <c r="AI52" s="13" t="s">
        <v>223</v>
      </c>
      <c r="AJ52" s="14" t="s">
        <v>297</v>
      </c>
      <c r="AK52" s="14" t="s">
        <v>79</v>
      </c>
      <c r="AL52" s="14" t="s">
        <v>64</v>
      </c>
      <c r="AM52" s="14" t="s">
        <v>65</v>
      </c>
      <c r="AN52" s="14" t="s">
        <v>66</v>
      </c>
      <c r="AO52" s="14" t="s">
        <v>67</v>
      </c>
      <c r="AP52" s="14" t="str">
        <f t="shared" ref="AP52:AP53" si="33">CONCATENATE(AJ52, ".", AL52)</f>
        <v>ECAPTOF4.Beh.stVal</v>
      </c>
      <c r="AQ52" s="14" t="s">
        <v>63</v>
      </c>
      <c r="AR52" s="7">
        <v>0</v>
      </c>
      <c r="AS52" s="7">
        <v>0</v>
      </c>
      <c r="AT52" s="7">
        <v>0</v>
      </c>
      <c r="AU52" s="7">
        <v>0</v>
      </c>
      <c r="AV52" s="7">
        <f t="shared" ref="AV52:AV53" si="34">BIN2DEC(CONCATENATE(0,0,0,0,AR52,AS52,AT52,AU52))</f>
        <v>0</v>
      </c>
      <c r="AW52" s="6"/>
      <c r="AX52" s="7"/>
      <c r="AY52" s="15"/>
      <c r="AZ52" s="7"/>
      <c r="BA52" s="7"/>
      <c r="BB52" s="7"/>
      <c r="BC52" s="7"/>
      <c r="BD52" s="7"/>
      <c r="BE52" s="7"/>
      <c r="BF52" s="7"/>
      <c r="BG52" s="17" t="str">
        <f t="shared" ref="BG52:BG53" si="35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ЧАПВ4", group: "status", minValue: null, maxValue: null, step: null, units: "null", defaultValue: null, eventRegistration: 0</v>
      </c>
      <c r="BH52" s="16"/>
    </row>
    <row r="53" spans="1:60" s="83" customFormat="1" x14ac:dyDescent="0.25">
      <c r="A53" s="6"/>
      <c r="B53" s="98" t="s">
        <v>385</v>
      </c>
      <c r="C53" s="7"/>
      <c r="D53" s="90" t="s">
        <v>222</v>
      </c>
      <c r="E53" s="8" t="s">
        <v>286</v>
      </c>
      <c r="F53" s="8" t="s">
        <v>85</v>
      </c>
      <c r="G53" s="8" t="s">
        <v>85</v>
      </c>
      <c r="H53" s="7"/>
      <c r="I53" s="8">
        <f t="shared" si="24"/>
        <v>11</v>
      </c>
      <c r="J53" s="8" t="str">
        <f t="shared" si="25"/>
        <v>Исправность</v>
      </c>
      <c r="K53" s="9" t="s">
        <v>292</v>
      </c>
      <c r="L53" s="10" t="s">
        <v>57</v>
      </c>
      <c r="M53" s="11" t="s">
        <v>51</v>
      </c>
      <c r="N53" s="11" t="s">
        <v>52</v>
      </c>
      <c r="O53" s="11"/>
      <c r="P53" s="84"/>
      <c r="Q53" s="84"/>
      <c r="R53" s="11" t="s">
        <v>53</v>
      </c>
      <c r="S53" s="11" t="s">
        <v>53</v>
      </c>
      <c r="T53" s="11" t="s">
        <v>53</v>
      </c>
      <c r="U53" s="11" t="s">
        <v>53</v>
      </c>
      <c r="V53" s="7"/>
      <c r="W53" s="7"/>
      <c r="X53" s="11" t="s">
        <v>53</v>
      </c>
      <c r="Y53" s="11">
        <v>0</v>
      </c>
      <c r="Z53" s="7"/>
      <c r="AA53" s="12">
        <v>0</v>
      </c>
      <c r="AB53" s="12"/>
      <c r="AC53" s="12"/>
      <c r="AD53" s="12"/>
      <c r="AE53" s="12"/>
      <c r="AF53" s="12">
        <v>0</v>
      </c>
      <c r="AG53" s="12">
        <v>0</v>
      </c>
      <c r="AH53" s="12">
        <v>0</v>
      </c>
      <c r="AI53" s="13" t="s">
        <v>223</v>
      </c>
      <c r="AJ53" s="14" t="s">
        <v>298</v>
      </c>
      <c r="AK53" s="14" t="s">
        <v>79</v>
      </c>
      <c r="AL53" s="14" t="s">
        <v>64</v>
      </c>
      <c r="AM53" s="14" t="s">
        <v>65</v>
      </c>
      <c r="AN53" s="14" t="s">
        <v>83</v>
      </c>
      <c r="AO53" s="14" t="s">
        <v>67</v>
      </c>
      <c r="AP53" s="14" t="str">
        <f t="shared" si="33"/>
        <v>ECAPTOF4.Health.stVal</v>
      </c>
      <c r="AQ53" s="14" t="s">
        <v>63</v>
      </c>
      <c r="AR53" s="7">
        <v>0</v>
      </c>
      <c r="AS53" s="7">
        <v>0</v>
      </c>
      <c r="AT53" s="7">
        <v>0</v>
      </c>
      <c r="AU53" s="7">
        <v>0</v>
      </c>
      <c r="AV53" s="7">
        <f t="shared" si="34"/>
        <v>0</v>
      </c>
      <c r="AW53" s="6"/>
      <c r="AX53" s="7"/>
      <c r="AY53" s="15"/>
      <c r="AZ53" s="7"/>
      <c r="BA53" s="7"/>
      <c r="BB53" s="7"/>
      <c r="BC53" s="7"/>
      <c r="BD53" s="7"/>
      <c r="BE53" s="7"/>
      <c r="BF53" s="7"/>
      <c r="BG53" s="17" t="str">
        <f t="shared" si="35"/>
        <v>description: "Исправность", note: "Индикация исправности логического узла ЧАПВ4", group: "status", minValue: null, maxValue: null, step: null, units: "null", defaultValue: null, eventRegistration: 0</v>
      </c>
      <c r="BH53" s="16"/>
    </row>
    <row r="54" spans="1:60" s="82" customFormat="1" x14ac:dyDescent="0.25">
      <c r="A54" s="50"/>
      <c r="B54" s="98" t="s">
        <v>385</v>
      </c>
      <c r="C54" s="51"/>
      <c r="D54" s="88" t="s">
        <v>270</v>
      </c>
      <c r="E54" s="39" t="s">
        <v>287</v>
      </c>
      <c r="F54" s="39" t="s">
        <v>84</v>
      </c>
      <c r="G54" s="39" t="s">
        <v>84</v>
      </c>
      <c r="H54" s="51"/>
      <c r="I54" s="39">
        <f t="shared" si="24"/>
        <v>9</v>
      </c>
      <c r="J54" s="39" t="str">
        <f t="shared" si="25"/>
        <v>Поведение</v>
      </c>
      <c r="K54" s="52" t="s">
        <v>134</v>
      </c>
      <c r="L54" s="53" t="s">
        <v>57</v>
      </c>
      <c r="M54" s="54" t="s">
        <v>51</v>
      </c>
      <c r="N54" s="54" t="s">
        <v>52</v>
      </c>
      <c r="O54" s="54"/>
      <c r="P54" s="51"/>
      <c r="Q54" s="51"/>
      <c r="R54" s="54" t="s">
        <v>53</v>
      </c>
      <c r="S54" s="54" t="s">
        <v>53</v>
      </c>
      <c r="T54" s="54" t="s">
        <v>53</v>
      </c>
      <c r="U54" s="54" t="s">
        <v>53</v>
      </c>
      <c r="V54" s="51"/>
      <c r="W54" s="51"/>
      <c r="X54" s="54" t="s">
        <v>53</v>
      </c>
      <c r="Y54" s="54">
        <v>0</v>
      </c>
      <c r="Z54" s="51"/>
      <c r="AA54" s="44">
        <v>0</v>
      </c>
      <c r="AB54" s="44"/>
      <c r="AC54" s="44"/>
      <c r="AD54" s="44"/>
      <c r="AE54" s="44"/>
      <c r="AF54" s="44">
        <v>0</v>
      </c>
      <c r="AG54" s="44">
        <v>0</v>
      </c>
      <c r="AH54" s="44">
        <v>0</v>
      </c>
      <c r="AI54" s="65" t="s">
        <v>138</v>
      </c>
      <c r="AJ54" s="55" t="s">
        <v>136</v>
      </c>
      <c r="AK54" s="55" t="s">
        <v>79</v>
      </c>
      <c r="AL54" s="55" t="s">
        <v>64</v>
      </c>
      <c r="AM54" s="55" t="s">
        <v>65</v>
      </c>
      <c r="AN54" s="55" t="s">
        <v>66</v>
      </c>
      <c r="AO54" s="55" t="s">
        <v>67</v>
      </c>
      <c r="AP54" s="55" t="str">
        <f t="shared" ref="AP54:AP55" si="36">CONCATENATE(AJ54, ".", AL54)</f>
        <v>JNTPTRC1.Beh.stVal</v>
      </c>
      <c r="AQ54" s="55" t="s">
        <v>63</v>
      </c>
      <c r="AR54" s="51">
        <v>0</v>
      </c>
      <c r="AS54" s="51">
        <v>0</v>
      </c>
      <c r="AT54" s="51">
        <v>0</v>
      </c>
      <c r="AU54" s="51">
        <v>0</v>
      </c>
      <c r="AV54" s="51">
        <f t="shared" ref="AV54:AV55" si="37">BIN2DEC(CONCATENATE(0,0,0,0,AR54,AS54,AT54,AU54))</f>
        <v>0</v>
      </c>
      <c r="AW54" s="50"/>
      <c r="AX54" s="51"/>
      <c r="AY54" s="56"/>
      <c r="AZ54" s="51"/>
      <c r="BA54" s="51"/>
      <c r="BB54" s="51"/>
      <c r="BC54" s="51"/>
      <c r="BD54" s="51"/>
      <c r="BE54" s="51"/>
      <c r="BF54" s="51"/>
      <c r="BG54" s="42" t="str">
        <f t="shared" ref="BG54:BG55" si="38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ЧАПВобщ", group: "status", minValue: null, maxValue: null, step: null, units: "null", defaultValue: null, eventRegistration: 0</v>
      </c>
      <c r="BH54" s="57"/>
    </row>
    <row r="55" spans="1:60" s="82" customFormat="1" ht="16.5" customHeight="1" x14ac:dyDescent="0.25">
      <c r="A55" s="50"/>
      <c r="B55" s="98" t="s">
        <v>385</v>
      </c>
      <c r="C55" s="51"/>
      <c r="D55" s="88" t="s">
        <v>270</v>
      </c>
      <c r="E55" s="39" t="s">
        <v>288</v>
      </c>
      <c r="F55" s="39" t="s">
        <v>85</v>
      </c>
      <c r="G55" s="39" t="s">
        <v>85</v>
      </c>
      <c r="H55" s="51"/>
      <c r="I55" s="39">
        <f t="shared" si="24"/>
        <v>11</v>
      </c>
      <c r="J55" s="39" t="str">
        <f t="shared" si="25"/>
        <v>Исправность</v>
      </c>
      <c r="K55" s="52" t="s">
        <v>135</v>
      </c>
      <c r="L55" s="53" t="s">
        <v>57</v>
      </c>
      <c r="M55" s="54" t="s">
        <v>51</v>
      </c>
      <c r="N55" s="54" t="s">
        <v>52</v>
      </c>
      <c r="O55" s="54"/>
      <c r="P55" s="41"/>
      <c r="Q55" s="41"/>
      <c r="R55" s="54" t="s">
        <v>53</v>
      </c>
      <c r="S55" s="54" t="s">
        <v>53</v>
      </c>
      <c r="T55" s="54" t="s">
        <v>53</v>
      </c>
      <c r="U55" s="54" t="s">
        <v>53</v>
      </c>
      <c r="V55" s="51"/>
      <c r="W55" s="51"/>
      <c r="X55" s="54" t="s">
        <v>53</v>
      </c>
      <c r="Y55" s="54">
        <v>0</v>
      </c>
      <c r="Z55" s="51"/>
      <c r="AA55" s="44">
        <v>0</v>
      </c>
      <c r="AB55" s="44"/>
      <c r="AC55" s="44"/>
      <c r="AD55" s="44"/>
      <c r="AE55" s="44"/>
      <c r="AF55" s="44">
        <v>0</v>
      </c>
      <c r="AG55" s="44">
        <v>0</v>
      </c>
      <c r="AH55" s="44">
        <v>0</v>
      </c>
      <c r="AI55" s="65" t="s">
        <v>138</v>
      </c>
      <c r="AJ55" s="55" t="s">
        <v>137</v>
      </c>
      <c r="AK55" s="55" t="s">
        <v>79</v>
      </c>
      <c r="AL55" s="55" t="s">
        <v>64</v>
      </c>
      <c r="AM55" s="55" t="s">
        <v>65</v>
      </c>
      <c r="AN55" s="55" t="s">
        <v>83</v>
      </c>
      <c r="AO55" s="55" t="s">
        <v>67</v>
      </c>
      <c r="AP55" s="55" t="str">
        <f t="shared" si="36"/>
        <v>JNTPTRC1.Health.stVal</v>
      </c>
      <c r="AQ55" s="55" t="s">
        <v>63</v>
      </c>
      <c r="AR55" s="51">
        <v>0</v>
      </c>
      <c r="AS55" s="51">
        <v>0</v>
      </c>
      <c r="AT55" s="51">
        <v>0</v>
      </c>
      <c r="AU55" s="51">
        <v>0</v>
      </c>
      <c r="AV55" s="51">
        <f t="shared" si="37"/>
        <v>0</v>
      </c>
      <c r="AW55" s="50"/>
      <c r="AX55" s="51"/>
      <c r="AY55" s="56"/>
      <c r="AZ55" s="51"/>
      <c r="BA55" s="51"/>
      <c r="BB55" s="51"/>
      <c r="BC55" s="51"/>
      <c r="BD55" s="51"/>
      <c r="BE55" s="51"/>
      <c r="BF55" s="51"/>
      <c r="BG55" s="42" t="str">
        <f t="shared" si="38"/>
        <v>description: "Исправность", note: "Индикация исправности логического узла ЧАПВобщ", group: "status", minValue: null, maxValue: null, step: null, units: "null", defaultValue: null, eventRegistration: 0</v>
      </c>
      <c r="BH55" s="5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6"/>
  <sheetViews>
    <sheetView zoomScale="80" zoomScaleNormal="80" workbookViewId="0">
      <selection activeCell="K7" sqref="K7"/>
    </sheetView>
  </sheetViews>
  <sheetFormatPr defaultColWidth="9.140625" defaultRowHeight="15.75" outlineLevelCol="1" x14ac:dyDescent="0.25"/>
  <cols>
    <col min="1" max="1" width="4.140625" style="18" bestFit="1" customWidth="1"/>
    <col min="2" max="2" width="19.140625" style="18" bestFit="1" customWidth="1"/>
    <col min="3" max="3" width="19.7109375" style="18" customWidth="1"/>
    <col min="4" max="4" width="11.5703125" style="18" customWidth="1"/>
    <col min="5" max="5" width="102" style="19" bestFit="1" customWidth="1"/>
    <col min="6" max="6" width="22" style="19" customWidth="1" outlineLevel="1"/>
    <col min="7" max="7" width="19.5703125" style="19" bestFit="1" customWidth="1" outlineLevel="1"/>
    <col min="8" max="8" width="41.85546875" style="19" customWidth="1" outlineLevel="1"/>
    <col min="9" max="9" width="7.28515625" style="19" bestFit="1" customWidth="1"/>
    <col min="10" max="10" width="18.7109375" style="19" customWidth="1"/>
    <col min="11" max="11" width="24.85546875" style="19" bestFit="1" customWidth="1"/>
    <col min="12" max="12" width="9.42578125" style="19" customWidth="1"/>
    <col min="13" max="14" width="14.28515625" style="19" customWidth="1" outlineLevel="1"/>
    <col min="15" max="15" width="8.85546875" style="19" bestFit="1" customWidth="1" outlineLevel="1"/>
    <col min="16" max="16" width="16" style="19" bestFit="1" customWidth="1" outlineLevel="1"/>
    <col min="17" max="17" width="25.140625" style="19" bestFit="1" customWidth="1" outlineLevel="1"/>
    <col min="18" max="18" width="9.140625" style="20" customWidth="1" outlineLevel="1"/>
    <col min="19" max="19" width="9.5703125" style="21" customWidth="1" outlineLevel="1"/>
    <col min="20" max="20" width="11.28515625" style="21" customWidth="1" outlineLevel="1"/>
    <col min="21" max="21" width="8.28515625" style="21" customWidth="1" outlineLevel="1"/>
    <col min="22" max="22" width="12.5703125" style="21" customWidth="1" outlineLevel="1"/>
    <col min="23" max="23" width="13.5703125" style="21" customWidth="1" outlineLevel="1"/>
    <col min="24" max="24" width="13.140625" style="21" customWidth="1" outlineLevel="1"/>
    <col min="25" max="25" width="9.7109375" style="21" customWidth="1"/>
    <col min="26" max="26" width="12.7109375" style="18" customWidth="1"/>
    <col min="27" max="27" width="14.28515625" style="18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33" style="18" bestFit="1" customWidth="1"/>
    <col min="32" max="33" width="12.7109375" style="18" customWidth="1"/>
    <col min="34" max="34" width="9.28515625" style="18" customWidth="1"/>
    <col min="35" max="35" width="15.85546875" style="18" bestFit="1" customWidth="1"/>
    <col min="36" max="36" width="24.5703125" style="19" customWidth="1"/>
    <col min="37" max="37" width="26.42578125" style="19" customWidth="1"/>
    <col min="38" max="38" width="22.85546875" style="19" customWidth="1"/>
    <col min="39" max="40" width="24.5703125" style="19" customWidth="1"/>
    <col min="41" max="41" width="15.85546875" style="19" customWidth="1"/>
    <col min="42" max="42" width="29.5703125" style="19" bestFit="1" customWidth="1"/>
    <col min="43" max="43" width="19.140625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21" style="18" bestFit="1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8" hidden="1" customWidth="1" outlineLevel="1"/>
    <col min="55" max="55" width="13.28515625" style="21" hidden="1" customWidth="1" outlineLevel="1"/>
    <col min="56" max="56" width="13" style="58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222.7109375" style="18" bestFit="1" customWidth="1" collapsed="1"/>
    <col min="60" max="16384" width="9.140625" style="18"/>
  </cols>
  <sheetData>
    <row r="1" spans="1:16379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SUM(AA7:AA13)</f>
        <v>0</v>
      </c>
      <c r="AI1" s="24"/>
      <c r="AJ1" s="25"/>
      <c r="AK1" s="25"/>
      <c r="AL1" s="25"/>
      <c r="AM1" s="25"/>
      <c r="AN1" s="25"/>
      <c r="AO1" s="25"/>
      <c r="AP1" s="25"/>
      <c r="AQ1" s="25"/>
      <c r="AR1" s="24"/>
      <c r="AS1" s="23"/>
      <c r="AT1" s="23"/>
      <c r="AU1" s="23"/>
      <c r="AV1" s="23"/>
      <c r="AW1" s="23"/>
      <c r="AX1" s="23"/>
      <c r="AY1" s="26"/>
      <c r="AZ1" s="137" t="s">
        <v>0</v>
      </c>
      <c r="BA1" s="138"/>
      <c r="BB1" s="138"/>
      <c r="BC1" s="138"/>
      <c r="BD1" s="138"/>
      <c r="BE1" s="138"/>
      <c r="BF1" s="138"/>
    </row>
    <row r="2" spans="1:16379" s="34" customFormat="1" ht="47.25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2" t="s">
        <v>98</v>
      </c>
      <c r="AF2" s="32" t="s">
        <v>24</v>
      </c>
      <c r="AG2" s="32" t="s">
        <v>25</v>
      </c>
      <c r="AH2" s="31" t="s">
        <v>26</v>
      </c>
      <c r="AI2" s="64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31" t="s">
        <v>39</v>
      </c>
      <c r="AW2" s="31" t="s">
        <v>40</v>
      </c>
      <c r="AX2" s="31" t="s">
        <v>41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2" customFormat="1" x14ac:dyDescent="0.25">
      <c r="A3" s="50"/>
      <c r="B3" s="50" t="s">
        <v>86</v>
      </c>
      <c r="C3" s="54"/>
      <c r="D3" s="88" t="s">
        <v>219</v>
      </c>
      <c r="E3" s="39" t="s">
        <v>113</v>
      </c>
      <c r="F3" s="39" t="s">
        <v>107</v>
      </c>
      <c r="G3" s="39" t="s">
        <v>111</v>
      </c>
      <c r="H3" s="39" t="s">
        <v>102</v>
      </c>
      <c r="I3" s="39">
        <f>LEN(F3)</f>
        <v>12</v>
      </c>
      <c r="J3" s="39" t="str">
        <f>IF(LEN(F3)&lt;=$J$1,F3,"")</f>
        <v>Ввод_функции</v>
      </c>
      <c r="K3" s="50" t="s">
        <v>299</v>
      </c>
      <c r="L3" s="53" t="s">
        <v>54</v>
      </c>
      <c r="M3" s="54" t="s">
        <v>52</v>
      </c>
      <c r="N3" s="54" t="s">
        <v>52</v>
      </c>
      <c r="O3" s="54"/>
      <c r="P3" s="56">
        <v>0</v>
      </c>
      <c r="Q3" s="56"/>
      <c r="R3" s="54" t="s">
        <v>53</v>
      </c>
      <c r="S3" s="54">
        <v>0</v>
      </c>
      <c r="T3" s="54">
        <v>1</v>
      </c>
      <c r="U3" s="54">
        <v>1</v>
      </c>
      <c r="V3" s="54"/>
      <c r="W3" s="54"/>
      <c r="X3" s="54">
        <v>0</v>
      </c>
      <c r="Y3" s="54">
        <v>0</v>
      </c>
      <c r="Z3" s="52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44"/>
      <c r="AJ3" s="51"/>
      <c r="AK3" s="51"/>
      <c r="AL3" s="51"/>
      <c r="AM3" s="51"/>
      <c r="AN3" s="51"/>
      <c r="AO3" s="51"/>
      <c r="AP3" s="51"/>
      <c r="AQ3" s="51"/>
      <c r="AR3" s="51">
        <v>0</v>
      </c>
      <c r="AS3" s="51">
        <v>0</v>
      </c>
      <c r="AT3" s="51">
        <v>0</v>
      </c>
      <c r="AU3" s="51">
        <v>0</v>
      </c>
      <c r="AV3" s="51">
        <f>BIN2DEC(CONCATENATE(0,0,0,0,AR3,AS3,AT3,AU3))</f>
        <v>0</v>
      </c>
      <c r="AW3" s="51" t="s">
        <v>103</v>
      </c>
      <c r="AX3" s="51"/>
      <c r="AY3" s="56"/>
      <c r="AZ3" s="51"/>
      <c r="BA3" s="51"/>
      <c r="BB3" s="51"/>
      <c r="BC3" s="51"/>
      <c r="BD3" s="51"/>
      <c r="BE3" s="51"/>
      <c r="BF3" s="51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x14ac:dyDescent="0.25">
      <c r="A4" s="50"/>
      <c r="B4" s="50" t="s">
        <v>86</v>
      </c>
      <c r="C4" s="54"/>
      <c r="D4" s="88" t="s">
        <v>219</v>
      </c>
      <c r="E4" s="39" t="s">
        <v>141</v>
      </c>
      <c r="F4" s="39" t="s">
        <v>315</v>
      </c>
      <c r="G4" s="39" t="s">
        <v>316</v>
      </c>
      <c r="H4" s="39"/>
      <c r="I4" s="39">
        <f>LEN(F4)</f>
        <v>3</v>
      </c>
      <c r="J4" s="39" t="str">
        <f>IF(LEN(F4)&lt;=$J$1,F4,"")</f>
        <v>Fср</v>
      </c>
      <c r="K4" s="50" t="s">
        <v>301</v>
      </c>
      <c r="L4" s="40" t="s">
        <v>120</v>
      </c>
      <c r="M4" s="54" t="s">
        <v>52</v>
      </c>
      <c r="N4" s="54" t="s">
        <v>52</v>
      </c>
      <c r="O4" s="54"/>
      <c r="P4" s="56">
        <v>0</v>
      </c>
      <c r="Q4" s="56"/>
      <c r="R4" s="54" t="s">
        <v>129</v>
      </c>
      <c r="S4" s="54">
        <v>49</v>
      </c>
      <c r="T4" s="54">
        <v>55</v>
      </c>
      <c r="U4" s="54" t="s">
        <v>147</v>
      </c>
      <c r="V4" s="54"/>
      <c r="W4" s="54"/>
      <c r="X4" s="54" t="s">
        <v>326</v>
      </c>
      <c r="Y4" s="54">
        <v>0</v>
      </c>
      <c r="Z4" s="52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5" t="s">
        <v>223</v>
      </c>
      <c r="AJ4" s="55" t="s">
        <v>327</v>
      </c>
      <c r="AK4" s="55" t="s">
        <v>151</v>
      </c>
      <c r="AL4" s="55" t="s">
        <v>152</v>
      </c>
      <c r="AM4" s="55" t="s">
        <v>120</v>
      </c>
      <c r="AN4" s="55"/>
      <c r="AO4" s="55" t="s">
        <v>375</v>
      </c>
      <c r="AP4" s="55" t="str">
        <f>CONCATENATE(AJ4, ".", AL4)</f>
        <v>ECAPTOF1.StrVal.setMag.f</v>
      </c>
      <c r="AQ4" s="55" t="s">
        <v>63</v>
      </c>
      <c r="AR4" s="51">
        <v>0</v>
      </c>
      <c r="AS4" s="51">
        <v>0</v>
      </c>
      <c r="AT4" s="51">
        <v>0</v>
      </c>
      <c r="AU4" s="51">
        <v>0</v>
      </c>
      <c r="AV4" s="51">
        <f>BIN2DEC(CONCATENATE(0,0,0,0,AR4,AS4,AT4,AU4))</f>
        <v>0</v>
      </c>
      <c r="AW4" s="51"/>
      <c r="AX4" s="51"/>
      <c r="AY4" s="56"/>
      <c r="AZ4" s="51"/>
      <c r="BA4" s="51"/>
      <c r="BB4" s="51"/>
      <c r="BC4" s="51"/>
      <c r="BD4" s="51"/>
      <c r="BE4" s="51"/>
      <c r="BF4" s="51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"Fср", note: "Частота срабатывания", group: "setting", minValue: 49, maxValue: 55, step: 0.01, units: "Гц", defaultValue: 50.5, eventRegistration: 0</v>
      </c>
    </row>
    <row r="5" spans="1:16379" s="89" customFormat="1" x14ac:dyDescent="0.25">
      <c r="A5" s="50"/>
      <c r="B5" s="50" t="s">
        <v>86</v>
      </c>
      <c r="C5" s="54"/>
      <c r="D5" s="88" t="s">
        <v>219</v>
      </c>
      <c r="E5" s="39" t="s">
        <v>325</v>
      </c>
      <c r="F5" s="39" t="s">
        <v>172</v>
      </c>
      <c r="G5" s="39"/>
      <c r="H5" s="39"/>
      <c r="I5" s="39">
        <f>LEN(F5)</f>
        <v>7</v>
      </c>
      <c r="J5" s="39" t="str">
        <f>IF(LEN(F5)&lt;=$J$1,F5,"")</f>
        <v>dFвозвр</v>
      </c>
      <c r="K5" s="50" t="s">
        <v>302</v>
      </c>
      <c r="L5" s="40" t="s">
        <v>120</v>
      </c>
      <c r="M5" s="54" t="s">
        <v>52</v>
      </c>
      <c r="N5" s="54" t="s">
        <v>52</v>
      </c>
      <c r="O5" s="54"/>
      <c r="P5" s="56">
        <v>0</v>
      </c>
      <c r="Q5" s="56"/>
      <c r="R5" s="54" t="s">
        <v>129</v>
      </c>
      <c r="S5" s="54" t="s">
        <v>148</v>
      </c>
      <c r="T5" s="54">
        <v>1</v>
      </c>
      <c r="U5" s="54" t="s">
        <v>147</v>
      </c>
      <c r="V5" s="54"/>
      <c r="W5" s="54"/>
      <c r="X5" s="54" t="s">
        <v>146</v>
      </c>
      <c r="Y5" s="54">
        <v>0</v>
      </c>
      <c r="Z5" s="52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65" t="s">
        <v>223</v>
      </c>
      <c r="AJ5" s="55" t="s">
        <v>329</v>
      </c>
      <c r="AK5" s="55" t="s">
        <v>151</v>
      </c>
      <c r="AL5" s="55" t="s">
        <v>152</v>
      </c>
      <c r="AM5" s="55" t="s">
        <v>120</v>
      </c>
      <c r="AN5" s="55"/>
      <c r="AO5" s="55" t="s">
        <v>375</v>
      </c>
      <c r="AP5" s="55" t="str">
        <f>CONCATENATE(AJ5, ".", AL5)</f>
        <v>ECAPTOF1.RsVal.setMag.f</v>
      </c>
      <c r="AQ5" s="55" t="s">
        <v>63</v>
      </c>
      <c r="AR5" s="51">
        <v>0</v>
      </c>
      <c r="AS5" s="51">
        <v>0</v>
      </c>
      <c r="AT5" s="51">
        <v>0</v>
      </c>
      <c r="AU5" s="51">
        <v>0</v>
      </c>
      <c r="AV5" s="51">
        <f>BIN2DEC(CONCATENATE(0,0,0,0,AR5,AS5,AT5,AU5))</f>
        <v>0</v>
      </c>
      <c r="AW5" s="51"/>
      <c r="AX5" s="51"/>
      <c r="AY5" s="56"/>
      <c r="AZ5" s="51"/>
      <c r="BA5" s="51"/>
      <c r="BB5" s="51"/>
      <c r="BC5" s="51"/>
      <c r="BD5" s="51"/>
      <c r="BE5" s="51"/>
      <c r="BF5" s="51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"dFвозвр", note: "Уставка возврата ступени по частоте", group: "setting", minValue: 0.04, maxValue: 1, step: 0.01, units: "Гц", defaultValue: 0.1, eventRegistration: 0</v>
      </c>
    </row>
    <row r="6" spans="1:16379" s="2" customFormat="1" x14ac:dyDescent="0.25">
      <c r="A6" s="50"/>
      <c r="B6" s="50" t="s">
        <v>86</v>
      </c>
      <c r="C6" s="54"/>
      <c r="D6" s="88" t="s">
        <v>219</v>
      </c>
      <c r="E6" s="39" t="s">
        <v>139</v>
      </c>
      <c r="F6" s="39" t="s">
        <v>140</v>
      </c>
      <c r="G6" s="39" t="s">
        <v>145</v>
      </c>
      <c r="H6" s="39"/>
      <c r="I6" s="39">
        <f>LEN(F6)</f>
        <v>3</v>
      </c>
      <c r="J6" s="39" t="str">
        <f>IF(LEN(F6)&lt;=$J$1,F6,"")</f>
        <v>Uср</v>
      </c>
      <c r="K6" s="50" t="s">
        <v>303</v>
      </c>
      <c r="L6" s="40" t="s">
        <v>120</v>
      </c>
      <c r="M6" s="54" t="s">
        <v>52</v>
      </c>
      <c r="N6" s="54" t="s">
        <v>52</v>
      </c>
      <c r="O6" s="54"/>
      <c r="P6" s="56">
        <v>0</v>
      </c>
      <c r="Q6" s="56"/>
      <c r="R6" s="54" t="s">
        <v>128</v>
      </c>
      <c r="S6" s="54">
        <v>2</v>
      </c>
      <c r="T6" s="54">
        <v>100</v>
      </c>
      <c r="U6" s="54" t="s">
        <v>146</v>
      </c>
      <c r="V6" s="54"/>
      <c r="W6" s="54"/>
      <c r="X6" s="54">
        <v>20</v>
      </c>
      <c r="Y6" s="54">
        <v>0</v>
      </c>
      <c r="Z6" s="52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5"/>
      <c r="AJ6" s="55"/>
      <c r="AK6" s="55"/>
      <c r="AL6" s="55"/>
      <c r="AM6" s="55"/>
      <c r="AN6" s="55"/>
      <c r="AO6" s="55"/>
      <c r="AP6" s="55"/>
      <c r="AQ6" s="55"/>
      <c r="AR6" s="51">
        <v>0</v>
      </c>
      <c r="AS6" s="51">
        <v>0</v>
      </c>
      <c r="AT6" s="51">
        <v>0</v>
      </c>
      <c r="AU6" s="51">
        <v>0</v>
      </c>
      <c r="AV6" s="51">
        <f>BIN2DEC(CONCATENATE(0,0,0,0,AR6,AS6,AT6,AU6))</f>
        <v>0</v>
      </c>
      <c r="AW6" s="51"/>
      <c r="AX6" s="51"/>
      <c r="AY6" s="56"/>
      <c r="AZ6" s="51"/>
      <c r="BA6" s="51"/>
      <c r="BB6" s="51"/>
      <c r="BC6" s="51"/>
      <c r="BD6" s="51"/>
      <c r="BE6" s="51"/>
      <c r="BF6" s="51"/>
      <c r="BG6" s="4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"Uср", note: "Напряжение срабатывания", group: "setting", minValue: 2, maxValue: 100, step: 0.1, units: "В", defaultValue: 20, eventRegistration: 0</v>
      </c>
    </row>
    <row r="7" spans="1:16379" s="2" customFormat="1" x14ac:dyDescent="0.25">
      <c r="A7" s="50"/>
      <c r="B7" s="50" t="s">
        <v>86</v>
      </c>
      <c r="C7" s="54"/>
      <c r="D7" s="88" t="s">
        <v>219</v>
      </c>
      <c r="E7" s="39" t="s">
        <v>168</v>
      </c>
      <c r="F7" s="39" t="s">
        <v>169</v>
      </c>
      <c r="G7" s="39" t="s">
        <v>142</v>
      </c>
      <c r="H7" s="39" t="s">
        <v>102</v>
      </c>
      <c r="I7" s="39">
        <f t="shared" ref="I7:I13" si="0">LEN(F7)</f>
        <v>7</v>
      </c>
      <c r="J7" s="39" t="str">
        <f t="shared" ref="J7:J13" si="1">IF(LEN(F7)&lt;=$J$1,F7,"")</f>
        <v>Контр_U</v>
      </c>
      <c r="K7" s="50" t="s">
        <v>300</v>
      </c>
      <c r="L7" s="53" t="s">
        <v>54</v>
      </c>
      <c r="M7" s="54" t="s">
        <v>52</v>
      </c>
      <c r="N7" s="54" t="s">
        <v>52</v>
      </c>
      <c r="O7" s="54"/>
      <c r="P7" s="56">
        <v>0</v>
      </c>
      <c r="Q7" s="56"/>
      <c r="R7" s="54" t="s">
        <v>53</v>
      </c>
      <c r="S7" s="54">
        <v>0</v>
      </c>
      <c r="T7" s="54">
        <v>1</v>
      </c>
      <c r="U7" s="54">
        <v>1</v>
      </c>
      <c r="V7" s="54"/>
      <c r="W7" s="54"/>
      <c r="X7" s="54">
        <v>0</v>
      </c>
      <c r="Y7" s="54">
        <v>0</v>
      </c>
      <c r="Z7" s="52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44"/>
      <c r="AJ7" s="51"/>
      <c r="AK7" s="51"/>
      <c r="AL7" s="51"/>
      <c r="AM7" s="51"/>
      <c r="AN7" s="51"/>
      <c r="AO7" s="51"/>
      <c r="AP7" s="51"/>
      <c r="AQ7" s="51"/>
      <c r="AR7" s="51">
        <v>0</v>
      </c>
      <c r="AS7" s="51">
        <v>0</v>
      </c>
      <c r="AT7" s="51">
        <v>0</v>
      </c>
      <c r="AU7" s="51">
        <v>0</v>
      </c>
      <c r="AV7" s="51">
        <f t="shared" ref="AV7:AV13" si="2">BIN2DEC(CONCATENATE(0,0,0,0,AR7,AS7,AT7,AU7))</f>
        <v>0</v>
      </c>
      <c r="AW7" s="51" t="s">
        <v>103</v>
      </c>
      <c r="AX7" s="51"/>
      <c r="AY7" s="56"/>
      <c r="AZ7" s="51"/>
      <c r="BA7" s="51"/>
      <c r="BB7" s="51"/>
      <c r="BC7" s="51"/>
      <c r="BD7" s="51"/>
      <c r="BE7" s="51"/>
      <c r="BF7" s="51"/>
      <c r="BG7" s="42" t="str">
        <f t="shared" ref="BG7:BG13" si="3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"Контр_U", note: "Контроль напряжения", group: "setting", minValue: 0, maxValue: 1, step: 1, units: "null", defaultValue: 0, eventRegistration: 0</v>
      </c>
    </row>
    <row r="8" spans="1:16379" s="2" customFormat="1" x14ac:dyDescent="0.25">
      <c r="A8" s="50"/>
      <c r="B8" s="50" t="s">
        <v>86</v>
      </c>
      <c r="C8" s="54"/>
      <c r="D8" s="88" t="s">
        <v>219</v>
      </c>
      <c r="E8" s="39" t="s">
        <v>305</v>
      </c>
      <c r="F8" s="39" t="s">
        <v>306</v>
      </c>
      <c r="G8" s="39" t="s">
        <v>143</v>
      </c>
      <c r="H8" s="39" t="s">
        <v>102</v>
      </c>
      <c r="I8" s="39">
        <f t="shared" si="0"/>
        <v>14</v>
      </c>
      <c r="J8" s="39" t="str">
        <f t="shared" si="1"/>
        <v>Блок_повт_ЧАПВ</v>
      </c>
      <c r="K8" s="50" t="s">
        <v>307</v>
      </c>
      <c r="L8" s="53" t="s">
        <v>54</v>
      </c>
      <c r="M8" s="54" t="s">
        <v>52</v>
      </c>
      <c r="N8" s="54" t="s">
        <v>52</v>
      </c>
      <c r="O8" s="54"/>
      <c r="P8" s="56">
        <v>0</v>
      </c>
      <c r="Q8" s="56"/>
      <c r="R8" s="54" t="s">
        <v>53</v>
      </c>
      <c r="S8" s="54">
        <v>0</v>
      </c>
      <c r="T8" s="54">
        <v>1</v>
      </c>
      <c r="U8" s="54">
        <v>1</v>
      </c>
      <c r="V8" s="54"/>
      <c r="W8" s="54"/>
      <c r="X8" s="54">
        <v>0</v>
      </c>
      <c r="Y8" s="54">
        <v>0</v>
      </c>
      <c r="Z8" s="52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44"/>
      <c r="AJ8" s="51"/>
      <c r="AK8" s="51"/>
      <c r="AL8" s="51"/>
      <c r="AM8" s="51"/>
      <c r="AN8" s="51"/>
      <c r="AO8" s="51"/>
      <c r="AP8" s="51"/>
      <c r="AQ8" s="51"/>
      <c r="AR8" s="51">
        <v>0</v>
      </c>
      <c r="AS8" s="51">
        <v>0</v>
      </c>
      <c r="AT8" s="51">
        <v>0</v>
      </c>
      <c r="AU8" s="51">
        <v>0</v>
      </c>
      <c r="AV8" s="51">
        <f t="shared" si="2"/>
        <v>0</v>
      </c>
      <c r="AW8" s="51" t="s">
        <v>103</v>
      </c>
      <c r="AX8" s="51"/>
      <c r="AY8" s="56"/>
      <c r="AZ8" s="51"/>
      <c r="BA8" s="51"/>
      <c r="BB8" s="51"/>
      <c r="BC8" s="51"/>
      <c r="BD8" s="51"/>
      <c r="BE8" s="51"/>
      <c r="BF8" s="51"/>
      <c r="BG8" s="42" t="str">
        <f t="shared" si="3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9" spans="1:16379" s="2" customFormat="1" x14ac:dyDescent="0.25">
      <c r="A9" s="50"/>
      <c r="B9" s="50" t="s">
        <v>86</v>
      </c>
      <c r="C9" s="54"/>
      <c r="D9" s="88" t="s">
        <v>219</v>
      </c>
      <c r="E9" s="39" t="s">
        <v>308</v>
      </c>
      <c r="F9" s="39" t="s">
        <v>309</v>
      </c>
      <c r="G9" s="39" t="s">
        <v>144</v>
      </c>
      <c r="H9" s="39" t="s">
        <v>102</v>
      </c>
      <c r="I9" s="39">
        <f t="shared" si="0"/>
        <v>14</v>
      </c>
      <c r="J9" s="39" t="str">
        <f t="shared" si="1"/>
        <v>Авт_возвр_ЧАПВ</v>
      </c>
      <c r="K9" s="50" t="s">
        <v>310</v>
      </c>
      <c r="L9" s="53" t="s">
        <v>54</v>
      </c>
      <c r="M9" s="54" t="s">
        <v>52</v>
      </c>
      <c r="N9" s="54" t="s">
        <v>52</v>
      </c>
      <c r="O9" s="54"/>
      <c r="P9" s="56">
        <v>0</v>
      </c>
      <c r="Q9" s="56"/>
      <c r="R9" s="54" t="s">
        <v>53</v>
      </c>
      <c r="S9" s="54">
        <v>0</v>
      </c>
      <c r="T9" s="54">
        <v>1</v>
      </c>
      <c r="U9" s="54">
        <v>1</v>
      </c>
      <c r="V9" s="54"/>
      <c r="W9" s="54"/>
      <c r="X9" s="54">
        <v>0</v>
      </c>
      <c r="Y9" s="54">
        <v>0</v>
      </c>
      <c r="Z9" s="52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44"/>
      <c r="AJ9" s="51"/>
      <c r="AK9" s="51"/>
      <c r="AL9" s="51"/>
      <c r="AM9" s="51"/>
      <c r="AN9" s="51"/>
      <c r="AO9" s="51"/>
      <c r="AP9" s="51"/>
      <c r="AQ9" s="51"/>
      <c r="AR9" s="51">
        <v>0</v>
      </c>
      <c r="AS9" s="51">
        <v>0</v>
      </c>
      <c r="AT9" s="51">
        <v>0</v>
      </c>
      <c r="AU9" s="51">
        <v>0</v>
      </c>
      <c r="AV9" s="51">
        <f t="shared" si="2"/>
        <v>0</v>
      </c>
      <c r="AW9" s="51" t="s">
        <v>103</v>
      </c>
      <c r="AX9" s="51"/>
      <c r="AY9" s="56"/>
      <c r="AZ9" s="51"/>
      <c r="BA9" s="51"/>
      <c r="BB9" s="51"/>
      <c r="BC9" s="51"/>
      <c r="BD9" s="51"/>
      <c r="BE9" s="51"/>
      <c r="BF9" s="51"/>
      <c r="BG9" s="42" t="str">
        <f t="shared" si="3"/>
        <v>description: "Авт_возвр_ЧАПВ", note: "Автоматический возврат схемы ЧАПВ", group: "setting", minValue: 0, maxValue: 1, step: 1, units: "null", defaultValue: 0, eventRegistration: 0</v>
      </c>
    </row>
    <row r="10" spans="1:16379" s="2" customFormat="1" x14ac:dyDescent="0.25">
      <c r="A10" s="50"/>
      <c r="B10" s="50" t="s">
        <v>86</v>
      </c>
      <c r="C10" s="54"/>
      <c r="D10" s="88" t="s">
        <v>219</v>
      </c>
      <c r="E10" s="39" t="s">
        <v>311</v>
      </c>
      <c r="F10" s="39" t="s">
        <v>312</v>
      </c>
      <c r="G10" s="39" t="s">
        <v>313</v>
      </c>
      <c r="H10" s="39" t="s">
        <v>102</v>
      </c>
      <c r="I10" s="39">
        <f t="shared" ref="I10" si="4">LEN(F10)</f>
        <v>10</v>
      </c>
      <c r="J10" s="39" t="str">
        <f t="shared" ref="J10" si="5">IF(LEN(F10)&lt;=$J$1,F10,"")</f>
        <v>Сброс_ЧАПВ</v>
      </c>
      <c r="K10" s="50" t="s">
        <v>314</v>
      </c>
      <c r="L10" s="53" t="s">
        <v>54</v>
      </c>
      <c r="M10" s="54" t="s">
        <v>52</v>
      </c>
      <c r="N10" s="54" t="s">
        <v>52</v>
      </c>
      <c r="O10" s="54"/>
      <c r="P10" s="56">
        <v>0</v>
      </c>
      <c r="Q10" s="56"/>
      <c r="R10" s="54" t="s">
        <v>53</v>
      </c>
      <c r="S10" s="54">
        <v>0</v>
      </c>
      <c r="T10" s="54">
        <v>1</v>
      </c>
      <c r="U10" s="54">
        <v>1</v>
      </c>
      <c r="V10" s="54"/>
      <c r="W10" s="54"/>
      <c r="X10" s="54">
        <v>0</v>
      </c>
      <c r="Y10" s="54">
        <v>0</v>
      </c>
      <c r="Z10" s="52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44"/>
      <c r="AJ10" s="51"/>
      <c r="AK10" s="51"/>
      <c r="AL10" s="51"/>
      <c r="AM10" s="51"/>
      <c r="AN10" s="51"/>
      <c r="AO10" s="51"/>
      <c r="AP10" s="51"/>
      <c r="AQ10" s="51"/>
      <c r="AR10" s="51">
        <v>0</v>
      </c>
      <c r="AS10" s="51">
        <v>0</v>
      </c>
      <c r="AT10" s="51">
        <v>0</v>
      </c>
      <c r="AU10" s="51">
        <v>0</v>
      </c>
      <c r="AV10" s="51">
        <f t="shared" ref="AV10" si="6">BIN2DEC(CONCATENATE(0,0,0,0,AR10,AS10,AT10,AU10))</f>
        <v>0</v>
      </c>
      <c r="AW10" s="51" t="s">
        <v>103</v>
      </c>
      <c r="AX10" s="51"/>
      <c r="AY10" s="56"/>
      <c r="AZ10" s="51"/>
      <c r="BA10" s="51"/>
      <c r="BB10" s="51"/>
      <c r="BC10" s="51"/>
      <c r="BD10" s="51"/>
      <c r="BE10" s="51"/>
      <c r="BF10" s="51"/>
      <c r="BG10" s="42" t="str">
        <f t="shared" ref="BG10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11" spans="1:16379" s="2" customFormat="1" x14ac:dyDescent="0.25">
      <c r="A11" s="50"/>
      <c r="B11" s="50" t="s">
        <v>86</v>
      </c>
      <c r="C11" s="54"/>
      <c r="D11" s="88" t="s">
        <v>219</v>
      </c>
      <c r="E11" s="39" t="s">
        <v>149</v>
      </c>
      <c r="F11" s="39" t="s">
        <v>322</v>
      </c>
      <c r="G11" s="39" t="s">
        <v>171</v>
      </c>
      <c r="H11" s="39"/>
      <c r="I11" s="39">
        <f t="shared" ref="I11" si="8">LEN(F11)</f>
        <v>3</v>
      </c>
      <c r="J11" s="39" t="str">
        <f t="shared" ref="J11" si="9">IF(LEN(F11)&lt;=$J$1,F11,"")</f>
        <v>Тср</v>
      </c>
      <c r="K11" s="50" t="s">
        <v>304</v>
      </c>
      <c r="L11" s="53" t="s">
        <v>114</v>
      </c>
      <c r="M11" s="54" t="s">
        <v>52</v>
      </c>
      <c r="N11" s="54" t="s">
        <v>52</v>
      </c>
      <c r="O11" s="54"/>
      <c r="P11" s="56">
        <v>2</v>
      </c>
      <c r="Q11" s="56" t="s">
        <v>115</v>
      </c>
      <c r="R11" s="54" t="s">
        <v>116</v>
      </c>
      <c r="S11" s="54">
        <v>5000</v>
      </c>
      <c r="T11" s="54">
        <v>240000</v>
      </c>
      <c r="U11" s="54">
        <v>10</v>
      </c>
      <c r="V11" s="54"/>
      <c r="W11" s="54"/>
      <c r="X11" s="54">
        <v>7000</v>
      </c>
      <c r="Y11" s="54">
        <v>0</v>
      </c>
      <c r="Z11" s="52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5" t="s">
        <v>223</v>
      </c>
      <c r="AJ11" s="55" t="s">
        <v>328</v>
      </c>
      <c r="AK11" s="55" t="s">
        <v>153</v>
      </c>
      <c r="AL11" s="55" t="s">
        <v>154</v>
      </c>
      <c r="AM11" s="55" t="s">
        <v>114</v>
      </c>
      <c r="AN11" s="55"/>
      <c r="AO11" s="55" t="s">
        <v>375</v>
      </c>
      <c r="AP11" s="55" t="str">
        <f>CONCATENATE(AJ11, ".", AL11)</f>
        <v>ECAPTOF1.OpDlTmms.setVal</v>
      </c>
      <c r="AQ11" s="55" t="s">
        <v>63</v>
      </c>
      <c r="AR11" s="51">
        <v>0</v>
      </c>
      <c r="AS11" s="51">
        <v>0</v>
      </c>
      <c r="AT11" s="51">
        <v>0</v>
      </c>
      <c r="AU11" s="51">
        <v>0</v>
      </c>
      <c r="AV11" s="51">
        <f t="shared" ref="AV11" si="10">BIN2DEC(CONCATENATE(0,0,0,0,AR11,AS11,AT11,AU11))</f>
        <v>0</v>
      </c>
      <c r="AW11" s="51"/>
      <c r="AX11" s="51"/>
      <c r="AY11" s="56"/>
      <c r="AZ11" s="51"/>
      <c r="BA11" s="51"/>
      <c r="BB11" s="51"/>
      <c r="BC11" s="51"/>
      <c r="BD11" s="51"/>
      <c r="BE11" s="51"/>
      <c r="BF11" s="51"/>
      <c r="BG11" s="42" t="str">
        <f t="shared" ref="BG11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"Тср", note: "Выдержка времени срабатывания", group: "setting", minValue: 5000, maxValue: 240000, step: 10, units: "мс", defaultValue: 7000, eventRegistration: 0</v>
      </c>
    </row>
    <row r="12" spans="1:16379" s="2" customFormat="1" x14ac:dyDescent="0.25">
      <c r="A12" s="50"/>
      <c r="B12" s="50" t="s">
        <v>86</v>
      </c>
      <c r="C12" s="54"/>
      <c r="D12" s="88" t="s">
        <v>219</v>
      </c>
      <c r="E12" s="39" t="s">
        <v>317</v>
      </c>
      <c r="F12" s="39" t="s">
        <v>323</v>
      </c>
      <c r="G12" s="39" t="s">
        <v>170</v>
      </c>
      <c r="H12" s="39"/>
      <c r="I12" s="39">
        <f t="shared" si="0"/>
        <v>6</v>
      </c>
      <c r="J12" s="39" t="str">
        <f t="shared" si="1"/>
        <v>Твозвр</v>
      </c>
      <c r="K12" s="50" t="s">
        <v>318</v>
      </c>
      <c r="L12" s="53" t="s">
        <v>114</v>
      </c>
      <c r="M12" s="54" t="s">
        <v>52</v>
      </c>
      <c r="N12" s="54" t="s">
        <v>52</v>
      </c>
      <c r="O12" s="54"/>
      <c r="P12" s="56">
        <v>2</v>
      </c>
      <c r="Q12" s="56" t="s">
        <v>115</v>
      </c>
      <c r="R12" s="54" t="s">
        <v>116</v>
      </c>
      <c r="S12" s="54">
        <v>0</v>
      </c>
      <c r="T12" s="54">
        <v>100000</v>
      </c>
      <c r="U12" s="54">
        <v>10</v>
      </c>
      <c r="V12" s="54"/>
      <c r="W12" s="54"/>
      <c r="X12" s="54">
        <v>1000</v>
      </c>
      <c r="Y12" s="54">
        <v>0</v>
      </c>
      <c r="Z12" s="52"/>
      <c r="AA12" s="44">
        <v>0</v>
      </c>
      <c r="AB12" s="44"/>
      <c r="AC12" s="44"/>
      <c r="AD12" s="44"/>
      <c r="AE12" s="44"/>
      <c r="AF12" s="44">
        <v>0</v>
      </c>
      <c r="AG12" s="44">
        <v>0</v>
      </c>
      <c r="AH12" s="44">
        <v>0</v>
      </c>
      <c r="AI12" s="65"/>
      <c r="AJ12" s="55"/>
      <c r="AK12" s="55"/>
      <c r="AL12" s="55"/>
      <c r="AM12" s="55"/>
      <c r="AN12" s="55"/>
      <c r="AO12" s="55"/>
      <c r="AP12" s="55"/>
      <c r="AQ12" s="55"/>
      <c r="AR12" s="51">
        <v>0</v>
      </c>
      <c r="AS12" s="51">
        <v>0</v>
      </c>
      <c r="AT12" s="51">
        <v>0</v>
      </c>
      <c r="AU12" s="51">
        <v>0</v>
      </c>
      <c r="AV12" s="51">
        <f t="shared" si="2"/>
        <v>0</v>
      </c>
      <c r="AW12" s="51"/>
      <c r="AX12" s="51"/>
      <c r="AY12" s="56"/>
      <c r="AZ12" s="51"/>
      <c r="BA12" s="51"/>
      <c r="BB12" s="51"/>
      <c r="BC12" s="51"/>
      <c r="BD12" s="51"/>
      <c r="BE12" s="51"/>
      <c r="BF12" s="51"/>
      <c r="BG12" s="42" t="str">
        <f t="shared" si="3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13" spans="1:16379" s="2" customFormat="1" ht="17.25" customHeight="1" x14ac:dyDescent="0.25">
      <c r="A13" s="50"/>
      <c r="B13" s="50" t="s">
        <v>86</v>
      </c>
      <c r="C13" s="54"/>
      <c r="D13" s="88" t="s">
        <v>219</v>
      </c>
      <c r="E13" s="39" t="s">
        <v>319</v>
      </c>
      <c r="F13" s="39" t="s">
        <v>324</v>
      </c>
      <c r="G13" s="39" t="s">
        <v>320</v>
      </c>
      <c r="H13" s="39"/>
      <c r="I13" s="39">
        <f t="shared" si="0"/>
        <v>6</v>
      </c>
      <c r="J13" s="39" t="str">
        <f t="shared" si="1"/>
        <v>Тсброс</v>
      </c>
      <c r="K13" s="50" t="s">
        <v>321</v>
      </c>
      <c r="L13" s="53" t="s">
        <v>114</v>
      </c>
      <c r="M13" s="54" t="s">
        <v>52</v>
      </c>
      <c r="N13" s="54" t="s">
        <v>52</v>
      </c>
      <c r="O13" s="54"/>
      <c r="P13" s="56">
        <v>2</v>
      </c>
      <c r="Q13" s="56" t="s">
        <v>115</v>
      </c>
      <c r="R13" s="54" t="s">
        <v>116</v>
      </c>
      <c r="S13" s="54">
        <v>0</v>
      </c>
      <c r="T13" s="54">
        <v>100000</v>
      </c>
      <c r="U13" s="54">
        <v>10</v>
      </c>
      <c r="V13" s="54"/>
      <c r="W13" s="54"/>
      <c r="X13" s="54">
        <v>1000</v>
      </c>
      <c r="Y13" s="54">
        <v>0</v>
      </c>
      <c r="Z13" s="52"/>
      <c r="AA13" s="44">
        <v>0</v>
      </c>
      <c r="AB13" s="44"/>
      <c r="AC13" s="44"/>
      <c r="AD13" s="44"/>
      <c r="AE13" s="44"/>
      <c r="AF13" s="44">
        <v>0</v>
      </c>
      <c r="AG13" s="44">
        <v>0</v>
      </c>
      <c r="AH13" s="44">
        <v>0</v>
      </c>
      <c r="AI13" s="65"/>
      <c r="AJ13" s="55"/>
      <c r="AK13" s="55"/>
      <c r="AL13" s="55"/>
      <c r="AM13" s="55"/>
      <c r="AN13" s="55"/>
      <c r="AO13" s="55"/>
      <c r="AP13" s="55"/>
      <c r="AQ13" s="55"/>
      <c r="AR13" s="51">
        <v>0</v>
      </c>
      <c r="AS13" s="51">
        <v>0</v>
      </c>
      <c r="AT13" s="51">
        <v>0</v>
      </c>
      <c r="AU13" s="51">
        <v>0</v>
      </c>
      <c r="AV13" s="51">
        <f t="shared" si="2"/>
        <v>0</v>
      </c>
      <c r="AW13" s="51"/>
      <c r="AX13" s="51"/>
      <c r="AY13" s="56"/>
      <c r="AZ13" s="51"/>
      <c r="BA13" s="51"/>
      <c r="BB13" s="51"/>
      <c r="BC13" s="51"/>
      <c r="BD13" s="51"/>
      <c r="BE13" s="51"/>
      <c r="BF13" s="51"/>
      <c r="BG13" s="42" t="str">
        <f t="shared" si="3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  <row r="14" spans="1:16379" s="85" customFormat="1" x14ac:dyDescent="0.25">
      <c r="A14" s="71"/>
      <c r="B14" s="71" t="s">
        <v>86</v>
      </c>
      <c r="C14" s="77"/>
      <c r="D14" s="86" t="s">
        <v>220</v>
      </c>
      <c r="E14" s="66" t="s">
        <v>113</v>
      </c>
      <c r="F14" s="66" t="s">
        <v>107</v>
      </c>
      <c r="G14" s="66" t="s">
        <v>111</v>
      </c>
      <c r="H14" s="66" t="s">
        <v>102</v>
      </c>
      <c r="I14" s="66">
        <f>LEN(F14)</f>
        <v>12</v>
      </c>
      <c r="J14" s="66" t="str">
        <f>IF(LEN(F14)&lt;=$J$1,F14,"")</f>
        <v>Ввод_функции</v>
      </c>
      <c r="K14" s="71" t="s">
        <v>330</v>
      </c>
      <c r="L14" s="76" t="s">
        <v>54</v>
      </c>
      <c r="M14" s="77" t="s">
        <v>52</v>
      </c>
      <c r="N14" s="77" t="s">
        <v>52</v>
      </c>
      <c r="O14" s="77"/>
      <c r="P14" s="79">
        <v>0</v>
      </c>
      <c r="Q14" s="79"/>
      <c r="R14" s="77" t="s">
        <v>53</v>
      </c>
      <c r="S14" s="77">
        <v>0</v>
      </c>
      <c r="T14" s="77">
        <v>1</v>
      </c>
      <c r="U14" s="77">
        <v>1</v>
      </c>
      <c r="V14" s="77"/>
      <c r="W14" s="77"/>
      <c r="X14" s="77">
        <v>0</v>
      </c>
      <c r="Y14" s="77">
        <v>0</v>
      </c>
      <c r="Z14" s="75"/>
      <c r="AA14" s="69">
        <v>0</v>
      </c>
      <c r="AB14" s="69"/>
      <c r="AC14" s="69"/>
      <c r="AD14" s="69"/>
      <c r="AE14" s="69"/>
      <c r="AF14" s="69">
        <v>0</v>
      </c>
      <c r="AG14" s="69">
        <v>0</v>
      </c>
      <c r="AH14" s="69">
        <v>0</v>
      </c>
      <c r="AI14" s="69"/>
      <c r="AJ14" s="72"/>
      <c r="AK14" s="72"/>
      <c r="AL14" s="72"/>
      <c r="AM14" s="72"/>
      <c r="AN14" s="72"/>
      <c r="AO14" s="72"/>
      <c r="AP14" s="72"/>
      <c r="AQ14" s="72"/>
      <c r="AR14" s="72">
        <v>0</v>
      </c>
      <c r="AS14" s="72">
        <v>0</v>
      </c>
      <c r="AT14" s="72">
        <v>0</v>
      </c>
      <c r="AU14" s="72">
        <v>0</v>
      </c>
      <c r="AV14" s="72">
        <f>BIN2DEC(CONCATENATE(0,0,0,0,AR14,AS14,AT14,AU14))</f>
        <v>0</v>
      </c>
      <c r="AW14" s="72" t="s">
        <v>103</v>
      </c>
      <c r="AX14" s="72"/>
      <c r="AY14" s="79"/>
      <c r="AZ14" s="72"/>
      <c r="BA14" s="72"/>
      <c r="BB14" s="72"/>
      <c r="BC14" s="72"/>
      <c r="BD14" s="72"/>
      <c r="BE14" s="72"/>
      <c r="BF14" s="72"/>
      <c r="BG14" s="8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"Ввод_функции", note: "Ввод функции в работу", group: "setting", minValue: 0, maxValue: 1, step: 1, units: "null", defaultValue: 0, eventRegistration: 0</v>
      </c>
    </row>
    <row r="15" spans="1:16379" s="85" customFormat="1" x14ac:dyDescent="0.25">
      <c r="A15" s="71"/>
      <c r="B15" s="71" t="s">
        <v>86</v>
      </c>
      <c r="C15" s="77"/>
      <c r="D15" s="86" t="s">
        <v>220</v>
      </c>
      <c r="E15" s="66" t="s">
        <v>141</v>
      </c>
      <c r="F15" s="66" t="s">
        <v>315</v>
      </c>
      <c r="G15" s="66" t="s">
        <v>316</v>
      </c>
      <c r="H15" s="66"/>
      <c r="I15" s="66">
        <f>LEN(F15)</f>
        <v>3</v>
      </c>
      <c r="J15" s="66" t="str">
        <f>IF(LEN(F15)&lt;=$J$1,F15,"")</f>
        <v>Fср</v>
      </c>
      <c r="K15" s="71" t="s">
        <v>335</v>
      </c>
      <c r="L15" s="67" t="s">
        <v>120</v>
      </c>
      <c r="M15" s="77" t="s">
        <v>52</v>
      </c>
      <c r="N15" s="77" t="s">
        <v>52</v>
      </c>
      <c r="O15" s="77"/>
      <c r="P15" s="79">
        <v>0</v>
      </c>
      <c r="Q15" s="79"/>
      <c r="R15" s="77" t="s">
        <v>129</v>
      </c>
      <c r="S15" s="77">
        <v>49</v>
      </c>
      <c r="T15" s="77">
        <v>55</v>
      </c>
      <c r="U15" s="77" t="s">
        <v>147</v>
      </c>
      <c r="V15" s="77"/>
      <c r="W15" s="77"/>
      <c r="X15" s="77" t="s">
        <v>326</v>
      </c>
      <c r="Y15" s="77">
        <v>0</v>
      </c>
      <c r="Z15" s="75"/>
      <c r="AA15" s="69">
        <v>0</v>
      </c>
      <c r="AB15" s="69"/>
      <c r="AC15" s="69"/>
      <c r="AD15" s="69"/>
      <c r="AE15" s="69"/>
      <c r="AF15" s="69">
        <v>0</v>
      </c>
      <c r="AG15" s="69">
        <v>0</v>
      </c>
      <c r="AH15" s="69">
        <v>0</v>
      </c>
      <c r="AI15" s="70" t="s">
        <v>223</v>
      </c>
      <c r="AJ15" s="78" t="s">
        <v>363</v>
      </c>
      <c r="AK15" s="78" t="s">
        <v>151</v>
      </c>
      <c r="AL15" s="78" t="s">
        <v>152</v>
      </c>
      <c r="AM15" s="78" t="s">
        <v>120</v>
      </c>
      <c r="AN15" s="78"/>
      <c r="AO15" s="78" t="s">
        <v>375</v>
      </c>
      <c r="AP15" s="78" t="str">
        <f>CONCATENATE(AJ15, ".", AL15)</f>
        <v>ECAPTOF2.StrVal.setMag.f</v>
      </c>
      <c r="AQ15" s="78" t="s">
        <v>63</v>
      </c>
      <c r="AR15" s="72">
        <v>0</v>
      </c>
      <c r="AS15" s="72">
        <v>0</v>
      </c>
      <c r="AT15" s="72">
        <v>0</v>
      </c>
      <c r="AU15" s="72">
        <v>0</v>
      </c>
      <c r="AV15" s="72">
        <f>BIN2DEC(CONCATENATE(0,0,0,0,AR15,AS15,AT15,AU15))</f>
        <v>0</v>
      </c>
      <c r="AW15" s="72"/>
      <c r="AX15" s="72"/>
      <c r="AY15" s="79"/>
      <c r="AZ15" s="72"/>
      <c r="BA15" s="72"/>
      <c r="BB15" s="72"/>
      <c r="BC15" s="72"/>
      <c r="BD15" s="72"/>
      <c r="BE15" s="72"/>
      <c r="BF15" s="72"/>
      <c r="BG15" s="80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"Fср", note: "Частота срабатывания", group: "setting", minValue: 49, maxValue: 55, step: 0.01, units: "Гц", defaultValue: 50.5, eventRegistration: 0</v>
      </c>
    </row>
    <row r="16" spans="1:16379" s="87" customFormat="1" x14ac:dyDescent="0.25">
      <c r="A16" s="71"/>
      <c r="B16" s="71" t="s">
        <v>86</v>
      </c>
      <c r="C16" s="77"/>
      <c r="D16" s="86" t="s">
        <v>220</v>
      </c>
      <c r="E16" s="66" t="s">
        <v>325</v>
      </c>
      <c r="F16" s="66" t="s">
        <v>172</v>
      </c>
      <c r="G16" s="66"/>
      <c r="H16" s="66"/>
      <c r="I16" s="66">
        <f>LEN(F16)</f>
        <v>7</v>
      </c>
      <c r="J16" s="66" t="str">
        <f>IF(LEN(F16)&lt;=$J$1,F16,"")</f>
        <v>dFвозвр</v>
      </c>
      <c r="K16" s="71" t="s">
        <v>336</v>
      </c>
      <c r="L16" s="67" t="s">
        <v>120</v>
      </c>
      <c r="M16" s="77" t="s">
        <v>52</v>
      </c>
      <c r="N16" s="77" t="s">
        <v>52</v>
      </c>
      <c r="O16" s="77"/>
      <c r="P16" s="79">
        <v>0</v>
      </c>
      <c r="Q16" s="79"/>
      <c r="R16" s="77" t="s">
        <v>129</v>
      </c>
      <c r="S16" s="77" t="s">
        <v>148</v>
      </c>
      <c r="T16" s="77">
        <v>1</v>
      </c>
      <c r="U16" s="77" t="s">
        <v>147</v>
      </c>
      <c r="V16" s="77"/>
      <c r="W16" s="77"/>
      <c r="X16" s="77" t="s">
        <v>146</v>
      </c>
      <c r="Y16" s="77">
        <v>0</v>
      </c>
      <c r="Z16" s="75"/>
      <c r="AA16" s="69">
        <v>0</v>
      </c>
      <c r="AB16" s="69"/>
      <c r="AC16" s="69"/>
      <c r="AD16" s="69"/>
      <c r="AE16" s="69"/>
      <c r="AF16" s="69">
        <v>0</v>
      </c>
      <c r="AG16" s="69">
        <v>0</v>
      </c>
      <c r="AH16" s="69">
        <v>0</v>
      </c>
      <c r="AI16" s="70" t="s">
        <v>223</v>
      </c>
      <c r="AJ16" s="78" t="s">
        <v>364</v>
      </c>
      <c r="AK16" s="78" t="s">
        <v>151</v>
      </c>
      <c r="AL16" s="78" t="s">
        <v>152</v>
      </c>
      <c r="AM16" s="78" t="s">
        <v>120</v>
      </c>
      <c r="AN16" s="78"/>
      <c r="AO16" s="78" t="s">
        <v>375</v>
      </c>
      <c r="AP16" s="78" t="str">
        <f>CONCATENATE(AJ16, ".", AL16)</f>
        <v>ECAPTOF2.RsVal.setMag.f</v>
      </c>
      <c r="AQ16" s="78" t="s">
        <v>63</v>
      </c>
      <c r="AR16" s="72">
        <v>0</v>
      </c>
      <c r="AS16" s="72">
        <v>0</v>
      </c>
      <c r="AT16" s="72">
        <v>0</v>
      </c>
      <c r="AU16" s="72">
        <v>0</v>
      </c>
      <c r="AV16" s="72">
        <f>BIN2DEC(CONCATENATE(0,0,0,0,AR16,AS16,AT16,AU16))</f>
        <v>0</v>
      </c>
      <c r="AW16" s="72"/>
      <c r="AX16" s="72"/>
      <c r="AY16" s="79"/>
      <c r="AZ16" s="72"/>
      <c r="BA16" s="72"/>
      <c r="BB16" s="72"/>
      <c r="BC16" s="72"/>
      <c r="BD16" s="72"/>
      <c r="BE16" s="72"/>
      <c r="BF16" s="72"/>
      <c r="BG16" s="80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"dFвозвр", note: "Уставка возврата ступени по частоте", group: "setting", minValue: 0.04, maxValue: 1, step: 0.01, units: "Гц", defaultValue: 0.1, eventRegistration: 0</v>
      </c>
    </row>
    <row r="17" spans="1:59" s="85" customFormat="1" x14ac:dyDescent="0.25">
      <c r="A17" s="71"/>
      <c r="B17" s="71" t="s">
        <v>86</v>
      </c>
      <c r="C17" s="77"/>
      <c r="D17" s="86" t="s">
        <v>220</v>
      </c>
      <c r="E17" s="66" t="s">
        <v>139</v>
      </c>
      <c r="F17" s="66" t="s">
        <v>140</v>
      </c>
      <c r="G17" s="66" t="s">
        <v>145</v>
      </c>
      <c r="H17" s="66"/>
      <c r="I17" s="66">
        <f>LEN(F17)</f>
        <v>3</v>
      </c>
      <c r="J17" s="66" t="str">
        <f>IF(LEN(F17)&lt;=$J$1,F17,"")</f>
        <v>Uср</v>
      </c>
      <c r="K17" s="71" t="s">
        <v>337</v>
      </c>
      <c r="L17" s="67" t="s">
        <v>120</v>
      </c>
      <c r="M17" s="77" t="s">
        <v>52</v>
      </c>
      <c r="N17" s="77" t="s">
        <v>52</v>
      </c>
      <c r="O17" s="77"/>
      <c r="P17" s="79">
        <v>0</v>
      </c>
      <c r="Q17" s="79"/>
      <c r="R17" s="77" t="s">
        <v>128</v>
      </c>
      <c r="S17" s="77">
        <v>2</v>
      </c>
      <c r="T17" s="77">
        <v>100</v>
      </c>
      <c r="U17" s="77" t="s">
        <v>146</v>
      </c>
      <c r="V17" s="77"/>
      <c r="W17" s="77"/>
      <c r="X17" s="77">
        <v>20</v>
      </c>
      <c r="Y17" s="77">
        <v>0</v>
      </c>
      <c r="Z17" s="75"/>
      <c r="AA17" s="69">
        <v>0</v>
      </c>
      <c r="AB17" s="69"/>
      <c r="AC17" s="69"/>
      <c r="AD17" s="69"/>
      <c r="AE17" s="69"/>
      <c r="AF17" s="69">
        <v>0</v>
      </c>
      <c r="AG17" s="69">
        <v>0</v>
      </c>
      <c r="AH17" s="69">
        <v>0</v>
      </c>
      <c r="AI17" s="70"/>
      <c r="AJ17" s="78"/>
      <c r="AK17" s="78"/>
      <c r="AL17" s="78"/>
      <c r="AM17" s="78"/>
      <c r="AN17" s="78"/>
      <c r="AO17" s="78"/>
      <c r="AP17" s="78"/>
      <c r="AQ17" s="78"/>
      <c r="AR17" s="72">
        <v>0</v>
      </c>
      <c r="AS17" s="72">
        <v>0</v>
      </c>
      <c r="AT17" s="72">
        <v>0</v>
      </c>
      <c r="AU17" s="72">
        <v>0</v>
      </c>
      <c r="AV17" s="72">
        <f>BIN2DEC(CONCATENATE(0,0,0,0,AR17,AS17,AT17,AU17))</f>
        <v>0</v>
      </c>
      <c r="AW17" s="72"/>
      <c r="AX17" s="72"/>
      <c r="AY17" s="79"/>
      <c r="AZ17" s="72"/>
      <c r="BA17" s="72"/>
      <c r="BB17" s="72"/>
      <c r="BC17" s="72"/>
      <c r="BD17" s="72"/>
      <c r="BE17" s="72"/>
      <c r="BF17" s="72"/>
      <c r="BG17" s="80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"Uср", note: "Напряжение срабатывания", group: "setting", minValue: 2, maxValue: 100, step: 0.1, units: "В", defaultValue: 20, eventRegistration: 0</v>
      </c>
    </row>
    <row r="18" spans="1:59" s="85" customFormat="1" x14ac:dyDescent="0.25">
      <c r="A18" s="71"/>
      <c r="B18" s="71" t="s">
        <v>86</v>
      </c>
      <c r="C18" s="77"/>
      <c r="D18" s="86" t="s">
        <v>220</v>
      </c>
      <c r="E18" s="66" t="s">
        <v>168</v>
      </c>
      <c r="F18" s="66" t="s">
        <v>169</v>
      </c>
      <c r="G18" s="66" t="s">
        <v>142</v>
      </c>
      <c r="H18" s="66" t="s">
        <v>102</v>
      </c>
      <c r="I18" s="66">
        <f t="shared" ref="I18:I24" si="12">LEN(F18)</f>
        <v>7</v>
      </c>
      <c r="J18" s="66" t="str">
        <f t="shared" ref="J18:J24" si="13">IF(LEN(F18)&lt;=$J$1,F18,"")</f>
        <v>Контр_U</v>
      </c>
      <c r="K18" s="71" t="s">
        <v>331</v>
      </c>
      <c r="L18" s="76" t="s">
        <v>54</v>
      </c>
      <c r="M18" s="77" t="s">
        <v>52</v>
      </c>
      <c r="N18" s="77" t="s">
        <v>52</v>
      </c>
      <c r="O18" s="77"/>
      <c r="P18" s="79">
        <v>0</v>
      </c>
      <c r="Q18" s="79"/>
      <c r="R18" s="77" t="s">
        <v>53</v>
      </c>
      <c r="S18" s="77">
        <v>0</v>
      </c>
      <c r="T18" s="77">
        <v>1</v>
      </c>
      <c r="U18" s="77">
        <v>1</v>
      </c>
      <c r="V18" s="77"/>
      <c r="W18" s="77"/>
      <c r="X18" s="77">
        <v>0</v>
      </c>
      <c r="Y18" s="77">
        <v>0</v>
      </c>
      <c r="Z18" s="75"/>
      <c r="AA18" s="69">
        <v>0</v>
      </c>
      <c r="AB18" s="69"/>
      <c r="AC18" s="69"/>
      <c r="AD18" s="69"/>
      <c r="AE18" s="69"/>
      <c r="AF18" s="69">
        <v>0</v>
      </c>
      <c r="AG18" s="69">
        <v>0</v>
      </c>
      <c r="AH18" s="69">
        <v>0</v>
      </c>
      <c r="AI18" s="69"/>
      <c r="AJ18" s="72"/>
      <c r="AK18" s="72"/>
      <c r="AL18" s="72"/>
      <c r="AM18" s="72"/>
      <c r="AN18" s="72"/>
      <c r="AO18" s="72"/>
      <c r="AP18" s="72"/>
      <c r="AQ18" s="72"/>
      <c r="AR18" s="72">
        <v>0</v>
      </c>
      <c r="AS18" s="72">
        <v>0</v>
      </c>
      <c r="AT18" s="72">
        <v>0</v>
      </c>
      <c r="AU18" s="72">
        <v>0</v>
      </c>
      <c r="AV18" s="72">
        <f t="shared" ref="AV18:AV24" si="14">BIN2DEC(CONCATENATE(0,0,0,0,AR18,AS18,AT18,AU18))</f>
        <v>0</v>
      </c>
      <c r="AW18" s="72" t="s">
        <v>103</v>
      </c>
      <c r="AX18" s="72"/>
      <c r="AY18" s="79"/>
      <c r="AZ18" s="72"/>
      <c r="BA18" s="72"/>
      <c r="BB18" s="72"/>
      <c r="BC18" s="72"/>
      <c r="BD18" s="72"/>
      <c r="BE18" s="72"/>
      <c r="BF18" s="72"/>
      <c r="BG18" s="80" t="str">
        <f t="shared" ref="BG18:BG24" si="15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"Контр_U", note: "Контроль напряжения", group: "setting", minValue: 0, maxValue: 1, step: 1, units: "null", defaultValue: 0, eventRegistration: 0</v>
      </c>
    </row>
    <row r="19" spans="1:59" s="85" customFormat="1" x14ac:dyDescent="0.25">
      <c r="A19" s="71"/>
      <c r="B19" s="71" t="s">
        <v>86</v>
      </c>
      <c r="C19" s="77"/>
      <c r="D19" s="86" t="s">
        <v>220</v>
      </c>
      <c r="E19" s="66" t="s">
        <v>305</v>
      </c>
      <c r="F19" s="66" t="s">
        <v>306</v>
      </c>
      <c r="G19" s="66" t="s">
        <v>143</v>
      </c>
      <c r="H19" s="66" t="s">
        <v>102</v>
      </c>
      <c r="I19" s="66">
        <f t="shared" si="12"/>
        <v>14</v>
      </c>
      <c r="J19" s="66" t="str">
        <f t="shared" si="13"/>
        <v>Блок_повт_ЧАПВ</v>
      </c>
      <c r="K19" s="71" t="s">
        <v>332</v>
      </c>
      <c r="L19" s="76" t="s">
        <v>54</v>
      </c>
      <c r="M19" s="77" t="s">
        <v>52</v>
      </c>
      <c r="N19" s="77" t="s">
        <v>52</v>
      </c>
      <c r="O19" s="77"/>
      <c r="P19" s="79">
        <v>0</v>
      </c>
      <c r="Q19" s="79"/>
      <c r="R19" s="77" t="s">
        <v>53</v>
      </c>
      <c r="S19" s="77">
        <v>0</v>
      </c>
      <c r="T19" s="77">
        <v>1</v>
      </c>
      <c r="U19" s="77">
        <v>1</v>
      </c>
      <c r="V19" s="77"/>
      <c r="W19" s="77"/>
      <c r="X19" s="77">
        <v>0</v>
      </c>
      <c r="Y19" s="77">
        <v>0</v>
      </c>
      <c r="Z19" s="75"/>
      <c r="AA19" s="69">
        <v>0</v>
      </c>
      <c r="AB19" s="69"/>
      <c r="AC19" s="69"/>
      <c r="AD19" s="69"/>
      <c r="AE19" s="69"/>
      <c r="AF19" s="69">
        <v>0</v>
      </c>
      <c r="AG19" s="69">
        <v>0</v>
      </c>
      <c r="AH19" s="69">
        <v>0</v>
      </c>
      <c r="AI19" s="69"/>
      <c r="AJ19" s="72"/>
      <c r="AK19" s="72"/>
      <c r="AL19" s="72"/>
      <c r="AM19" s="72"/>
      <c r="AN19" s="72"/>
      <c r="AO19" s="72"/>
      <c r="AP19" s="72"/>
      <c r="AQ19" s="72"/>
      <c r="AR19" s="72">
        <v>0</v>
      </c>
      <c r="AS19" s="72">
        <v>0</v>
      </c>
      <c r="AT19" s="72">
        <v>0</v>
      </c>
      <c r="AU19" s="72">
        <v>0</v>
      </c>
      <c r="AV19" s="72">
        <f t="shared" si="14"/>
        <v>0</v>
      </c>
      <c r="AW19" s="72" t="s">
        <v>103</v>
      </c>
      <c r="AX19" s="72"/>
      <c r="AY19" s="79"/>
      <c r="AZ19" s="72"/>
      <c r="BA19" s="72"/>
      <c r="BB19" s="72"/>
      <c r="BC19" s="72"/>
      <c r="BD19" s="72"/>
      <c r="BE19" s="72"/>
      <c r="BF19" s="72"/>
      <c r="BG19" s="80" t="str">
        <f t="shared" si="15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20" spans="1:59" s="85" customFormat="1" x14ac:dyDescent="0.25">
      <c r="A20" s="71"/>
      <c r="B20" s="71" t="s">
        <v>86</v>
      </c>
      <c r="C20" s="77"/>
      <c r="D20" s="86" t="s">
        <v>220</v>
      </c>
      <c r="E20" s="66" t="s">
        <v>308</v>
      </c>
      <c r="F20" s="66" t="s">
        <v>309</v>
      </c>
      <c r="G20" s="66" t="s">
        <v>144</v>
      </c>
      <c r="H20" s="66" t="s">
        <v>102</v>
      </c>
      <c r="I20" s="66">
        <f t="shared" si="12"/>
        <v>14</v>
      </c>
      <c r="J20" s="66" t="str">
        <f t="shared" si="13"/>
        <v>Авт_возвр_ЧАПВ</v>
      </c>
      <c r="K20" s="71" t="s">
        <v>333</v>
      </c>
      <c r="L20" s="76" t="s">
        <v>54</v>
      </c>
      <c r="M20" s="77" t="s">
        <v>52</v>
      </c>
      <c r="N20" s="77" t="s">
        <v>52</v>
      </c>
      <c r="O20" s="77"/>
      <c r="P20" s="79">
        <v>0</v>
      </c>
      <c r="Q20" s="79"/>
      <c r="R20" s="77" t="s">
        <v>53</v>
      </c>
      <c r="S20" s="77">
        <v>0</v>
      </c>
      <c r="T20" s="77">
        <v>1</v>
      </c>
      <c r="U20" s="77">
        <v>1</v>
      </c>
      <c r="V20" s="77"/>
      <c r="W20" s="77"/>
      <c r="X20" s="77">
        <v>0</v>
      </c>
      <c r="Y20" s="77">
        <v>0</v>
      </c>
      <c r="Z20" s="75"/>
      <c r="AA20" s="69">
        <v>0</v>
      </c>
      <c r="AB20" s="69"/>
      <c r="AC20" s="69"/>
      <c r="AD20" s="69"/>
      <c r="AE20" s="69"/>
      <c r="AF20" s="69">
        <v>0</v>
      </c>
      <c r="AG20" s="69">
        <v>0</v>
      </c>
      <c r="AH20" s="69">
        <v>0</v>
      </c>
      <c r="AI20" s="69"/>
      <c r="AJ20" s="72"/>
      <c r="AK20" s="72"/>
      <c r="AL20" s="72"/>
      <c r="AM20" s="72"/>
      <c r="AN20" s="72"/>
      <c r="AO20" s="72"/>
      <c r="AP20" s="72"/>
      <c r="AQ20" s="72"/>
      <c r="AR20" s="72">
        <v>0</v>
      </c>
      <c r="AS20" s="72">
        <v>0</v>
      </c>
      <c r="AT20" s="72">
        <v>0</v>
      </c>
      <c r="AU20" s="72">
        <v>0</v>
      </c>
      <c r="AV20" s="72">
        <f t="shared" si="14"/>
        <v>0</v>
      </c>
      <c r="AW20" s="72" t="s">
        <v>103</v>
      </c>
      <c r="AX20" s="72"/>
      <c r="AY20" s="79"/>
      <c r="AZ20" s="72"/>
      <c r="BA20" s="72"/>
      <c r="BB20" s="72"/>
      <c r="BC20" s="72"/>
      <c r="BD20" s="72"/>
      <c r="BE20" s="72"/>
      <c r="BF20" s="72"/>
      <c r="BG20" s="80" t="str">
        <f t="shared" si="15"/>
        <v>description: "Авт_возвр_ЧАПВ", note: "Автоматический возврат схемы ЧАПВ", group: "setting", minValue: 0, maxValue: 1, step: 1, units: "null", defaultValue: 0, eventRegistration: 0</v>
      </c>
    </row>
    <row r="21" spans="1:59" s="85" customFormat="1" x14ac:dyDescent="0.25">
      <c r="A21" s="71"/>
      <c r="B21" s="71" t="s">
        <v>86</v>
      </c>
      <c r="C21" s="77"/>
      <c r="D21" s="86" t="s">
        <v>220</v>
      </c>
      <c r="E21" s="66" t="s">
        <v>311</v>
      </c>
      <c r="F21" s="66" t="s">
        <v>312</v>
      </c>
      <c r="G21" s="66" t="s">
        <v>313</v>
      </c>
      <c r="H21" s="66" t="s">
        <v>102</v>
      </c>
      <c r="I21" s="66">
        <f t="shared" si="12"/>
        <v>10</v>
      </c>
      <c r="J21" s="66" t="str">
        <f t="shared" si="13"/>
        <v>Сброс_ЧАПВ</v>
      </c>
      <c r="K21" s="71" t="s">
        <v>334</v>
      </c>
      <c r="L21" s="76" t="s">
        <v>54</v>
      </c>
      <c r="M21" s="77" t="s">
        <v>52</v>
      </c>
      <c r="N21" s="77" t="s">
        <v>52</v>
      </c>
      <c r="O21" s="77"/>
      <c r="P21" s="79">
        <v>0</v>
      </c>
      <c r="Q21" s="79"/>
      <c r="R21" s="77" t="s">
        <v>53</v>
      </c>
      <c r="S21" s="77">
        <v>0</v>
      </c>
      <c r="T21" s="77">
        <v>1</v>
      </c>
      <c r="U21" s="77">
        <v>1</v>
      </c>
      <c r="V21" s="77"/>
      <c r="W21" s="77"/>
      <c r="X21" s="77">
        <v>0</v>
      </c>
      <c r="Y21" s="77">
        <v>0</v>
      </c>
      <c r="Z21" s="75"/>
      <c r="AA21" s="69">
        <v>0</v>
      </c>
      <c r="AB21" s="69"/>
      <c r="AC21" s="69"/>
      <c r="AD21" s="69"/>
      <c r="AE21" s="69"/>
      <c r="AF21" s="69">
        <v>0</v>
      </c>
      <c r="AG21" s="69">
        <v>0</v>
      </c>
      <c r="AH21" s="69">
        <v>0</v>
      </c>
      <c r="AI21" s="69"/>
      <c r="AJ21" s="72"/>
      <c r="AK21" s="72"/>
      <c r="AL21" s="72"/>
      <c r="AM21" s="72"/>
      <c r="AN21" s="72"/>
      <c r="AO21" s="72"/>
      <c r="AP21" s="72"/>
      <c r="AQ21" s="72"/>
      <c r="AR21" s="72">
        <v>0</v>
      </c>
      <c r="AS21" s="72">
        <v>0</v>
      </c>
      <c r="AT21" s="72">
        <v>0</v>
      </c>
      <c r="AU21" s="72">
        <v>0</v>
      </c>
      <c r="AV21" s="72">
        <f t="shared" si="14"/>
        <v>0</v>
      </c>
      <c r="AW21" s="72" t="s">
        <v>103</v>
      </c>
      <c r="AX21" s="72"/>
      <c r="AY21" s="79"/>
      <c r="AZ21" s="72"/>
      <c r="BA21" s="72"/>
      <c r="BB21" s="72"/>
      <c r="BC21" s="72"/>
      <c r="BD21" s="72"/>
      <c r="BE21" s="72"/>
      <c r="BF21" s="72"/>
      <c r="BG21" s="80" t="str">
        <f t="shared" si="15"/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22" spans="1:59" s="85" customFormat="1" x14ac:dyDescent="0.25">
      <c r="A22" s="71"/>
      <c r="B22" s="71" t="s">
        <v>86</v>
      </c>
      <c r="C22" s="77"/>
      <c r="D22" s="86" t="s">
        <v>220</v>
      </c>
      <c r="E22" s="66" t="s">
        <v>149</v>
      </c>
      <c r="F22" s="66" t="s">
        <v>322</v>
      </c>
      <c r="G22" s="66" t="s">
        <v>171</v>
      </c>
      <c r="H22" s="66"/>
      <c r="I22" s="66">
        <f t="shared" si="12"/>
        <v>3</v>
      </c>
      <c r="J22" s="66" t="str">
        <f t="shared" si="13"/>
        <v>Тср</v>
      </c>
      <c r="K22" s="71" t="s">
        <v>338</v>
      </c>
      <c r="L22" s="76" t="s">
        <v>114</v>
      </c>
      <c r="M22" s="77" t="s">
        <v>52</v>
      </c>
      <c r="N22" s="77" t="s">
        <v>52</v>
      </c>
      <c r="O22" s="77"/>
      <c r="P22" s="79">
        <v>2</v>
      </c>
      <c r="Q22" s="79" t="s">
        <v>115</v>
      </c>
      <c r="R22" s="77" t="s">
        <v>116</v>
      </c>
      <c r="S22" s="77">
        <v>5000</v>
      </c>
      <c r="T22" s="77">
        <v>240000</v>
      </c>
      <c r="U22" s="77">
        <v>10</v>
      </c>
      <c r="V22" s="77"/>
      <c r="W22" s="77"/>
      <c r="X22" s="77">
        <v>7000</v>
      </c>
      <c r="Y22" s="77">
        <v>0</v>
      </c>
      <c r="Z22" s="75"/>
      <c r="AA22" s="69">
        <v>0</v>
      </c>
      <c r="AB22" s="69"/>
      <c r="AC22" s="69"/>
      <c r="AD22" s="69"/>
      <c r="AE22" s="69"/>
      <c r="AF22" s="69">
        <v>0</v>
      </c>
      <c r="AG22" s="69">
        <v>0</v>
      </c>
      <c r="AH22" s="69">
        <v>0</v>
      </c>
      <c r="AI22" s="70" t="s">
        <v>223</v>
      </c>
      <c r="AJ22" s="78" t="s">
        <v>365</v>
      </c>
      <c r="AK22" s="78" t="s">
        <v>153</v>
      </c>
      <c r="AL22" s="78" t="s">
        <v>154</v>
      </c>
      <c r="AM22" s="78" t="s">
        <v>114</v>
      </c>
      <c r="AN22" s="78"/>
      <c r="AO22" s="78" t="s">
        <v>375</v>
      </c>
      <c r="AP22" s="78" t="str">
        <f>CONCATENATE(AJ22, ".", AL22)</f>
        <v>ECAPTOF2.OpDlTmms.setVal</v>
      </c>
      <c r="AQ22" s="78" t="s">
        <v>63</v>
      </c>
      <c r="AR22" s="72">
        <v>0</v>
      </c>
      <c r="AS22" s="72">
        <v>0</v>
      </c>
      <c r="AT22" s="72">
        <v>0</v>
      </c>
      <c r="AU22" s="72">
        <v>0</v>
      </c>
      <c r="AV22" s="72">
        <f t="shared" si="14"/>
        <v>0</v>
      </c>
      <c r="AW22" s="72"/>
      <c r="AX22" s="72"/>
      <c r="AY22" s="79"/>
      <c r="AZ22" s="72"/>
      <c r="BA22" s="72"/>
      <c r="BB22" s="72"/>
      <c r="BC22" s="72"/>
      <c r="BD22" s="72"/>
      <c r="BE22" s="72"/>
      <c r="BF22" s="72"/>
      <c r="BG22" s="80" t="str">
        <f t="shared" si="15"/>
        <v>description: "Тср", note: "Выдержка времени срабатывания", group: "setting", minValue: 5000, maxValue: 240000, step: 10, units: "мс", defaultValue: 7000, eventRegistration: 0</v>
      </c>
    </row>
    <row r="23" spans="1:59" s="85" customFormat="1" x14ac:dyDescent="0.25">
      <c r="A23" s="71"/>
      <c r="B23" s="71" t="s">
        <v>86</v>
      </c>
      <c r="C23" s="77"/>
      <c r="D23" s="86" t="s">
        <v>220</v>
      </c>
      <c r="E23" s="66" t="s">
        <v>317</v>
      </c>
      <c r="F23" s="66" t="s">
        <v>323</v>
      </c>
      <c r="G23" s="66" t="s">
        <v>170</v>
      </c>
      <c r="H23" s="66"/>
      <c r="I23" s="66">
        <f t="shared" si="12"/>
        <v>6</v>
      </c>
      <c r="J23" s="66" t="str">
        <f t="shared" si="13"/>
        <v>Твозвр</v>
      </c>
      <c r="K23" s="71" t="s">
        <v>339</v>
      </c>
      <c r="L23" s="76" t="s">
        <v>114</v>
      </c>
      <c r="M23" s="77" t="s">
        <v>52</v>
      </c>
      <c r="N23" s="77" t="s">
        <v>52</v>
      </c>
      <c r="O23" s="77"/>
      <c r="P23" s="79">
        <v>2</v>
      </c>
      <c r="Q23" s="79" t="s">
        <v>115</v>
      </c>
      <c r="R23" s="77" t="s">
        <v>116</v>
      </c>
      <c r="S23" s="77">
        <v>0</v>
      </c>
      <c r="T23" s="77">
        <v>100000</v>
      </c>
      <c r="U23" s="77">
        <v>10</v>
      </c>
      <c r="V23" s="77"/>
      <c r="W23" s="77"/>
      <c r="X23" s="77">
        <v>1000</v>
      </c>
      <c r="Y23" s="77">
        <v>0</v>
      </c>
      <c r="Z23" s="75"/>
      <c r="AA23" s="69">
        <v>0</v>
      </c>
      <c r="AB23" s="69"/>
      <c r="AC23" s="69"/>
      <c r="AD23" s="69"/>
      <c r="AE23" s="69"/>
      <c r="AF23" s="69">
        <v>0</v>
      </c>
      <c r="AG23" s="69">
        <v>0</v>
      </c>
      <c r="AH23" s="69">
        <v>0</v>
      </c>
      <c r="AI23" s="70"/>
      <c r="AJ23" s="78"/>
      <c r="AK23" s="78"/>
      <c r="AL23" s="78"/>
      <c r="AM23" s="78"/>
      <c r="AN23" s="78"/>
      <c r="AO23" s="78"/>
      <c r="AP23" s="78"/>
      <c r="AQ23" s="78"/>
      <c r="AR23" s="72">
        <v>0</v>
      </c>
      <c r="AS23" s="72">
        <v>0</v>
      </c>
      <c r="AT23" s="72">
        <v>0</v>
      </c>
      <c r="AU23" s="72">
        <v>0</v>
      </c>
      <c r="AV23" s="72">
        <f t="shared" si="14"/>
        <v>0</v>
      </c>
      <c r="AW23" s="72"/>
      <c r="AX23" s="72"/>
      <c r="AY23" s="79"/>
      <c r="AZ23" s="72"/>
      <c r="BA23" s="72"/>
      <c r="BB23" s="72"/>
      <c r="BC23" s="72"/>
      <c r="BD23" s="72"/>
      <c r="BE23" s="72"/>
      <c r="BF23" s="72"/>
      <c r="BG23" s="80" t="str">
        <f t="shared" si="15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24" spans="1:59" s="85" customFormat="1" ht="17.25" customHeight="1" x14ac:dyDescent="0.25">
      <c r="A24" s="71"/>
      <c r="B24" s="71" t="s">
        <v>86</v>
      </c>
      <c r="C24" s="77"/>
      <c r="D24" s="86" t="s">
        <v>220</v>
      </c>
      <c r="E24" s="66" t="s">
        <v>319</v>
      </c>
      <c r="F24" s="66" t="s">
        <v>324</v>
      </c>
      <c r="G24" s="66" t="s">
        <v>320</v>
      </c>
      <c r="H24" s="66"/>
      <c r="I24" s="66">
        <f t="shared" si="12"/>
        <v>6</v>
      </c>
      <c r="J24" s="66" t="str">
        <f t="shared" si="13"/>
        <v>Тсброс</v>
      </c>
      <c r="K24" s="71" t="s">
        <v>340</v>
      </c>
      <c r="L24" s="76" t="s">
        <v>114</v>
      </c>
      <c r="M24" s="77" t="s">
        <v>52</v>
      </c>
      <c r="N24" s="77" t="s">
        <v>52</v>
      </c>
      <c r="O24" s="77"/>
      <c r="P24" s="79">
        <v>2</v>
      </c>
      <c r="Q24" s="79" t="s">
        <v>115</v>
      </c>
      <c r="R24" s="77" t="s">
        <v>116</v>
      </c>
      <c r="S24" s="77">
        <v>0</v>
      </c>
      <c r="T24" s="77">
        <v>100000</v>
      </c>
      <c r="U24" s="77">
        <v>10</v>
      </c>
      <c r="V24" s="77"/>
      <c r="W24" s="77"/>
      <c r="X24" s="77">
        <v>1000</v>
      </c>
      <c r="Y24" s="77">
        <v>0</v>
      </c>
      <c r="Z24" s="75"/>
      <c r="AA24" s="69">
        <v>0</v>
      </c>
      <c r="AB24" s="69"/>
      <c r="AC24" s="69"/>
      <c r="AD24" s="69"/>
      <c r="AE24" s="69"/>
      <c r="AF24" s="69">
        <v>0</v>
      </c>
      <c r="AG24" s="69">
        <v>0</v>
      </c>
      <c r="AH24" s="69">
        <v>0</v>
      </c>
      <c r="AI24" s="70"/>
      <c r="AJ24" s="78"/>
      <c r="AK24" s="78"/>
      <c r="AL24" s="78"/>
      <c r="AM24" s="78"/>
      <c r="AN24" s="78"/>
      <c r="AO24" s="78"/>
      <c r="AP24" s="78"/>
      <c r="AQ24" s="78"/>
      <c r="AR24" s="72">
        <v>0</v>
      </c>
      <c r="AS24" s="72">
        <v>0</v>
      </c>
      <c r="AT24" s="72">
        <v>0</v>
      </c>
      <c r="AU24" s="72">
        <v>0</v>
      </c>
      <c r="AV24" s="72">
        <f t="shared" si="14"/>
        <v>0</v>
      </c>
      <c r="AW24" s="72"/>
      <c r="AX24" s="72"/>
      <c r="AY24" s="79"/>
      <c r="AZ24" s="72"/>
      <c r="BA24" s="72"/>
      <c r="BB24" s="72"/>
      <c r="BC24" s="72"/>
      <c r="BD24" s="72"/>
      <c r="BE24" s="72"/>
      <c r="BF24" s="72"/>
      <c r="BG24" s="80" t="str">
        <f t="shared" si="15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  <row r="25" spans="1:59" s="2" customFormat="1" x14ac:dyDescent="0.25">
      <c r="A25" s="50"/>
      <c r="B25" s="50" t="s">
        <v>86</v>
      </c>
      <c r="C25" s="54"/>
      <c r="D25" s="88" t="s">
        <v>221</v>
      </c>
      <c r="E25" s="39" t="s">
        <v>113</v>
      </c>
      <c r="F25" s="39" t="s">
        <v>107</v>
      </c>
      <c r="G25" s="39" t="s">
        <v>111</v>
      </c>
      <c r="H25" s="39" t="s">
        <v>102</v>
      </c>
      <c r="I25" s="39">
        <f>LEN(F25)</f>
        <v>12</v>
      </c>
      <c r="J25" s="39" t="str">
        <f>IF(LEN(F25)&lt;=$J$1,F25,"")</f>
        <v>Ввод_функции</v>
      </c>
      <c r="K25" s="50" t="s">
        <v>341</v>
      </c>
      <c r="L25" s="53" t="s">
        <v>54</v>
      </c>
      <c r="M25" s="54" t="s">
        <v>52</v>
      </c>
      <c r="N25" s="54" t="s">
        <v>52</v>
      </c>
      <c r="O25" s="54"/>
      <c r="P25" s="56">
        <v>0</v>
      </c>
      <c r="Q25" s="56"/>
      <c r="R25" s="54" t="s">
        <v>53</v>
      </c>
      <c r="S25" s="54">
        <v>0</v>
      </c>
      <c r="T25" s="54">
        <v>1</v>
      </c>
      <c r="U25" s="54">
        <v>1</v>
      </c>
      <c r="V25" s="54"/>
      <c r="W25" s="54"/>
      <c r="X25" s="54">
        <v>0</v>
      </c>
      <c r="Y25" s="54">
        <v>0</v>
      </c>
      <c r="Z25" s="52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>
        <v>0</v>
      </c>
      <c r="AI25" s="44"/>
      <c r="AJ25" s="51"/>
      <c r="AK25" s="51"/>
      <c r="AL25" s="51"/>
      <c r="AM25" s="51"/>
      <c r="AN25" s="51"/>
      <c r="AO25" s="51"/>
      <c r="AP25" s="51"/>
      <c r="AQ25" s="51"/>
      <c r="AR25" s="51">
        <v>0</v>
      </c>
      <c r="AS25" s="51">
        <v>0</v>
      </c>
      <c r="AT25" s="51">
        <v>0</v>
      </c>
      <c r="AU25" s="51">
        <v>0</v>
      </c>
      <c r="AV25" s="51">
        <f>BIN2DEC(CONCATENATE(0,0,0,0,AR25,AS25,AT25,AU25))</f>
        <v>0</v>
      </c>
      <c r="AW25" s="51" t="s">
        <v>103</v>
      </c>
      <c r="AX25" s="51"/>
      <c r="AY25" s="56"/>
      <c r="AZ25" s="51"/>
      <c r="BA25" s="51"/>
      <c r="BB25" s="51"/>
      <c r="BC25" s="51"/>
      <c r="BD25" s="51"/>
      <c r="BE25" s="51"/>
      <c r="BF25" s="51"/>
      <c r="BG25" s="42" t="str">
        <f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"Ввод_функции", note: "Ввод функции в работу", group: "setting", minValue: 0, maxValue: 1, step: 1, units: "null", defaultValue: 0, eventRegistration: 0</v>
      </c>
    </row>
    <row r="26" spans="1:59" s="2" customFormat="1" x14ac:dyDescent="0.25">
      <c r="A26" s="50"/>
      <c r="B26" s="50" t="s">
        <v>86</v>
      </c>
      <c r="C26" s="54"/>
      <c r="D26" s="88" t="s">
        <v>221</v>
      </c>
      <c r="E26" s="39" t="s">
        <v>141</v>
      </c>
      <c r="F26" s="39" t="s">
        <v>315</v>
      </c>
      <c r="G26" s="39" t="s">
        <v>316</v>
      </c>
      <c r="H26" s="39"/>
      <c r="I26" s="39">
        <f>LEN(F26)</f>
        <v>3</v>
      </c>
      <c r="J26" s="39" t="str">
        <f>IF(LEN(F26)&lt;=$J$1,F26,"")</f>
        <v>Fср</v>
      </c>
      <c r="K26" s="50" t="s">
        <v>346</v>
      </c>
      <c r="L26" s="40" t="s">
        <v>120</v>
      </c>
      <c r="M26" s="54" t="s">
        <v>52</v>
      </c>
      <c r="N26" s="54" t="s">
        <v>52</v>
      </c>
      <c r="O26" s="54"/>
      <c r="P26" s="56">
        <v>0</v>
      </c>
      <c r="Q26" s="56"/>
      <c r="R26" s="54" t="s">
        <v>129</v>
      </c>
      <c r="S26" s="54">
        <v>49</v>
      </c>
      <c r="T26" s="54">
        <v>55</v>
      </c>
      <c r="U26" s="54" t="s">
        <v>147</v>
      </c>
      <c r="V26" s="54"/>
      <c r="W26" s="54"/>
      <c r="X26" s="54" t="s">
        <v>326</v>
      </c>
      <c r="Y26" s="54">
        <v>0</v>
      </c>
      <c r="Z26" s="52"/>
      <c r="AA26" s="44">
        <v>0</v>
      </c>
      <c r="AB26" s="44"/>
      <c r="AC26" s="44"/>
      <c r="AD26" s="44"/>
      <c r="AE26" s="44"/>
      <c r="AF26" s="44">
        <v>0</v>
      </c>
      <c r="AG26" s="44">
        <v>0</v>
      </c>
      <c r="AH26" s="44">
        <v>0</v>
      </c>
      <c r="AI26" s="65" t="s">
        <v>223</v>
      </c>
      <c r="AJ26" s="55" t="s">
        <v>366</v>
      </c>
      <c r="AK26" s="55" t="s">
        <v>151</v>
      </c>
      <c r="AL26" s="55" t="s">
        <v>152</v>
      </c>
      <c r="AM26" s="55" t="s">
        <v>120</v>
      </c>
      <c r="AN26" s="55"/>
      <c r="AO26" s="55" t="s">
        <v>375</v>
      </c>
      <c r="AP26" s="55" t="str">
        <f>CONCATENATE(AJ26, ".", AL26)</f>
        <v>ECAPTOF3.StrVal.setMag.f</v>
      </c>
      <c r="AQ26" s="55" t="s">
        <v>63</v>
      </c>
      <c r="AR26" s="51">
        <v>0</v>
      </c>
      <c r="AS26" s="51">
        <v>0</v>
      </c>
      <c r="AT26" s="51">
        <v>0</v>
      </c>
      <c r="AU26" s="51">
        <v>0</v>
      </c>
      <c r="AV26" s="51">
        <f>BIN2DEC(CONCATENATE(0,0,0,0,AR26,AS26,AT26,AU26))</f>
        <v>0</v>
      </c>
      <c r="AW26" s="51"/>
      <c r="AX26" s="51"/>
      <c r="AY26" s="56"/>
      <c r="AZ26" s="51"/>
      <c r="BA26" s="51"/>
      <c r="BB26" s="51"/>
      <c r="BC26" s="51"/>
      <c r="BD26" s="51"/>
      <c r="BE26" s="51"/>
      <c r="BF26" s="51"/>
      <c r="BG26" s="42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"Fср", note: "Частота срабатывания", group: "setting", minValue: 49, maxValue: 55, step: 0.01, units: "Гц", defaultValue: 50.5, eventRegistration: 0</v>
      </c>
    </row>
    <row r="27" spans="1:59" s="89" customFormat="1" x14ac:dyDescent="0.25">
      <c r="A27" s="50"/>
      <c r="B27" s="50" t="s">
        <v>86</v>
      </c>
      <c r="C27" s="54"/>
      <c r="D27" s="88" t="s">
        <v>221</v>
      </c>
      <c r="E27" s="39" t="s">
        <v>325</v>
      </c>
      <c r="F27" s="39" t="s">
        <v>172</v>
      </c>
      <c r="G27" s="39"/>
      <c r="H27" s="39"/>
      <c r="I27" s="39">
        <f>LEN(F27)</f>
        <v>7</v>
      </c>
      <c r="J27" s="39" t="str">
        <f>IF(LEN(F27)&lt;=$J$1,F27,"")</f>
        <v>dFвозвр</v>
      </c>
      <c r="K27" s="50" t="s">
        <v>347</v>
      </c>
      <c r="L27" s="40" t="s">
        <v>120</v>
      </c>
      <c r="M27" s="54" t="s">
        <v>52</v>
      </c>
      <c r="N27" s="54" t="s">
        <v>52</v>
      </c>
      <c r="O27" s="54"/>
      <c r="P27" s="56">
        <v>0</v>
      </c>
      <c r="Q27" s="56"/>
      <c r="R27" s="54" t="s">
        <v>129</v>
      </c>
      <c r="S27" s="54" t="s">
        <v>148</v>
      </c>
      <c r="T27" s="54">
        <v>1</v>
      </c>
      <c r="U27" s="54" t="s">
        <v>147</v>
      </c>
      <c r="V27" s="54"/>
      <c r="W27" s="54"/>
      <c r="X27" s="54" t="s">
        <v>146</v>
      </c>
      <c r="Y27" s="54">
        <v>0</v>
      </c>
      <c r="Z27" s="52"/>
      <c r="AA27" s="44">
        <v>0</v>
      </c>
      <c r="AB27" s="44"/>
      <c r="AC27" s="44"/>
      <c r="AD27" s="44"/>
      <c r="AE27" s="44"/>
      <c r="AF27" s="44">
        <v>0</v>
      </c>
      <c r="AG27" s="44">
        <v>0</v>
      </c>
      <c r="AH27" s="44">
        <v>0</v>
      </c>
      <c r="AI27" s="65" t="s">
        <v>223</v>
      </c>
      <c r="AJ27" s="55" t="s">
        <v>367</v>
      </c>
      <c r="AK27" s="55" t="s">
        <v>151</v>
      </c>
      <c r="AL27" s="55" t="s">
        <v>152</v>
      </c>
      <c r="AM27" s="55" t="s">
        <v>120</v>
      </c>
      <c r="AN27" s="55"/>
      <c r="AO27" s="55" t="s">
        <v>375</v>
      </c>
      <c r="AP27" s="55" t="str">
        <f>CONCATENATE(AJ27, ".", AL27)</f>
        <v>ECAPTOF3.RsVal.setMag.f</v>
      </c>
      <c r="AQ27" s="55" t="s">
        <v>63</v>
      </c>
      <c r="AR27" s="51">
        <v>0</v>
      </c>
      <c r="AS27" s="51">
        <v>0</v>
      </c>
      <c r="AT27" s="51">
        <v>0</v>
      </c>
      <c r="AU27" s="51">
        <v>0</v>
      </c>
      <c r="AV27" s="51">
        <f>BIN2DEC(CONCATENATE(0,0,0,0,AR27,AS27,AT27,AU27))</f>
        <v>0</v>
      </c>
      <c r="AW27" s="51"/>
      <c r="AX27" s="51"/>
      <c r="AY27" s="56"/>
      <c r="AZ27" s="51"/>
      <c r="BA27" s="51"/>
      <c r="BB27" s="51"/>
      <c r="BC27" s="51"/>
      <c r="BD27" s="51"/>
      <c r="BE27" s="51"/>
      <c r="BF27" s="51"/>
      <c r="BG27" s="42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"dFвозвр", note: "Уставка возврата ступени по частоте", group: "setting", minValue: 0.04, maxValue: 1, step: 0.01, units: "Гц", defaultValue: 0.1, eventRegistration: 0</v>
      </c>
    </row>
    <row r="28" spans="1:59" s="2" customFormat="1" x14ac:dyDescent="0.25">
      <c r="A28" s="50"/>
      <c r="B28" s="50" t="s">
        <v>86</v>
      </c>
      <c r="C28" s="54"/>
      <c r="D28" s="88" t="s">
        <v>221</v>
      </c>
      <c r="E28" s="39" t="s">
        <v>139</v>
      </c>
      <c r="F28" s="39" t="s">
        <v>140</v>
      </c>
      <c r="G28" s="39" t="s">
        <v>145</v>
      </c>
      <c r="H28" s="39"/>
      <c r="I28" s="39">
        <f>LEN(F28)</f>
        <v>3</v>
      </c>
      <c r="J28" s="39" t="str">
        <f>IF(LEN(F28)&lt;=$J$1,F28,"")</f>
        <v>Uср</v>
      </c>
      <c r="K28" s="50" t="s">
        <v>348</v>
      </c>
      <c r="L28" s="40" t="s">
        <v>120</v>
      </c>
      <c r="M28" s="54" t="s">
        <v>52</v>
      </c>
      <c r="N28" s="54" t="s">
        <v>52</v>
      </c>
      <c r="O28" s="54"/>
      <c r="P28" s="56">
        <v>0</v>
      </c>
      <c r="Q28" s="56"/>
      <c r="R28" s="54" t="s">
        <v>128</v>
      </c>
      <c r="S28" s="54">
        <v>2</v>
      </c>
      <c r="T28" s="54">
        <v>100</v>
      </c>
      <c r="U28" s="54" t="s">
        <v>146</v>
      </c>
      <c r="V28" s="54"/>
      <c r="W28" s="54"/>
      <c r="X28" s="54">
        <v>20</v>
      </c>
      <c r="Y28" s="54">
        <v>0</v>
      </c>
      <c r="Z28" s="52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0</v>
      </c>
      <c r="AI28" s="65"/>
      <c r="AJ28" s="55"/>
      <c r="AK28" s="55"/>
      <c r="AL28" s="55"/>
      <c r="AM28" s="55"/>
      <c r="AN28" s="55"/>
      <c r="AO28" s="55"/>
      <c r="AP28" s="55"/>
      <c r="AQ28" s="55"/>
      <c r="AR28" s="51">
        <v>0</v>
      </c>
      <c r="AS28" s="51">
        <v>0</v>
      </c>
      <c r="AT28" s="51">
        <v>0</v>
      </c>
      <c r="AU28" s="51">
        <v>0</v>
      </c>
      <c r="AV28" s="51">
        <f>BIN2DEC(CONCATENATE(0,0,0,0,AR28,AS28,AT28,AU28))</f>
        <v>0</v>
      </c>
      <c r="AW28" s="51"/>
      <c r="AX28" s="51"/>
      <c r="AY28" s="56"/>
      <c r="AZ28" s="51"/>
      <c r="BA28" s="51"/>
      <c r="BB28" s="51"/>
      <c r="BC28" s="51"/>
      <c r="BD28" s="51"/>
      <c r="BE28" s="51"/>
      <c r="BF28" s="51"/>
      <c r="BG28" s="42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"Uср", note: "Напряжение срабатывания", group: "setting", minValue: 2, maxValue: 100, step: 0.1, units: "В", defaultValue: 20, eventRegistration: 0</v>
      </c>
    </row>
    <row r="29" spans="1:59" s="2" customFormat="1" x14ac:dyDescent="0.25">
      <c r="A29" s="50"/>
      <c r="B29" s="50" t="s">
        <v>86</v>
      </c>
      <c r="C29" s="54"/>
      <c r="D29" s="88" t="s">
        <v>221</v>
      </c>
      <c r="E29" s="39" t="s">
        <v>168</v>
      </c>
      <c r="F29" s="39" t="s">
        <v>169</v>
      </c>
      <c r="G29" s="39" t="s">
        <v>142</v>
      </c>
      <c r="H29" s="39" t="s">
        <v>102</v>
      </c>
      <c r="I29" s="39">
        <f t="shared" ref="I29:I35" si="16">LEN(F29)</f>
        <v>7</v>
      </c>
      <c r="J29" s="39" t="str">
        <f t="shared" ref="J29:J35" si="17">IF(LEN(F29)&lt;=$J$1,F29,"")</f>
        <v>Контр_U</v>
      </c>
      <c r="K29" s="50" t="s">
        <v>342</v>
      </c>
      <c r="L29" s="53" t="s">
        <v>54</v>
      </c>
      <c r="M29" s="54" t="s">
        <v>52</v>
      </c>
      <c r="N29" s="54" t="s">
        <v>52</v>
      </c>
      <c r="O29" s="54"/>
      <c r="P29" s="56">
        <v>0</v>
      </c>
      <c r="Q29" s="56"/>
      <c r="R29" s="54" t="s">
        <v>53</v>
      </c>
      <c r="S29" s="54">
        <v>0</v>
      </c>
      <c r="T29" s="54">
        <v>1</v>
      </c>
      <c r="U29" s="54">
        <v>1</v>
      </c>
      <c r="V29" s="54"/>
      <c r="W29" s="54"/>
      <c r="X29" s="54">
        <v>0</v>
      </c>
      <c r="Y29" s="54">
        <v>0</v>
      </c>
      <c r="Z29" s="52"/>
      <c r="AA29" s="44">
        <v>0</v>
      </c>
      <c r="AB29" s="44"/>
      <c r="AC29" s="44"/>
      <c r="AD29" s="44"/>
      <c r="AE29" s="44"/>
      <c r="AF29" s="44">
        <v>0</v>
      </c>
      <c r="AG29" s="44">
        <v>0</v>
      </c>
      <c r="AH29" s="44">
        <v>0</v>
      </c>
      <c r="AI29" s="44"/>
      <c r="AJ29" s="51"/>
      <c r="AK29" s="51"/>
      <c r="AL29" s="51"/>
      <c r="AM29" s="51"/>
      <c r="AN29" s="51"/>
      <c r="AO29" s="51"/>
      <c r="AP29" s="51"/>
      <c r="AQ29" s="51"/>
      <c r="AR29" s="51">
        <v>0</v>
      </c>
      <c r="AS29" s="51">
        <v>0</v>
      </c>
      <c r="AT29" s="51">
        <v>0</v>
      </c>
      <c r="AU29" s="51">
        <v>0</v>
      </c>
      <c r="AV29" s="51">
        <f t="shared" ref="AV29:AV35" si="18">BIN2DEC(CONCATENATE(0,0,0,0,AR29,AS29,AT29,AU29))</f>
        <v>0</v>
      </c>
      <c r="AW29" s="51" t="s">
        <v>103</v>
      </c>
      <c r="AX29" s="51"/>
      <c r="AY29" s="56"/>
      <c r="AZ29" s="51"/>
      <c r="BA29" s="51"/>
      <c r="BB29" s="51"/>
      <c r="BC29" s="51"/>
      <c r="BD29" s="51"/>
      <c r="BE29" s="51"/>
      <c r="BF29" s="51"/>
      <c r="BG29" s="42" t="str">
        <f t="shared" ref="BG29:BG35" si="19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"Контр_U", note: "Контроль напряжения", group: "setting", minValue: 0, maxValue: 1, step: 1, units: "null", defaultValue: 0, eventRegistration: 0</v>
      </c>
    </row>
    <row r="30" spans="1:59" s="2" customFormat="1" x14ac:dyDescent="0.25">
      <c r="A30" s="50"/>
      <c r="B30" s="50" t="s">
        <v>86</v>
      </c>
      <c r="C30" s="54"/>
      <c r="D30" s="88" t="s">
        <v>221</v>
      </c>
      <c r="E30" s="39" t="s">
        <v>305</v>
      </c>
      <c r="F30" s="39" t="s">
        <v>306</v>
      </c>
      <c r="G30" s="39" t="s">
        <v>143</v>
      </c>
      <c r="H30" s="39" t="s">
        <v>102</v>
      </c>
      <c r="I30" s="39">
        <f t="shared" si="16"/>
        <v>14</v>
      </c>
      <c r="J30" s="39" t="str">
        <f t="shared" si="17"/>
        <v>Блок_повт_ЧАПВ</v>
      </c>
      <c r="K30" s="50" t="s">
        <v>343</v>
      </c>
      <c r="L30" s="53" t="s">
        <v>54</v>
      </c>
      <c r="M30" s="54" t="s">
        <v>52</v>
      </c>
      <c r="N30" s="54" t="s">
        <v>52</v>
      </c>
      <c r="O30" s="54"/>
      <c r="P30" s="56">
        <v>0</v>
      </c>
      <c r="Q30" s="56"/>
      <c r="R30" s="54" t="s">
        <v>53</v>
      </c>
      <c r="S30" s="54">
        <v>0</v>
      </c>
      <c r="T30" s="54">
        <v>1</v>
      </c>
      <c r="U30" s="54">
        <v>1</v>
      </c>
      <c r="V30" s="54"/>
      <c r="W30" s="54"/>
      <c r="X30" s="54">
        <v>0</v>
      </c>
      <c r="Y30" s="54">
        <v>0</v>
      </c>
      <c r="Z30" s="52"/>
      <c r="AA30" s="44">
        <v>0</v>
      </c>
      <c r="AB30" s="44"/>
      <c r="AC30" s="44"/>
      <c r="AD30" s="44"/>
      <c r="AE30" s="44"/>
      <c r="AF30" s="44">
        <v>0</v>
      </c>
      <c r="AG30" s="44">
        <v>0</v>
      </c>
      <c r="AH30" s="44">
        <v>0</v>
      </c>
      <c r="AI30" s="44"/>
      <c r="AJ30" s="51"/>
      <c r="AK30" s="51"/>
      <c r="AL30" s="51"/>
      <c r="AM30" s="51"/>
      <c r="AN30" s="51"/>
      <c r="AO30" s="51"/>
      <c r="AP30" s="51"/>
      <c r="AQ30" s="51"/>
      <c r="AR30" s="51">
        <v>0</v>
      </c>
      <c r="AS30" s="51">
        <v>0</v>
      </c>
      <c r="AT30" s="51">
        <v>0</v>
      </c>
      <c r="AU30" s="51">
        <v>0</v>
      </c>
      <c r="AV30" s="51">
        <f t="shared" si="18"/>
        <v>0</v>
      </c>
      <c r="AW30" s="51" t="s">
        <v>103</v>
      </c>
      <c r="AX30" s="51"/>
      <c r="AY30" s="56"/>
      <c r="AZ30" s="51"/>
      <c r="BA30" s="51"/>
      <c r="BB30" s="51"/>
      <c r="BC30" s="51"/>
      <c r="BD30" s="51"/>
      <c r="BE30" s="51"/>
      <c r="BF30" s="51"/>
      <c r="BG30" s="42" t="str">
        <f t="shared" si="19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31" spans="1:59" s="2" customFormat="1" x14ac:dyDescent="0.25">
      <c r="A31" s="50"/>
      <c r="B31" s="50" t="s">
        <v>86</v>
      </c>
      <c r="C31" s="54"/>
      <c r="D31" s="88" t="s">
        <v>221</v>
      </c>
      <c r="E31" s="39" t="s">
        <v>308</v>
      </c>
      <c r="F31" s="39" t="s">
        <v>309</v>
      </c>
      <c r="G31" s="39" t="s">
        <v>144</v>
      </c>
      <c r="H31" s="39" t="s">
        <v>102</v>
      </c>
      <c r="I31" s="39">
        <f t="shared" si="16"/>
        <v>14</v>
      </c>
      <c r="J31" s="39" t="str">
        <f t="shared" si="17"/>
        <v>Авт_возвр_ЧАПВ</v>
      </c>
      <c r="K31" s="50" t="s">
        <v>344</v>
      </c>
      <c r="L31" s="53" t="s">
        <v>54</v>
      </c>
      <c r="M31" s="54" t="s">
        <v>52</v>
      </c>
      <c r="N31" s="54" t="s">
        <v>52</v>
      </c>
      <c r="O31" s="54"/>
      <c r="P31" s="56">
        <v>0</v>
      </c>
      <c r="Q31" s="56"/>
      <c r="R31" s="54" t="s">
        <v>53</v>
      </c>
      <c r="S31" s="54">
        <v>0</v>
      </c>
      <c r="T31" s="54">
        <v>1</v>
      </c>
      <c r="U31" s="54">
        <v>1</v>
      </c>
      <c r="V31" s="54"/>
      <c r="W31" s="54"/>
      <c r="X31" s="54">
        <v>0</v>
      </c>
      <c r="Y31" s="54">
        <v>0</v>
      </c>
      <c r="Z31" s="52"/>
      <c r="AA31" s="44">
        <v>0</v>
      </c>
      <c r="AB31" s="44"/>
      <c r="AC31" s="44"/>
      <c r="AD31" s="44"/>
      <c r="AE31" s="44"/>
      <c r="AF31" s="44">
        <v>0</v>
      </c>
      <c r="AG31" s="44">
        <v>0</v>
      </c>
      <c r="AH31" s="44">
        <v>0</v>
      </c>
      <c r="AI31" s="44"/>
      <c r="AJ31" s="51"/>
      <c r="AK31" s="51"/>
      <c r="AL31" s="51"/>
      <c r="AM31" s="51"/>
      <c r="AN31" s="51"/>
      <c r="AO31" s="51"/>
      <c r="AP31" s="51"/>
      <c r="AQ31" s="51"/>
      <c r="AR31" s="51">
        <v>0</v>
      </c>
      <c r="AS31" s="51">
        <v>0</v>
      </c>
      <c r="AT31" s="51">
        <v>0</v>
      </c>
      <c r="AU31" s="51">
        <v>0</v>
      </c>
      <c r="AV31" s="51">
        <f t="shared" si="18"/>
        <v>0</v>
      </c>
      <c r="AW31" s="51" t="s">
        <v>103</v>
      </c>
      <c r="AX31" s="51"/>
      <c r="AY31" s="56"/>
      <c r="AZ31" s="51"/>
      <c r="BA31" s="51"/>
      <c r="BB31" s="51"/>
      <c r="BC31" s="51"/>
      <c r="BD31" s="51"/>
      <c r="BE31" s="51"/>
      <c r="BF31" s="51"/>
      <c r="BG31" s="42" t="str">
        <f t="shared" si="19"/>
        <v>description: "Авт_возвр_ЧАПВ", note: "Автоматический возврат схемы ЧАПВ", group: "setting", minValue: 0, maxValue: 1, step: 1, units: "null", defaultValue: 0, eventRegistration: 0</v>
      </c>
    </row>
    <row r="32" spans="1:59" s="2" customFormat="1" x14ac:dyDescent="0.25">
      <c r="A32" s="50"/>
      <c r="B32" s="50" t="s">
        <v>86</v>
      </c>
      <c r="C32" s="54"/>
      <c r="D32" s="88" t="s">
        <v>221</v>
      </c>
      <c r="E32" s="39" t="s">
        <v>311</v>
      </c>
      <c r="F32" s="39" t="s">
        <v>312</v>
      </c>
      <c r="G32" s="39" t="s">
        <v>313</v>
      </c>
      <c r="H32" s="39" t="s">
        <v>102</v>
      </c>
      <c r="I32" s="39">
        <f t="shared" si="16"/>
        <v>10</v>
      </c>
      <c r="J32" s="39" t="str">
        <f t="shared" si="17"/>
        <v>Сброс_ЧАПВ</v>
      </c>
      <c r="K32" s="50" t="s">
        <v>345</v>
      </c>
      <c r="L32" s="53" t="s">
        <v>54</v>
      </c>
      <c r="M32" s="54" t="s">
        <v>52</v>
      </c>
      <c r="N32" s="54" t="s">
        <v>52</v>
      </c>
      <c r="O32" s="54"/>
      <c r="P32" s="56">
        <v>0</v>
      </c>
      <c r="Q32" s="56"/>
      <c r="R32" s="54" t="s">
        <v>53</v>
      </c>
      <c r="S32" s="54">
        <v>0</v>
      </c>
      <c r="T32" s="54">
        <v>1</v>
      </c>
      <c r="U32" s="54">
        <v>1</v>
      </c>
      <c r="V32" s="54"/>
      <c r="W32" s="54"/>
      <c r="X32" s="54">
        <v>0</v>
      </c>
      <c r="Y32" s="54">
        <v>0</v>
      </c>
      <c r="Z32" s="52"/>
      <c r="AA32" s="44">
        <v>0</v>
      </c>
      <c r="AB32" s="44"/>
      <c r="AC32" s="44"/>
      <c r="AD32" s="44"/>
      <c r="AE32" s="44"/>
      <c r="AF32" s="44">
        <v>0</v>
      </c>
      <c r="AG32" s="44">
        <v>0</v>
      </c>
      <c r="AH32" s="44">
        <v>0</v>
      </c>
      <c r="AI32" s="44"/>
      <c r="AJ32" s="51"/>
      <c r="AK32" s="51"/>
      <c r="AL32" s="51"/>
      <c r="AM32" s="51"/>
      <c r="AN32" s="51"/>
      <c r="AO32" s="51"/>
      <c r="AP32" s="51"/>
      <c r="AQ32" s="51"/>
      <c r="AR32" s="51">
        <v>0</v>
      </c>
      <c r="AS32" s="51">
        <v>0</v>
      </c>
      <c r="AT32" s="51">
        <v>0</v>
      </c>
      <c r="AU32" s="51">
        <v>0</v>
      </c>
      <c r="AV32" s="51">
        <f t="shared" si="18"/>
        <v>0</v>
      </c>
      <c r="AW32" s="51" t="s">
        <v>103</v>
      </c>
      <c r="AX32" s="51"/>
      <c r="AY32" s="56"/>
      <c r="AZ32" s="51"/>
      <c r="BA32" s="51"/>
      <c r="BB32" s="51"/>
      <c r="BC32" s="51"/>
      <c r="BD32" s="51"/>
      <c r="BE32" s="51"/>
      <c r="BF32" s="51"/>
      <c r="BG32" s="42" t="str">
        <f t="shared" si="19"/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33" spans="1:59" s="2" customFormat="1" x14ac:dyDescent="0.25">
      <c r="A33" s="50"/>
      <c r="B33" s="50" t="s">
        <v>86</v>
      </c>
      <c r="C33" s="54"/>
      <c r="D33" s="88" t="s">
        <v>221</v>
      </c>
      <c r="E33" s="39" t="s">
        <v>149</v>
      </c>
      <c r="F33" s="39" t="s">
        <v>322</v>
      </c>
      <c r="G33" s="39" t="s">
        <v>171</v>
      </c>
      <c r="H33" s="39"/>
      <c r="I33" s="39">
        <f t="shared" si="16"/>
        <v>3</v>
      </c>
      <c r="J33" s="39" t="str">
        <f t="shared" si="17"/>
        <v>Тср</v>
      </c>
      <c r="K33" s="50" t="s">
        <v>349</v>
      </c>
      <c r="L33" s="53" t="s">
        <v>114</v>
      </c>
      <c r="M33" s="54" t="s">
        <v>52</v>
      </c>
      <c r="N33" s="54" t="s">
        <v>52</v>
      </c>
      <c r="O33" s="54"/>
      <c r="P33" s="56">
        <v>2</v>
      </c>
      <c r="Q33" s="56" t="s">
        <v>115</v>
      </c>
      <c r="R33" s="54" t="s">
        <v>116</v>
      </c>
      <c r="S33" s="54">
        <v>5000</v>
      </c>
      <c r="T33" s="54">
        <v>240000</v>
      </c>
      <c r="U33" s="54">
        <v>10</v>
      </c>
      <c r="V33" s="54"/>
      <c r="W33" s="54"/>
      <c r="X33" s="54">
        <v>7000</v>
      </c>
      <c r="Y33" s="54">
        <v>0</v>
      </c>
      <c r="Z33" s="52"/>
      <c r="AA33" s="44">
        <v>0</v>
      </c>
      <c r="AB33" s="44"/>
      <c r="AC33" s="44"/>
      <c r="AD33" s="44"/>
      <c r="AE33" s="44"/>
      <c r="AF33" s="44">
        <v>0</v>
      </c>
      <c r="AG33" s="44">
        <v>0</v>
      </c>
      <c r="AH33" s="44">
        <v>0</v>
      </c>
      <c r="AI33" s="65" t="s">
        <v>223</v>
      </c>
      <c r="AJ33" s="55" t="s">
        <v>368</v>
      </c>
      <c r="AK33" s="55" t="s">
        <v>153</v>
      </c>
      <c r="AL33" s="55" t="s">
        <v>154</v>
      </c>
      <c r="AM33" s="55" t="s">
        <v>114</v>
      </c>
      <c r="AN33" s="55"/>
      <c r="AO33" s="55" t="s">
        <v>375</v>
      </c>
      <c r="AP33" s="55" t="str">
        <f>CONCATENATE(AJ33, ".", AL33)</f>
        <v>ECAPTOF3.OpDlTmms.setVal</v>
      </c>
      <c r="AQ33" s="55" t="s">
        <v>63</v>
      </c>
      <c r="AR33" s="51">
        <v>0</v>
      </c>
      <c r="AS33" s="51">
        <v>0</v>
      </c>
      <c r="AT33" s="51">
        <v>0</v>
      </c>
      <c r="AU33" s="51">
        <v>0</v>
      </c>
      <c r="AV33" s="51">
        <f t="shared" si="18"/>
        <v>0</v>
      </c>
      <c r="AW33" s="51"/>
      <c r="AX33" s="51"/>
      <c r="AY33" s="56"/>
      <c r="AZ33" s="51"/>
      <c r="BA33" s="51"/>
      <c r="BB33" s="51"/>
      <c r="BC33" s="51"/>
      <c r="BD33" s="51"/>
      <c r="BE33" s="51"/>
      <c r="BF33" s="51"/>
      <c r="BG33" s="42" t="str">
        <f t="shared" si="19"/>
        <v>description: "Тср", note: "Выдержка времени срабатывания", group: "setting", minValue: 5000, maxValue: 240000, step: 10, units: "мс", defaultValue: 7000, eventRegistration: 0</v>
      </c>
    </row>
    <row r="34" spans="1:59" s="2" customFormat="1" x14ac:dyDescent="0.25">
      <c r="A34" s="50"/>
      <c r="B34" s="50" t="s">
        <v>86</v>
      </c>
      <c r="C34" s="54"/>
      <c r="D34" s="88" t="s">
        <v>221</v>
      </c>
      <c r="E34" s="39" t="s">
        <v>317</v>
      </c>
      <c r="F34" s="39" t="s">
        <v>323</v>
      </c>
      <c r="G34" s="39" t="s">
        <v>170</v>
      </c>
      <c r="H34" s="39"/>
      <c r="I34" s="39">
        <f t="shared" si="16"/>
        <v>6</v>
      </c>
      <c r="J34" s="39" t="str">
        <f t="shared" si="17"/>
        <v>Твозвр</v>
      </c>
      <c r="K34" s="50" t="s">
        <v>350</v>
      </c>
      <c r="L34" s="53" t="s">
        <v>114</v>
      </c>
      <c r="M34" s="54" t="s">
        <v>52</v>
      </c>
      <c r="N34" s="54" t="s">
        <v>52</v>
      </c>
      <c r="O34" s="54"/>
      <c r="P34" s="56">
        <v>2</v>
      </c>
      <c r="Q34" s="56" t="s">
        <v>115</v>
      </c>
      <c r="R34" s="54" t="s">
        <v>116</v>
      </c>
      <c r="S34" s="54">
        <v>0</v>
      </c>
      <c r="T34" s="54">
        <v>100000</v>
      </c>
      <c r="U34" s="54">
        <v>10</v>
      </c>
      <c r="V34" s="54"/>
      <c r="W34" s="54"/>
      <c r="X34" s="54">
        <v>1000</v>
      </c>
      <c r="Y34" s="54">
        <v>0</v>
      </c>
      <c r="Z34" s="52"/>
      <c r="AA34" s="44">
        <v>0</v>
      </c>
      <c r="AB34" s="44"/>
      <c r="AC34" s="44"/>
      <c r="AD34" s="44"/>
      <c r="AE34" s="44"/>
      <c r="AF34" s="44">
        <v>0</v>
      </c>
      <c r="AG34" s="44">
        <v>0</v>
      </c>
      <c r="AH34" s="44">
        <v>0</v>
      </c>
      <c r="AI34" s="65"/>
      <c r="AJ34" s="55"/>
      <c r="AK34" s="55"/>
      <c r="AL34" s="55"/>
      <c r="AM34" s="55"/>
      <c r="AN34" s="55"/>
      <c r="AO34" s="55"/>
      <c r="AP34" s="55"/>
      <c r="AQ34" s="55"/>
      <c r="AR34" s="51">
        <v>0</v>
      </c>
      <c r="AS34" s="51">
        <v>0</v>
      </c>
      <c r="AT34" s="51">
        <v>0</v>
      </c>
      <c r="AU34" s="51">
        <v>0</v>
      </c>
      <c r="AV34" s="51">
        <f t="shared" si="18"/>
        <v>0</v>
      </c>
      <c r="AW34" s="51"/>
      <c r="AX34" s="51"/>
      <c r="AY34" s="56"/>
      <c r="AZ34" s="51"/>
      <c r="BA34" s="51"/>
      <c r="BB34" s="51"/>
      <c r="BC34" s="51"/>
      <c r="BD34" s="51"/>
      <c r="BE34" s="51"/>
      <c r="BF34" s="51"/>
      <c r="BG34" s="42" t="str">
        <f t="shared" si="19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35" spans="1:59" s="2" customFormat="1" ht="17.25" customHeight="1" x14ac:dyDescent="0.25">
      <c r="A35" s="50"/>
      <c r="B35" s="50" t="s">
        <v>86</v>
      </c>
      <c r="C35" s="54"/>
      <c r="D35" s="88" t="s">
        <v>221</v>
      </c>
      <c r="E35" s="39" t="s">
        <v>319</v>
      </c>
      <c r="F35" s="39" t="s">
        <v>324</v>
      </c>
      <c r="G35" s="39" t="s">
        <v>320</v>
      </c>
      <c r="H35" s="39"/>
      <c r="I35" s="39">
        <f t="shared" si="16"/>
        <v>6</v>
      </c>
      <c r="J35" s="39" t="str">
        <f t="shared" si="17"/>
        <v>Тсброс</v>
      </c>
      <c r="K35" s="50" t="s">
        <v>351</v>
      </c>
      <c r="L35" s="53" t="s">
        <v>114</v>
      </c>
      <c r="M35" s="54" t="s">
        <v>52</v>
      </c>
      <c r="N35" s="54" t="s">
        <v>52</v>
      </c>
      <c r="O35" s="54"/>
      <c r="P35" s="56">
        <v>2</v>
      </c>
      <c r="Q35" s="56" t="s">
        <v>115</v>
      </c>
      <c r="R35" s="54" t="s">
        <v>116</v>
      </c>
      <c r="S35" s="54">
        <v>0</v>
      </c>
      <c r="T35" s="54">
        <v>100000</v>
      </c>
      <c r="U35" s="54">
        <v>10</v>
      </c>
      <c r="V35" s="54"/>
      <c r="W35" s="54"/>
      <c r="X35" s="54">
        <v>1000</v>
      </c>
      <c r="Y35" s="54">
        <v>0</v>
      </c>
      <c r="Z35" s="52"/>
      <c r="AA35" s="44">
        <v>0</v>
      </c>
      <c r="AB35" s="44"/>
      <c r="AC35" s="44"/>
      <c r="AD35" s="44"/>
      <c r="AE35" s="44"/>
      <c r="AF35" s="44">
        <v>0</v>
      </c>
      <c r="AG35" s="44">
        <v>0</v>
      </c>
      <c r="AH35" s="44">
        <v>0</v>
      </c>
      <c r="AI35" s="65"/>
      <c r="AJ35" s="55"/>
      <c r="AK35" s="55"/>
      <c r="AL35" s="55"/>
      <c r="AM35" s="55"/>
      <c r="AN35" s="55"/>
      <c r="AO35" s="55"/>
      <c r="AP35" s="55"/>
      <c r="AQ35" s="55"/>
      <c r="AR35" s="51">
        <v>0</v>
      </c>
      <c r="AS35" s="51">
        <v>0</v>
      </c>
      <c r="AT35" s="51">
        <v>0</v>
      </c>
      <c r="AU35" s="51">
        <v>0</v>
      </c>
      <c r="AV35" s="51">
        <f t="shared" si="18"/>
        <v>0</v>
      </c>
      <c r="AW35" s="51"/>
      <c r="AX35" s="51"/>
      <c r="AY35" s="56"/>
      <c r="AZ35" s="51"/>
      <c r="BA35" s="51"/>
      <c r="BB35" s="51"/>
      <c r="BC35" s="51"/>
      <c r="BD35" s="51"/>
      <c r="BE35" s="51"/>
      <c r="BF35" s="51"/>
      <c r="BG35" s="42" t="str">
        <f t="shared" si="19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  <row r="36" spans="1:59" s="85" customFormat="1" x14ac:dyDescent="0.25">
      <c r="A36" s="71"/>
      <c r="B36" s="71" t="s">
        <v>86</v>
      </c>
      <c r="C36" s="77"/>
      <c r="D36" s="86" t="s">
        <v>222</v>
      </c>
      <c r="E36" s="66" t="s">
        <v>113</v>
      </c>
      <c r="F36" s="66" t="s">
        <v>107</v>
      </c>
      <c r="G36" s="66" t="s">
        <v>111</v>
      </c>
      <c r="H36" s="66" t="s">
        <v>102</v>
      </c>
      <c r="I36" s="66">
        <f>LEN(F36)</f>
        <v>12</v>
      </c>
      <c r="J36" s="66" t="str">
        <f>IF(LEN(F36)&lt;=$J$1,F36,"")</f>
        <v>Ввод_функции</v>
      </c>
      <c r="K36" s="71" t="s">
        <v>352</v>
      </c>
      <c r="L36" s="76" t="s">
        <v>54</v>
      </c>
      <c r="M36" s="77" t="s">
        <v>52</v>
      </c>
      <c r="N36" s="77" t="s">
        <v>52</v>
      </c>
      <c r="O36" s="77"/>
      <c r="P36" s="79">
        <v>0</v>
      </c>
      <c r="Q36" s="79"/>
      <c r="R36" s="77" t="s">
        <v>53</v>
      </c>
      <c r="S36" s="77">
        <v>0</v>
      </c>
      <c r="T36" s="77">
        <v>1</v>
      </c>
      <c r="U36" s="77">
        <v>1</v>
      </c>
      <c r="V36" s="77"/>
      <c r="W36" s="77"/>
      <c r="X36" s="77">
        <v>0</v>
      </c>
      <c r="Y36" s="77">
        <v>0</v>
      </c>
      <c r="Z36" s="75"/>
      <c r="AA36" s="69">
        <v>0</v>
      </c>
      <c r="AB36" s="69"/>
      <c r="AC36" s="69"/>
      <c r="AD36" s="69"/>
      <c r="AE36" s="69"/>
      <c r="AF36" s="69">
        <v>0</v>
      </c>
      <c r="AG36" s="69">
        <v>0</v>
      </c>
      <c r="AH36" s="69">
        <v>0</v>
      </c>
      <c r="AI36" s="69"/>
      <c r="AJ36" s="72"/>
      <c r="AK36" s="72"/>
      <c r="AL36" s="72"/>
      <c r="AM36" s="72"/>
      <c r="AN36" s="72"/>
      <c r="AO36" s="72"/>
      <c r="AP36" s="72"/>
      <c r="AQ36" s="72"/>
      <c r="AR36" s="72">
        <v>0</v>
      </c>
      <c r="AS36" s="72">
        <v>0</v>
      </c>
      <c r="AT36" s="72">
        <v>0</v>
      </c>
      <c r="AU36" s="72">
        <v>0</v>
      </c>
      <c r="AV36" s="72">
        <f>BIN2DEC(CONCATENATE(0,0,0,0,AR36,AS36,AT36,AU36))</f>
        <v>0</v>
      </c>
      <c r="AW36" s="72" t="s">
        <v>103</v>
      </c>
      <c r="AX36" s="72"/>
      <c r="AY36" s="79"/>
      <c r="AZ36" s="72"/>
      <c r="BA36" s="72"/>
      <c r="BB36" s="72"/>
      <c r="BC36" s="72"/>
      <c r="BD36" s="72"/>
      <c r="BE36" s="72"/>
      <c r="BF36" s="72"/>
      <c r="BG36" s="80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"Ввод_функции", note: "Ввод функции в работу", group: "setting", minValue: 0, maxValue: 1, step: 1, units: "null", defaultValue: 0, eventRegistration: 0</v>
      </c>
    </row>
    <row r="37" spans="1:59" s="85" customFormat="1" x14ac:dyDescent="0.25">
      <c r="A37" s="71"/>
      <c r="B37" s="71" t="s">
        <v>86</v>
      </c>
      <c r="C37" s="77"/>
      <c r="D37" s="86" t="s">
        <v>222</v>
      </c>
      <c r="E37" s="66" t="s">
        <v>141</v>
      </c>
      <c r="F37" s="66" t="s">
        <v>315</v>
      </c>
      <c r="G37" s="66" t="s">
        <v>316</v>
      </c>
      <c r="H37" s="66"/>
      <c r="I37" s="66">
        <f>LEN(F37)</f>
        <v>3</v>
      </c>
      <c r="J37" s="66" t="str">
        <f>IF(LEN(F37)&lt;=$J$1,F37,"")</f>
        <v>Fср</v>
      </c>
      <c r="K37" s="71" t="s">
        <v>357</v>
      </c>
      <c r="L37" s="67" t="s">
        <v>120</v>
      </c>
      <c r="M37" s="77" t="s">
        <v>52</v>
      </c>
      <c r="N37" s="77" t="s">
        <v>52</v>
      </c>
      <c r="O37" s="77"/>
      <c r="P37" s="79">
        <v>0</v>
      </c>
      <c r="Q37" s="79"/>
      <c r="R37" s="77" t="s">
        <v>129</v>
      </c>
      <c r="S37" s="77">
        <v>49</v>
      </c>
      <c r="T37" s="77">
        <v>55</v>
      </c>
      <c r="U37" s="77" t="s">
        <v>147</v>
      </c>
      <c r="V37" s="77"/>
      <c r="W37" s="77"/>
      <c r="X37" s="77" t="s">
        <v>326</v>
      </c>
      <c r="Y37" s="77">
        <v>0</v>
      </c>
      <c r="Z37" s="75"/>
      <c r="AA37" s="69">
        <v>0</v>
      </c>
      <c r="AB37" s="69"/>
      <c r="AC37" s="69"/>
      <c r="AD37" s="69"/>
      <c r="AE37" s="69"/>
      <c r="AF37" s="69">
        <v>0</v>
      </c>
      <c r="AG37" s="69">
        <v>0</v>
      </c>
      <c r="AH37" s="69">
        <v>0</v>
      </c>
      <c r="AI37" s="70" t="s">
        <v>223</v>
      </c>
      <c r="AJ37" s="78" t="s">
        <v>369</v>
      </c>
      <c r="AK37" s="78" t="s">
        <v>151</v>
      </c>
      <c r="AL37" s="78" t="s">
        <v>152</v>
      </c>
      <c r="AM37" s="78" t="s">
        <v>120</v>
      </c>
      <c r="AN37" s="78"/>
      <c r="AO37" s="78" t="s">
        <v>375</v>
      </c>
      <c r="AP37" s="78" t="str">
        <f>CONCATENATE(AJ37, ".", AL37)</f>
        <v>ECAPTOF4.StrVal.setMag.f</v>
      </c>
      <c r="AQ37" s="78" t="s">
        <v>63</v>
      </c>
      <c r="AR37" s="72">
        <v>0</v>
      </c>
      <c r="AS37" s="72">
        <v>0</v>
      </c>
      <c r="AT37" s="72">
        <v>0</v>
      </c>
      <c r="AU37" s="72">
        <v>0</v>
      </c>
      <c r="AV37" s="72">
        <f>BIN2DEC(CONCATENATE(0,0,0,0,AR37,AS37,AT37,AU37))</f>
        <v>0</v>
      </c>
      <c r="AW37" s="72"/>
      <c r="AX37" s="72"/>
      <c r="AY37" s="79"/>
      <c r="AZ37" s="72"/>
      <c r="BA37" s="72"/>
      <c r="BB37" s="72"/>
      <c r="BC37" s="72"/>
      <c r="BD37" s="72"/>
      <c r="BE37" s="72"/>
      <c r="BF37" s="72"/>
      <c r="BG37" s="80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"Fср", note: "Частота срабатывания", group: "setting", minValue: 49, maxValue: 55, step: 0.01, units: "Гц", defaultValue: 50.5, eventRegistration: 0</v>
      </c>
    </row>
    <row r="38" spans="1:59" s="87" customFormat="1" x14ac:dyDescent="0.25">
      <c r="A38" s="71"/>
      <c r="B38" s="71" t="s">
        <v>86</v>
      </c>
      <c r="C38" s="77"/>
      <c r="D38" s="86" t="s">
        <v>222</v>
      </c>
      <c r="E38" s="66" t="s">
        <v>325</v>
      </c>
      <c r="F38" s="66" t="s">
        <v>172</v>
      </c>
      <c r="G38" s="66"/>
      <c r="H38" s="66"/>
      <c r="I38" s="66">
        <f>LEN(F38)</f>
        <v>7</v>
      </c>
      <c r="J38" s="66" t="str">
        <f>IF(LEN(F38)&lt;=$J$1,F38,"")</f>
        <v>dFвозвр</v>
      </c>
      <c r="K38" s="71" t="s">
        <v>358</v>
      </c>
      <c r="L38" s="67" t="s">
        <v>120</v>
      </c>
      <c r="M38" s="77" t="s">
        <v>52</v>
      </c>
      <c r="N38" s="77" t="s">
        <v>52</v>
      </c>
      <c r="O38" s="77"/>
      <c r="P38" s="79">
        <v>0</v>
      </c>
      <c r="Q38" s="79"/>
      <c r="R38" s="77" t="s">
        <v>129</v>
      </c>
      <c r="S38" s="77" t="s">
        <v>148</v>
      </c>
      <c r="T38" s="77">
        <v>1</v>
      </c>
      <c r="U38" s="77" t="s">
        <v>147</v>
      </c>
      <c r="V38" s="77"/>
      <c r="W38" s="77"/>
      <c r="X38" s="77" t="s">
        <v>146</v>
      </c>
      <c r="Y38" s="77">
        <v>0</v>
      </c>
      <c r="Z38" s="75"/>
      <c r="AA38" s="69">
        <v>0</v>
      </c>
      <c r="AB38" s="69"/>
      <c r="AC38" s="69"/>
      <c r="AD38" s="69"/>
      <c r="AE38" s="69"/>
      <c r="AF38" s="69">
        <v>0</v>
      </c>
      <c r="AG38" s="69">
        <v>0</v>
      </c>
      <c r="AH38" s="69">
        <v>0</v>
      </c>
      <c r="AI38" s="70" t="s">
        <v>223</v>
      </c>
      <c r="AJ38" s="78" t="s">
        <v>370</v>
      </c>
      <c r="AK38" s="78" t="s">
        <v>151</v>
      </c>
      <c r="AL38" s="78" t="s">
        <v>152</v>
      </c>
      <c r="AM38" s="78" t="s">
        <v>120</v>
      </c>
      <c r="AN38" s="78"/>
      <c r="AO38" s="78" t="s">
        <v>375</v>
      </c>
      <c r="AP38" s="78" t="str">
        <f>CONCATENATE(AJ38, ".", AL38)</f>
        <v>ECAPTOF4.RsVal.setMag.f</v>
      </c>
      <c r="AQ38" s="78" t="s">
        <v>63</v>
      </c>
      <c r="AR38" s="72">
        <v>0</v>
      </c>
      <c r="AS38" s="72">
        <v>0</v>
      </c>
      <c r="AT38" s="72">
        <v>0</v>
      </c>
      <c r="AU38" s="72">
        <v>0</v>
      </c>
      <c r="AV38" s="72">
        <f>BIN2DEC(CONCATENATE(0,0,0,0,AR38,AS38,AT38,AU38))</f>
        <v>0</v>
      </c>
      <c r="AW38" s="72"/>
      <c r="AX38" s="72"/>
      <c r="AY38" s="79"/>
      <c r="AZ38" s="72"/>
      <c r="BA38" s="72"/>
      <c r="BB38" s="72"/>
      <c r="BC38" s="72"/>
      <c r="BD38" s="72"/>
      <c r="BE38" s="72"/>
      <c r="BF38" s="72"/>
      <c r="BG38" s="80" t="str">
        <f>CONCATENATE("description: """,F38,"""", ", ", "note: """,E38,"""",", ","group: """, B38, """",", ","minValue: ", S38,", ","maxValue: ", T38,", ","step: ", U38,", ","units: """, R38, """",", ","defaultValue: ", X38,", ","eventRegistration: ", Y38,)</f>
        <v>description: "dFвозвр", note: "Уставка возврата ступени по частоте", group: "setting", minValue: 0.04, maxValue: 1, step: 0.01, units: "Гц", defaultValue: 0.1, eventRegistration: 0</v>
      </c>
    </row>
    <row r="39" spans="1:59" s="85" customFormat="1" x14ac:dyDescent="0.25">
      <c r="A39" s="71"/>
      <c r="B39" s="71" t="s">
        <v>86</v>
      </c>
      <c r="C39" s="77"/>
      <c r="D39" s="86" t="s">
        <v>222</v>
      </c>
      <c r="E39" s="66" t="s">
        <v>139</v>
      </c>
      <c r="F39" s="66" t="s">
        <v>140</v>
      </c>
      <c r="G39" s="66" t="s">
        <v>145</v>
      </c>
      <c r="H39" s="66"/>
      <c r="I39" s="66">
        <f>LEN(F39)</f>
        <v>3</v>
      </c>
      <c r="J39" s="66" t="str">
        <f>IF(LEN(F39)&lt;=$J$1,F39,"")</f>
        <v>Uср</v>
      </c>
      <c r="K39" s="71" t="s">
        <v>359</v>
      </c>
      <c r="L39" s="67" t="s">
        <v>120</v>
      </c>
      <c r="M39" s="77" t="s">
        <v>52</v>
      </c>
      <c r="N39" s="77" t="s">
        <v>52</v>
      </c>
      <c r="O39" s="77"/>
      <c r="P39" s="79">
        <v>0</v>
      </c>
      <c r="Q39" s="79"/>
      <c r="R39" s="77" t="s">
        <v>128</v>
      </c>
      <c r="S39" s="77">
        <v>2</v>
      </c>
      <c r="T39" s="77">
        <v>100</v>
      </c>
      <c r="U39" s="77" t="s">
        <v>146</v>
      </c>
      <c r="V39" s="77"/>
      <c r="W39" s="77"/>
      <c r="X39" s="77">
        <v>20</v>
      </c>
      <c r="Y39" s="77">
        <v>0</v>
      </c>
      <c r="Z39" s="75"/>
      <c r="AA39" s="69">
        <v>0</v>
      </c>
      <c r="AB39" s="69"/>
      <c r="AC39" s="69"/>
      <c r="AD39" s="69"/>
      <c r="AE39" s="69"/>
      <c r="AF39" s="69">
        <v>0</v>
      </c>
      <c r="AG39" s="69">
        <v>0</v>
      </c>
      <c r="AH39" s="69">
        <v>0</v>
      </c>
      <c r="AI39" s="70"/>
      <c r="AJ39" s="78"/>
      <c r="AK39" s="78"/>
      <c r="AL39" s="78"/>
      <c r="AM39" s="78"/>
      <c r="AN39" s="78"/>
      <c r="AO39" s="78"/>
      <c r="AP39" s="78"/>
      <c r="AQ39" s="78"/>
      <c r="AR39" s="72">
        <v>0</v>
      </c>
      <c r="AS39" s="72">
        <v>0</v>
      </c>
      <c r="AT39" s="72">
        <v>0</v>
      </c>
      <c r="AU39" s="72">
        <v>0</v>
      </c>
      <c r="AV39" s="72">
        <f>BIN2DEC(CONCATENATE(0,0,0,0,AR39,AS39,AT39,AU39))</f>
        <v>0</v>
      </c>
      <c r="AW39" s="72"/>
      <c r="AX39" s="72"/>
      <c r="AY39" s="79"/>
      <c r="AZ39" s="72"/>
      <c r="BA39" s="72"/>
      <c r="BB39" s="72"/>
      <c r="BC39" s="72"/>
      <c r="BD39" s="72"/>
      <c r="BE39" s="72"/>
      <c r="BF39" s="72"/>
      <c r="BG39" s="80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"Uср", note: "Напряжение срабатывания", group: "setting", minValue: 2, maxValue: 100, step: 0.1, units: "В", defaultValue: 20, eventRegistration: 0</v>
      </c>
    </row>
    <row r="40" spans="1:59" s="85" customFormat="1" x14ac:dyDescent="0.25">
      <c r="A40" s="71"/>
      <c r="B40" s="71" t="s">
        <v>86</v>
      </c>
      <c r="C40" s="77"/>
      <c r="D40" s="86" t="s">
        <v>222</v>
      </c>
      <c r="E40" s="66" t="s">
        <v>168</v>
      </c>
      <c r="F40" s="66" t="s">
        <v>169</v>
      </c>
      <c r="G40" s="66" t="s">
        <v>142</v>
      </c>
      <c r="H40" s="66" t="s">
        <v>102</v>
      </c>
      <c r="I40" s="66">
        <f t="shared" ref="I40:I46" si="20">LEN(F40)</f>
        <v>7</v>
      </c>
      <c r="J40" s="66" t="str">
        <f t="shared" ref="J40:J46" si="21">IF(LEN(F40)&lt;=$J$1,F40,"")</f>
        <v>Контр_U</v>
      </c>
      <c r="K40" s="71" t="s">
        <v>353</v>
      </c>
      <c r="L40" s="76" t="s">
        <v>54</v>
      </c>
      <c r="M40" s="77" t="s">
        <v>52</v>
      </c>
      <c r="N40" s="77" t="s">
        <v>52</v>
      </c>
      <c r="O40" s="77"/>
      <c r="P40" s="79">
        <v>0</v>
      </c>
      <c r="Q40" s="79"/>
      <c r="R40" s="77" t="s">
        <v>53</v>
      </c>
      <c r="S40" s="77">
        <v>0</v>
      </c>
      <c r="T40" s="77">
        <v>1</v>
      </c>
      <c r="U40" s="77">
        <v>1</v>
      </c>
      <c r="V40" s="77"/>
      <c r="W40" s="77"/>
      <c r="X40" s="77">
        <v>0</v>
      </c>
      <c r="Y40" s="77">
        <v>0</v>
      </c>
      <c r="Z40" s="75"/>
      <c r="AA40" s="69">
        <v>0</v>
      </c>
      <c r="AB40" s="69"/>
      <c r="AC40" s="69"/>
      <c r="AD40" s="69"/>
      <c r="AE40" s="69"/>
      <c r="AF40" s="69">
        <v>0</v>
      </c>
      <c r="AG40" s="69">
        <v>0</v>
      </c>
      <c r="AH40" s="69">
        <v>0</v>
      </c>
      <c r="AI40" s="69"/>
      <c r="AJ40" s="72"/>
      <c r="AK40" s="72"/>
      <c r="AL40" s="72"/>
      <c r="AM40" s="72"/>
      <c r="AN40" s="72"/>
      <c r="AO40" s="72"/>
      <c r="AP40" s="72"/>
      <c r="AQ40" s="72"/>
      <c r="AR40" s="72">
        <v>0</v>
      </c>
      <c r="AS40" s="72">
        <v>0</v>
      </c>
      <c r="AT40" s="72">
        <v>0</v>
      </c>
      <c r="AU40" s="72">
        <v>0</v>
      </c>
      <c r="AV40" s="72">
        <f t="shared" ref="AV40:AV46" si="22">BIN2DEC(CONCATENATE(0,0,0,0,AR40,AS40,AT40,AU40))</f>
        <v>0</v>
      </c>
      <c r="AW40" s="72" t="s">
        <v>103</v>
      </c>
      <c r="AX40" s="72"/>
      <c r="AY40" s="79"/>
      <c r="AZ40" s="72"/>
      <c r="BA40" s="72"/>
      <c r="BB40" s="72"/>
      <c r="BC40" s="72"/>
      <c r="BD40" s="72"/>
      <c r="BE40" s="72"/>
      <c r="BF40" s="72"/>
      <c r="BG40" s="80" t="str">
        <f t="shared" ref="BG40:BG46" si="23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"Контр_U", note: "Контроль напряжения", group: "setting", minValue: 0, maxValue: 1, step: 1, units: "null", defaultValue: 0, eventRegistration: 0</v>
      </c>
    </row>
    <row r="41" spans="1:59" s="85" customFormat="1" x14ac:dyDescent="0.25">
      <c r="A41" s="71"/>
      <c r="B41" s="71" t="s">
        <v>86</v>
      </c>
      <c r="C41" s="77"/>
      <c r="D41" s="86" t="s">
        <v>222</v>
      </c>
      <c r="E41" s="66" t="s">
        <v>305</v>
      </c>
      <c r="F41" s="66" t="s">
        <v>306</v>
      </c>
      <c r="G41" s="66" t="s">
        <v>143</v>
      </c>
      <c r="H41" s="66" t="s">
        <v>102</v>
      </c>
      <c r="I41" s="66">
        <f t="shared" si="20"/>
        <v>14</v>
      </c>
      <c r="J41" s="66" t="str">
        <f t="shared" si="21"/>
        <v>Блок_повт_ЧАПВ</v>
      </c>
      <c r="K41" s="71" t="s">
        <v>354</v>
      </c>
      <c r="L41" s="76" t="s">
        <v>54</v>
      </c>
      <c r="M41" s="77" t="s">
        <v>52</v>
      </c>
      <c r="N41" s="77" t="s">
        <v>52</v>
      </c>
      <c r="O41" s="77"/>
      <c r="P41" s="79">
        <v>0</v>
      </c>
      <c r="Q41" s="79"/>
      <c r="R41" s="77" t="s">
        <v>53</v>
      </c>
      <c r="S41" s="77">
        <v>0</v>
      </c>
      <c r="T41" s="77">
        <v>1</v>
      </c>
      <c r="U41" s="77">
        <v>1</v>
      </c>
      <c r="V41" s="77"/>
      <c r="W41" s="77"/>
      <c r="X41" s="77">
        <v>0</v>
      </c>
      <c r="Y41" s="77">
        <v>0</v>
      </c>
      <c r="Z41" s="75"/>
      <c r="AA41" s="69">
        <v>0</v>
      </c>
      <c r="AB41" s="69"/>
      <c r="AC41" s="69"/>
      <c r="AD41" s="69"/>
      <c r="AE41" s="69"/>
      <c r="AF41" s="69">
        <v>0</v>
      </c>
      <c r="AG41" s="69">
        <v>0</v>
      </c>
      <c r="AH41" s="69">
        <v>0</v>
      </c>
      <c r="AI41" s="69"/>
      <c r="AJ41" s="72"/>
      <c r="AK41" s="72"/>
      <c r="AL41" s="72"/>
      <c r="AM41" s="72"/>
      <c r="AN41" s="72"/>
      <c r="AO41" s="72"/>
      <c r="AP41" s="72"/>
      <c r="AQ41" s="72"/>
      <c r="AR41" s="72">
        <v>0</v>
      </c>
      <c r="AS41" s="72">
        <v>0</v>
      </c>
      <c r="AT41" s="72">
        <v>0</v>
      </c>
      <c r="AU41" s="72">
        <v>0</v>
      </c>
      <c r="AV41" s="72">
        <f t="shared" si="22"/>
        <v>0</v>
      </c>
      <c r="AW41" s="72" t="s">
        <v>103</v>
      </c>
      <c r="AX41" s="72"/>
      <c r="AY41" s="79"/>
      <c r="AZ41" s="72"/>
      <c r="BA41" s="72"/>
      <c r="BB41" s="72"/>
      <c r="BC41" s="72"/>
      <c r="BD41" s="72"/>
      <c r="BE41" s="72"/>
      <c r="BF41" s="72"/>
      <c r="BG41" s="80" t="str">
        <f t="shared" si="23"/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42" spans="1:59" s="85" customFormat="1" x14ac:dyDescent="0.25">
      <c r="A42" s="71"/>
      <c r="B42" s="71" t="s">
        <v>86</v>
      </c>
      <c r="C42" s="77"/>
      <c r="D42" s="86" t="s">
        <v>222</v>
      </c>
      <c r="E42" s="66" t="s">
        <v>308</v>
      </c>
      <c r="F42" s="66" t="s">
        <v>309</v>
      </c>
      <c r="G42" s="66" t="s">
        <v>144</v>
      </c>
      <c r="H42" s="66" t="s">
        <v>102</v>
      </c>
      <c r="I42" s="66">
        <f t="shared" si="20"/>
        <v>14</v>
      </c>
      <c r="J42" s="66" t="str">
        <f t="shared" si="21"/>
        <v>Авт_возвр_ЧАПВ</v>
      </c>
      <c r="K42" s="71" t="s">
        <v>355</v>
      </c>
      <c r="L42" s="76" t="s">
        <v>54</v>
      </c>
      <c r="M42" s="77" t="s">
        <v>52</v>
      </c>
      <c r="N42" s="77" t="s">
        <v>52</v>
      </c>
      <c r="O42" s="77"/>
      <c r="P42" s="79">
        <v>0</v>
      </c>
      <c r="Q42" s="79"/>
      <c r="R42" s="77" t="s">
        <v>53</v>
      </c>
      <c r="S42" s="77">
        <v>0</v>
      </c>
      <c r="T42" s="77">
        <v>1</v>
      </c>
      <c r="U42" s="77">
        <v>1</v>
      </c>
      <c r="V42" s="77"/>
      <c r="W42" s="77"/>
      <c r="X42" s="77">
        <v>0</v>
      </c>
      <c r="Y42" s="77">
        <v>0</v>
      </c>
      <c r="Z42" s="75"/>
      <c r="AA42" s="69">
        <v>0</v>
      </c>
      <c r="AB42" s="69"/>
      <c r="AC42" s="69"/>
      <c r="AD42" s="69"/>
      <c r="AE42" s="69"/>
      <c r="AF42" s="69">
        <v>0</v>
      </c>
      <c r="AG42" s="69">
        <v>0</v>
      </c>
      <c r="AH42" s="69">
        <v>0</v>
      </c>
      <c r="AI42" s="69"/>
      <c r="AJ42" s="72"/>
      <c r="AK42" s="72"/>
      <c r="AL42" s="72"/>
      <c r="AM42" s="72"/>
      <c r="AN42" s="72"/>
      <c r="AO42" s="72"/>
      <c r="AP42" s="72"/>
      <c r="AQ42" s="72"/>
      <c r="AR42" s="72">
        <v>0</v>
      </c>
      <c r="AS42" s="72">
        <v>0</v>
      </c>
      <c r="AT42" s="72">
        <v>0</v>
      </c>
      <c r="AU42" s="72">
        <v>0</v>
      </c>
      <c r="AV42" s="72">
        <f t="shared" si="22"/>
        <v>0</v>
      </c>
      <c r="AW42" s="72" t="s">
        <v>103</v>
      </c>
      <c r="AX42" s="72"/>
      <c r="AY42" s="79"/>
      <c r="AZ42" s="72"/>
      <c r="BA42" s="72"/>
      <c r="BB42" s="72"/>
      <c r="BC42" s="72"/>
      <c r="BD42" s="72"/>
      <c r="BE42" s="72"/>
      <c r="BF42" s="72"/>
      <c r="BG42" s="80" t="str">
        <f t="shared" si="23"/>
        <v>description: "Авт_возвр_ЧАПВ", note: "Автоматический возврат схемы ЧАПВ", group: "setting", minValue: 0, maxValue: 1, step: 1, units: "null", defaultValue: 0, eventRegistration: 0</v>
      </c>
    </row>
    <row r="43" spans="1:59" s="85" customFormat="1" x14ac:dyDescent="0.25">
      <c r="A43" s="71"/>
      <c r="B43" s="71" t="s">
        <v>86</v>
      </c>
      <c r="C43" s="77"/>
      <c r="D43" s="86" t="s">
        <v>222</v>
      </c>
      <c r="E43" s="66" t="s">
        <v>311</v>
      </c>
      <c r="F43" s="66" t="s">
        <v>312</v>
      </c>
      <c r="G43" s="66" t="s">
        <v>313</v>
      </c>
      <c r="H43" s="66" t="s">
        <v>102</v>
      </c>
      <c r="I43" s="66">
        <f t="shared" si="20"/>
        <v>10</v>
      </c>
      <c r="J43" s="66" t="str">
        <f t="shared" si="21"/>
        <v>Сброс_ЧАПВ</v>
      </c>
      <c r="K43" s="71" t="s">
        <v>356</v>
      </c>
      <c r="L43" s="76" t="s">
        <v>54</v>
      </c>
      <c r="M43" s="77" t="s">
        <v>52</v>
      </c>
      <c r="N43" s="77" t="s">
        <v>52</v>
      </c>
      <c r="O43" s="77"/>
      <c r="P43" s="79">
        <v>0</v>
      </c>
      <c r="Q43" s="79"/>
      <c r="R43" s="77" t="s">
        <v>53</v>
      </c>
      <c r="S43" s="77">
        <v>0</v>
      </c>
      <c r="T43" s="77">
        <v>1</v>
      </c>
      <c r="U43" s="77">
        <v>1</v>
      </c>
      <c r="V43" s="77"/>
      <c r="W43" s="77"/>
      <c r="X43" s="77">
        <v>0</v>
      </c>
      <c r="Y43" s="77">
        <v>0</v>
      </c>
      <c r="Z43" s="75"/>
      <c r="AA43" s="69">
        <v>0</v>
      </c>
      <c r="AB43" s="69"/>
      <c r="AC43" s="69"/>
      <c r="AD43" s="69"/>
      <c r="AE43" s="69"/>
      <c r="AF43" s="69">
        <v>0</v>
      </c>
      <c r="AG43" s="69">
        <v>0</v>
      </c>
      <c r="AH43" s="69">
        <v>0</v>
      </c>
      <c r="AI43" s="69"/>
      <c r="AJ43" s="72"/>
      <c r="AK43" s="72"/>
      <c r="AL43" s="72"/>
      <c r="AM43" s="72"/>
      <c r="AN43" s="72"/>
      <c r="AO43" s="72"/>
      <c r="AP43" s="72"/>
      <c r="AQ43" s="72"/>
      <c r="AR43" s="72">
        <v>0</v>
      </c>
      <c r="AS43" s="72">
        <v>0</v>
      </c>
      <c r="AT43" s="72">
        <v>0</v>
      </c>
      <c r="AU43" s="72">
        <v>0</v>
      </c>
      <c r="AV43" s="72">
        <f t="shared" si="22"/>
        <v>0</v>
      </c>
      <c r="AW43" s="72" t="s">
        <v>103</v>
      </c>
      <c r="AX43" s="72"/>
      <c r="AY43" s="79"/>
      <c r="AZ43" s="72"/>
      <c r="BA43" s="72"/>
      <c r="BB43" s="72"/>
      <c r="BC43" s="72"/>
      <c r="BD43" s="72"/>
      <c r="BE43" s="72"/>
      <c r="BF43" s="72"/>
      <c r="BG43" s="80" t="str">
        <f t="shared" si="23"/>
        <v>description: "Сброс_ЧАПВ", note: "Сброс сигнала разрешения ЧАПВ при длительном наличии сигнала срабатывания АЧР", group: "setting", minValue: 0, maxValue: 1, step: 1, units: "null", defaultValue: 0, eventRegistration: 0</v>
      </c>
    </row>
    <row r="44" spans="1:59" s="85" customFormat="1" x14ac:dyDescent="0.25">
      <c r="A44" s="71"/>
      <c r="B44" s="71" t="s">
        <v>86</v>
      </c>
      <c r="C44" s="77"/>
      <c r="D44" s="86" t="s">
        <v>222</v>
      </c>
      <c r="E44" s="66" t="s">
        <v>149</v>
      </c>
      <c r="F44" s="66" t="s">
        <v>322</v>
      </c>
      <c r="G44" s="66" t="s">
        <v>171</v>
      </c>
      <c r="H44" s="66"/>
      <c r="I44" s="66">
        <f t="shared" si="20"/>
        <v>3</v>
      </c>
      <c r="J44" s="66" t="str">
        <f t="shared" si="21"/>
        <v>Тср</v>
      </c>
      <c r="K44" s="71" t="s">
        <v>360</v>
      </c>
      <c r="L44" s="76" t="s">
        <v>114</v>
      </c>
      <c r="M44" s="77" t="s">
        <v>52</v>
      </c>
      <c r="N44" s="77" t="s">
        <v>52</v>
      </c>
      <c r="O44" s="77"/>
      <c r="P44" s="79">
        <v>2</v>
      </c>
      <c r="Q44" s="79" t="s">
        <v>115</v>
      </c>
      <c r="R44" s="77" t="s">
        <v>116</v>
      </c>
      <c r="S44" s="77">
        <v>5000</v>
      </c>
      <c r="T44" s="77">
        <v>240000</v>
      </c>
      <c r="U44" s="77">
        <v>10</v>
      </c>
      <c r="V44" s="77"/>
      <c r="W44" s="77"/>
      <c r="X44" s="77">
        <v>7000</v>
      </c>
      <c r="Y44" s="77">
        <v>0</v>
      </c>
      <c r="Z44" s="75"/>
      <c r="AA44" s="69">
        <v>0</v>
      </c>
      <c r="AB44" s="69"/>
      <c r="AC44" s="69"/>
      <c r="AD44" s="69"/>
      <c r="AE44" s="69"/>
      <c r="AF44" s="69">
        <v>0</v>
      </c>
      <c r="AG44" s="69">
        <v>0</v>
      </c>
      <c r="AH44" s="69">
        <v>0</v>
      </c>
      <c r="AI44" s="70" t="s">
        <v>223</v>
      </c>
      <c r="AJ44" s="78" t="s">
        <v>371</v>
      </c>
      <c r="AK44" s="78" t="s">
        <v>153</v>
      </c>
      <c r="AL44" s="78" t="s">
        <v>154</v>
      </c>
      <c r="AM44" s="78" t="s">
        <v>114</v>
      </c>
      <c r="AN44" s="78"/>
      <c r="AO44" s="78" t="s">
        <v>375</v>
      </c>
      <c r="AP44" s="78" t="str">
        <f>CONCATENATE(AJ44, ".", AL44)</f>
        <v>ECAPTOF4.OpDlTmms.setVal</v>
      </c>
      <c r="AQ44" s="78" t="s">
        <v>63</v>
      </c>
      <c r="AR44" s="72">
        <v>0</v>
      </c>
      <c r="AS44" s="72">
        <v>0</v>
      </c>
      <c r="AT44" s="72">
        <v>0</v>
      </c>
      <c r="AU44" s="72">
        <v>0</v>
      </c>
      <c r="AV44" s="72">
        <f t="shared" si="22"/>
        <v>0</v>
      </c>
      <c r="AW44" s="72"/>
      <c r="AX44" s="72"/>
      <c r="AY44" s="79"/>
      <c r="AZ44" s="72"/>
      <c r="BA44" s="72"/>
      <c r="BB44" s="72"/>
      <c r="BC44" s="72"/>
      <c r="BD44" s="72"/>
      <c r="BE44" s="72"/>
      <c r="BF44" s="72"/>
      <c r="BG44" s="80" t="str">
        <f t="shared" si="23"/>
        <v>description: "Тср", note: "Выдержка времени срабатывания", group: "setting", minValue: 5000, maxValue: 240000, step: 10, units: "мс", defaultValue: 7000, eventRegistration: 0</v>
      </c>
    </row>
    <row r="45" spans="1:59" s="85" customFormat="1" x14ac:dyDescent="0.25">
      <c r="A45" s="71"/>
      <c r="B45" s="71" t="s">
        <v>86</v>
      </c>
      <c r="C45" s="77"/>
      <c r="D45" s="86" t="s">
        <v>222</v>
      </c>
      <c r="E45" s="66" t="s">
        <v>317</v>
      </c>
      <c r="F45" s="66" t="s">
        <v>323</v>
      </c>
      <c r="G45" s="66" t="s">
        <v>170</v>
      </c>
      <c r="H45" s="66"/>
      <c r="I45" s="66">
        <f t="shared" si="20"/>
        <v>6</v>
      </c>
      <c r="J45" s="66" t="str">
        <f t="shared" si="21"/>
        <v>Твозвр</v>
      </c>
      <c r="K45" s="71" t="s">
        <v>361</v>
      </c>
      <c r="L45" s="76" t="s">
        <v>114</v>
      </c>
      <c r="M45" s="77" t="s">
        <v>52</v>
      </c>
      <c r="N45" s="77" t="s">
        <v>52</v>
      </c>
      <c r="O45" s="77"/>
      <c r="P45" s="79">
        <v>2</v>
      </c>
      <c r="Q45" s="79" t="s">
        <v>115</v>
      </c>
      <c r="R45" s="77" t="s">
        <v>116</v>
      </c>
      <c r="S45" s="77">
        <v>0</v>
      </c>
      <c r="T45" s="77">
        <v>100000</v>
      </c>
      <c r="U45" s="77">
        <v>10</v>
      </c>
      <c r="V45" s="77"/>
      <c r="W45" s="77"/>
      <c r="X45" s="77">
        <v>1000</v>
      </c>
      <c r="Y45" s="77">
        <v>0</v>
      </c>
      <c r="Z45" s="75"/>
      <c r="AA45" s="69">
        <v>0</v>
      </c>
      <c r="AB45" s="69"/>
      <c r="AC45" s="69"/>
      <c r="AD45" s="69"/>
      <c r="AE45" s="69"/>
      <c r="AF45" s="69">
        <v>0</v>
      </c>
      <c r="AG45" s="69">
        <v>0</v>
      </c>
      <c r="AH45" s="69">
        <v>0</v>
      </c>
      <c r="AI45" s="70"/>
      <c r="AJ45" s="78"/>
      <c r="AK45" s="78"/>
      <c r="AL45" s="78"/>
      <c r="AM45" s="78"/>
      <c r="AN45" s="78"/>
      <c r="AO45" s="78"/>
      <c r="AP45" s="78"/>
      <c r="AQ45" s="78"/>
      <c r="AR45" s="72">
        <v>0</v>
      </c>
      <c r="AS45" s="72">
        <v>0</v>
      </c>
      <c r="AT45" s="72">
        <v>0</v>
      </c>
      <c r="AU45" s="72">
        <v>0</v>
      </c>
      <c r="AV45" s="72">
        <f t="shared" si="22"/>
        <v>0</v>
      </c>
      <c r="AW45" s="72"/>
      <c r="AX45" s="72"/>
      <c r="AY45" s="79"/>
      <c r="AZ45" s="72"/>
      <c r="BA45" s="72"/>
      <c r="BB45" s="72"/>
      <c r="BC45" s="72"/>
      <c r="BD45" s="72"/>
      <c r="BE45" s="72"/>
      <c r="BF45" s="72"/>
      <c r="BG45" s="80" t="str">
        <f t="shared" si="23"/>
        <v>description: "Твозвр", note: "Выдержка времени автоматического сброса блокировки после повторного действия АЧР", group: "setting", minValue: 0, maxValue: 100000, step: 10, units: "мс", defaultValue: 1000, eventRegistration: 0</v>
      </c>
    </row>
    <row r="46" spans="1:59" s="85" customFormat="1" ht="17.25" customHeight="1" x14ac:dyDescent="0.25">
      <c r="A46" s="71"/>
      <c r="B46" s="71" t="s">
        <v>86</v>
      </c>
      <c r="C46" s="77"/>
      <c r="D46" s="86" t="s">
        <v>222</v>
      </c>
      <c r="E46" s="66" t="s">
        <v>319</v>
      </c>
      <c r="F46" s="66" t="s">
        <v>324</v>
      </c>
      <c r="G46" s="66" t="s">
        <v>320</v>
      </c>
      <c r="H46" s="66"/>
      <c r="I46" s="66">
        <f t="shared" si="20"/>
        <v>6</v>
      </c>
      <c r="J46" s="66" t="str">
        <f t="shared" si="21"/>
        <v>Тсброс</v>
      </c>
      <c r="K46" s="71" t="s">
        <v>362</v>
      </c>
      <c r="L46" s="76" t="s">
        <v>114</v>
      </c>
      <c r="M46" s="77" t="s">
        <v>52</v>
      </c>
      <c r="N46" s="77" t="s">
        <v>52</v>
      </c>
      <c r="O46" s="77"/>
      <c r="P46" s="79">
        <v>2</v>
      </c>
      <c r="Q46" s="79" t="s">
        <v>115</v>
      </c>
      <c r="R46" s="77" t="s">
        <v>116</v>
      </c>
      <c r="S46" s="77">
        <v>0</v>
      </c>
      <c r="T46" s="77">
        <v>100000</v>
      </c>
      <c r="U46" s="77">
        <v>10</v>
      </c>
      <c r="V46" s="77"/>
      <c r="W46" s="77"/>
      <c r="X46" s="77">
        <v>1000</v>
      </c>
      <c r="Y46" s="77">
        <v>0</v>
      </c>
      <c r="Z46" s="75"/>
      <c r="AA46" s="69">
        <v>0</v>
      </c>
      <c r="AB46" s="69"/>
      <c r="AC46" s="69"/>
      <c r="AD46" s="69"/>
      <c r="AE46" s="69"/>
      <c r="AF46" s="69">
        <v>0</v>
      </c>
      <c r="AG46" s="69">
        <v>0</v>
      </c>
      <c r="AH46" s="69">
        <v>0</v>
      </c>
      <c r="AI46" s="70"/>
      <c r="AJ46" s="78"/>
      <c r="AK46" s="78"/>
      <c r="AL46" s="78"/>
      <c r="AM46" s="78"/>
      <c r="AN46" s="78"/>
      <c r="AO46" s="78"/>
      <c r="AP46" s="78"/>
      <c r="AQ46" s="78"/>
      <c r="AR46" s="72">
        <v>0</v>
      </c>
      <c r="AS46" s="72">
        <v>0</v>
      </c>
      <c r="AT46" s="72">
        <v>0</v>
      </c>
      <c r="AU46" s="72">
        <v>0</v>
      </c>
      <c r="AV46" s="72">
        <f t="shared" si="22"/>
        <v>0</v>
      </c>
      <c r="AW46" s="72"/>
      <c r="AX46" s="72"/>
      <c r="AY46" s="79"/>
      <c r="AZ46" s="72"/>
      <c r="BA46" s="72"/>
      <c r="BB46" s="72"/>
      <c r="BC46" s="72"/>
      <c r="BD46" s="72"/>
      <c r="BE46" s="72"/>
      <c r="BF46" s="72"/>
      <c r="BG46" s="80" t="str">
        <f t="shared" si="23"/>
        <v>description: "Тсброс", note: "Выдержка времени сброса сигнала разрешения ЧАПВ при длительном наличии сигнала срабатывания АЧР", group: "setting", minValue: 0, maxValue: 100000, step: 10, units: "мс", defaultValue: 1000, eventRegistration: 0</v>
      </c>
    </row>
  </sheetData>
  <autoFilter ref="Q1:Q46"/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7" sqref="B17"/>
    </sheetView>
  </sheetViews>
  <sheetFormatPr defaultRowHeight="15.75" x14ac:dyDescent="0.25"/>
  <cols>
    <col min="1" max="1" width="22.42578125" style="4" customWidth="1"/>
    <col min="2" max="2" width="58.140625" style="4" customWidth="1"/>
    <col min="3" max="16384" width="9.140625" style="4"/>
  </cols>
  <sheetData>
    <row r="2" spans="1:2" x14ac:dyDescent="0.25">
      <c r="A2" s="27" t="s">
        <v>87</v>
      </c>
      <c r="B2" s="27" t="s">
        <v>88</v>
      </c>
    </row>
    <row r="3" spans="1:2" x14ac:dyDescent="0.25">
      <c r="A3" s="60" t="s">
        <v>89</v>
      </c>
      <c r="B3" s="5" t="s">
        <v>372</v>
      </c>
    </row>
    <row r="4" spans="1:2" x14ac:dyDescent="0.25">
      <c r="A4" s="60" t="s">
        <v>90</v>
      </c>
      <c r="B4" s="62">
        <v>410</v>
      </c>
    </row>
    <row r="5" spans="1:2" x14ac:dyDescent="0.25">
      <c r="A5" s="60" t="s">
        <v>91</v>
      </c>
      <c r="B5" s="61" t="s">
        <v>52</v>
      </c>
    </row>
    <row r="6" spans="1:2" x14ac:dyDescent="0.25">
      <c r="A6" s="63" t="s">
        <v>92</v>
      </c>
      <c r="B6" s="61" t="s">
        <v>373</v>
      </c>
    </row>
    <row r="7" spans="1:2" x14ac:dyDescent="0.25">
      <c r="A7" s="63" t="s">
        <v>376</v>
      </c>
      <c r="B7" s="61">
        <v>1</v>
      </c>
    </row>
    <row r="8" spans="1:2" x14ac:dyDescent="0.25">
      <c r="A8" s="96" t="s">
        <v>377</v>
      </c>
      <c r="B8" s="96" t="s">
        <v>379</v>
      </c>
    </row>
    <row r="9" spans="1:2" x14ac:dyDescent="0.25">
      <c r="A9" s="96" t="s">
        <v>378</v>
      </c>
      <c r="B9" s="96"/>
    </row>
    <row r="10" spans="1:2" x14ac:dyDescent="0.25">
      <c r="A10" s="86" t="s">
        <v>219</v>
      </c>
      <c r="B10" s="4" t="s">
        <v>380</v>
      </c>
    </row>
    <row r="11" spans="1:2" x14ac:dyDescent="0.25">
      <c r="A11" s="86" t="s">
        <v>220</v>
      </c>
      <c r="B11" s="4" t="s">
        <v>381</v>
      </c>
    </row>
    <row r="12" spans="1:2" x14ac:dyDescent="0.25">
      <c r="A12" s="86" t="s">
        <v>221</v>
      </c>
      <c r="B12" s="4" t="s">
        <v>382</v>
      </c>
    </row>
    <row r="13" spans="1:2" x14ac:dyDescent="0.25">
      <c r="A13" s="86" t="s">
        <v>222</v>
      </c>
      <c r="B13" s="4" t="s">
        <v>383</v>
      </c>
    </row>
    <row r="14" spans="1:2" x14ac:dyDescent="0.25">
      <c r="A14" s="97" t="s">
        <v>270</v>
      </c>
      <c r="B14" s="4" t="s">
        <v>384</v>
      </c>
    </row>
    <row r="15" spans="1:2" x14ac:dyDescent="0.25">
      <c r="A15" s="96" t="s">
        <v>378</v>
      </c>
      <c r="B15" s="9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2025-09-18T06:52:04Z</dcterms:modified>
</cp:coreProperties>
</file>