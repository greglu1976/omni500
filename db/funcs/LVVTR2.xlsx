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9" i="2" l="1"/>
  <c r="AX18" i="2"/>
  <c r="AX17" i="2"/>
  <c r="AX16" i="2"/>
  <c r="AX15" i="2"/>
  <c r="AX14" i="2"/>
  <c r="AX13" i="2"/>
  <c r="AX10" i="2"/>
  <c r="AX9" i="2"/>
  <c r="AX8" i="2"/>
  <c r="AX7" i="2"/>
  <c r="AX6" i="2"/>
  <c r="AX5" i="2"/>
  <c r="AX4" i="2"/>
  <c r="AX3" i="2"/>
  <c r="AX13" i="3"/>
  <c r="AX12" i="3"/>
  <c r="AX11" i="3"/>
  <c r="AX10" i="3"/>
  <c r="BH9" i="4" l="1"/>
  <c r="AW9" i="4"/>
  <c r="K9" i="4"/>
  <c r="J9" i="4"/>
  <c r="J9" i="3"/>
  <c r="J15" i="2"/>
  <c r="AV4" i="2"/>
  <c r="AV5" i="2"/>
  <c r="AV6" i="2"/>
  <c r="AV7" i="2"/>
  <c r="AV8" i="2"/>
  <c r="AV9" i="2"/>
  <c r="AV10" i="2"/>
  <c r="AV13" i="2"/>
  <c r="AV14" i="2"/>
  <c r="AV15" i="2"/>
  <c r="AV16" i="2"/>
  <c r="AV17" i="2"/>
  <c r="AV18" i="2"/>
  <c r="AV19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J17" i="2"/>
  <c r="J18" i="2"/>
  <c r="J19" i="2"/>
  <c r="J14" i="2" l="1"/>
  <c r="I14" i="2"/>
  <c r="BH10" i="4" l="1"/>
  <c r="AW10" i="4"/>
  <c r="AQ10" i="4"/>
  <c r="K10" i="4"/>
  <c r="J10" i="4"/>
  <c r="BH7" i="4"/>
  <c r="AW7" i="4"/>
  <c r="AQ7" i="4"/>
  <c r="K7" i="4"/>
  <c r="J7" i="4"/>
  <c r="BH6" i="4"/>
  <c r="AW6" i="4"/>
  <c r="AQ6" i="4"/>
  <c r="K6" i="4"/>
  <c r="J6" i="4"/>
  <c r="BH5" i="4"/>
  <c r="AW5" i="4"/>
  <c r="AQ5" i="4"/>
  <c r="K5" i="4"/>
  <c r="J5" i="4"/>
  <c r="BH4" i="4"/>
  <c r="AW4" i="4"/>
  <c r="AQ4" i="4"/>
  <c r="K4" i="4"/>
  <c r="J4" i="4"/>
  <c r="BH8" i="4"/>
  <c r="AW8" i="4"/>
  <c r="K8" i="4"/>
  <c r="J8" i="4"/>
  <c r="BH3" i="4"/>
  <c r="AW3" i="4"/>
  <c r="K3" i="4"/>
  <c r="J3" i="4"/>
  <c r="AI1" i="4"/>
  <c r="BG13" i="3"/>
  <c r="AV13" i="3"/>
  <c r="AP13" i="3"/>
  <c r="J13" i="3"/>
  <c r="I13" i="3"/>
  <c r="BG12" i="3"/>
  <c r="AV12" i="3"/>
  <c r="AP12" i="3"/>
  <c r="J12" i="3"/>
  <c r="I12" i="3"/>
  <c r="BG11" i="3"/>
  <c r="AV11" i="3"/>
  <c r="AP11" i="3"/>
  <c r="J11" i="3"/>
  <c r="I11" i="3"/>
  <c r="BG10" i="3"/>
  <c r="AV10" i="3"/>
  <c r="AP10" i="3"/>
  <c r="J10" i="3"/>
  <c r="I10" i="3"/>
  <c r="BG9" i="3"/>
  <c r="AP9" i="3"/>
  <c r="I9" i="3"/>
  <c r="BG8" i="3"/>
  <c r="AP8" i="3"/>
  <c r="J8" i="3"/>
  <c r="I8" i="3"/>
  <c r="BG5" i="3"/>
  <c r="J5" i="3"/>
  <c r="I5" i="3"/>
  <c r="BG7" i="3"/>
  <c r="AP7" i="3"/>
  <c r="J7" i="3"/>
  <c r="I7" i="3"/>
  <c r="BG6" i="3"/>
  <c r="AP6" i="3"/>
  <c r="J6" i="3"/>
  <c r="I6" i="3"/>
  <c r="BG4" i="3"/>
  <c r="J4" i="3"/>
  <c r="I4" i="3"/>
  <c r="BG3" i="3"/>
  <c r="J3" i="3"/>
  <c r="I3" i="3"/>
  <c r="AH1" i="3"/>
  <c r="I19" i="2"/>
  <c r="I18" i="2"/>
  <c r="AP17" i="2"/>
  <c r="I17" i="2"/>
  <c r="J13" i="2"/>
  <c r="I13" i="2"/>
  <c r="J16" i="2"/>
  <c r="I16" i="2"/>
  <c r="I15" i="2"/>
  <c r="J12" i="2"/>
  <c r="I12" i="2"/>
  <c r="J11" i="2"/>
  <c r="I11" i="2"/>
  <c r="J5" i="2"/>
  <c r="I5" i="2"/>
  <c r="J4" i="2"/>
  <c r="I4" i="2"/>
  <c r="BG3" i="2"/>
  <c r="AV3" i="2"/>
  <c r="J3" i="2"/>
  <c r="I3" i="2"/>
  <c r="J9" i="2"/>
  <c r="I9" i="2"/>
  <c r="J8" i="2"/>
  <c r="I8" i="2"/>
  <c r="J7" i="2"/>
  <c r="I7" i="2"/>
  <c r="J10" i="2"/>
  <c r="I10" i="2"/>
  <c r="J6" i="2"/>
  <c r="I6" i="2"/>
  <c r="AH1" i="2"/>
</calcChain>
</file>

<file path=xl/sharedStrings.xml><?xml version="1.0" encoding="utf-8"?>
<sst xmlns="http://schemas.openxmlformats.org/spreadsheetml/2006/main" count="771" uniqueCount="246">
  <si>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</si>
  <si>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</si>
  <si>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</si>
  <si>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</si>
  <si>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</si>
  <si>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</si>
  <si>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</si>
  <si>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</si>
  <si>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</si>
  <si>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</si>
  <si>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</si>
  <si>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</si>
  <si>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</si>
  <si>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</si>
  <si>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</si>
  <si>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</si>
  <si>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</si>
  <si>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</si>
  <si>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</si>
  <si>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</si>
  <si>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</si>
  <si>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</si>
  <si>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</si>
  <si>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</si>
  <si>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</si>
  <si>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</si>
  <si>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</si>
  <si>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</si>
  <si>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</si>
  <si>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</si>
  <si>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</si>
  <si>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</si>
  <si>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</si>
  <si>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</si>
  <si>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</si>
  <si>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</si>
  <si>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</si>
  <si>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</si>
  <si>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</si>
  <si>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</si>
  <si>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</si>
  <si>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</si>
  <si>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</si>
  <si>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</si>
  <si>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</si>
  <si>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</si>
  <si>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</si>
  <si>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</si>
  <si>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</si>
  <si>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</si>
  <si>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</si>
  <si>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</si>
  <si>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</si>
  <si>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</si>
  <si>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</si>
  <si>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</si>
  <si>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</si>
  <si>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</si>
  <si>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</si>
  <si>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</si>
  <si>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</si>
  <si>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</si>
  <si>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</si>
  <si>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</si>
  <si>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</si>
  <si>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I2 (1 гарм)</t>
  </si>
  <si>
    <t>magI2</t>
  </si>
  <si>
    <t>А</t>
  </si>
  <si>
    <t>Действующее значение 1 гармоники тока Ia</t>
  </si>
  <si>
    <t>Ia (1 гарм)</t>
  </si>
  <si>
    <t>magIa</t>
  </si>
  <si>
    <t>Действующее значение 1 гармоники тока Ib</t>
  </si>
  <si>
    <t>Ib (1 гарм)</t>
  </si>
  <si>
    <t>magIb</t>
  </si>
  <si>
    <t>Действующее значение 1 гармоники тока Ic</t>
  </si>
  <si>
    <t>Ic (1 гарм)</t>
  </si>
  <si>
    <t>magIc</t>
  </si>
  <si>
    <t>Вывод терминала</t>
  </si>
  <si>
    <t>ControllerDisable</t>
  </si>
  <si>
    <t>BOOL</t>
  </si>
  <si>
    <t>Пуск МТЗ</t>
  </si>
  <si>
    <t>LVTUVTOC_Str</t>
  </si>
  <si>
    <t>AutomatVT</t>
  </si>
  <si>
    <t>LVRVTR</t>
  </si>
  <si>
    <t>stVal</t>
  </si>
  <si>
    <t>BOOLEAN</t>
  </si>
  <si>
    <t>ST</t>
  </si>
  <si>
    <t>M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</si>
  <si>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</si>
  <si>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</si>
  <si>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</si>
  <si>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</si>
  <si>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</si>
  <si>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</si>
  <si>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</si>
  <si>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</si>
  <si>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</si>
  <si>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</si>
  <si>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</si>
  <si>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</si>
  <si>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</si>
  <si>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</si>
  <si>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</si>
  <si>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</si>
  <si>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</si>
  <si>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</si>
  <si>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RVTR1_FuncEnabled</t>
  </si>
  <si>
    <t>Функция оперативно выведена из работы</t>
  </si>
  <si>
    <t>Оперативный вывод</t>
  </si>
  <si>
    <t>RVTR1_FuncOperDisabled</t>
  </si>
  <si>
    <t>ACD</t>
  </si>
  <si>
    <t>general</t>
  </si>
  <si>
    <t>Пуск U2I2</t>
  </si>
  <si>
    <t>RVTR1_U2I2Str</t>
  </si>
  <si>
    <t>RVTR1.StrU2I2</t>
  </si>
  <si>
    <t>Пуск minU3p</t>
  </si>
  <si>
    <t>RVTR1_UminStr</t>
  </si>
  <si>
    <t>RVTR1.StrMinU3p</t>
  </si>
  <si>
    <t>RVTR1_TripAutomatVT</t>
  </si>
  <si>
    <t>Срабатывание</t>
  </si>
  <si>
    <t>RVTR1_Op</t>
  </si>
  <si>
    <t>RVTR1.Op</t>
  </si>
  <si>
    <t>ACT</t>
  </si>
  <si>
    <t>Неисправность ЦН</t>
  </si>
  <si>
    <t>RVTR1_Alm</t>
  </si>
  <si>
    <t>RVTR1.Alm</t>
  </si>
  <si>
    <t>SPS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</si>
  <si>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</si>
  <si>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</si>
  <si>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</si>
  <si>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</si>
  <si>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</si>
  <si>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</si>
  <si>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</si>
  <si>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</si>
  <si>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</si>
  <si>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</si>
  <si>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</si>
  <si>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</si>
  <si>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Индикация поведения логического узла БНН</t>
  </si>
  <si>
    <t>Поведение</t>
  </si>
  <si>
    <t>RVTR1_Beh</t>
  </si>
  <si>
    <t>RVTR1.Beh</t>
  </si>
  <si>
    <t>Индикация исправности логического узла БНН</t>
  </si>
  <si>
    <t>Исправность</t>
  </si>
  <si>
    <t>RVTR1_Health</t>
  </si>
  <si>
    <t>RVTR1.Health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</si>
  <si>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</si>
  <si>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</si>
  <si>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</si>
  <si>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</si>
  <si>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</si>
  <si>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RVTR1_EnaDis</t>
  </si>
  <si>
    <t>NotProvided_Provided</t>
  </si>
  <si>
    <t>0.1</t>
  </si>
  <si>
    <t>ASG</t>
  </si>
  <si>
    <t>setMag.f</t>
  </si>
  <si>
    <t>SGF2</t>
  </si>
  <si>
    <t>Ток срабатывания ОП</t>
  </si>
  <si>
    <t>I2ср</t>
  </si>
  <si>
    <t>I2&lt;</t>
  </si>
  <si>
    <t>RVTR1_I2op</t>
  </si>
  <si>
    <t>Param_ILsecRated</t>
  </si>
  <si>
    <t>о.е.</t>
  </si>
  <si>
    <t>0.04</t>
  </si>
  <si>
    <t>0.01</t>
  </si>
  <si>
    <t>0.2</t>
  </si>
  <si>
    <t>RVTR1.StrValI2</t>
  </si>
  <si>
    <t>Напряжение срабатывания ОП</t>
  </si>
  <si>
    <t>U2ср</t>
  </si>
  <si>
    <t>U2&gt;</t>
  </si>
  <si>
    <t>RVTR1_U2op</t>
  </si>
  <si>
    <t>RVTR1.StrValU2</t>
  </si>
  <si>
    <t>Напряжение срабатывания</t>
  </si>
  <si>
    <t>Uср</t>
  </si>
  <si>
    <t>U&lt;</t>
  </si>
  <si>
    <t>RVTR1_Uop</t>
  </si>
  <si>
    <t>RVTR1.StrValU</t>
  </si>
  <si>
    <t>Ток срабатывания</t>
  </si>
  <si>
    <t>Iср</t>
  </si>
  <si>
    <t>I&gt;</t>
  </si>
  <si>
    <t>RVTR1_Iop</t>
  </si>
  <si>
    <t>RVTR1.StrVal</t>
  </si>
  <si>
    <t>Выдержка времени срабатывания сигнализации</t>
  </si>
  <si>
    <t>Tсигн</t>
  </si>
  <si>
    <t>T1</t>
  </si>
  <si>
    <t>RVTR1_Tsign</t>
  </si>
  <si>
    <t>INT32</t>
  </si>
  <si>
    <t>TimeSettingScaleCoefficient</t>
  </si>
  <si>
    <t>мс</t>
  </si>
  <si>
    <t>RVTR1.AlmDlTmms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</si>
  <si>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</si>
  <si>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</si>
  <si>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</si>
  <si>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</si>
  <si>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</si>
  <si>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</si>
  <si>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</si>
  <si>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</si>
  <si>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LVVTR2</t>
  </si>
  <si>
    <t>БННп</t>
  </si>
  <si>
    <t>magU2Feeder</t>
  </si>
  <si>
    <t>magUabFeeder</t>
  </si>
  <si>
    <t>magUbcFeeder</t>
  </si>
  <si>
    <t>magUcaFeeder</t>
  </si>
  <si>
    <t>Оперативный вывод функции БННп</t>
  </si>
  <si>
    <t>ОВ БННп</t>
  </si>
  <si>
    <t>LVVTR2_operOutFunction</t>
  </si>
  <si>
    <t>Контроль автоматов ТН отходящего присоединения</t>
  </si>
  <si>
    <t>Uab_п (1 гарм)</t>
  </si>
  <si>
    <t>Ubc_п (1 гарм)</t>
  </si>
  <si>
    <t>Uca_п (1 гарм)</t>
  </si>
  <si>
    <t>Действующее значение тока ОП</t>
  </si>
  <si>
    <t>U2_п (1 гарм)</t>
  </si>
  <si>
    <t>Автомат ТНп</t>
  </si>
  <si>
    <t>Неисправность ТН отходящего присоединения</t>
  </si>
  <si>
    <t>Неиспр. ТНп</t>
  </si>
  <si>
    <t>FailureVT</t>
  </si>
  <si>
    <t>Пуск ОПО ДЗ</t>
  </si>
  <si>
    <t>Пуск ОПО</t>
  </si>
  <si>
    <t>StrPGSU</t>
  </si>
  <si>
    <t>Отключение автомата ТН</t>
  </si>
  <si>
    <t>Автомат ТН откл</t>
  </si>
  <si>
    <t>RVTR1_U2Ctrl</t>
  </si>
  <si>
    <t>RVTR1_UminCtrl</t>
  </si>
  <si>
    <t>Ввод в работу контроля напряжения ОП</t>
  </si>
  <si>
    <t>Контроль_U2</t>
  </si>
  <si>
    <t>Ввод в работу контроля минимального напряжения</t>
  </si>
  <si>
    <t>Контроль_Uмин</t>
  </si>
  <si>
    <t>SGF3</t>
  </si>
  <si>
    <t>SG</t>
  </si>
  <si>
    <t>FbVersion</t>
  </si>
  <si>
    <t>Действующее значение 1 гармоники напряжения Uab присоединения</t>
  </si>
  <si>
    <t>Действующее значение 1 гармоники напряжения Ubc присоединения</t>
  </si>
  <si>
    <t>Действующее значение 1 гармоники напряжения Uca присоединения</t>
  </si>
  <si>
    <t>Действующее значение напряжения ОП присоединения</t>
  </si>
  <si>
    <t>DescriptionFB</t>
  </si>
  <si>
    <t>DescriptionFuncList</t>
  </si>
  <si>
    <t>Блокировка при неисправности цепей напряжения присоединения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</si>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</sst>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2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vertical="center" wrapText="1"/>
    </xf>
    <xf numFmtId="0" fontId="2" fillId="0" borderId="0" xfId="1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1" fillId="0" borderId="0" xfId="1" applyFill="1"/>
    <xf numFmtId="0" fontId="2" fillId="0" borderId="0" xfId="1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1" fillId="0" borderId="0" xfId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/>
    <xf numFmtId="0" fontId="3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2" fillId="5" borderId="0" xfId="0" applyFont="1" applyFill="1"/>
    <xf numFmtId="0" fontId="2" fillId="0" borderId="0" xfId="0" applyFont="1"/>
    <xf numFmtId="0" fontId="3" fillId="6" borderId="2" xfId="0" applyFont="1" applyFill="1" applyBorder="1"/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2" fillId="9" borderId="0" xfId="1" applyFont="1" applyFill="1" applyAlignment="1">
      <alignment vertical="center"/>
    </xf>
    <xf numFmtId="0" fontId="2" fillId="9" borderId="0" xfId="1" applyFont="1" applyFill="1" applyAlignment="1">
      <alignment vertical="center" wrapText="1"/>
    </xf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tabSelected="1" topLeftCell="AN1" zoomScale="80" zoomScaleNormal="80" workbookViewId="0">
      <selection activeCell="AT11" sqref="AT11:AX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81.42578125" style="2" customWidth="1"/>
    <col min="6" max="7" width="33.42578125" style="2" customWidth="1" outlineLevel="1"/>
    <col min="8" max="8" width="32.5703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42578125" style="4" customWidth="1" outlineLevel="1"/>
    <col min="21" max="21" width="7.28515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42578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4.1406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9.425781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SUM(AA7:AA71)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0" t="s">
        <v>0</v>
      </c>
      <c r="BA1" s="61"/>
      <c r="BB1" s="61"/>
      <c r="BC1" s="61"/>
      <c r="BD1" s="61"/>
      <c r="BE1" s="61"/>
      <c r="BF1" s="61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57" t="s">
        <v>241</v>
      </c>
      <c r="AW2" s="57" t="s">
        <v>242</v>
      </c>
      <c r="AX2" s="57" t="s">
        <v>243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4" customFormat="1" ht="15.75" customHeight="1" x14ac:dyDescent="0.25">
      <c r="A3" s="18"/>
      <c r="B3" s="18" t="s">
        <v>59</v>
      </c>
      <c r="C3" s="22"/>
      <c r="D3" s="28"/>
      <c r="E3" s="17" t="s">
        <v>68</v>
      </c>
      <c r="F3" s="17" t="s">
        <v>69</v>
      </c>
      <c r="G3" s="17" t="s">
        <v>69</v>
      </c>
      <c r="H3" s="17"/>
      <c r="I3" s="17">
        <f>LEN(F3)</f>
        <v>11</v>
      </c>
      <c r="J3" s="17" t="str">
        <f>IF(LEN(F3)&lt;=$J$1,F3,"")</f>
        <v>Ia (1 гарм)</v>
      </c>
      <c r="K3" s="18" t="s">
        <v>70</v>
      </c>
      <c r="L3" s="21" t="s">
        <v>60</v>
      </c>
      <c r="M3" s="22" t="s">
        <v>61</v>
      </c>
      <c r="N3" s="22" t="s">
        <v>62</v>
      </c>
      <c r="O3" s="22"/>
      <c r="P3" s="26"/>
      <c r="Q3" s="26"/>
      <c r="R3" s="20" t="s">
        <v>67</v>
      </c>
      <c r="S3" s="22" t="s">
        <v>64</v>
      </c>
      <c r="T3" s="22" t="s">
        <v>64</v>
      </c>
      <c r="U3" s="22" t="s">
        <v>64</v>
      </c>
      <c r="V3" s="22"/>
      <c r="W3" s="22"/>
      <c r="X3" s="22" t="s">
        <v>64</v>
      </c>
      <c r="Y3" s="22">
        <v>0</v>
      </c>
      <c r="Z3" s="29"/>
      <c r="AA3" s="23">
        <v>0</v>
      </c>
      <c r="AB3" s="23"/>
      <c r="AC3" s="23"/>
      <c r="AD3" s="23"/>
      <c r="AE3" s="23"/>
      <c r="AF3" s="23">
        <v>0</v>
      </c>
      <c r="AG3" s="23">
        <v>0</v>
      </c>
      <c r="AH3" s="23">
        <v>0</v>
      </c>
      <c r="AI3" s="8"/>
      <c r="AJ3" s="30"/>
      <c r="AK3" s="30"/>
      <c r="AL3" s="30"/>
      <c r="AM3" s="30"/>
      <c r="AN3" s="30"/>
      <c r="AO3" s="30"/>
      <c r="AP3" s="30"/>
      <c r="AQ3" s="30"/>
      <c r="AR3" s="23">
        <v>0</v>
      </c>
      <c r="AS3" s="23">
        <v>0</v>
      </c>
      <c r="AT3" s="23">
        <v>0</v>
      </c>
      <c r="AU3" s="23">
        <v>0</v>
      </c>
      <c r="AV3" s="23">
        <f>BIN2DEC(CONCATENATE(0,0,0,0,AR3,AS3,AT3,AU3))</f>
        <v>0</v>
      </c>
      <c r="AW3" s="23">
        <v>0</v>
      </c>
      <c r="AX3" s="23">
        <f>BIN2DEC(CONCATENATE(0,0,0,0,AT3,AU3,AV3,AW3))</f>
        <v>0</v>
      </c>
      <c r="AY3" s="23"/>
      <c r="AZ3" s="26"/>
      <c r="BA3" s="23"/>
      <c r="BB3" s="23"/>
      <c r="BC3" s="31"/>
      <c r="BD3" s="23"/>
      <c r="BE3" s="32"/>
      <c r="BF3" s="23"/>
      <c r="BG3" s="2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3"/>
    </row>
    <row r="4" spans="1:16379" s="34" customFormat="1" ht="15.75" customHeight="1" x14ac:dyDescent="0.25">
      <c r="A4" s="18"/>
      <c r="B4" s="18" t="s">
        <v>59</v>
      </c>
      <c r="C4" s="22"/>
      <c r="D4" s="28"/>
      <c r="E4" s="17" t="s">
        <v>71</v>
      </c>
      <c r="F4" s="17" t="s">
        <v>72</v>
      </c>
      <c r="G4" s="17" t="s">
        <v>72</v>
      </c>
      <c r="H4" s="17"/>
      <c r="I4" s="17">
        <f>LEN(F4)</f>
        <v>11</v>
      </c>
      <c r="J4" s="17" t="str">
        <f>IF(LEN(F4)&lt;=$J$1,F4,"")</f>
        <v>Ib (1 гарм)</v>
      </c>
      <c r="K4" s="18" t="s">
        <v>73</v>
      </c>
      <c r="L4" s="21" t="s">
        <v>60</v>
      </c>
      <c r="M4" s="22" t="s">
        <v>61</v>
      </c>
      <c r="N4" s="22" t="s">
        <v>62</v>
      </c>
      <c r="O4" s="22"/>
      <c r="P4" s="26"/>
      <c r="Q4" s="26"/>
      <c r="R4" s="20" t="s">
        <v>67</v>
      </c>
      <c r="S4" s="22" t="s">
        <v>64</v>
      </c>
      <c r="T4" s="22" t="s">
        <v>64</v>
      </c>
      <c r="U4" s="22" t="s">
        <v>64</v>
      </c>
      <c r="V4" s="22"/>
      <c r="W4" s="22"/>
      <c r="X4" s="22" t="s">
        <v>64</v>
      </c>
      <c r="Y4" s="22">
        <v>0</v>
      </c>
      <c r="Z4" s="29"/>
      <c r="AA4" s="23">
        <v>0</v>
      </c>
      <c r="AB4" s="23"/>
      <c r="AC4" s="23"/>
      <c r="AD4" s="23"/>
      <c r="AE4" s="23"/>
      <c r="AF4" s="23">
        <v>0</v>
      </c>
      <c r="AG4" s="23">
        <v>0</v>
      </c>
      <c r="AH4" s="23">
        <v>0</v>
      </c>
      <c r="AI4" s="8"/>
      <c r="AJ4" s="30"/>
      <c r="AK4" s="30"/>
      <c r="AL4" s="30"/>
      <c r="AM4" s="30"/>
      <c r="AN4" s="30"/>
      <c r="AO4" s="30"/>
      <c r="AP4" s="30"/>
      <c r="AQ4" s="30"/>
      <c r="AR4" s="23">
        <v>0</v>
      </c>
      <c r="AS4" s="23">
        <v>0</v>
      </c>
      <c r="AT4" s="23">
        <v>0</v>
      </c>
      <c r="AU4" s="23">
        <v>0</v>
      </c>
      <c r="AV4" s="23">
        <f t="shared" ref="AV4:AV19" si="0">BIN2DEC(CONCATENATE(0,0,0,0,AR4,AS4,AT4,AU4))</f>
        <v>0</v>
      </c>
      <c r="AW4" s="23">
        <v>0</v>
      </c>
      <c r="AX4" s="23">
        <f t="shared" ref="AX4:AX19" si="1">BIN2DEC(CONCATENATE(0,0,0,0,AT4,AU4,AV4,AW4))</f>
        <v>0</v>
      </c>
      <c r="AY4" s="23"/>
      <c r="AZ4" s="26"/>
      <c r="BA4" s="23"/>
      <c r="BB4" s="23"/>
      <c r="BC4" s="31"/>
      <c r="BD4" s="23"/>
      <c r="BE4" s="32"/>
      <c r="BF4" s="23"/>
      <c r="BG4" s="20" t="str">
        <f t="shared" ref="BG4:BG19" si="2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3"/>
    </row>
    <row r="5" spans="1:16379" s="34" customFormat="1" ht="15.75" customHeight="1" x14ac:dyDescent="0.25">
      <c r="A5" s="18"/>
      <c r="B5" s="18" t="s">
        <v>59</v>
      </c>
      <c r="C5" s="22"/>
      <c r="D5" s="28"/>
      <c r="E5" s="17" t="s">
        <v>74</v>
      </c>
      <c r="F5" s="17" t="s">
        <v>75</v>
      </c>
      <c r="G5" s="17" t="s">
        <v>75</v>
      </c>
      <c r="H5" s="17"/>
      <c r="I5" s="17">
        <f>LEN(F5)</f>
        <v>11</v>
      </c>
      <c r="J5" s="17" t="str">
        <f>IF(LEN(F5)&lt;=$J$1,F5,"")</f>
        <v>Ic (1 гарм)</v>
      </c>
      <c r="K5" s="18" t="s">
        <v>76</v>
      </c>
      <c r="L5" s="21" t="s">
        <v>60</v>
      </c>
      <c r="M5" s="22" t="s">
        <v>61</v>
      </c>
      <c r="N5" s="22" t="s">
        <v>62</v>
      </c>
      <c r="O5" s="22"/>
      <c r="P5" s="26"/>
      <c r="Q5" s="26"/>
      <c r="R5" s="20" t="s">
        <v>67</v>
      </c>
      <c r="S5" s="22" t="s">
        <v>64</v>
      </c>
      <c r="T5" s="22" t="s">
        <v>64</v>
      </c>
      <c r="U5" s="22" t="s">
        <v>64</v>
      </c>
      <c r="V5" s="22"/>
      <c r="W5" s="22"/>
      <c r="X5" s="22" t="s">
        <v>64</v>
      </c>
      <c r="Y5" s="22">
        <v>0</v>
      </c>
      <c r="Z5" s="29"/>
      <c r="AA5" s="23">
        <v>0</v>
      </c>
      <c r="AB5" s="23"/>
      <c r="AC5" s="23"/>
      <c r="AD5" s="23"/>
      <c r="AE5" s="23"/>
      <c r="AF5" s="23">
        <v>0</v>
      </c>
      <c r="AG5" s="23">
        <v>0</v>
      </c>
      <c r="AH5" s="23">
        <v>0</v>
      </c>
      <c r="AI5" s="8"/>
      <c r="AJ5" s="30"/>
      <c r="AK5" s="30"/>
      <c r="AL5" s="30"/>
      <c r="AM5" s="30"/>
      <c r="AN5" s="30"/>
      <c r="AO5" s="30"/>
      <c r="AP5" s="30"/>
      <c r="AQ5" s="30"/>
      <c r="AR5" s="23">
        <v>0</v>
      </c>
      <c r="AS5" s="23">
        <v>0</v>
      </c>
      <c r="AT5" s="23">
        <v>0</v>
      </c>
      <c r="AU5" s="23">
        <v>0</v>
      </c>
      <c r="AV5" s="23">
        <f t="shared" si="0"/>
        <v>0</v>
      </c>
      <c r="AW5" s="23">
        <v>0</v>
      </c>
      <c r="AX5" s="23">
        <f t="shared" si="1"/>
        <v>0</v>
      </c>
      <c r="AY5" s="23"/>
      <c r="AZ5" s="26"/>
      <c r="BA5" s="23"/>
      <c r="BB5" s="23"/>
      <c r="BC5" s="31"/>
      <c r="BD5" s="23"/>
      <c r="BE5" s="32"/>
      <c r="BF5" s="23"/>
      <c r="BG5" s="20" t="str">
        <f t="shared" si="2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3"/>
    </row>
    <row r="6" spans="1:16379" s="25" customFormat="1" ht="15.75" x14ac:dyDescent="0.25">
      <c r="A6" s="17"/>
      <c r="B6" s="27" t="s">
        <v>59</v>
      </c>
      <c r="C6" s="19"/>
      <c r="D6" s="19"/>
      <c r="E6" s="17" t="s">
        <v>212</v>
      </c>
      <c r="F6" s="17" t="s">
        <v>65</v>
      </c>
      <c r="G6" s="17" t="s">
        <v>65</v>
      </c>
      <c r="H6" s="17"/>
      <c r="I6" s="17">
        <f>LEN(F6)</f>
        <v>11</v>
      </c>
      <c r="J6" s="17" t="str">
        <f>IF(LEN(F6)&lt;=$J$1,F6,"")</f>
        <v>I2 (1 гарм)</v>
      </c>
      <c r="K6" s="20" t="s">
        <v>66</v>
      </c>
      <c r="L6" s="21" t="s">
        <v>60</v>
      </c>
      <c r="M6" s="22" t="s">
        <v>61</v>
      </c>
      <c r="N6" s="22" t="s">
        <v>62</v>
      </c>
      <c r="O6" s="22"/>
      <c r="P6" s="20"/>
      <c r="Q6" s="20"/>
      <c r="R6" s="20" t="s">
        <v>67</v>
      </c>
      <c r="S6" s="22" t="s">
        <v>64</v>
      </c>
      <c r="T6" s="22" t="s">
        <v>64</v>
      </c>
      <c r="U6" s="22" t="s">
        <v>64</v>
      </c>
      <c r="V6" s="22"/>
      <c r="W6" s="22"/>
      <c r="X6" s="22" t="s">
        <v>64</v>
      </c>
      <c r="Y6" s="22">
        <v>0</v>
      </c>
      <c r="Z6" s="20"/>
      <c r="AA6" s="23">
        <v>0</v>
      </c>
      <c r="AB6" s="23"/>
      <c r="AC6" s="23"/>
      <c r="AD6" s="23"/>
      <c r="AE6" s="23"/>
      <c r="AF6" s="23">
        <v>0</v>
      </c>
      <c r="AG6" s="23">
        <v>0</v>
      </c>
      <c r="AH6" s="23">
        <v>0</v>
      </c>
      <c r="AI6" s="8"/>
      <c r="AJ6" s="17"/>
      <c r="AK6" s="17"/>
      <c r="AL6" s="17"/>
      <c r="AM6" s="17"/>
      <c r="AN6" s="17"/>
      <c r="AO6" s="17"/>
      <c r="AP6" s="17"/>
      <c r="AQ6" s="17"/>
      <c r="AR6" s="23">
        <v>0</v>
      </c>
      <c r="AS6" s="23">
        <v>0</v>
      </c>
      <c r="AT6" s="23">
        <v>0</v>
      </c>
      <c r="AU6" s="23">
        <v>0</v>
      </c>
      <c r="AV6" s="23">
        <f t="shared" si="0"/>
        <v>0</v>
      </c>
      <c r="AW6" s="23">
        <v>0</v>
      </c>
      <c r="AX6" s="23">
        <f t="shared" si="1"/>
        <v>0</v>
      </c>
      <c r="AY6" s="18"/>
      <c r="AZ6" s="20"/>
      <c r="BA6" s="20"/>
      <c r="BB6" s="24"/>
      <c r="BC6" s="20"/>
      <c r="BD6" s="24"/>
      <c r="BE6" s="20"/>
      <c r="BF6" s="20"/>
      <c r="BG6" s="20" t="str">
        <f t="shared" si="2"/>
        <v>description: "I2 (1 гарм)", note: "Действующее значение тока ОП", group: "measurement", minValue: null, maxValue: null, step: null, units: "А", defaultValue: null, eventRegistration: 0</v>
      </c>
    </row>
    <row r="7" spans="1:16379" s="34" customFormat="1" ht="15.75" customHeight="1" x14ac:dyDescent="0.25">
      <c r="A7" s="18"/>
      <c r="B7" s="18" t="s">
        <v>59</v>
      </c>
      <c r="C7" s="22"/>
      <c r="D7" s="28"/>
      <c r="E7" s="17" t="s">
        <v>232</v>
      </c>
      <c r="F7" s="17" t="s">
        <v>209</v>
      </c>
      <c r="G7" s="17" t="s">
        <v>209</v>
      </c>
      <c r="H7" s="17"/>
      <c r="I7" s="17">
        <f t="shared" ref="I7:I16" si="3">LEN(F7)</f>
        <v>14</v>
      </c>
      <c r="J7" s="17" t="str">
        <f t="shared" ref="J7:J19" si="4">IF(LEN(F7)&lt;=$J$1,F7,"")</f>
        <v>Uab_п (1 гарм)</v>
      </c>
      <c r="K7" s="18" t="s">
        <v>202</v>
      </c>
      <c r="L7" s="21" t="s">
        <v>60</v>
      </c>
      <c r="M7" s="22" t="s">
        <v>61</v>
      </c>
      <c r="N7" s="22" t="s">
        <v>62</v>
      </c>
      <c r="O7" s="22"/>
      <c r="P7" s="26"/>
      <c r="Q7" s="26"/>
      <c r="R7" s="22" t="s">
        <v>63</v>
      </c>
      <c r="S7" s="22" t="s">
        <v>64</v>
      </c>
      <c r="T7" s="22" t="s">
        <v>64</v>
      </c>
      <c r="U7" s="22" t="s">
        <v>64</v>
      </c>
      <c r="V7" s="22"/>
      <c r="W7" s="22"/>
      <c r="X7" s="22" t="s">
        <v>64</v>
      </c>
      <c r="Y7" s="22">
        <v>0</v>
      </c>
      <c r="Z7" s="29"/>
      <c r="AA7" s="23">
        <v>0</v>
      </c>
      <c r="AB7" s="23"/>
      <c r="AC7" s="23"/>
      <c r="AD7" s="23"/>
      <c r="AE7" s="23"/>
      <c r="AF7" s="23">
        <v>0</v>
      </c>
      <c r="AG7" s="23">
        <v>0</v>
      </c>
      <c r="AH7" s="23">
        <v>0</v>
      </c>
      <c r="AI7" s="8"/>
      <c r="AJ7" s="30"/>
      <c r="AK7" s="30"/>
      <c r="AL7" s="30"/>
      <c r="AM7" s="30"/>
      <c r="AN7" s="30"/>
      <c r="AO7" s="30"/>
      <c r="AP7" s="30"/>
      <c r="AQ7" s="30"/>
      <c r="AR7" s="23">
        <v>0</v>
      </c>
      <c r="AS7" s="23">
        <v>0</v>
      </c>
      <c r="AT7" s="23">
        <v>0</v>
      </c>
      <c r="AU7" s="23">
        <v>0</v>
      </c>
      <c r="AV7" s="23">
        <f t="shared" si="0"/>
        <v>0</v>
      </c>
      <c r="AW7" s="23">
        <v>0</v>
      </c>
      <c r="AX7" s="23">
        <f t="shared" si="1"/>
        <v>0</v>
      </c>
      <c r="AY7" s="23"/>
      <c r="AZ7" s="26"/>
      <c r="BA7" s="23"/>
      <c r="BB7" s="23"/>
      <c r="BC7" s="31"/>
      <c r="BD7" s="23"/>
      <c r="BE7" s="32"/>
      <c r="BF7" s="23"/>
      <c r="BG7" s="20" t="str">
        <f t="shared" si="2"/>
        <v>description: "Uab_п (1 гарм)", note: "Действующее значение 1 гармоники напряжения Uab присоединения", group: "measurement", minValue: null, maxValue: null, step: null, units: "В", defaultValue: null, eventRegistration: 0</v>
      </c>
      <c r="BH7" s="33"/>
    </row>
    <row r="8" spans="1:16379" s="34" customFormat="1" ht="15.75" customHeight="1" x14ac:dyDescent="0.25">
      <c r="A8" s="18"/>
      <c r="B8" s="18" t="s">
        <v>59</v>
      </c>
      <c r="C8" s="22"/>
      <c r="D8" s="28"/>
      <c r="E8" s="17" t="s">
        <v>233</v>
      </c>
      <c r="F8" s="17" t="s">
        <v>210</v>
      </c>
      <c r="G8" s="17" t="s">
        <v>210</v>
      </c>
      <c r="H8" s="17"/>
      <c r="I8" s="17">
        <f t="shared" si="3"/>
        <v>14</v>
      </c>
      <c r="J8" s="17" t="str">
        <f t="shared" si="4"/>
        <v>Ubc_п (1 гарм)</v>
      </c>
      <c r="K8" s="18" t="s">
        <v>203</v>
      </c>
      <c r="L8" s="21" t="s">
        <v>60</v>
      </c>
      <c r="M8" s="22" t="s">
        <v>61</v>
      </c>
      <c r="N8" s="22" t="s">
        <v>62</v>
      </c>
      <c r="O8" s="22"/>
      <c r="P8" s="26"/>
      <c r="Q8" s="26"/>
      <c r="R8" s="22" t="s">
        <v>63</v>
      </c>
      <c r="S8" s="22" t="s">
        <v>64</v>
      </c>
      <c r="T8" s="22" t="s">
        <v>64</v>
      </c>
      <c r="U8" s="22" t="s">
        <v>64</v>
      </c>
      <c r="V8" s="22"/>
      <c r="W8" s="22"/>
      <c r="X8" s="22" t="s">
        <v>64</v>
      </c>
      <c r="Y8" s="22">
        <v>0</v>
      </c>
      <c r="Z8" s="29"/>
      <c r="AA8" s="23">
        <v>0</v>
      </c>
      <c r="AB8" s="23"/>
      <c r="AC8" s="23"/>
      <c r="AD8" s="23"/>
      <c r="AE8" s="23"/>
      <c r="AF8" s="23">
        <v>0</v>
      </c>
      <c r="AG8" s="23">
        <v>0</v>
      </c>
      <c r="AH8" s="23">
        <v>0</v>
      </c>
      <c r="AI8" s="8"/>
      <c r="AJ8" s="30"/>
      <c r="AK8" s="30"/>
      <c r="AL8" s="30"/>
      <c r="AM8" s="30"/>
      <c r="AN8" s="30"/>
      <c r="AO8" s="30"/>
      <c r="AP8" s="30"/>
      <c r="AQ8" s="30"/>
      <c r="AR8" s="23">
        <v>0</v>
      </c>
      <c r="AS8" s="23">
        <v>0</v>
      </c>
      <c r="AT8" s="23">
        <v>0</v>
      </c>
      <c r="AU8" s="23">
        <v>0</v>
      </c>
      <c r="AV8" s="23">
        <f t="shared" si="0"/>
        <v>0</v>
      </c>
      <c r="AW8" s="23">
        <v>0</v>
      </c>
      <c r="AX8" s="23">
        <f t="shared" si="1"/>
        <v>0</v>
      </c>
      <c r="AY8" s="23"/>
      <c r="AZ8" s="26"/>
      <c r="BA8" s="23"/>
      <c r="BB8" s="23"/>
      <c r="BC8" s="31"/>
      <c r="BD8" s="23"/>
      <c r="BE8" s="32"/>
      <c r="BF8" s="23"/>
      <c r="BG8" s="20" t="str">
        <f t="shared" si="2"/>
        <v>description: "Ubc_п (1 гарм)", note: "Действующее значение 1 гармоники напряжения Ubc присоединения", group: "measurement", minValue: null, maxValue: null, step: null, units: "В", defaultValue: null, eventRegistration: 0</v>
      </c>
      <c r="BH8" s="33"/>
    </row>
    <row r="9" spans="1:16379" s="34" customFormat="1" ht="15.75" customHeight="1" x14ac:dyDescent="0.25">
      <c r="A9" s="18"/>
      <c r="B9" s="18" t="s">
        <v>59</v>
      </c>
      <c r="C9" s="22"/>
      <c r="D9" s="28"/>
      <c r="E9" s="17" t="s">
        <v>234</v>
      </c>
      <c r="F9" s="17" t="s">
        <v>211</v>
      </c>
      <c r="G9" s="17" t="s">
        <v>211</v>
      </c>
      <c r="H9" s="17"/>
      <c r="I9" s="17">
        <f t="shared" si="3"/>
        <v>14</v>
      </c>
      <c r="J9" s="17" t="str">
        <f t="shared" si="4"/>
        <v>Uca_п (1 гарм)</v>
      </c>
      <c r="K9" s="18" t="s">
        <v>204</v>
      </c>
      <c r="L9" s="21" t="s">
        <v>60</v>
      </c>
      <c r="M9" s="22" t="s">
        <v>61</v>
      </c>
      <c r="N9" s="22" t="s">
        <v>62</v>
      </c>
      <c r="O9" s="22"/>
      <c r="P9" s="26"/>
      <c r="Q9" s="26"/>
      <c r="R9" s="22" t="s">
        <v>63</v>
      </c>
      <c r="S9" s="22" t="s">
        <v>64</v>
      </c>
      <c r="T9" s="22" t="s">
        <v>64</v>
      </c>
      <c r="U9" s="22" t="s">
        <v>64</v>
      </c>
      <c r="V9" s="22"/>
      <c r="W9" s="22"/>
      <c r="X9" s="22" t="s">
        <v>64</v>
      </c>
      <c r="Y9" s="22">
        <v>0</v>
      </c>
      <c r="Z9" s="29"/>
      <c r="AA9" s="23">
        <v>0</v>
      </c>
      <c r="AB9" s="23"/>
      <c r="AC9" s="23"/>
      <c r="AD9" s="23"/>
      <c r="AE9" s="23"/>
      <c r="AF9" s="23">
        <v>0</v>
      </c>
      <c r="AG9" s="23">
        <v>0</v>
      </c>
      <c r="AH9" s="23">
        <v>0</v>
      </c>
      <c r="AI9" s="8"/>
      <c r="AJ9" s="30"/>
      <c r="AK9" s="30"/>
      <c r="AL9" s="30"/>
      <c r="AM9" s="30"/>
      <c r="AN9" s="30"/>
      <c r="AO9" s="30"/>
      <c r="AP9" s="30"/>
      <c r="AQ9" s="30"/>
      <c r="AR9" s="23">
        <v>0</v>
      </c>
      <c r="AS9" s="23">
        <v>0</v>
      </c>
      <c r="AT9" s="23">
        <v>0</v>
      </c>
      <c r="AU9" s="23">
        <v>0</v>
      </c>
      <c r="AV9" s="23">
        <f t="shared" si="0"/>
        <v>0</v>
      </c>
      <c r="AW9" s="23">
        <v>0</v>
      </c>
      <c r="AX9" s="23">
        <f t="shared" si="1"/>
        <v>0</v>
      </c>
      <c r="AY9" s="23"/>
      <c r="AZ9" s="26"/>
      <c r="BA9" s="23"/>
      <c r="BB9" s="23"/>
      <c r="BC9" s="31"/>
      <c r="BD9" s="23"/>
      <c r="BE9" s="32"/>
      <c r="BF9" s="23"/>
      <c r="BG9" s="20" t="str">
        <f t="shared" si="2"/>
        <v>description: "Uca_п (1 гарм)", note: "Действующее значение 1 гармоники напряжения Uca присоединения", group: "measurement", minValue: null, maxValue: null, step: null, units: "В", defaultValue: null, eventRegistration: 0</v>
      </c>
      <c r="BH9" s="33"/>
    </row>
    <row r="10" spans="1:16379" s="25" customFormat="1" ht="16.5" customHeight="1" x14ac:dyDescent="0.25">
      <c r="A10" s="17"/>
      <c r="B10" s="27" t="s">
        <v>59</v>
      </c>
      <c r="C10" s="19"/>
      <c r="D10" s="19"/>
      <c r="E10" s="17" t="s">
        <v>235</v>
      </c>
      <c r="F10" s="17" t="s">
        <v>213</v>
      </c>
      <c r="G10" s="17" t="s">
        <v>213</v>
      </c>
      <c r="H10" s="17"/>
      <c r="I10" s="17">
        <f>LEN(F10)</f>
        <v>13</v>
      </c>
      <c r="J10" s="17" t="str">
        <f>IF(LEN(F10)&lt;=$J$1,F10,"")</f>
        <v>U2_п (1 гарм)</v>
      </c>
      <c r="K10" s="20" t="s">
        <v>201</v>
      </c>
      <c r="L10" s="21" t="s">
        <v>60</v>
      </c>
      <c r="M10" s="22" t="s">
        <v>61</v>
      </c>
      <c r="N10" s="22" t="s">
        <v>62</v>
      </c>
      <c r="O10" s="22"/>
      <c r="P10" s="20"/>
      <c r="Q10" s="20"/>
      <c r="R10" s="20" t="s">
        <v>63</v>
      </c>
      <c r="S10" s="22" t="s">
        <v>64</v>
      </c>
      <c r="T10" s="22" t="s">
        <v>64</v>
      </c>
      <c r="U10" s="22" t="s">
        <v>64</v>
      </c>
      <c r="V10" s="22"/>
      <c r="W10" s="22"/>
      <c r="X10" s="22" t="s">
        <v>64</v>
      </c>
      <c r="Y10" s="22">
        <v>0</v>
      </c>
      <c r="Z10" s="20"/>
      <c r="AA10" s="23">
        <v>0</v>
      </c>
      <c r="AB10" s="23"/>
      <c r="AC10" s="23"/>
      <c r="AD10" s="23"/>
      <c r="AE10" s="23"/>
      <c r="AF10" s="23">
        <v>0</v>
      </c>
      <c r="AG10" s="23">
        <v>0</v>
      </c>
      <c r="AH10" s="23">
        <v>0</v>
      </c>
      <c r="AI10" s="8"/>
      <c r="AJ10" s="17"/>
      <c r="AK10" s="17"/>
      <c r="AL10" s="17"/>
      <c r="AM10" s="17"/>
      <c r="AN10" s="17"/>
      <c r="AO10" s="17"/>
      <c r="AP10" s="17"/>
      <c r="AQ10" s="17"/>
      <c r="AR10" s="23">
        <v>0</v>
      </c>
      <c r="AS10" s="23">
        <v>0</v>
      </c>
      <c r="AT10" s="23">
        <v>0</v>
      </c>
      <c r="AU10" s="23">
        <v>0</v>
      </c>
      <c r="AV10" s="23">
        <f t="shared" si="0"/>
        <v>0</v>
      </c>
      <c r="AW10" s="23">
        <v>0</v>
      </c>
      <c r="AX10" s="23">
        <f t="shared" si="1"/>
        <v>0</v>
      </c>
      <c r="AY10" s="18"/>
      <c r="AZ10" s="20"/>
      <c r="BA10" s="20"/>
      <c r="BB10" s="24"/>
      <c r="BC10" s="20"/>
      <c r="BD10" s="24"/>
      <c r="BE10" s="20"/>
      <c r="BF10" s="20"/>
      <c r="BG10" s="20" t="str">
        <f t="shared" si="2"/>
        <v>description: "U2_п (1 гарм)", note: "Действующее значение напряжения ОП присоединения", group: "measurement", minValue: null, maxValue: null, step: null, units: "В", defaultValue: null, eventRegistration: 0</v>
      </c>
    </row>
    <row r="11" spans="1:16379" s="76" customFormat="1" ht="15.75" x14ac:dyDescent="0.25">
      <c r="A11" s="62"/>
      <c r="B11" s="62" t="s">
        <v>244</v>
      </c>
      <c r="C11" s="63"/>
      <c r="D11" s="64"/>
      <c r="E11" s="65" t="s">
        <v>77</v>
      </c>
      <c r="F11" s="65" t="s">
        <v>77</v>
      </c>
      <c r="G11" s="65" t="s">
        <v>77</v>
      </c>
      <c r="H11" s="65"/>
      <c r="I11" s="65">
        <f t="shared" si="3"/>
        <v>15</v>
      </c>
      <c r="J11" s="65" t="str">
        <f t="shared" si="4"/>
        <v>Вывод терминала</v>
      </c>
      <c r="K11" s="62" t="s">
        <v>78</v>
      </c>
      <c r="L11" s="66" t="s">
        <v>79</v>
      </c>
      <c r="M11" s="63" t="s">
        <v>61</v>
      </c>
      <c r="N11" s="63" t="s">
        <v>62</v>
      </c>
      <c r="O11" s="63"/>
      <c r="P11" s="67"/>
      <c r="Q11" s="67"/>
      <c r="R11" s="63" t="s">
        <v>64</v>
      </c>
      <c r="S11" s="63" t="s">
        <v>64</v>
      </c>
      <c r="T11" s="63" t="s">
        <v>64</v>
      </c>
      <c r="U11" s="63" t="s">
        <v>64</v>
      </c>
      <c r="V11" s="63"/>
      <c r="W11" s="63"/>
      <c r="X11" s="63" t="s">
        <v>64</v>
      </c>
      <c r="Y11" s="63">
        <v>0</v>
      </c>
      <c r="Z11" s="68"/>
      <c r="AA11" s="69">
        <v>0</v>
      </c>
      <c r="AB11" s="69"/>
      <c r="AC11" s="69"/>
      <c r="AD11" s="69"/>
      <c r="AE11" s="69"/>
      <c r="AF11" s="69">
        <v>0</v>
      </c>
      <c r="AG11" s="69">
        <v>0</v>
      </c>
      <c r="AH11" s="69">
        <v>0</v>
      </c>
      <c r="AI11" s="70"/>
      <c r="AJ11" s="71"/>
      <c r="AK11" s="71"/>
      <c r="AL11" s="71"/>
      <c r="AM11" s="71"/>
      <c r="AN11" s="71"/>
      <c r="AO11" s="71"/>
      <c r="AP11" s="71"/>
      <c r="AQ11" s="71"/>
      <c r="AR11" s="69">
        <v>0</v>
      </c>
      <c r="AS11" s="69">
        <v>0</v>
      </c>
      <c r="AT11" s="77">
        <v>1</v>
      </c>
      <c r="AU11" s="23">
        <v>0</v>
      </c>
      <c r="AV11" s="77">
        <v>1</v>
      </c>
      <c r="AW11" s="77">
        <v>1</v>
      </c>
      <c r="AX11" s="77">
        <v>1</v>
      </c>
      <c r="AY11" s="69"/>
      <c r="AZ11" s="67"/>
      <c r="BA11" s="69"/>
      <c r="BB11" s="69"/>
      <c r="BC11" s="72"/>
      <c r="BD11" s="69"/>
      <c r="BE11" s="73"/>
      <c r="BF11" s="69"/>
      <c r="BG11" s="74" t="str">
        <f t="shared" si="2"/>
        <v>description: "Вывод терминала", note: "Вывод терминала", group: "control", minValue: null, maxValue: null, step: null, units: "null", defaultValue: null, eventRegistration: 0</v>
      </c>
      <c r="BH11" s="75"/>
    </row>
    <row r="12" spans="1:16379" s="76" customFormat="1" ht="15.75" x14ac:dyDescent="0.25">
      <c r="A12" s="62"/>
      <c r="B12" s="62" t="s">
        <v>244</v>
      </c>
      <c r="C12" s="63"/>
      <c r="D12" s="64" t="s">
        <v>200</v>
      </c>
      <c r="E12" s="65" t="s">
        <v>205</v>
      </c>
      <c r="F12" s="65" t="s">
        <v>206</v>
      </c>
      <c r="G12" s="65" t="s">
        <v>206</v>
      </c>
      <c r="H12" s="65"/>
      <c r="I12" s="65">
        <f t="shared" si="3"/>
        <v>7</v>
      </c>
      <c r="J12" s="65" t="str">
        <f t="shared" si="4"/>
        <v>ОВ БННп</v>
      </c>
      <c r="K12" s="62" t="s">
        <v>207</v>
      </c>
      <c r="L12" s="66" t="s">
        <v>79</v>
      </c>
      <c r="M12" s="63" t="s">
        <v>61</v>
      </c>
      <c r="N12" s="63" t="s">
        <v>62</v>
      </c>
      <c r="O12" s="63"/>
      <c r="P12" s="67"/>
      <c r="Q12" s="67"/>
      <c r="R12" s="63" t="s">
        <v>64</v>
      </c>
      <c r="S12" s="63" t="s">
        <v>64</v>
      </c>
      <c r="T12" s="63" t="s">
        <v>64</v>
      </c>
      <c r="U12" s="63" t="s">
        <v>64</v>
      </c>
      <c r="V12" s="63"/>
      <c r="W12" s="63"/>
      <c r="X12" s="63" t="s">
        <v>64</v>
      </c>
      <c r="Y12" s="63">
        <v>0</v>
      </c>
      <c r="Z12" s="68"/>
      <c r="AA12" s="69">
        <v>0</v>
      </c>
      <c r="AB12" s="69"/>
      <c r="AC12" s="69"/>
      <c r="AD12" s="69"/>
      <c r="AE12" s="69"/>
      <c r="AF12" s="69">
        <v>0</v>
      </c>
      <c r="AG12" s="69">
        <v>0</v>
      </c>
      <c r="AH12" s="69">
        <v>0</v>
      </c>
      <c r="AI12" s="70"/>
      <c r="AJ12" s="71"/>
      <c r="AK12" s="71"/>
      <c r="AL12" s="71"/>
      <c r="AM12" s="71"/>
      <c r="AN12" s="71"/>
      <c r="AO12" s="71"/>
      <c r="AP12" s="71"/>
      <c r="AQ12" s="71"/>
      <c r="AR12" s="69">
        <v>0</v>
      </c>
      <c r="AS12" s="69">
        <v>0</v>
      </c>
      <c r="AT12" s="77">
        <v>1</v>
      </c>
      <c r="AU12" s="23">
        <v>0</v>
      </c>
      <c r="AV12" s="77">
        <v>1</v>
      </c>
      <c r="AW12" s="77">
        <v>1</v>
      </c>
      <c r="AX12" s="77">
        <v>1</v>
      </c>
      <c r="AY12" s="69"/>
      <c r="AZ12" s="67"/>
      <c r="BA12" s="69"/>
      <c r="BB12" s="69"/>
      <c r="BC12" s="72"/>
      <c r="BD12" s="69"/>
      <c r="BE12" s="73"/>
      <c r="BF12" s="69"/>
      <c r="BG12" s="74" t="str">
        <f t="shared" si="2"/>
        <v>description: "ОВ БННп", note: "Оперативный вывод функции БННп", group: "control", minValue: null, maxValue: null, step: null, units: "null", defaultValue: null, eventRegistration: 0</v>
      </c>
      <c r="BH12" s="75"/>
    </row>
    <row r="13" spans="1:16379" s="35" customFormat="1" ht="16.5" customHeight="1" x14ac:dyDescent="0.25">
      <c r="A13" s="18"/>
      <c r="B13" s="59" t="s">
        <v>245</v>
      </c>
      <c r="C13" s="22"/>
      <c r="D13" s="28"/>
      <c r="E13" s="17" t="s">
        <v>208</v>
      </c>
      <c r="F13" s="17" t="s">
        <v>214</v>
      </c>
      <c r="G13" s="17" t="s">
        <v>214</v>
      </c>
      <c r="H13" s="17"/>
      <c r="I13" s="17">
        <f>LEN(F13)</f>
        <v>11</v>
      </c>
      <c r="J13" s="17" t="str">
        <f>IF(LEN(F13)&lt;=$J$1,F13,"")</f>
        <v>Автомат ТНп</v>
      </c>
      <c r="K13" s="18" t="s">
        <v>82</v>
      </c>
      <c r="L13" s="21" t="s">
        <v>79</v>
      </c>
      <c r="M13" s="22" t="s">
        <v>61</v>
      </c>
      <c r="N13" s="22" t="s">
        <v>62</v>
      </c>
      <c r="O13" s="22"/>
      <c r="P13" s="26"/>
      <c r="Q13" s="26"/>
      <c r="R13" s="22" t="s">
        <v>64</v>
      </c>
      <c r="S13" s="22" t="s">
        <v>64</v>
      </c>
      <c r="T13" s="22" t="s">
        <v>64</v>
      </c>
      <c r="U13" s="22" t="s">
        <v>64</v>
      </c>
      <c r="V13" s="22"/>
      <c r="W13" s="22"/>
      <c r="X13" s="22" t="s">
        <v>64</v>
      </c>
      <c r="Y13" s="22">
        <v>0</v>
      </c>
      <c r="Z13" s="29"/>
      <c r="AA13" s="23">
        <v>0</v>
      </c>
      <c r="AB13" s="23"/>
      <c r="AC13" s="23"/>
      <c r="AD13" s="23"/>
      <c r="AE13" s="23"/>
      <c r="AF13" s="23">
        <v>0</v>
      </c>
      <c r="AG13" s="23">
        <v>0</v>
      </c>
      <c r="AH13" s="23">
        <v>0</v>
      </c>
      <c r="AI13" s="8"/>
      <c r="AJ13" s="30"/>
      <c r="AK13" s="30"/>
      <c r="AL13" s="30"/>
      <c r="AM13" s="30"/>
      <c r="AN13" s="30"/>
      <c r="AO13" s="30"/>
      <c r="AP13" s="30"/>
      <c r="AQ13" s="30"/>
      <c r="AR13" s="23">
        <v>0</v>
      </c>
      <c r="AS13" s="23">
        <v>0</v>
      </c>
      <c r="AT13" s="23">
        <v>0</v>
      </c>
      <c r="AU13" s="23">
        <v>0</v>
      </c>
      <c r="AV13" s="23">
        <f t="shared" si="0"/>
        <v>0</v>
      </c>
      <c r="AW13" s="23">
        <v>0</v>
      </c>
      <c r="AX13" s="23">
        <f t="shared" si="1"/>
        <v>0</v>
      </c>
      <c r="AY13" s="23"/>
      <c r="AZ13" s="26"/>
      <c r="BA13" s="23"/>
      <c r="BB13" s="23"/>
      <c r="BC13" s="31"/>
      <c r="BD13" s="23"/>
      <c r="BE13" s="32"/>
      <c r="BF13" s="23"/>
      <c r="BG13" s="20" t="str">
        <f t="shared" si="2"/>
        <v>description: "Автомат ТНп", note: "Контроль автоматов ТН отходящего присоединения", group: "input", minValue: null, maxValue: null, step: null, units: "null", defaultValue: null, eventRegistration: 0</v>
      </c>
      <c r="BH13" s="25"/>
    </row>
    <row r="14" spans="1:16379" s="35" customFormat="1" ht="15.75" x14ac:dyDescent="0.25">
      <c r="A14" s="18"/>
      <c r="B14" s="59" t="s">
        <v>245</v>
      </c>
      <c r="C14" s="22"/>
      <c r="D14" s="28"/>
      <c r="E14" s="17" t="s">
        <v>215</v>
      </c>
      <c r="F14" s="17" t="s">
        <v>216</v>
      </c>
      <c r="G14" s="17" t="s">
        <v>216</v>
      </c>
      <c r="H14" s="17"/>
      <c r="I14" s="17">
        <f>LEN(F14)</f>
        <v>11</v>
      </c>
      <c r="J14" s="17" t="str">
        <f>IF(LEN(F14)&lt;=$J$1,F14,"")</f>
        <v>Неиспр. ТНп</v>
      </c>
      <c r="K14" s="18" t="s">
        <v>217</v>
      </c>
      <c r="L14" s="21" t="s">
        <v>79</v>
      </c>
      <c r="M14" s="22" t="s">
        <v>61</v>
      </c>
      <c r="N14" s="22" t="s">
        <v>62</v>
      </c>
      <c r="O14" s="22"/>
      <c r="P14" s="26"/>
      <c r="Q14" s="26"/>
      <c r="R14" s="22" t="s">
        <v>64</v>
      </c>
      <c r="S14" s="22" t="s">
        <v>64</v>
      </c>
      <c r="T14" s="22" t="s">
        <v>64</v>
      </c>
      <c r="U14" s="22" t="s">
        <v>64</v>
      </c>
      <c r="V14" s="22"/>
      <c r="W14" s="22"/>
      <c r="X14" s="22" t="s">
        <v>64</v>
      </c>
      <c r="Y14" s="22">
        <v>0</v>
      </c>
      <c r="Z14" s="29"/>
      <c r="AA14" s="23">
        <v>0</v>
      </c>
      <c r="AB14" s="23"/>
      <c r="AC14" s="23"/>
      <c r="AD14" s="23"/>
      <c r="AE14" s="23"/>
      <c r="AF14" s="23">
        <v>0</v>
      </c>
      <c r="AG14" s="23">
        <v>0</v>
      </c>
      <c r="AH14" s="23">
        <v>0</v>
      </c>
      <c r="AI14" s="8"/>
      <c r="AJ14" s="30"/>
      <c r="AK14" s="30"/>
      <c r="AL14" s="30"/>
      <c r="AM14" s="30"/>
      <c r="AN14" s="30"/>
      <c r="AO14" s="30"/>
      <c r="AP14" s="30"/>
      <c r="AQ14" s="30"/>
      <c r="AR14" s="23">
        <v>0</v>
      </c>
      <c r="AS14" s="23">
        <v>0</v>
      </c>
      <c r="AT14" s="23">
        <v>0</v>
      </c>
      <c r="AU14" s="23">
        <v>0</v>
      </c>
      <c r="AV14" s="23">
        <f t="shared" si="0"/>
        <v>0</v>
      </c>
      <c r="AW14" s="23">
        <v>0</v>
      </c>
      <c r="AX14" s="23">
        <f t="shared" si="1"/>
        <v>0</v>
      </c>
      <c r="AY14" s="23"/>
      <c r="AZ14" s="26"/>
      <c r="BA14" s="23"/>
      <c r="BB14" s="23"/>
      <c r="BC14" s="31"/>
      <c r="BD14" s="23"/>
      <c r="BE14" s="32"/>
      <c r="BF14" s="23"/>
      <c r="BG14" s="20" t="str">
        <f t="shared" si="2"/>
        <v>description: "Неиспр. ТНп", note: "Неисправность ТН отходящего присоединения", group: "input", minValue: null, maxValue: null, step: null, units: "null", defaultValue: null, eventRegistration: 0</v>
      </c>
      <c r="BH14" s="25"/>
    </row>
    <row r="15" spans="1:16379" s="35" customFormat="1" ht="15.75" x14ac:dyDescent="0.25">
      <c r="A15" s="18"/>
      <c r="B15" s="18" t="s">
        <v>59</v>
      </c>
      <c r="C15" s="22"/>
      <c r="D15" s="28"/>
      <c r="E15" s="17" t="s">
        <v>218</v>
      </c>
      <c r="F15" s="17" t="s">
        <v>219</v>
      </c>
      <c r="G15" s="17" t="s">
        <v>219</v>
      </c>
      <c r="H15" s="17"/>
      <c r="I15" s="17">
        <f t="shared" si="3"/>
        <v>8</v>
      </c>
      <c r="J15" s="17" t="str">
        <f>IF(LEN(F15)&lt;=$J$1,F15,"")</f>
        <v>Пуск ОПО</v>
      </c>
      <c r="K15" s="18" t="s">
        <v>220</v>
      </c>
      <c r="L15" s="21" t="s">
        <v>79</v>
      </c>
      <c r="M15" s="22" t="s">
        <v>61</v>
      </c>
      <c r="N15" s="22" t="s">
        <v>62</v>
      </c>
      <c r="O15" s="22"/>
      <c r="P15" s="26"/>
      <c r="Q15" s="26"/>
      <c r="R15" s="22" t="s">
        <v>64</v>
      </c>
      <c r="S15" s="22" t="s">
        <v>64</v>
      </c>
      <c r="T15" s="22" t="s">
        <v>64</v>
      </c>
      <c r="U15" s="22" t="s">
        <v>64</v>
      </c>
      <c r="V15" s="22"/>
      <c r="W15" s="22"/>
      <c r="X15" s="22" t="s">
        <v>64</v>
      </c>
      <c r="Y15" s="22">
        <v>0</v>
      </c>
      <c r="Z15" s="29"/>
      <c r="AA15" s="23">
        <v>0</v>
      </c>
      <c r="AB15" s="23"/>
      <c r="AC15" s="23"/>
      <c r="AD15" s="23"/>
      <c r="AE15" s="23"/>
      <c r="AF15" s="23">
        <v>0</v>
      </c>
      <c r="AG15" s="23">
        <v>0</v>
      </c>
      <c r="AH15" s="23">
        <v>0</v>
      </c>
      <c r="AI15" s="8"/>
      <c r="AJ15" s="30"/>
      <c r="AK15" s="30"/>
      <c r="AL15" s="30"/>
      <c r="AM15" s="30"/>
      <c r="AN15" s="30"/>
      <c r="AO15" s="30"/>
      <c r="AP15" s="30"/>
      <c r="AQ15" s="30"/>
      <c r="AR15" s="23">
        <v>0</v>
      </c>
      <c r="AS15" s="23">
        <v>0</v>
      </c>
      <c r="AT15" s="23">
        <v>0</v>
      </c>
      <c r="AU15" s="23">
        <v>0</v>
      </c>
      <c r="AV15" s="23">
        <f t="shared" si="0"/>
        <v>0</v>
      </c>
      <c r="AW15" s="23">
        <v>0</v>
      </c>
      <c r="AX15" s="23">
        <f t="shared" si="1"/>
        <v>0</v>
      </c>
      <c r="AY15" s="23"/>
      <c r="AZ15" s="26"/>
      <c r="BA15" s="23"/>
      <c r="BB15" s="23"/>
      <c r="BC15" s="31"/>
      <c r="BD15" s="23"/>
      <c r="BE15" s="32"/>
      <c r="BF15" s="23"/>
      <c r="BG15" s="20" t="str">
        <f t="shared" si="2"/>
        <v>description: "Пуск ОПО", note: "Пуск ОПО ДЗ", group: "measurement", minValue: null, maxValue: null, step: null, units: "null", defaultValue: null, eventRegistration: 0</v>
      </c>
      <c r="BH15" s="25"/>
    </row>
    <row r="16" spans="1:16379" s="35" customFormat="1" ht="15.75" x14ac:dyDescent="0.25">
      <c r="A16" s="18"/>
      <c r="B16" s="18" t="s">
        <v>59</v>
      </c>
      <c r="C16" s="22"/>
      <c r="D16" s="28"/>
      <c r="E16" s="17" t="s">
        <v>80</v>
      </c>
      <c r="F16" s="17" t="s">
        <v>80</v>
      </c>
      <c r="G16" s="17" t="s">
        <v>80</v>
      </c>
      <c r="H16" s="17"/>
      <c r="I16" s="17">
        <f t="shared" si="3"/>
        <v>8</v>
      </c>
      <c r="J16" s="17" t="str">
        <f t="shared" si="4"/>
        <v>Пуск МТЗ</v>
      </c>
      <c r="K16" s="18" t="s">
        <v>81</v>
      </c>
      <c r="L16" s="21" t="s">
        <v>79</v>
      </c>
      <c r="M16" s="22" t="s">
        <v>61</v>
      </c>
      <c r="N16" s="22" t="s">
        <v>62</v>
      </c>
      <c r="O16" s="22"/>
      <c r="P16" s="26"/>
      <c r="Q16" s="26"/>
      <c r="R16" s="22" t="s">
        <v>64</v>
      </c>
      <c r="S16" s="22" t="s">
        <v>64</v>
      </c>
      <c r="T16" s="22" t="s">
        <v>64</v>
      </c>
      <c r="U16" s="22" t="s">
        <v>64</v>
      </c>
      <c r="V16" s="22"/>
      <c r="W16" s="22"/>
      <c r="X16" s="22" t="s">
        <v>64</v>
      </c>
      <c r="Y16" s="22">
        <v>0</v>
      </c>
      <c r="Z16" s="29"/>
      <c r="AA16" s="23">
        <v>0</v>
      </c>
      <c r="AB16" s="23"/>
      <c r="AC16" s="23"/>
      <c r="AD16" s="23"/>
      <c r="AE16" s="23"/>
      <c r="AF16" s="23">
        <v>0</v>
      </c>
      <c r="AG16" s="23">
        <v>0</v>
      </c>
      <c r="AH16" s="23">
        <v>0</v>
      </c>
      <c r="AI16" s="8"/>
      <c r="AJ16" s="30"/>
      <c r="AK16" s="30"/>
      <c r="AL16" s="30"/>
      <c r="AM16" s="30"/>
      <c r="AN16" s="30"/>
      <c r="AO16" s="30"/>
      <c r="AP16" s="30"/>
      <c r="AQ16" s="30"/>
      <c r="AR16" s="23">
        <v>0</v>
      </c>
      <c r="AS16" s="23">
        <v>0</v>
      </c>
      <c r="AT16" s="23">
        <v>0</v>
      </c>
      <c r="AU16" s="23">
        <v>0</v>
      </c>
      <c r="AV16" s="23">
        <f t="shared" si="0"/>
        <v>0</v>
      </c>
      <c r="AW16" s="23">
        <v>0</v>
      </c>
      <c r="AX16" s="23">
        <f t="shared" si="1"/>
        <v>0</v>
      </c>
      <c r="AY16" s="23"/>
      <c r="AZ16" s="26"/>
      <c r="BA16" s="23"/>
      <c r="BB16" s="23"/>
      <c r="BC16" s="31"/>
      <c r="BD16" s="23"/>
      <c r="BE16" s="32"/>
      <c r="BF16" s="23"/>
      <c r="BG16" s="20" t="str">
        <f t="shared" si="2"/>
        <v>description: "Пуск МТЗ", note: "Пуск МТЗ", group: "measurement", minValue: null, maxValue: null, step: null, units: "null", defaultValue: null, eventRegistration: 0</v>
      </c>
      <c r="BH16" s="25"/>
    </row>
    <row r="17" spans="1:60" s="37" customFormat="1" ht="15.75" x14ac:dyDescent="0.25">
      <c r="A17" s="18"/>
      <c r="B17" s="18" t="s">
        <v>59</v>
      </c>
      <c r="C17" s="23"/>
      <c r="D17" s="8"/>
      <c r="E17" s="17" t="s">
        <v>88</v>
      </c>
      <c r="F17" s="17" t="s">
        <v>89</v>
      </c>
      <c r="G17" s="17" t="s">
        <v>89</v>
      </c>
      <c r="H17" s="8"/>
      <c r="I17" s="17">
        <f>LEN(F17)</f>
        <v>10</v>
      </c>
      <c r="J17" s="17" t="str">
        <f t="shared" si="4"/>
        <v>Насл.режим</v>
      </c>
      <c r="K17" s="29" t="s">
        <v>90</v>
      </c>
      <c r="L17" s="21" t="s">
        <v>91</v>
      </c>
      <c r="M17" s="22" t="s">
        <v>61</v>
      </c>
      <c r="N17" s="22" t="s">
        <v>62</v>
      </c>
      <c r="O17" s="22"/>
      <c r="P17" s="23"/>
      <c r="Q17" s="23"/>
      <c r="R17" s="22" t="s">
        <v>64</v>
      </c>
      <c r="S17" s="22" t="s">
        <v>64</v>
      </c>
      <c r="T17" s="22" t="s">
        <v>64</v>
      </c>
      <c r="U17" s="22" t="s">
        <v>64</v>
      </c>
      <c r="V17" s="23"/>
      <c r="W17" s="23"/>
      <c r="X17" s="22" t="s">
        <v>64</v>
      </c>
      <c r="Y17" s="22">
        <v>0</v>
      </c>
      <c r="Z17" s="23"/>
      <c r="AA17" s="23">
        <v>0</v>
      </c>
      <c r="AB17" s="23"/>
      <c r="AC17" s="23"/>
      <c r="AD17" s="23"/>
      <c r="AE17" s="23"/>
      <c r="AF17" s="23">
        <v>0</v>
      </c>
      <c r="AG17" s="23">
        <v>0</v>
      </c>
      <c r="AH17" s="23">
        <v>0</v>
      </c>
      <c r="AI17" s="8" t="s">
        <v>92</v>
      </c>
      <c r="AJ17" s="36" t="s">
        <v>93</v>
      </c>
      <c r="AK17" s="36" t="s">
        <v>94</v>
      </c>
      <c r="AL17" s="36" t="s">
        <v>95</v>
      </c>
      <c r="AM17" s="36" t="s">
        <v>96</v>
      </c>
      <c r="AN17" s="36"/>
      <c r="AO17" s="36" t="s">
        <v>97</v>
      </c>
      <c r="AP17" s="36" t="str">
        <f>CONCATENATE(AJ17, ".", AL17)</f>
        <v>LLN0.GrRef.setSrcRef</v>
      </c>
      <c r="AQ17" s="36" t="s">
        <v>87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0"/>
        <v>0</v>
      </c>
      <c r="AW17" s="23">
        <v>0</v>
      </c>
      <c r="AX17" s="23">
        <f t="shared" si="1"/>
        <v>0</v>
      </c>
      <c r="AY17" s="26"/>
      <c r="AZ17" s="23"/>
      <c r="BA17" s="23"/>
      <c r="BB17" s="23"/>
      <c r="BC17" s="23"/>
      <c r="BD17" s="23"/>
      <c r="BE17" s="23"/>
      <c r="BF17" s="23"/>
      <c r="BG17" s="20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18" spans="1:60" s="37" customFormat="1" ht="15.75" x14ac:dyDescent="0.25">
      <c r="A18" s="18"/>
      <c r="B18" s="18" t="s">
        <v>59</v>
      </c>
      <c r="C18" s="23"/>
      <c r="D18" s="8"/>
      <c r="E18" s="17" t="s">
        <v>98</v>
      </c>
      <c r="F18" s="17" t="s">
        <v>99</v>
      </c>
      <c r="G18" s="17" t="s">
        <v>99</v>
      </c>
      <c r="H18" s="8"/>
      <c r="I18" s="17">
        <f>LEN(F18)</f>
        <v>8</v>
      </c>
      <c r="J18" s="17" t="str">
        <f t="shared" si="4"/>
        <v>Ош.крит.</v>
      </c>
      <c r="K18" s="29" t="s">
        <v>100</v>
      </c>
      <c r="L18" s="21" t="s">
        <v>79</v>
      </c>
      <c r="M18" s="22" t="s">
        <v>61</v>
      </c>
      <c r="N18" s="22" t="s">
        <v>62</v>
      </c>
      <c r="O18" s="22"/>
      <c r="P18" s="23"/>
      <c r="Q18" s="23"/>
      <c r="R18" s="22" t="s">
        <v>64</v>
      </c>
      <c r="S18" s="22" t="s">
        <v>64</v>
      </c>
      <c r="T18" s="22" t="s">
        <v>64</v>
      </c>
      <c r="U18" s="22" t="s">
        <v>64</v>
      </c>
      <c r="V18" s="23"/>
      <c r="W18" s="23"/>
      <c r="X18" s="22" t="s">
        <v>64</v>
      </c>
      <c r="Y18" s="22">
        <v>0</v>
      </c>
      <c r="Z18" s="23"/>
      <c r="AA18" s="23">
        <v>0</v>
      </c>
      <c r="AB18" s="23"/>
      <c r="AC18" s="23"/>
      <c r="AD18" s="23"/>
      <c r="AE18" s="23"/>
      <c r="AF18" s="23">
        <v>0</v>
      </c>
      <c r="AG18" s="23">
        <v>0</v>
      </c>
      <c r="AH18" s="23">
        <v>0</v>
      </c>
      <c r="AI18" s="38"/>
      <c r="AJ18" s="36"/>
      <c r="AK18" s="36"/>
      <c r="AL18" s="36"/>
      <c r="AM18" s="36"/>
      <c r="AN18" s="36"/>
      <c r="AO18" s="36"/>
      <c r="AP18" s="36"/>
      <c r="AQ18" s="36"/>
      <c r="AR18" s="23">
        <v>0</v>
      </c>
      <c r="AS18" s="23">
        <v>0</v>
      </c>
      <c r="AT18" s="23">
        <v>0</v>
      </c>
      <c r="AU18" s="23">
        <v>0</v>
      </c>
      <c r="AV18" s="23">
        <f t="shared" si="0"/>
        <v>0</v>
      </c>
      <c r="AW18" s="23">
        <v>0</v>
      </c>
      <c r="AX18" s="23">
        <f t="shared" si="1"/>
        <v>0</v>
      </c>
      <c r="AY18" s="26"/>
      <c r="AZ18" s="23"/>
      <c r="BA18" s="23"/>
      <c r="BB18" s="23"/>
      <c r="BC18" s="23"/>
      <c r="BD18" s="23"/>
      <c r="BE18" s="23"/>
      <c r="BF18" s="23"/>
      <c r="BG18" s="20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9" spans="1:60" s="37" customFormat="1" ht="15.75" x14ac:dyDescent="0.25">
      <c r="A19" s="18"/>
      <c r="B19" s="18" t="s">
        <v>59</v>
      </c>
      <c r="C19" s="23"/>
      <c r="D19" s="8"/>
      <c r="E19" s="17" t="s">
        <v>101</v>
      </c>
      <c r="F19" s="17" t="s">
        <v>102</v>
      </c>
      <c r="G19" s="17" t="s">
        <v>102</v>
      </c>
      <c r="H19" s="8"/>
      <c r="I19" s="17">
        <f>LEN(F19)</f>
        <v>6</v>
      </c>
      <c r="J19" s="17" t="str">
        <f t="shared" si="4"/>
        <v>Ошибка</v>
      </c>
      <c r="K19" s="29" t="s">
        <v>103</v>
      </c>
      <c r="L19" s="21" t="s">
        <v>79</v>
      </c>
      <c r="M19" s="22" t="s">
        <v>61</v>
      </c>
      <c r="N19" s="22" t="s">
        <v>62</v>
      </c>
      <c r="O19" s="22"/>
      <c r="P19" s="23"/>
      <c r="Q19" s="23"/>
      <c r="R19" s="22" t="s">
        <v>64</v>
      </c>
      <c r="S19" s="22" t="s">
        <v>64</v>
      </c>
      <c r="T19" s="22" t="s">
        <v>64</v>
      </c>
      <c r="U19" s="22" t="s">
        <v>64</v>
      </c>
      <c r="V19" s="23"/>
      <c r="W19" s="23"/>
      <c r="X19" s="22" t="s">
        <v>64</v>
      </c>
      <c r="Y19" s="22">
        <v>0</v>
      </c>
      <c r="Z19" s="23"/>
      <c r="AA19" s="23">
        <v>0</v>
      </c>
      <c r="AB19" s="23"/>
      <c r="AC19" s="23"/>
      <c r="AD19" s="23"/>
      <c r="AE19" s="23"/>
      <c r="AF19" s="23">
        <v>0</v>
      </c>
      <c r="AG19" s="23">
        <v>0</v>
      </c>
      <c r="AH19" s="23">
        <v>0</v>
      </c>
      <c r="AI19" s="38"/>
      <c r="AJ19" s="36"/>
      <c r="AK19" s="36"/>
      <c r="AL19" s="36"/>
      <c r="AM19" s="36"/>
      <c r="AN19" s="36"/>
      <c r="AO19" s="36"/>
      <c r="AP19" s="36"/>
      <c r="AQ19" s="36"/>
      <c r="AR19" s="23">
        <v>0</v>
      </c>
      <c r="AS19" s="23">
        <v>0</v>
      </c>
      <c r="AT19" s="23">
        <v>0</v>
      </c>
      <c r="AU19" s="23">
        <v>0</v>
      </c>
      <c r="AV19" s="23">
        <f t="shared" si="0"/>
        <v>0</v>
      </c>
      <c r="AW19" s="23">
        <v>0</v>
      </c>
      <c r="AX19" s="23">
        <f t="shared" si="1"/>
        <v>0</v>
      </c>
      <c r="AY19" s="26"/>
      <c r="AZ19" s="23"/>
      <c r="BA19" s="23"/>
      <c r="BB19" s="23"/>
      <c r="BC19" s="23"/>
      <c r="BD19" s="23"/>
      <c r="BE19" s="23"/>
      <c r="BF19" s="23"/>
      <c r="BG19" s="20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9"/>
      <c r="BC201" s="4"/>
      <c r="BD201" s="3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9"/>
      <c r="BC202" s="4"/>
      <c r="BD202" s="3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9"/>
      <c r="BC203" s="4"/>
      <c r="BD203" s="3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9"/>
      <c r="BC204" s="4"/>
      <c r="BD204" s="3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9"/>
      <c r="BC205" s="4"/>
      <c r="BD205" s="3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9"/>
      <c r="BC206" s="4"/>
      <c r="BD206" s="3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9"/>
      <c r="BC207" s="4"/>
      <c r="BD207" s="3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9"/>
      <c r="BC208" s="4"/>
      <c r="BD208" s="3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9"/>
      <c r="BC209" s="4"/>
      <c r="BD209" s="3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9"/>
      <c r="BC210" s="4"/>
      <c r="BD210" s="3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9"/>
      <c r="BC211" s="4"/>
      <c r="BD211" s="3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9"/>
      <c r="BC212" s="4"/>
      <c r="BD212" s="3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9"/>
      <c r="BC213" s="4"/>
      <c r="BD213" s="3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9"/>
      <c r="BC214" s="4"/>
      <c r="BD214" s="39"/>
      <c r="BE214" s="4"/>
      <c r="BF214" s="4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zoomScale="80" zoomScaleNormal="80" workbookViewId="0">
      <selection activeCell="AX19" sqref="AX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7.85546875" style="2" customWidth="1" outlineLevel="1"/>
    <col min="8" max="8" width="33.140625" style="2" bestFit="1" customWidth="1" outlineLevel="1"/>
    <col min="9" max="9" width="15.7109375" style="2" customWidth="1"/>
    <col min="10" max="10" width="37.42578125" style="2" customWidth="1"/>
    <col min="11" max="11" width="28.57031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customWidth="1" outlineLevel="1"/>
    <col min="21" max="21" width="7.28515625" style="4" customWidth="1" outlineLevel="1"/>
    <col min="22" max="23" width="13.5703125" style="4" customWidth="1" outlineLevel="1"/>
    <col min="24" max="24" width="14.57031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0" t="s">
        <v>0</v>
      </c>
      <c r="BA1" s="61"/>
      <c r="BB1" s="61"/>
      <c r="BC1" s="61"/>
      <c r="BD1" s="61"/>
      <c r="BE1" s="61"/>
      <c r="BF1" s="61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57" t="s">
        <v>241</v>
      </c>
      <c r="AW2" s="57" t="s">
        <v>242</v>
      </c>
      <c r="AX2" s="57" t="s">
        <v>243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ht="15.75" x14ac:dyDescent="0.25">
      <c r="A3" s="18"/>
      <c r="B3" s="56" t="s">
        <v>240</v>
      </c>
      <c r="C3" s="23"/>
      <c r="D3" s="40" t="s">
        <v>200</v>
      </c>
      <c r="E3" s="17" t="s">
        <v>104</v>
      </c>
      <c r="F3" s="41" t="s">
        <v>105</v>
      </c>
      <c r="G3" s="41" t="s">
        <v>105</v>
      </c>
      <c r="H3" s="8"/>
      <c r="I3" s="17">
        <f t="shared" ref="I3:I13" si="0">LEN(F3)</f>
        <v>4</v>
      </c>
      <c r="J3" s="17" t="str">
        <f>IF(LEN(F3)&lt;=$J$1,F3,"")</f>
        <v>Ввод</v>
      </c>
      <c r="K3" s="29" t="s">
        <v>106</v>
      </c>
      <c r="L3" s="21" t="s">
        <v>79</v>
      </c>
      <c r="M3" s="22" t="s">
        <v>61</v>
      </c>
      <c r="N3" s="22" t="s">
        <v>62</v>
      </c>
      <c r="O3" s="22"/>
      <c r="P3" s="26"/>
      <c r="Q3" s="26"/>
      <c r="R3" s="22" t="s">
        <v>64</v>
      </c>
      <c r="S3" s="22" t="s">
        <v>64</v>
      </c>
      <c r="T3" s="22" t="s">
        <v>64</v>
      </c>
      <c r="U3" s="22" t="s">
        <v>64</v>
      </c>
      <c r="V3" s="23"/>
      <c r="W3" s="23"/>
      <c r="X3" s="22" t="s">
        <v>64</v>
      </c>
      <c r="Y3" s="22">
        <v>2</v>
      </c>
      <c r="Z3" s="23"/>
      <c r="AA3" s="23">
        <v>0</v>
      </c>
      <c r="AB3" s="23"/>
      <c r="AC3" s="23"/>
      <c r="AD3" s="23"/>
      <c r="AE3" s="23"/>
      <c r="AF3" s="23">
        <v>0</v>
      </c>
      <c r="AG3" s="23">
        <v>0</v>
      </c>
      <c r="AH3" s="23">
        <v>0</v>
      </c>
      <c r="AI3" s="8"/>
      <c r="AJ3" s="36"/>
      <c r="AK3" s="36"/>
      <c r="AL3" s="36"/>
      <c r="AM3" s="36"/>
      <c r="AN3" s="36"/>
      <c r="AO3" s="36"/>
      <c r="AP3" s="36"/>
      <c r="AQ3" s="36"/>
      <c r="AR3" s="23">
        <v>0</v>
      </c>
      <c r="AS3" s="23">
        <v>1</v>
      </c>
      <c r="AT3" s="23">
        <v>0</v>
      </c>
      <c r="AU3" s="23">
        <v>1</v>
      </c>
      <c r="AV3" s="58">
        <v>1</v>
      </c>
      <c r="AW3" s="58">
        <v>1</v>
      </c>
      <c r="AX3" s="58">
        <v>1</v>
      </c>
      <c r="AY3" s="26"/>
      <c r="AZ3" s="23"/>
      <c r="BA3" s="23"/>
      <c r="BB3" s="23"/>
      <c r="BC3" s="23"/>
      <c r="BD3" s="23"/>
      <c r="BE3" s="23"/>
      <c r="BF3" s="23"/>
      <c r="BG3" s="20" t="str">
        <f t="shared" ref="BG3:BG13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7" customFormat="1" ht="15.75" x14ac:dyDescent="0.25">
      <c r="A4" s="18"/>
      <c r="B4" s="56" t="s">
        <v>240</v>
      </c>
      <c r="C4" s="23"/>
      <c r="D4" s="40" t="s">
        <v>200</v>
      </c>
      <c r="E4" s="17" t="s">
        <v>107</v>
      </c>
      <c r="F4" s="41" t="s">
        <v>108</v>
      </c>
      <c r="G4" s="41" t="s">
        <v>108</v>
      </c>
      <c r="H4" s="8"/>
      <c r="I4" s="17">
        <f t="shared" si="0"/>
        <v>17</v>
      </c>
      <c r="J4" s="17" t="str">
        <f>IF(LEN(F4)&lt;=$J$1,F4,"")</f>
        <v>Оперативный вывод</v>
      </c>
      <c r="K4" s="29" t="s">
        <v>109</v>
      </c>
      <c r="L4" s="21" t="s">
        <v>79</v>
      </c>
      <c r="M4" s="22" t="s">
        <v>61</v>
      </c>
      <c r="N4" s="22" t="s">
        <v>62</v>
      </c>
      <c r="O4" s="22"/>
      <c r="P4" s="26"/>
      <c r="Q4" s="26"/>
      <c r="R4" s="22" t="s">
        <v>64</v>
      </c>
      <c r="S4" s="22" t="s">
        <v>64</v>
      </c>
      <c r="T4" s="22" t="s">
        <v>64</v>
      </c>
      <c r="U4" s="22" t="s">
        <v>64</v>
      </c>
      <c r="V4" s="23"/>
      <c r="W4" s="23"/>
      <c r="X4" s="22" t="s">
        <v>64</v>
      </c>
      <c r="Y4" s="22">
        <v>2</v>
      </c>
      <c r="Z4" s="23"/>
      <c r="AA4" s="23">
        <v>0</v>
      </c>
      <c r="AB4" s="23"/>
      <c r="AC4" s="23"/>
      <c r="AD4" s="23"/>
      <c r="AE4" s="23"/>
      <c r="AF4" s="23">
        <v>0</v>
      </c>
      <c r="AG4" s="23">
        <v>0</v>
      </c>
      <c r="AH4" s="23">
        <v>0</v>
      </c>
      <c r="AI4" s="8"/>
      <c r="AJ4" s="36"/>
      <c r="AK4" s="36"/>
      <c r="AL4" s="36"/>
      <c r="AM4" s="36"/>
      <c r="AN4" s="36"/>
      <c r="AO4" s="36"/>
      <c r="AP4" s="36"/>
      <c r="AQ4" s="36"/>
      <c r="AR4" s="23">
        <v>0</v>
      </c>
      <c r="AS4" s="23">
        <v>1</v>
      </c>
      <c r="AT4" s="23">
        <v>0</v>
      </c>
      <c r="AU4" s="23">
        <v>1</v>
      </c>
      <c r="AV4" s="58">
        <v>1</v>
      </c>
      <c r="AW4" s="58">
        <v>1</v>
      </c>
      <c r="AX4" s="58">
        <v>1</v>
      </c>
      <c r="AY4" s="26"/>
      <c r="AZ4" s="23"/>
      <c r="BA4" s="23"/>
      <c r="BB4" s="23"/>
      <c r="BC4" s="23"/>
      <c r="BD4" s="23"/>
      <c r="BE4" s="23"/>
      <c r="BF4" s="23"/>
      <c r="BG4" s="20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7" customFormat="1" ht="15.75" x14ac:dyDescent="0.25">
      <c r="A5" s="18"/>
      <c r="B5" s="56" t="s">
        <v>240</v>
      </c>
      <c r="C5" s="23"/>
      <c r="D5" s="40" t="s">
        <v>200</v>
      </c>
      <c r="E5" s="17" t="s">
        <v>221</v>
      </c>
      <c r="F5" s="41" t="s">
        <v>222</v>
      </c>
      <c r="G5" s="41" t="s">
        <v>222</v>
      </c>
      <c r="H5" s="8"/>
      <c r="I5" s="17">
        <f>LEN(F5)</f>
        <v>15</v>
      </c>
      <c r="J5" s="17" t="str">
        <f>IF(LEN(F5)&lt;=$J$1,F5,"")</f>
        <v>Автомат ТН откл</v>
      </c>
      <c r="K5" s="29" t="s">
        <v>118</v>
      </c>
      <c r="L5" s="21" t="s">
        <v>79</v>
      </c>
      <c r="M5" s="22" t="s">
        <v>61</v>
      </c>
      <c r="N5" s="22" t="s">
        <v>62</v>
      </c>
      <c r="O5" s="22"/>
      <c r="P5" s="26"/>
      <c r="Q5" s="26"/>
      <c r="R5" s="22" t="s">
        <v>64</v>
      </c>
      <c r="S5" s="22" t="s">
        <v>64</v>
      </c>
      <c r="T5" s="22" t="s">
        <v>64</v>
      </c>
      <c r="U5" s="22" t="s">
        <v>64</v>
      </c>
      <c r="V5" s="23"/>
      <c r="W5" s="23"/>
      <c r="X5" s="22" t="s">
        <v>64</v>
      </c>
      <c r="Y5" s="22">
        <v>2</v>
      </c>
      <c r="Z5" s="23"/>
      <c r="AA5" s="23">
        <v>0</v>
      </c>
      <c r="AB5" s="23"/>
      <c r="AC5" s="23"/>
      <c r="AD5" s="23"/>
      <c r="AE5" s="23"/>
      <c r="AF5" s="23">
        <v>0</v>
      </c>
      <c r="AG5" s="23">
        <v>0</v>
      </c>
      <c r="AH5" s="23">
        <v>0</v>
      </c>
      <c r="AI5" s="8"/>
      <c r="AJ5" s="36"/>
      <c r="AK5" s="36"/>
      <c r="AL5" s="36"/>
      <c r="AM5" s="36"/>
      <c r="AN5" s="36"/>
      <c r="AO5" s="36"/>
      <c r="AP5" s="36"/>
      <c r="AQ5" s="36"/>
      <c r="AR5" s="23">
        <v>0</v>
      </c>
      <c r="AS5" s="23">
        <v>1</v>
      </c>
      <c r="AT5" s="23">
        <v>0</v>
      </c>
      <c r="AU5" s="23">
        <v>1</v>
      </c>
      <c r="AV5" s="58">
        <v>1</v>
      </c>
      <c r="AW5" s="58">
        <v>1</v>
      </c>
      <c r="AX5" s="58">
        <v>1</v>
      </c>
      <c r="AY5" s="26"/>
      <c r="AZ5" s="23"/>
      <c r="BA5" s="23"/>
      <c r="BB5" s="23"/>
      <c r="BC5" s="23"/>
      <c r="BD5" s="23"/>
      <c r="BE5" s="23"/>
      <c r="BF5" s="23"/>
      <c r="BG5" s="2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"Автомат ТН откл", note: "Отключение автомата ТН", group: "status", minValue: null, maxValue: null, step: null, units: "null", defaultValue: null, eventRegistration: 2</v>
      </c>
    </row>
    <row r="6" spans="1:16379" s="37" customFormat="1" ht="15.75" x14ac:dyDescent="0.25">
      <c r="A6" s="18"/>
      <c r="B6" s="56" t="s">
        <v>240</v>
      </c>
      <c r="C6" s="23"/>
      <c r="D6" s="40" t="s">
        <v>200</v>
      </c>
      <c r="E6" s="17" t="s">
        <v>112</v>
      </c>
      <c r="F6" s="41" t="s">
        <v>112</v>
      </c>
      <c r="G6" s="41" t="s">
        <v>112</v>
      </c>
      <c r="H6" s="8"/>
      <c r="I6" s="17">
        <f t="shared" si="0"/>
        <v>9</v>
      </c>
      <c r="J6" s="17" t="str">
        <f t="shared" ref="J6:J13" si="2">IF(LEN(F6)&lt;=$J$1,F6,"")</f>
        <v>Пуск U2I2</v>
      </c>
      <c r="K6" s="29" t="s">
        <v>113</v>
      </c>
      <c r="L6" s="21" t="s">
        <v>79</v>
      </c>
      <c r="M6" s="22" t="s">
        <v>61</v>
      </c>
      <c r="N6" s="22" t="s">
        <v>62</v>
      </c>
      <c r="O6" s="22"/>
      <c r="P6" s="26"/>
      <c r="Q6" s="26"/>
      <c r="R6" s="22" t="s">
        <v>64</v>
      </c>
      <c r="S6" s="22" t="s">
        <v>64</v>
      </c>
      <c r="T6" s="22" t="s">
        <v>64</v>
      </c>
      <c r="U6" s="22" t="s">
        <v>64</v>
      </c>
      <c r="V6" s="23"/>
      <c r="W6" s="23"/>
      <c r="X6" s="22" t="s">
        <v>64</v>
      </c>
      <c r="Y6" s="22">
        <v>2</v>
      </c>
      <c r="Z6" s="23"/>
      <c r="AA6" s="23">
        <v>0</v>
      </c>
      <c r="AB6" s="23"/>
      <c r="AC6" s="23"/>
      <c r="AD6" s="23"/>
      <c r="AE6" s="23"/>
      <c r="AF6" s="23">
        <v>0</v>
      </c>
      <c r="AG6" s="23">
        <v>0</v>
      </c>
      <c r="AH6" s="23">
        <v>0</v>
      </c>
      <c r="AI6" s="8" t="s">
        <v>83</v>
      </c>
      <c r="AJ6" s="36" t="s">
        <v>114</v>
      </c>
      <c r="AK6" s="36" t="s">
        <v>110</v>
      </c>
      <c r="AL6" s="36" t="s">
        <v>111</v>
      </c>
      <c r="AM6" s="36" t="s">
        <v>85</v>
      </c>
      <c r="AN6" s="36"/>
      <c r="AO6" s="36" t="s">
        <v>86</v>
      </c>
      <c r="AP6" s="36" t="str">
        <f t="shared" ref="AP6:AP13" si="3">CONCATENATE(AJ6, ".", AL6)</f>
        <v>RVTR1.StrU2I2.general</v>
      </c>
      <c r="AQ6" s="36" t="s">
        <v>87</v>
      </c>
      <c r="AR6" s="23">
        <v>0</v>
      </c>
      <c r="AS6" s="23">
        <v>1</v>
      </c>
      <c r="AT6" s="23">
        <v>0</v>
      </c>
      <c r="AU6" s="23">
        <v>1</v>
      </c>
      <c r="AV6" s="58">
        <v>1</v>
      </c>
      <c r="AW6" s="58">
        <v>1</v>
      </c>
      <c r="AX6" s="58">
        <v>1</v>
      </c>
      <c r="AY6" s="26"/>
      <c r="AZ6" s="23"/>
      <c r="BA6" s="23"/>
      <c r="BB6" s="23"/>
      <c r="BC6" s="23"/>
      <c r="BD6" s="23"/>
      <c r="BE6" s="23"/>
      <c r="BF6" s="23"/>
      <c r="BG6" s="20" t="str">
        <f t="shared" si="1"/>
        <v>description: "Пуск U2I2", note: "Пуск U2I2", group: "status", minValue: null, maxValue: null, step: null, units: "null", defaultValue: null, eventRegistration: 2</v>
      </c>
    </row>
    <row r="7" spans="1:16379" s="37" customFormat="1" ht="15.75" x14ac:dyDescent="0.25">
      <c r="A7" s="18"/>
      <c r="B7" s="56" t="s">
        <v>240</v>
      </c>
      <c r="C7" s="23"/>
      <c r="D7" s="40" t="s">
        <v>200</v>
      </c>
      <c r="E7" s="17" t="s">
        <v>115</v>
      </c>
      <c r="F7" s="41" t="s">
        <v>115</v>
      </c>
      <c r="G7" s="41" t="s">
        <v>115</v>
      </c>
      <c r="H7" s="8"/>
      <c r="I7" s="17">
        <f t="shared" si="0"/>
        <v>11</v>
      </c>
      <c r="J7" s="17" t="str">
        <f t="shared" si="2"/>
        <v>Пуск minU3p</v>
      </c>
      <c r="K7" s="29" t="s">
        <v>116</v>
      </c>
      <c r="L7" s="21" t="s">
        <v>79</v>
      </c>
      <c r="M7" s="22" t="s">
        <v>61</v>
      </c>
      <c r="N7" s="22" t="s">
        <v>62</v>
      </c>
      <c r="O7" s="22"/>
      <c r="P7" s="26"/>
      <c r="Q7" s="26"/>
      <c r="R7" s="22" t="s">
        <v>64</v>
      </c>
      <c r="S7" s="22" t="s">
        <v>64</v>
      </c>
      <c r="T7" s="22" t="s">
        <v>64</v>
      </c>
      <c r="U7" s="22" t="s">
        <v>64</v>
      </c>
      <c r="V7" s="23"/>
      <c r="W7" s="23"/>
      <c r="X7" s="22" t="s">
        <v>64</v>
      </c>
      <c r="Y7" s="22">
        <v>2</v>
      </c>
      <c r="Z7" s="23"/>
      <c r="AA7" s="23">
        <v>0</v>
      </c>
      <c r="AB7" s="23"/>
      <c r="AC7" s="23"/>
      <c r="AD7" s="23"/>
      <c r="AE7" s="23"/>
      <c r="AF7" s="23">
        <v>0</v>
      </c>
      <c r="AG7" s="23">
        <v>0</v>
      </c>
      <c r="AH7" s="23">
        <v>0</v>
      </c>
      <c r="AI7" s="8" t="s">
        <v>83</v>
      </c>
      <c r="AJ7" s="36" t="s">
        <v>117</v>
      </c>
      <c r="AK7" s="36" t="s">
        <v>110</v>
      </c>
      <c r="AL7" s="36" t="s">
        <v>111</v>
      </c>
      <c r="AM7" s="36" t="s">
        <v>85</v>
      </c>
      <c r="AN7" s="36"/>
      <c r="AO7" s="36" t="s">
        <v>86</v>
      </c>
      <c r="AP7" s="36" t="str">
        <f t="shared" si="3"/>
        <v>RVTR1.StrMinU3p.general</v>
      </c>
      <c r="AQ7" s="36" t="s">
        <v>87</v>
      </c>
      <c r="AR7" s="23">
        <v>0</v>
      </c>
      <c r="AS7" s="23">
        <v>1</v>
      </c>
      <c r="AT7" s="23">
        <v>0</v>
      </c>
      <c r="AU7" s="23">
        <v>1</v>
      </c>
      <c r="AV7" s="58">
        <v>1</v>
      </c>
      <c r="AW7" s="58">
        <v>1</v>
      </c>
      <c r="AX7" s="58">
        <v>1</v>
      </c>
      <c r="AY7" s="26"/>
      <c r="AZ7" s="23"/>
      <c r="BA7" s="23"/>
      <c r="BB7" s="23"/>
      <c r="BC7" s="23"/>
      <c r="BD7" s="23"/>
      <c r="BE7" s="23"/>
      <c r="BF7" s="23"/>
      <c r="BG7" s="20" t="str">
        <f t="shared" si="1"/>
        <v>description: "Пуск minU3p", note: "Пуск minU3p", group: "status", minValue: null, maxValue: null, step: null, units: "null", defaultValue: null, eventRegistration: 2</v>
      </c>
    </row>
    <row r="8" spans="1:16379" s="37" customFormat="1" ht="15.75" x14ac:dyDescent="0.25">
      <c r="A8" s="18"/>
      <c r="B8" s="56" t="s">
        <v>240</v>
      </c>
      <c r="C8" s="23"/>
      <c r="D8" s="40" t="s">
        <v>200</v>
      </c>
      <c r="E8" s="17" t="s">
        <v>119</v>
      </c>
      <c r="F8" s="41" t="s">
        <v>119</v>
      </c>
      <c r="G8" s="41" t="s">
        <v>119</v>
      </c>
      <c r="H8" s="8"/>
      <c r="I8" s="17">
        <f t="shared" si="0"/>
        <v>12</v>
      </c>
      <c r="J8" s="17" t="str">
        <f t="shared" si="2"/>
        <v>Срабатывание</v>
      </c>
      <c r="K8" s="29" t="s">
        <v>120</v>
      </c>
      <c r="L8" s="21" t="s">
        <v>79</v>
      </c>
      <c r="M8" s="22" t="s">
        <v>61</v>
      </c>
      <c r="N8" s="22" t="s">
        <v>62</v>
      </c>
      <c r="O8" s="22"/>
      <c r="P8" s="26"/>
      <c r="Q8" s="26"/>
      <c r="R8" s="22" t="s">
        <v>64</v>
      </c>
      <c r="S8" s="22" t="s">
        <v>64</v>
      </c>
      <c r="T8" s="22" t="s">
        <v>64</v>
      </c>
      <c r="U8" s="22" t="s">
        <v>64</v>
      </c>
      <c r="V8" s="23"/>
      <c r="W8" s="23"/>
      <c r="X8" s="22" t="s">
        <v>64</v>
      </c>
      <c r="Y8" s="22">
        <v>2</v>
      </c>
      <c r="Z8" s="23"/>
      <c r="AA8" s="23">
        <v>0</v>
      </c>
      <c r="AB8" s="23"/>
      <c r="AC8" s="23"/>
      <c r="AD8" s="23"/>
      <c r="AE8" s="23"/>
      <c r="AF8" s="23">
        <v>0</v>
      </c>
      <c r="AG8" s="23">
        <v>0</v>
      </c>
      <c r="AH8" s="23">
        <v>0</v>
      </c>
      <c r="AI8" s="8" t="s">
        <v>83</v>
      </c>
      <c r="AJ8" s="36" t="s">
        <v>121</v>
      </c>
      <c r="AK8" s="36" t="s">
        <v>122</v>
      </c>
      <c r="AL8" s="36" t="s">
        <v>111</v>
      </c>
      <c r="AM8" s="36" t="s">
        <v>85</v>
      </c>
      <c r="AN8" s="36"/>
      <c r="AO8" s="36" t="s">
        <v>86</v>
      </c>
      <c r="AP8" s="36" t="str">
        <f t="shared" si="3"/>
        <v>RVTR1.Op.general</v>
      </c>
      <c r="AQ8" s="36" t="s">
        <v>87</v>
      </c>
      <c r="AR8" s="23">
        <v>0</v>
      </c>
      <c r="AS8" s="23">
        <v>1</v>
      </c>
      <c r="AT8" s="23">
        <v>0</v>
      </c>
      <c r="AU8" s="23">
        <v>1</v>
      </c>
      <c r="AV8" s="58">
        <v>1</v>
      </c>
      <c r="AW8" s="58">
        <v>1</v>
      </c>
      <c r="AX8" s="58">
        <v>1</v>
      </c>
      <c r="AY8" s="26"/>
      <c r="AZ8" s="23"/>
      <c r="BA8" s="23"/>
      <c r="BB8" s="23"/>
      <c r="BC8" s="23"/>
      <c r="BD8" s="23"/>
      <c r="BE8" s="23"/>
      <c r="BF8" s="23"/>
      <c r="BG8" s="20" t="str">
        <f t="shared" si="1"/>
        <v>description: "Срабатывание", note: "Срабатывание", group: "status", minValue: null, maxValue: null, step: null, units: "null", defaultValue: null, eventRegistration: 2</v>
      </c>
    </row>
    <row r="9" spans="1:16379" s="37" customFormat="1" ht="15.75" x14ac:dyDescent="0.25">
      <c r="A9" s="18"/>
      <c r="B9" s="56" t="s">
        <v>240</v>
      </c>
      <c r="C9" s="23"/>
      <c r="D9" s="40" t="s">
        <v>200</v>
      </c>
      <c r="E9" s="17" t="s">
        <v>123</v>
      </c>
      <c r="F9" s="41" t="s">
        <v>123</v>
      </c>
      <c r="G9" s="41" t="s">
        <v>123</v>
      </c>
      <c r="H9" s="8"/>
      <c r="I9" s="17">
        <f t="shared" si="0"/>
        <v>16</v>
      </c>
      <c r="J9" s="17" t="str">
        <f>IF(LEN(F9)&lt;=$J$1,F9,"")</f>
        <v>Неисправность ЦН</v>
      </c>
      <c r="K9" s="29" t="s">
        <v>124</v>
      </c>
      <c r="L9" s="21" t="s">
        <v>79</v>
      </c>
      <c r="M9" s="22" t="s">
        <v>61</v>
      </c>
      <c r="N9" s="22" t="s">
        <v>62</v>
      </c>
      <c r="O9" s="22"/>
      <c r="P9" s="26"/>
      <c r="Q9" s="26"/>
      <c r="R9" s="22" t="s">
        <v>64</v>
      </c>
      <c r="S9" s="22" t="s">
        <v>64</v>
      </c>
      <c r="T9" s="22" t="s">
        <v>64</v>
      </c>
      <c r="U9" s="22" t="s">
        <v>64</v>
      </c>
      <c r="V9" s="23"/>
      <c r="W9" s="23"/>
      <c r="X9" s="22" t="s">
        <v>64</v>
      </c>
      <c r="Y9" s="22">
        <v>2</v>
      </c>
      <c r="Z9" s="23"/>
      <c r="AA9" s="23">
        <v>0</v>
      </c>
      <c r="AB9" s="23"/>
      <c r="AC9" s="23"/>
      <c r="AD9" s="23"/>
      <c r="AE9" s="23"/>
      <c r="AF9" s="23">
        <v>0</v>
      </c>
      <c r="AG9" s="23">
        <v>0</v>
      </c>
      <c r="AH9" s="23">
        <v>0</v>
      </c>
      <c r="AI9" s="8" t="s">
        <v>83</v>
      </c>
      <c r="AJ9" s="36" t="s">
        <v>125</v>
      </c>
      <c r="AK9" s="36" t="s">
        <v>126</v>
      </c>
      <c r="AL9" s="36" t="s">
        <v>84</v>
      </c>
      <c r="AM9" s="36" t="s">
        <v>85</v>
      </c>
      <c r="AN9" s="36"/>
      <c r="AO9" s="36" t="s">
        <v>86</v>
      </c>
      <c r="AP9" s="36" t="str">
        <f t="shared" si="3"/>
        <v>RVTR1.Alm.stVal</v>
      </c>
      <c r="AQ9" s="36" t="s">
        <v>87</v>
      </c>
      <c r="AR9" s="23">
        <v>0</v>
      </c>
      <c r="AS9" s="23">
        <v>1</v>
      </c>
      <c r="AT9" s="23">
        <v>0</v>
      </c>
      <c r="AU9" s="23">
        <v>1</v>
      </c>
      <c r="AV9" s="58">
        <v>1</v>
      </c>
      <c r="AW9" s="58">
        <v>1</v>
      </c>
      <c r="AX9" s="58">
        <v>1</v>
      </c>
      <c r="AY9" s="26"/>
      <c r="AZ9" s="23"/>
      <c r="BA9" s="23"/>
      <c r="BB9" s="23"/>
      <c r="BC9" s="23"/>
      <c r="BD9" s="23"/>
      <c r="BE9" s="23"/>
      <c r="BF9" s="23"/>
      <c r="BG9" s="20" t="str">
        <f t="shared" si="1"/>
        <v>description: "Неисправность ЦН", note: "Неисправность ЦН", group: "status", minValue: null, maxValue: null, step: null, units: "null", defaultValue: null, eventRegistration: 2</v>
      </c>
    </row>
    <row r="10" spans="1:16379" s="37" customFormat="1" ht="15.75" x14ac:dyDescent="0.25">
      <c r="A10" s="18"/>
      <c r="B10" s="56" t="s">
        <v>240</v>
      </c>
      <c r="C10" s="23"/>
      <c r="D10" s="40"/>
      <c r="E10" s="17" t="s">
        <v>127</v>
      </c>
      <c r="F10" s="17" t="s">
        <v>128</v>
      </c>
      <c r="G10" s="17" t="s">
        <v>128</v>
      </c>
      <c r="H10" s="23"/>
      <c r="I10" s="17">
        <f t="shared" si="0"/>
        <v>12</v>
      </c>
      <c r="J10" s="17" t="str">
        <f t="shared" si="2"/>
        <v>Поведение LD</v>
      </c>
      <c r="K10" s="29" t="s">
        <v>129</v>
      </c>
      <c r="L10" s="21" t="s">
        <v>91</v>
      </c>
      <c r="M10" s="22" t="s">
        <v>61</v>
      </c>
      <c r="N10" s="22" t="s">
        <v>62</v>
      </c>
      <c r="O10" s="22"/>
      <c r="P10" s="23"/>
      <c r="Q10" s="23"/>
      <c r="R10" s="22" t="s">
        <v>64</v>
      </c>
      <c r="S10" s="22" t="s">
        <v>64</v>
      </c>
      <c r="T10" s="22" t="s">
        <v>64</v>
      </c>
      <c r="U10" s="22" t="s">
        <v>64</v>
      </c>
      <c r="V10" s="23"/>
      <c r="W10" s="23"/>
      <c r="X10" s="22" t="s">
        <v>64</v>
      </c>
      <c r="Y10" s="22">
        <v>0</v>
      </c>
      <c r="Z10" s="23"/>
      <c r="AA10" s="23">
        <v>0</v>
      </c>
      <c r="AB10" s="23"/>
      <c r="AC10" s="23"/>
      <c r="AD10" s="23"/>
      <c r="AE10" s="23"/>
      <c r="AF10" s="23">
        <v>0</v>
      </c>
      <c r="AG10" s="23">
        <v>0</v>
      </c>
      <c r="AH10" s="23">
        <v>0</v>
      </c>
      <c r="AI10" s="8" t="s">
        <v>92</v>
      </c>
      <c r="AJ10" s="36" t="s">
        <v>130</v>
      </c>
      <c r="AK10" s="36" t="s">
        <v>131</v>
      </c>
      <c r="AL10" s="36" t="s">
        <v>84</v>
      </c>
      <c r="AM10" s="36" t="s">
        <v>132</v>
      </c>
      <c r="AN10" s="36" t="s">
        <v>133</v>
      </c>
      <c r="AO10" s="36" t="s">
        <v>86</v>
      </c>
      <c r="AP10" s="36" t="str">
        <f t="shared" si="3"/>
        <v>LLN0.Beh.stVal</v>
      </c>
      <c r="AQ10" s="36" t="s">
        <v>87</v>
      </c>
      <c r="AR10" s="23">
        <v>0</v>
      </c>
      <c r="AS10" s="23">
        <v>0</v>
      </c>
      <c r="AT10" s="23">
        <v>0</v>
      </c>
      <c r="AU10" s="23">
        <v>0</v>
      </c>
      <c r="AV10" s="23">
        <f t="shared" ref="AV10:AV13" si="4">BIN2DEC(CONCATENATE(0,0,0,0,AR10,AS10,AT10,AU10))</f>
        <v>0</v>
      </c>
      <c r="AW10" s="23">
        <v>0</v>
      </c>
      <c r="AX10" s="23">
        <f t="shared" ref="AX10:AX13" si="5">BIN2DEC(CONCATENATE(0,0,0,0,AT10,AU10,AV10,AW10))</f>
        <v>0</v>
      </c>
      <c r="AY10" s="26"/>
      <c r="AZ10" s="23"/>
      <c r="BA10" s="23"/>
      <c r="BB10" s="23"/>
      <c r="BC10" s="23"/>
      <c r="BD10" s="23"/>
      <c r="BE10" s="23"/>
      <c r="BF10" s="23"/>
      <c r="BG10" s="20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37" customFormat="1" ht="15.75" x14ac:dyDescent="0.25">
      <c r="A11" s="18"/>
      <c r="B11" s="56" t="s">
        <v>240</v>
      </c>
      <c r="C11" s="23"/>
      <c r="D11" s="40"/>
      <c r="E11" s="17" t="s">
        <v>134</v>
      </c>
      <c r="F11" s="17" t="s">
        <v>135</v>
      </c>
      <c r="G11" s="17" t="s">
        <v>135</v>
      </c>
      <c r="H11" s="23"/>
      <c r="I11" s="17">
        <f t="shared" si="0"/>
        <v>14</v>
      </c>
      <c r="J11" s="17" t="str">
        <f t="shared" si="2"/>
        <v>Исправность LD</v>
      </c>
      <c r="K11" s="29" t="s">
        <v>136</v>
      </c>
      <c r="L11" s="21" t="s">
        <v>91</v>
      </c>
      <c r="M11" s="22" t="s">
        <v>61</v>
      </c>
      <c r="N11" s="22" t="s">
        <v>62</v>
      </c>
      <c r="O11" s="22"/>
      <c r="P11" s="26"/>
      <c r="Q11" s="26"/>
      <c r="R11" s="22" t="s">
        <v>64</v>
      </c>
      <c r="S11" s="22" t="s">
        <v>64</v>
      </c>
      <c r="T11" s="22" t="s">
        <v>64</v>
      </c>
      <c r="U11" s="22" t="s">
        <v>64</v>
      </c>
      <c r="V11" s="23"/>
      <c r="W11" s="23"/>
      <c r="X11" s="22" t="s">
        <v>64</v>
      </c>
      <c r="Y11" s="22">
        <v>0</v>
      </c>
      <c r="Z11" s="23"/>
      <c r="AA11" s="23">
        <v>0</v>
      </c>
      <c r="AB11" s="23"/>
      <c r="AC11" s="23"/>
      <c r="AD11" s="23"/>
      <c r="AE11" s="23"/>
      <c r="AF11" s="23">
        <v>0</v>
      </c>
      <c r="AG11" s="23">
        <v>0</v>
      </c>
      <c r="AH11" s="23">
        <v>0</v>
      </c>
      <c r="AI11" s="8" t="s">
        <v>92</v>
      </c>
      <c r="AJ11" s="36" t="s">
        <v>137</v>
      </c>
      <c r="AK11" s="36" t="s">
        <v>131</v>
      </c>
      <c r="AL11" s="36" t="s">
        <v>84</v>
      </c>
      <c r="AM11" s="36" t="s">
        <v>132</v>
      </c>
      <c r="AN11" s="36" t="s">
        <v>138</v>
      </c>
      <c r="AO11" s="36" t="s">
        <v>86</v>
      </c>
      <c r="AP11" s="36" t="str">
        <f t="shared" si="3"/>
        <v>LLN0.Health.stVal</v>
      </c>
      <c r="AQ11" s="36" t="s">
        <v>87</v>
      </c>
      <c r="AR11" s="23">
        <v>0</v>
      </c>
      <c r="AS11" s="23">
        <v>0</v>
      </c>
      <c r="AT11" s="23">
        <v>0</v>
      </c>
      <c r="AU11" s="23">
        <v>0</v>
      </c>
      <c r="AV11" s="23">
        <f t="shared" si="4"/>
        <v>0</v>
      </c>
      <c r="AW11" s="23">
        <v>0</v>
      </c>
      <c r="AX11" s="23">
        <f t="shared" si="5"/>
        <v>0</v>
      </c>
      <c r="AY11" s="26"/>
      <c r="AZ11" s="23"/>
      <c r="BA11" s="23"/>
      <c r="BB11" s="23"/>
      <c r="BC11" s="23"/>
      <c r="BD11" s="23"/>
      <c r="BE11" s="23"/>
      <c r="BF11" s="23"/>
      <c r="BG11" s="20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37" customFormat="1" ht="15.75" x14ac:dyDescent="0.25">
      <c r="A12" s="18"/>
      <c r="B12" s="56" t="s">
        <v>240</v>
      </c>
      <c r="C12" s="23"/>
      <c r="D12" s="40" t="s">
        <v>200</v>
      </c>
      <c r="E12" s="17" t="s">
        <v>139</v>
      </c>
      <c r="F12" s="17" t="s">
        <v>140</v>
      </c>
      <c r="G12" s="17" t="s">
        <v>140</v>
      </c>
      <c r="H12" s="23"/>
      <c r="I12" s="17">
        <f t="shared" si="0"/>
        <v>9</v>
      </c>
      <c r="J12" s="17" t="str">
        <f t="shared" si="2"/>
        <v>Поведение</v>
      </c>
      <c r="K12" s="29" t="s">
        <v>141</v>
      </c>
      <c r="L12" s="21" t="s">
        <v>91</v>
      </c>
      <c r="M12" s="22" t="s">
        <v>61</v>
      </c>
      <c r="N12" s="22" t="s">
        <v>62</v>
      </c>
      <c r="O12" s="22"/>
      <c r="P12" s="23"/>
      <c r="Q12" s="23"/>
      <c r="R12" s="22" t="s">
        <v>64</v>
      </c>
      <c r="S12" s="22" t="s">
        <v>64</v>
      </c>
      <c r="T12" s="22" t="s">
        <v>64</v>
      </c>
      <c r="U12" s="22" t="s">
        <v>64</v>
      </c>
      <c r="V12" s="23"/>
      <c r="W12" s="23"/>
      <c r="X12" s="22" t="s">
        <v>64</v>
      </c>
      <c r="Y12" s="22">
        <v>0</v>
      </c>
      <c r="Z12" s="23"/>
      <c r="AA12" s="23">
        <v>0</v>
      </c>
      <c r="AB12" s="23"/>
      <c r="AC12" s="23"/>
      <c r="AD12" s="23"/>
      <c r="AE12" s="23"/>
      <c r="AF12" s="23">
        <v>0</v>
      </c>
      <c r="AG12" s="23">
        <v>0</v>
      </c>
      <c r="AH12" s="23">
        <v>0</v>
      </c>
      <c r="AI12" s="8" t="s">
        <v>83</v>
      </c>
      <c r="AJ12" s="36" t="s">
        <v>142</v>
      </c>
      <c r="AK12" s="36" t="s">
        <v>131</v>
      </c>
      <c r="AL12" s="36" t="s">
        <v>84</v>
      </c>
      <c r="AM12" s="36" t="s">
        <v>132</v>
      </c>
      <c r="AN12" s="36" t="s">
        <v>133</v>
      </c>
      <c r="AO12" s="36" t="s">
        <v>86</v>
      </c>
      <c r="AP12" s="36" t="str">
        <f t="shared" si="3"/>
        <v>RVTR1.Beh.stVal</v>
      </c>
      <c r="AQ12" s="36" t="s">
        <v>87</v>
      </c>
      <c r="AR12" s="23">
        <v>0</v>
      </c>
      <c r="AS12" s="23">
        <v>0</v>
      </c>
      <c r="AT12" s="23">
        <v>0</v>
      </c>
      <c r="AU12" s="23">
        <v>0</v>
      </c>
      <c r="AV12" s="23">
        <f t="shared" si="4"/>
        <v>0</v>
      </c>
      <c r="AW12" s="23">
        <v>0</v>
      </c>
      <c r="AX12" s="23">
        <f t="shared" si="5"/>
        <v>0</v>
      </c>
      <c r="AY12" s="26"/>
      <c r="AZ12" s="23"/>
      <c r="BA12" s="23"/>
      <c r="BB12" s="23"/>
      <c r="BC12" s="23"/>
      <c r="BD12" s="23"/>
      <c r="BE12" s="23"/>
      <c r="BF12" s="23"/>
      <c r="BG12" s="20" t="str">
        <f t="shared" si="1"/>
        <v>description: "Поведение", note: "Индикация поведения логического узла БНН", group: "status", minValue: null, maxValue: null, step: null, units: "null", defaultValue: null, eventRegistration: 0</v>
      </c>
    </row>
    <row r="13" spans="1:16379" s="37" customFormat="1" ht="15.75" x14ac:dyDescent="0.25">
      <c r="A13" s="18"/>
      <c r="B13" s="56" t="s">
        <v>240</v>
      </c>
      <c r="C13" s="23"/>
      <c r="D13" s="40" t="s">
        <v>200</v>
      </c>
      <c r="E13" s="17" t="s">
        <v>143</v>
      </c>
      <c r="F13" s="17" t="s">
        <v>144</v>
      </c>
      <c r="G13" s="17" t="s">
        <v>144</v>
      </c>
      <c r="H13" s="23"/>
      <c r="I13" s="17">
        <f t="shared" si="0"/>
        <v>11</v>
      </c>
      <c r="J13" s="17" t="str">
        <f t="shared" si="2"/>
        <v>Исправность</v>
      </c>
      <c r="K13" s="29" t="s">
        <v>145</v>
      </c>
      <c r="L13" s="21" t="s">
        <v>91</v>
      </c>
      <c r="M13" s="22" t="s">
        <v>61</v>
      </c>
      <c r="N13" s="22" t="s">
        <v>62</v>
      </c>
      <c r="O13" s="22"/>
      <c r="P13" s="26"/>
      <c r="Q13" s="26"/>
      <c r="R13" s="22" t="s">
        <v>64</v>
      </c>
      <c r="S13" s="22" t="s">
        <v>64</v>
      </c>
      <c r="T13" s="22" t="s">
        <v>64</v>
      </c>
      <c r="U13" s="22" t="s">
        <v>64</v>
      </c>
      <c r="V13" s="23"/>
      <c r="W13" s="23"/>
      <c r="X13" s="22" t="s">
        <v>64</v>
      </c>
      <c r="Y13" s="22">
        <v>0</v>
      </c>
      <c r="Z13" s="23"/>
      <c r="AA13" s="23">
        <v>0</v>
      </c>
      <c r="AB13" s="23"/>
      <c r="AC13" s="23"/>
      <c r="AD13" s="23"/>
      <c r="AE13" s="23"/>
      <c r="AF13" s="23">
        <v>0</v>
      </c>
      <c r="AG13" s="23">
        <v>0</v>
      </c>
      <c r="AH13" s="23">
        <v>0</v>
      </c>
      <c r="AI13" s="8" t="s">
        <v>83</v>
      </c>
      <c r="AJ13" s="36" t="s">
        <v>146</v>
      </c>
      <c r="AK13" s="36" t="s">
        <v>131</v>
      </c>
      <c r="AL13" s="36" t="s">
        <v>84</v>
      </c>
      <c r="AM13" s="36" t="s">
        <v>132</v>
      </c>
      <c r="AN13" s="36" t="s">
        <v>138</v>
      </c>
      <c r="AO13" s="36" t="s">
        <v>86</v>
      </c>
      <c r="AP13" s="36" t="str">
        <f t="shared" si="3"/>
        <v>RVTR1.Health.stVal</v>
      </c>
      <c r="AQ13" s="36" t="s">
        <v>87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si="4"/>
        <v>0</v>
      </c>
      <c r="AW13" s="23">
        <v>0</v>
      </c>
      <c r="AX13" s="23">
        <f t="shared" si="5"/>
        <v>0</v>
      </c>
      <c r="AY13" s="26"/>
      <c r="AZ13" s="23"/>
      <c r="BA13" s="23"/>
      <c r="BB13" s="23"/>
      <c r="BC13" s="23"/>
      <c r="BD13" s="23"/>
      <c r="BE13" s="23"/>
      <c r="BF13" s="23"/>
      <c r="BG13" s="20" t="str">
        <f t="shared" si="1"/>
        <v>description: "Исправность", note: "Индикация исправности логического узла БНН", group: "status",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9"/>
      <c r="BC14" s="4"/>
      <c r="BD14" s="3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9"/>
      <c r="BC201" s="4"/>
      <c r="BD201" s="3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9"/>
      <c r="BC202" s="4"/>
      <c r="BD202" s="3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9"/>
      <c r="BC203" s="4"/>
      <c r="BD203" s="3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9"/>
      <c r="BC204" s="4"/>
      <c r="BD204" s="3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9"/>
      <c r="BC205" s="4"/>
      <c r="BD205" s="3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9"/>
      <c r="BC206" s="4"/>
      <c r="BD206" s="3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9"/>
      <c r="BC207" s="4"/>
      <c r="BD207" s="3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9"/>
      <c r="BC208" s="4"/>
      <c r="BD208" s="3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9"/>
      <c r="BC209" s="4"/>
      <c r="BD209" s="3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9"/>
      <c r="BC210" s="4"/>
      <c r="BD210" s="3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9"/>
      <c r="BC211" s="4"/>
      <c r="BD211" s="3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9"/>
      <c r="BC212" s="4"/>
      <c r="BD212" s="3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9"/>
      <c r="BC213" s="4"/>
      <c r="BD213" s="3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9"/>
      <c r="BC214" s="4"/>
      <c r="BD214" s="3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9"/>
      <c r="BC215" s="4"/>
      <c r="BD215" s="3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9"/>
      <c r="BC216" s="4"/>
      <c r="BD216" s="39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9"/>
      <c r="BC217" s="4"/>
      <c r="BD217" s="39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9"/>
      <c r="BC218" s="4"/>
      <c r="BD218" s="39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9"/>
      <c r="BC219" s="4"/>
      <c r="BD219" s="39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9"/>
      <c r="BC220" s="4"/>
      <c r="BD220" s="39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9"/>
      <c r="BC221" s="4"/>
      <c r="BD221" s="39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6"/>
  <sheetViews>
    <sheetView zoomScale="80" zoomScaleNormal="80" workbookViewId="0">
      <selection activeCell="F16" sqref="F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8" width="31.285156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29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31.28515625" style="2" customWidth="1" outlineLevel="1"/>
    <col min="19" max="19" width="7" style="3" customWidth="1" outlineLevel="1"/>
    <col min="20" max="20" width="9.5703125" style="4" customWidth="1" outlineLevel="1"/>
    <col min="21" max="21" width="10" style="4" customWidth="1" outlineLevel="1"/>
    <col min="22" max="22" width="7.28515625" style="4" customWidth="1" outlineLevel="1"/>
    <col min="23" max="24" width="13.5703125" style="4" customWidth="1" outlineLevel="1"/>
    <col min="25" max="25" width="14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10" style="1" customWidth="1"/>
    <col min="36" max="36" width="15" style="1" bestFit="1" customWidth="1"/>
    <col min="37" max="37" width="24.5703125" style="2" customWidth="1"/>
    <col min="38" max="38" width="25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28515625" style="4" hidden="1" customWidth="1" outlineLevel="1"/>
    <col min="55" max="55" width="13.28515625" style="39" hidden="1" customWidth="1" outlineLevel="1"/>
    <col min="56" max="56" width="13.28515625" style="4" hidden="1" customWidth="1" outlineLevel="1"/>
    <col min="57" max="57" width="13" style="39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SUM(AB3:AB53)</f>
        <v>0</v>
      </c>
      <c r="AJ1" s="42"/>
      <c r="AK1" s="7"/>
      <c r="AL1" s="7"/>
      <c r="AM1" s="7"/>
      <c r="AN1" s="7"/>
      <c r="AO1" s="7"/>
      <c r="AP1" s="7"/>
      <c r="AQ1" s="7"/>
      <c r="AR1" s="7"/>
      <c r="AS1" s="42"/>
      <c r="AT1" s="6"/>
      <c r="AU1" s="6"/>
      <c r="AV1" s="6"/>
      <c r="AW1" s="6"/>
      <c r="AX1" s="6"/>
      <c r="AY1" s="6"/>
      <c r="AZ1" s="8"/>
      <c r="BA1" s="60" t="s">
        <v>0</v>
      </c>
      <c r="BB1" s="61"/>
      <c r="BC1" s="61"/>
      <c r="BD1" s="61"/>
      <c r="BE1" s="61"/>
      <c r="BF1" s="61"/>
      <c r="BG1" s="61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53" t="s">
        <v>239</v>
      </c>
      <c r="I2" s="9" t="s">
        <v>8</v>
      </c>
      <c r="J2" s="9" t="s">
        <v>9</v>
      </c>
      <c r="K2" s="9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4" customFormat="1" ht="15.75" x14ac:dyDescent="0.25">
      <c r="A3" s="18"/>
      <c r="B3" s="18" t="s">
        <v>147</v>
      </c>
      <c r="C3" s="22"/>
      <c r="D3" s="28" t="s">
        <v>200</v>
      </c>
      <c r="E3" s="17" t="s">
        <v>148</v>
      </c>
      <c r="F3" s="17" t="s">
        <v>149</v>
      </c>
      <c r="G3" s="17" t="s">
        <v>150</v>
      </c>
      <c r="H3" s="54" t="s">
        <v>150</v>
      </c>
      <c r="I3" s="17" t="s">
        <v>151</v>
      </c>
      <c r="J3" s="17">
        <f t="shared" ref="J3:J7" si="0">LEN(F3)</f>
        <v>12</v>
      </c>
      <c r="K3" s="17" t="str">
        <f t="shared" ref="K3:K7" si="1">IF(LEN(F3)&lt;=$K$1,F3,"")</f>
        <v>Ввод_функции</v>
      </c>
      <c r="L3" s="18" t="s">
        <v>152</v>
      </c>
      <c r="M3" s="21" t="s">
        <v>79</v>
      </c>
      <c r="N3" s="22" t="s">
        <v>62</v>
      </c>
      <c r="O3" s="22" t="s">
        <v>62</v>
      </c>
      <c r="P3" s="22"/>
      <c r="Q3" s="26">
        <v>0</v>
      </c>
      <c r="R3" s="26"/>
      <c r="S3" s="22" t="s">
        <v>64</v>
      </c>
      <c r="T3" s="22">
        <v>0</v>
      </c>
      <c r="U3" s="22">
        <v>1</v>
      </c>
      <c r="V3" s="22">
        <v>1</v>
      </c>
      <c r="W3" s="22"/>
      <c r="X3" s="22"/>
      <c r="Y3" s="22">
        <v>0</v>
      </c>
      <c r="Z3" s="22">
        <v>0</v>
      </c>
      <c r="AA3" s="29"/>
      <c r="AB3" s="23">
        <v>0</v>
      </c>
      <c r="AC3" s="23"/>
      <c r="AD3" s="23"/>
      <c r="AE3" s="23"/>
      <c r="AF3" s="23"/>
      <c r="AG3" s="23">
        <v>0</v>
      </c>
      <c r="AH3" s="23">
        <v>0</v>
      </c>
      <c r="AI3" s="23">
        <v>0</v>
      </c>
      <c r="AJ3" s="23"/>
      <c r="AK3" s="23"/>
      <c r="AL3" s="23"/>
      <c r="AM3" s="23"/>
      <c r="AN3" s="23"/>
      <c r="AO3" s="23"/>
      <c r="AP3" s="23"/>
      <c r="AQ3" s="23"/>
      <c r="AR3" s="23"/>
      <c r="AS3" s="23">
        <v>0</v>
      </c>
      <c r="AT3" s="23">
        <v>0</v>
      </c>
      <c r="AU3" s="23">
        <v>0</v>
      </c>
      <c r="AV3" s="23">
        <v>0</v>
      </c>
      <c r="AW3" s="23">
        <f t="shared" ref="AW3:AW7" si="2">BIN2DEC(CONCATENATE(0,0,0,0,AS3,AT3,AU3,AV3))</f>
        <v>0</v>
      </c>
      <c r="AX3" s="23" t="s">
        <v>153</v>
      </c>
      <c r="AY3" s="23"/>
      <c r="AZ3" s="26"/>
      <c r="BA3" s="23"/>
      <c r="BB3" s="23"/>
      <c r="BC3" s="23"/>
      <c r="BD3" s="23"/>
      <c r="BE3" s="23"/>
      <c r="BF3" s="23"/>
      <c r="BG3" s="23"/>
      <c r="BH3" s="20" t="str">
        <f t="shared" ref="BH3:BH7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34" customFormat="1" ht="15.75" x14ac:dyDescent="0.25">
      <c r="A4" s="18"/>
      <c r="B4" s="18" t="s">
        <v>147</v>
      </c>
      <c r="C4" s="22"/>
      <c r="D4" s="28" t="s">
        <v>200</v>
      </c>
      <c r="E4" s="17" t="s">
        <v>158</v>
      </c>
      <c r="F4" s="17" t="s">
        <v>159</v>
      </c>
      <c r="G4" s="17" t="s">
        <v>160</v>
      </c>
      <c r="H4" s="55"/>
      <c r="I4" s="17"/>
      <c r="J4" s="17">
        <f t="shared" si="0"/>
        <v>4</v>
      </c>
      <c r="K4" s="17" t="str">
        <f t="shared" si="1"/>
        <v>I2ср</v>
      </c>
      <c r="L4" s="18" t="s">
        <v>161</v>
      </c>
      <c r="M4" s="21" t="s">
        <v>60</v>
      </c>
      <c r="N4" s="22" t="s">
        <v>62</v>
      </c>
      <c r="O4" s="22" t="s">
        <v>62</v>
      </c>
      <c r="P4" s="22"/>
      <c r="Q4" s="26">
        <v>2</v>
      </c>
      <c r="R4" s="26" t="s">
        <v>162</v>
      </c>
      <c r="S4" s="22" t="s">
        <v>163</v>
      </c>
      <c r="T4" s="22" t="s">
        <v>164</v>
      </c>
      <c r="U4" s="22">
        <v>4</v>
      </c>
      <c r="V4" s="22" t="s">
        <v>165</v>
      </c>
      <c r="W4" s="22"/>
      <c r="X4" s="22"/>
      <c r="Y4" s="22" t="s">
        <v>166</v>
      </c>
      <c r="Z4" s="22">
        <v>0</v>
      </c>
      <c r="AA4" s="29"/>
      <c r="AB4" s="23">
        <v>0</v>
      </c>
      <c r="AC4" s="23"/>
      <c r="AD4" s="23"/>
      <c r="AE4" s="23"/>
      <c r="AF4" s="23"/>
      <c r="AG4" s="23">
        <v>0</v>
      </c>
      <c r="AH4" s="23">
        <v>0</v>
      </c>
      <c r="AI4" s="23">
        <v>0</v>
      </c>
      <c r="AJ4" s="23" t="s">
        <v>83</v>
      </c>
      <c r="AK4" s="23" t="s">
        <v>167</v>
      </c>
      <c r="AL4" s="23" t="s">
        <v>155</v>
      </c>
      <c r="AM4" s="23" t="s">
        <v>156</v>
      </c>
      <c r="AN4" s="23" t="s">
        <v>60</v>
      </c>
      <c r="AO4" s="23"/>
      <c r="AP4" s="23" t="s">
        <v>230</v>
      </c>
      <c r="AQ4" s="8" t="str">
        <f t="shared" ref="AQ4:AQ10" si="4" xml:space="preserve"> CONCATENATE(AK4, ".",AM4)</f>
        <v>RVTR1.StrValI2.setMag.f</v>
      </c>
      <c r="AR4" s="36" t="s">
        <v>87</v>
      </c>
      <c r="AS4" s="23">
        <v>0</v>
      </c>
      <c r="AT4" s="23">
        <v>0</v>
      </c>
      <c r="AU4" s="23">
        <v>0</v>
      </c>
      <c r="AV4" s="23">
        <v>0</v>
      </c>
      <c r="AW4" s="23">
        <f t="shared" si="2"/>
        <v>0</v>
      </c>
      <c r="AX4" s="23"/>
      <c r="AY4" s="23"/>
      <c r="AZ4" s="26"/>
      <c r="BA4" s="23"/>
      <c r="BB4" s="23"/>
      <c r="BC4" s="23"/>
      <c r="BD4" s="23"/>
      <c r="BE4" s="23"/>
      <c r="BF4" s="23"/>
      <c r="BG4" s="23"/>
      <c r="BH4" s="20" t="str">
        <f t="shared" si="3"/>
        <v>description: "I2ср", note: "Ток срабатывания ОП", group: "setting", minValue: 0.04, maxValue: 4, step: 0.01, units: "о.е.", defaultValue: 0.2, eventRegistration: 0</v>
      </c>
    </row>
    <row r="5" spans="1:16380" s="34" customFormat="1" ht="15.75" x14ac:dyDescent="0.25">
      <c r="A5" s="18"/>
      <c r="B5" s="18" t="s">
        <v>147</v>
      </c>
      <c r="C5" s="22"/>
      <c r="D5" s="28" t="s">
        <v>200</v>
      </c>
      <c r="E5" s="17" t="s">
        <v>168</v>
      </c>
      <c r="F5" s="17" t="s">
        <v>169</v>
      </c>
      <c r="G5" s="17" t="s">
        <v>170</v>
      </c>
      <c r="H5" s="55"/>
      <c r="I5" s="17"/>
      <c r="J5" s="17">
        <f t="shared" si="0"/>
        <v>4</v>
      </c>
      <c r="K5" s="17" t="str">
        <f t="shared" si="1"/>
        <v>U2ср</v>
      </c>
      <c r="L5" s="18" t="s">
        <v>171</v>
      </c>
      <c r="M5" s="21" t="s">
        <v>60</v>
      </c>
      <c r="N5" s="22" t="s">
        <v>62</v>
      </c>
      <c r="O5" s="22" t="s">
        <v>62</v>
      </c>
      <c r="P5" s="22"/>
      <c r="Q5" s="26">
        <v>0</v>
      </c>
      <c r="R5" s="26"/>
      <c r="S5" s="22" t="s">
        <v>63</v>
      </c>
      <c r="T5" s="22">
        <v>2</v>
      </c>
      <c r="U5" s="22">
        <v>60</v>
      </c>
      <c r="V5" s="22" t="s">
        <v>154</v>
      </c>
      <c r="W5" s="22"/>
      <c r="X5" s="22"/>
      <c r="Y5" s="22">
        <v>6</v>
      </c>
      <c r="Z5" s="22">
        <v>0</v>
      </c>
      <c r="AA5" s="29"/>
      <c r="AB5" s="23">
        <v>0</v>
      </c>
      <c r="AC5" s="23"/>
      <c r="AD5" s="23"/>
      <c r="AE5" s="23"/>
      <c r="AF5" s="23"/>
      <c r="AG5" s="23">
        <v>0</v>
      </c>
      <c r="AH5" s="23">
        <v>0</v>
      </c>
      <c r="AI5" s="23">
        <v>0</v>
      </c>
      <c r="AJ5" s="23" t="s">
        <v>83</v>
      </c>
      <c r="AK5" s="23" t="s">
        <v>172</v>
      </c>
      <c r="AL5" s="23" t="s">
        <v>155</v>
      </c>
      <c r="AM5" s="23" t="s">
        <v>156</v>
      </c>
      <c r="AN5" s="23" t="s">
        <v>60</v>
      </c>
      <c r="AO5" s="23"/>
      <c r="AP5" s="23" t="s">
        <v>230</v>
      </c>
      <c r="AQ5" s="8" t="str">
        <f t="shared" si="4"/>
        <v>RVTR1.StrValU2.setMag.f</v>
      </c>
      <c r="AR5" s="36" t="s">
        <v>87</v>
      </c>
      <c r="AS5" s="23">
        <v>0</v>
      </c>
      <c r="AT5" s="23">
        <v>0</v>
      </c>
      <c r="AU5" s="23">
        <v>0</v>
      </c>
      <c r="AV5" s="23">
        <v>0</v>
      </c>
      <c r="AW5" s="23">
        <f t="shared" si="2"/>
        <v>0</v>
      </c>
      <c r="AX5" s="23"/>
      <c r="AY5" s="23"/>
      <c r="AZ5" s="26"/>
      <c r="BA5" s="23"/>
      <c r="BB5" s="23"/>
      <c r="BC5" s="23"/>
      <c r="BD5" s="23"/>
      <c r="BE5" s="23"/>
      <c r="BF5" s="23"/>
      <c r="BG5" s="23"/>
      <c r="BH5" s="20" t="str">
        <f t="shared" si="3"/>
        <v>description: "U2ср", note: "Напряжение срабатывания ОП", group: "setting", minValue: 2, maxValue: 60, step: 0.1, units: "В", defaultValue: 6, eventRegistration: 0</v>
      </c>
    </row>
    <row r="6" spans="1:16380" s="34" customFormat="1" ht="15.75" x14ac:dyDescent="0.25">
      <c r="A6" s="18"/>
      <c r="B6" s="18" t="s">
        <v>147</v>
      </c>
      <c r="C6" s="22"/>
      <c r="D6" s="28" t="s">
        <v>200</v>
      </c>
      <c r="E6" s="17" t="s">
        <v>173</v>
      </c>
      <c r="F6" s="17" t="s">
        <v>174</v>
      </c>
      <c r="G6" s="17" t="s">
        <v>175</v>
      </c>
      <c r="H6" s="55"/>
      <c r="I6" s="17"/>
      <c r="J6" s="17">
        <f t="shared" si="0"/>
        <v>3</v>
      </c>
      <c r="K6" s="17" t="str">
        <f t="shared" si="1"/>
        <v>Uср</v>
      </c>
      <c r="L6" s="18" t="s">
        <v>176</v>
      </c>
      <c r="M6" s="21" t="s">
        <v>60</v>
      </c>
      <c r="N6" s="22" t="s">
        <v>62</v>
      </c>
      <c r="O6" s="22" t="s">
        <v>62</v>
      </c>
      <c r="P6" s="22"/>
      <c r="Q6" s="26">
        <v>0</v>
      </c>
      <c r="R6" s="26"/>
      <c r="S6" s="22" t="s">
        <v>63</v>
      </c>
      <c r="T6" s="22">
        <v>2</v>
      </c>
      <c r="U6" s="22">
        <v>100</v>
      </c>
      <c r="V6" s="22" t="s">
        <v>154</v>
      </c>
      <c r="W6" s="22"/>
      <c r="X6" s="22"/>
      <c r="Y6" s="22">
        <v>6</v>
      </c>
      <c r="Z6" s="22">
        <v>0</v>
      </c>
      <c r="AA6" s="29"/>
      <c r="AB6" s="23">
        <v>0</v>
      </c>
      <c r="AC6" s="23"/>
      <c r="AD6" s="23"/>
      <c r="AE6" s="23"/>
      <c r="AF6" s="23"/>
      <c r="AG6" s="23">
        <v>0</v>
      </c>
      <c r="AH6" s="23">
        <v>0</v>
      </c>
      <c r="AI6" s="23">
        <v>0</v>
      </c>
      <c r="AJ6" s="23" t="s">
        <v>83</v>
      </c>
      <c r="AK6" s="23" t="s">
        <v>177</v>
      </c>
      <c r="AL6" s="23" t="s">
        <v>155</v>
      </c>
      <c r="AM6" s="23" t="s">
        <v>156</v>
      </c>
      <c r="AN6" s="23" t="s">
        <v>60</v>
      </c>
      <c r="AO6" s="23"/>
      <c r="AP6" s="23" t="s">
        <v>230</v>
      </c>
      <c r="AQ6" s="8" t="str">
        <f t="shared" si="4"/>
        <v>RVTR1.StrValU.setMag.f</v>
      </c>
      <c r="AR6" s="36" t="s">
        <v>87</v>
      </c>
      <c r="AS6" s="23">
        <v>0</v>
      </c>
      <c r="AT6" s="23">
        <v>0</v>
      </c>
      <c r="AU6" s="23">
        <v>0</v>
      </c>
      <c r="AV6" s="23">
        <v>0</v>
      </c>
      <c r="AW6" s="23">
        <f t="shared" si="2"/>
        <v>0</v>
      </c>
      <c r="AX6" s="23"/>
      <c r="AY6" s="23"/>
      <c r="AZ6" s="26"/>
      <c r="BA6" s="23"/>
      <c r="BB6" s="23"/>
      <c r="BC6" s="23"/>
      <c r="BD6" s="23"/>
      <c r="BE6" s="23"/>
      <c r="BF6" s="23"/>
      <c r="BG6" s="23"/>
      <c r="BH6" s="20" t="str">
        <f t="shared" si="3"/>
        <v>description: "Uср", note: "Напряжение срабатывания", group: "setting", minValue: 2, maxValue: 100, step: 0.1, units: "В", defaultValue: 6, eventRegistration: 0</v>
      </c>
    </row>
    <row r="7" spans="1:16380" s="34" customFormat="1" ht="15.75" x14ac:dyDescent="0.25">
      <c r="A7" s="18"/>
      <c r="B7" s="18" t="s">
        <v>147</v>
      </c>
      <c r="C7" s="22"/>
      <c r="D7" s="28" t="s">
        <v>200</v>
      </c>
      <c r="E7" s="17" t="s">
        <v>178</v>
      </c>
      <c r="F7" s="17" t="s">
        <v>179</v>
      </c>
      <c r="G7" s="17" t="s">
        <v>180</v>
      </c>
      <c r="H7" s="55"/>
      <c r="I7" s="17"/>
      <c r="J7" s="17">
        <f t="shared" si="0"/>
        <v>3</v>
      </c>
      <c r="K7" s="17" t="str">
        <f t="shared" si="1"/>
        <v>Iср</v>
      </c>
      <c r="L7" s="18" t="s">
        <v>181</v>
      </c>
      <c r="M7" s="21" t="s">
        <v>60</v>
      </c>
      <c r="N7" s="22" t="s">
        <v>62</v>
      </c>
      <c r="O7" s="22" t="s">
        <v>62</v>
      </c>
      <c r="P7" s="22"/>
      <c r="Q7" s="26">
        <v>2</v>
      </c>
      <c r="R7" s="26" t="s">
        <v>162</v>
      </c>
      <c r="S7" s="22" t="s">
        <v>163</v>
      </c>
      <c r="T7" s="22" t="s">
        <v>164</v>
      </c>
      <c r="U7" s="22">
        <v>4</v>
      </c>
      <c r="V7" s="22" t="s">
        <v>165</v>
      </c>
      <c r="W7" s="22"/>
      <c r="X7" s="22"/>
      <c r="Y7" s="22" t="s">
        <v>166</v>
      </c>
      <c r="Z7" s="22">
        <v>0</v>
      </c>
      <c r="AA7" s="29"/>
      <c r="AB7" s="23">
        <v>0</v>
      </c>
      <c r="AC7" s="23"/>
      <c r="AD7" s="23"/>
      <c r="AE7" s="23"/>
      <c r="AF7" s="23"/>
      <c r="AG7" s="23">
        <v>0</v>
      </c>
      <c r="AH7" s="23">
        <v>0</v>
      </c>
      <c r="AI7" s="23">
        <v>0</v>
      </c>
      <c r="AJ7" s="23" t="s">
        <v>83</v>
      </c>
      <c r="AK7" s="23" t="s">
        <v>182</v>
      </c>
      <c r="AL7" s="23" t="s">
        <v>155</v>
      </c>
      <c r="AM7" s="23" t="s">
        <v>156</v>
      </c>
      <c r="AN7" s="23" t="s">
        <v>60</v>
      </c>
      <c r="AO7" s="23"/>
      <c r="AP7" s="23" t="s">
        <v>230</v>
      </c>
      <c r="AQ7" s="8" t="str">
        <f t="shared" si="4"/>
        <v>RVTR1.StrVal.setMag.f</v>
      </c>
      <c r="AR7" s="36" t="s">
        <v>87</v>
      </c>
      <c r="AS7" s="23">
        <v>0</v>
      </c>
      <c r="AT7" s="23">
        <v>0</v>
      </c>
      <c r="AU7" s="23">
        <v>0</v>
      </c>
      <c r="AV7" s="23">
        <v>0</v>
      </c>
      <c r="AW7" s="23">
        <f t="shared" si="2"/>
        <v>0</v>
      </c>
      <c r="AX7" s="23"/>
      <c r="AY7" s="23"/>
      <c r="AZ7" s="26"/>
      <c r="BA7" s="23"/>
      <c r="BB7" s="23"/>
      <c r="BC7" s="23"/>
      <c r="BD7" s="23"/>
      <c r="BE7" s="23"/>
      <c r="BF7" s="23"/>
      <c r="BG7" s="23"/>
      <c r="BH7" s="20" t="str">
        <f t="shared" si="3"/>
        <v>description: "Iср", note: "Ток срабатывания", group: "setting", minValue: 0.04, maxValue: 4, step: 0.01, units: "о.е.", defaultValue: 0.2, eventRegistration: 0</v>
      </c>
    </row>
    <row r="8" spans="1:16380" s="34" customFormat="1" ht="16.5" customHeight="1" x14ac:dyDescent="0.25">
      <c r="A8" s="18"/>
      <c r="B8" s="18" t="s">
        <v>147</v>
      </c>
      <c r="C8" s="22"/>
      <c r="D8" s="28" t="s">
        <v>200</v>
      </c>
      <c r="E8" s="17" t="s">
        <v>225</v>
      </c>
      <c r="F8" s="17" t="s">
        <v>226</v>
      </c>
      <c r="G8" s="17" t="s">
        <v>157</v>
      </c>
      <c r="H8" s="55" t="s">
        <v>157</v>
      </c>
      <c r="I8" s="17" t="s">
        <v>151</v>
      </c>
      <c r="J8" s="17">
        <f>LEN(F8)</f>
        <v>11</v>
      </c>
      <c r="K8" s="17" t="str">
        <f>IF(LEN(F8)&lt;=$K$1,F8,"")</f>
        <v>Контроль_U2</v>
      </c>
      <c r="L8" s="18" t="s">
        <v>223</v>
      </c>
      <c r="M8" s="21" t="s">
        <v>79</v>
      </c>
      <c r="N8" s="22" t="s">
        <v>62</v>
      </c>
      <c r="O8" s="22" t="s">
        <v>62</v>
      </c>
      <c r="P8" s="22"/>
      <c r="Q8" s="26">
        <v>0</v>
      </c>
      <c r="R8" s="26"/>
      <c r="S8" s="22" t="s">
        <v>64</v>
      </c>
      <c r="T8" s="22">
        <v>0</v>
      </c>
      <c r="U8" s="22">
        <v>1</v>
      </c>
      <c r="V8" s="22">
        <v>1</v>
      </c>
      <c r="W8" s="22"/>
      <c r="X8" s="22"/>
      <c r="Y8" s="22">
        <v>0</v>
      </c>
      <c r="Z8" s="22">
        <v>0</v>
      </c>
      <c r="AA8" s="29"/>
      <c r="AB8" s="23">
        <v>0</v>
      </c>
      <c r="AC8" s="23"/>
      <c r="AD8" s="23"/>
      <c r="AE8" s="23"/>
      <c r="AF8" s="23"/>
      <c r="AG8" s="23">
        <v>0</v>
      </c>
      <c r="AH8" s="23">
        <v>0</v>
      </c>
      <c r="AI8" s="23">
        <v>0</v>
      </c>
      <c r="AJ8" s="23"/>
      <c r="AK8" s="23"/>
      <c r="AL8" s="23"/>
      <c r="AM8" s="23"/>
      <c r="AN8" s="23"/>
      <c r="AO8" s="23"/>
      <c r="AP8" s="23"/>
      <c r="AQ8" s="8"/>
      <c r="AR8" s="23"/>
      <c r="AS8" s="23">
        <v>0</v>
      </c>
      <c r="AT8" s="23">
        <v>0</v>
      </c>
      <c r="AU8" s="23">
        <v>0</v>
      </c>
      <c r="AV8" s="23">
        <v>0</v>
      </c>
      <c r="AW8" s="23">
        <f>BIN2DEC(CONCATENATE(0,0,0,0,AS8,AT8,AU8,AV8))</f>
        <v>0</v>
      </c>
      <c r="AX8" s="23" t="s">
        <v>153</v>
      </c>
      <c r="AY8" s="23"/>
      <c r="AZ8" s="26"/>
      <c r="BA8" s="23"/>
      <c r="BB8" s="23"/>
      <c r="BC8" s="23"/>
      <c r="BD8" s="23"/>
      <c r="BE8" s="23"/>
      <c r="BF8" s="23"/>
      <c r="BG8" s="23"/>
      <c r="BH8" s="20" t="str">
        <f>CONCATENATE("description: """,F8,"""", ", ", "note: """,E8,"""",", ","group: """, B8, """",", ","minValue: ", T8,", ","maxValue: ", U8,", ","step: ", V8,", ","units: """, S8, """",", ","defaultValue: ", Y8,", ","eventRegistration: ", Z8,)</f>
        <v>description: "Контроль_U2", note: "Ввод в работу контроля напряжения ОП", group: "setting", minValue: 0, maxValue: 1, step: 1, units: "null", defaultValue: 0, eventRegistration: 0</v>
      </c>
    </row>
    <row r="9" spans="1:16380" s="34" customFormat="1" ht="15.75" x14ac:dyDescent="0.25">
      <c r="A9" s="18"/>
      <c r="B9" s="18" t="s">
        <v>147</v>
      </c>
      <c r="C9" s="22"/>
      <c r="D9" s="28" t="s">
        <v>200</v>
      </c>
      <c r="E9" s="17" t="s">
        <v>227</v>
      </c>
      <c r="F9" s="17" t="s">
        <v>228</v>
      </c>
      <c r="G9" s="17" t="s">
        <v>229</v>
      </c>
      <c r="H9" s="55" t="s">
        <v>229</v>
      </c>
      <c r="I9" s="17" t="s">
        <v>151</v>
      </c>
      <c r="J9" s="17">
        <f>LEN(F9)</f>
        <v>13</v>
      </c>
      <c r="K9" s="17" t="str">
        <f>IF(LEN(F9)&lt;=$K$1,F9,"")</f>
        <v>Контроль_Uмин</v>
      </c>
      <c r="L9" s="18" t="s">
        <v>224</v>
      </c>
      <c r="M9" s="21" t="s">
        <v>79</v>
      </c>
      <c r="N9" s="22" t="s">
        <v>62</v>
      </c>
      <c r="O9" s="22" t="s">
        <v>62</v>
      </c>
      <c r="P9" s="22"/>
      <c r="Q9" s="26">
        <v>0</v>
      </c>
      <c r="R9" s="26"/>
      <c r="S9" s="22" t="s">
        <v>64</v>
      </c>
      <c r="T9" s="22">
        <v>0</v>
      </c>
      <c r="U9" s="22">
        <v>1</v>
      </c>
      <c r="V9" s="22">
        <v>1</v>
      </c>
      <c r="W9" s="22"/>
      <c r="X9" s="22"/>
      <c r="Y9" s="22">
        <v>0</v>
      </c>
      <c r="Z9" s="22">
        <v>0</v>
      </c>
      <c r="AA9" s="29"/>
      <c r="AB9" s="23">
        <v>0</v>
      </c>
      <c r="AC9" s="23"/>
      <c r="AD9" s="23"/>
      <c r="AE9" s="23"/>
      <c r="AF9" s="23"/>
      <c r="AG9" s="23">
        <v>0</v>
      </c>
      <c r="AH9" s="23">
        <v>0</v>
      </c>
      <c r="AI9" s="23">
        <v>0</v>
      </c>
      <c r="AJ9" s="23"/>
      <c r="AK9" s="23"/>
      <c r="AL9" s="23"/>
      <c r="AM9" s="23"/>
      <c r="AN9" s="23"/>
      <c r="AO9" s="23"/>
      <c r="AP9" s="23"/>
      <c r="AQ9" s="8"/>
      <c r="AR9" s="23"/>
      <c r="AS9" s="23">
        <v>0</v>
      </c>
      <c r="AT9" s="23">
        <v>0</v>
      </c>
      <c r="AU9" s="23">
        <v>0</v>
      </c>
      <c r="AV9" s="23">
        <v>0</v>
      </c>
      <c r="AW9" s="23">
        <f>BIN2DEC(CONCATENATE(0,0,0,0,AS9,AT9,AU9,AV9))</f>
        <v>0</v>
      </c>
      <c r="AX9" s="23" t="s">
        <v>153</v>
      </c>
      <c r="AY9" s="23"/>
      <c r="AZ9" s="26"/>
      <c r="BA9" s="23"/>
      <c r="BB9" s="23"/>
      <c r="BC9" s="23"/>
      <c r="BD9" s="23"/>
      <c r="BE9" s="23"/>
      <c r="BF9" s="23"/>
      <c r="BG9" s="23"/>
      <c r="BH9" s="20" t="str">
        <f>CONCATENATE("description: """,F9,"""", ", ", "note: """,E9,"""",", ","group: """, B9, """",", ","minValue: ", T9,", ","maxValue: ", U9,", ","step: ", V9,", ","units: """, S9, """",", ","defaultValue: ", Y9,", ","eventRegistration: ", Z9,)</f>
        <v>description: "Контроль_Uмин", note: "Ввод в работу контроля минимального напряжения", group: "setting", minValue: 0, maxValue: 1, step: 1, units: "null", defaultValue: 0, eventRegistration: 0</v>
      </c>
    </row>
    <row r="10" spans="1:16380" s="34" customFormat="1" ht="15.75" x14ac:dyDescent="0.25">
      <c r="A10" s="18"/>
      <c r="B10" s="18" t="s">
        <v>147</v>
      </c>
      <c r="C10" s="22"/>
      <c r="D10" s="28" t="s">
        <v>200</v>
      </c>
      <c r="E10" s="17" t="s">
        <v>183</v>
      </c>
      <c r="F10" s="17" t="s">
        <v>184</v>
      </c>
      <c r="G10" s="17" t="s">
        <v>185</v>
      </c>
      <c r="H10" s="55" t="s">
        <v>185</v>
      </c>
      <c r="I10" s="17"/>
      <c r="J10" s="17">
        <f>LEN(F10)</f>
        <v>5</v>
      </c>
      <c r="K10" s="17" t="str">
        <f>IF(LEN(F10)&lt;=$K$1,F10,"")</f>
        <v>Tсигн</v>
      </c>
      <c r="L10" s="18" t="s">
        <v>186</v>
      </c>
      <c r="M10" s="21" t="s">
        <v>187</v>
      </c>
      <c r="N10" s="22" t="s">
        <v>62</v>
      </c>
      <c r="O10" s="22" t="s">
        <v>62</v>
      </c>
      <c r="P10" s="22"/>
      <c r="Q10" s="26">
        <v>2</v>
      </c>
      <c r="R10" s="26" t="s">
        <v>188</v>
      </c>
      <c r="S10" s="22" t="s">
        <v>189</v>
      </c>
      <c r="T10" s="22">
        <v>0</v>
      </c>
      <c r="U10" s="22">
        <v>100000</v>
      </c>
      <c r="V10" s="22">
        <v>10</v>
      </c>
      <c r="W10" s="22"/>
      <c r="X10" s="22"/>
      <c r="Y10" s="22">
        <v>1000</v>
      </c>
      <c r="Z10" s="22">
        <v>0</v>
      </c>
      <c r="AA10" s="29"/>
      <c r="AB10" s="23">
        <v>0</v>
      </c>
      <c r="AC10" s="23"/>
      <c r="AD10" s="23"/>
      <c r="AE10" s="23"/>
      <c r="AF10" s="23"/>
      <c r="AG10" s="23">
        <v>0</v>
      </c>
      <c r="AH10" s="23">
        <v>0</v>
      </c>
      <c r="AI10" s="23">
        <v>0</v>
      </c>
      <c r="AJ10" s="23" t="s">
        <v>83</v>
      </c>
      <c r="AK10" s="23" t="s">
        <v>190</v>
      </c>
      <c r="AL10" s="23" t="s">
        <v>191</v>
      </c>
      <c r="AM10" s="23" t="s">
        <v>192</v>
      </c>
      <c r="AN10" s="23" t="s">
        <v>187</v>
      </c>
      <c r="AO10" s="23"/>
      <c r="AP10" s="23" t="s">
        <v>230</v>
      </c>
      <c r="AQ10" s="8" t="str">
        <f t="shared" si="4"/>
        <v>RVTR1.AlmDlTmms.setVal</v>
      </c>
      <c r="AR10" s="36" t="s">
        <v>87</v>
      </c>
      <c r="AS10" s="23">
        <v>0</v>
      </c>
      <c r="AT10" s="23">
        <v>0</v>
      </c>
      <c r="AU10" s="23">
        <v>0</v>
      </c>
      <c r="AV10" s="23">
        <v>0</v>
      </c>
      <c r="AW10" s="23">
        <f>BIN2DEC(CONCATENATE(0,0,0,0,AS10,AT10,AU10,AV10))</f>
        <v>0</v>
      </c>
      <c r="AX10" s="23"/>
      <c r="AY10" s="23"/>
      <c r="AZ10" s="26"/>
      <c r="BA10" s="23"/>
      <c r="BB10" s="23"/>
      <c r="BC10" s="23"/>
      <c r="BD10" s="23"/>
      <c r="BE10" s="23"/>
      <c r="BF10" s="23"/>
      <c r="BG10" s="23"/>
      <c r="BH10" s="20" t="str">
        <f>CONCATENATE("description: """,F10,"""", ", ", "note: """,E10,"""",", ","group: """, B10, """",", ","minValue: ", T10,", ","maxValue: ", U10,", ","step: ", V10,", ","units: """, S10, """",", ","defaultValue: ", Y10,", ","eventRegistration: ", Z10,)</f>
        <v>description: "Tсигн", note: "Выдержка времени срабатывания сигнализации", group: "setting", minValue: 0, maxValue: 100000, step: 10, units: "мс", defaultValue: 1000, eventRegistration: 0</v>
      </c>
    </row>
    <row r="11" spans="1:16380" s="35" customFormat="1" ht="15.75" x14ac:dyDescent="0.25">
      <c r="A11" s="25"/>
      <c r="B11" s="25"/>
      <c r="C11" s="25"/>
      <c r="D11" s="25"/>
      <c r="S11" s="37"/>
      <c r="T11" s="48"/>
      <c r="U11" s="48"/>
      <c r="V11" s="48"/>
      <c r="W11" s="48"/>
      <c r="X11" s="48"/>
      <c r="Y11" s="48"/>
      <c r="Z11" s="48"/>
      <c r="AA11" s="25"/>
      <c r="AB11" s="48"/>
      <c r="AC11" s="48"/>
      <c r="AD11" s="48"/>
      <c r="AE11" s="48"/>
      <c r="AF11" s="48"/>
      <c r="AG11" s="48"/>
      <c r="AH11" s="48"/>
      <c r="AI11" s="25"/>
      <c r="AJ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9"/>
      <c r="BD11" s="48"/>
      <c r="BE11" s="49"/>
      <c r="BF11" s="48"/>
      <c r="BG11" s="48"/>
      <c r="BH11" s="25"/>
      <c r="BI11" s="25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9"/>
      <c r="BD12" s="4"/>
      <c r="BE12" s="39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9"/>
      <c r="BD13" s="4"/>
      <c r="BE13" s="39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9"/>
      <c r="BD14" s="4"/>
      <c r="BE14" s="39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9"/>
      <c r="BD15" s="4"/>
      <c r="BE15" s="39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9"/>
      <c r="BD16" s="4"/>
      <c r="BE16" s="39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9"/>
      <c r="BD17" s="4"/>
      <c r="BE17" s="39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9"/>
      <c r="BD18" s="4"/>
      <c r="BE18" s="39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9"/>
      <c r="BD19" s="4"/>
      <c r="BE19" s="39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9"/>
      <c r="BD20" s="4"/>
      <c r="BE20" s="39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9"/>
      <c r="BD21" s="4"/>
      <c r="BE21" s="39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9"/>
      <c r="BD22" s="4"/>
      <c r="BE22" s="39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9"/>
      <c r="BD23" s="4"/>
      <c r="BE23" s="39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9"/>
      <c r="BD24" s="4"/>
      <c r="BE24" s="39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9"/>
      <c r="BD25" s="4"/>
      <c r="BE25" s="39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9"/>
      <c r="BD26" s="4"/>
      <c r="BE26" s="39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9"/>
      <c r="BD27" s="4"/>
      <c r="BE27" s="39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9"/>
      <c r="BD28" s="4"/>
      <c r="BE28" s="39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9"/>
      <c r="BD29" s="4"/>
      <c r="BE29" s="39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9"/>
      <c r="BD30" s="4"/>
      <c r="BE30" s="39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9"/>
      <c r="BD31" s="4"/>
      <c r="BE31" s="39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9"/>
      <c r="BD32" s="4"/>
      <c r="BE32" s="39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9"/>
      <c r="BD33" s="4"/>
      <c r="BE33" s="39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9"/>
      <c r="BD34" s="4"/>
      <c r="BE34" s="39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9"/>
      <c r="BD35" s="4"/>
      <c r="BE35" s="39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9"/>
      <c r="BD36" s="4"/>
      <c r="BE36" s="39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9"/>
      <c r="BD37" s="4"/>
      <c r="BE37" s="39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9"/>
      <c r="BD38" s="4"/>
      <c r="BE38" s="39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9"/>
      <c r="BD39" s="4"/>
      <c r="BE39" s="39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9"/>
      <c r="BD40" s="4"/>
      <c r="BE40" s="39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9"/>
      <c r="BD41" s="4"/>
      <c r="BE41" s="39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9"/>
      <c r="BD42" s="4"/>
      <c r="BE42" s="39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9"/>
      <c r="BD43" s="4"/>
      <c r="BE43" s="39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9"/>
      <c r="BD44" s="4"/>
      <c r="BE44" s="39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9"/>
      <c r="BD45" s="4"/>
      <c r="BE45" s="39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9"/>
      <c r="BD46" s="4"/>
      <c r="BE46" s="39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9"/>
      <c r="BD47" s="4"/>
      <c r="BE47" s="39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9"/>
      <c r="BD48" s="4"/>
      <c r="BE48" s="39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9"/>
      <c r="BD49" s="4"/>
      <c r="BE49" s="39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9"/>
      <c r="BD50" s="4"/>
      <c r="BE50" s="39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9"/>
      <c r="BD51" s="4"/>
      <c r="BE51" s="39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9"/>
      <c r="BD52" s="4"/>
      <c r="BE52" s="39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9"/>
      <c r="BD53" s="4"/>
      <c r="BE53" s="39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9"/>
      <c r="BD54" s="4"/>
      <c r="BE54" s="39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9"/>
      <c r="BD55" s="4"/>
      <c r="BE55" s="39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9"/>
      <c r="BD56" s="4"/>
      <c r="BE56" s="39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9"/>
      <c r="BD57" s="4"/>
      <c r="BE57" s="39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9"/>
      <c r="BD58" s="4"/>
      <c r="BE58" s="39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9"/>
      <c r="BD59" s="4"/>
      <c r="BE59" s="39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9"/>
      <c r="BD60" s="4"/>
      <c r="BE60" s="39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9"/>
      <c r="BD61" s="4"/>
      <c r="BE61" s="39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9"/>
      <c r="BD62" s="4"/>
      <c r="BE62" s="39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9"/>
      <c r="BD63" s="4"/>
      <c r="BE63" s="39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9"/>
      <c r="BD64" s="4"/>
      <c r="BE64" s="39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9"/>
      <c r="BD65" s="4"/>
      <c r="BE65" s="39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9"/>
      <c r="BD66" s="4"/>
      <c r="BE66" s="39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9"/>
      <c r="BD67" s="4"/>
      <c r="BE67" s="39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9"/>
      <c r="BD68" s="4"/>
      <c r="BE68" s="39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9"/>
      <c r="BD69" s="4"/>
      <c r="BE69" s="39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9"/>
      <c r="BD70" s="4"/>
      <c r="BE70" s="39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9"/>
      <c r="BD71" s="4"/>
      <c r="BE71" s="39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9"/>
      <c r="BD72" s="4"/>
      <c r="BE72" s="39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9"/>
      <c r="BD73" s="4"/>
      <c r="BE73" s="39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9"/>
      <c r="BD74" s="4"/>
      <c r="BE74" s="39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9"/>
      <c r="BD75" s="4"/>
      <c r="BE75" s="39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9"/>
      <c r="BD76" s="4"/>
      <c r="BE76" s="39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9"/>
      <c r="BD77" s="4"/>
      <c r="BE77" s="39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9"/>
      <c r="BD78" s="4"/>
      <c r="BE78" s="39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9"/>
      <c r="BD79" s="4"/>
      <c r="BE79" s="39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9"/>
      <c r="BD80" s="4"/>
      <c r="BE80" s="39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9"/>
      <c r="BD81" s="4"/>
      <c r="BE81" s="39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9"/>
      <c r="BD82" s="4"/>
      <c r="BE82" s="39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9"/>
      <c r="BD83" s="4"/>
      <c r="BE83" s="39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9"/>
      <c r="BD84" s="4"/>
      <c r="BE84" s="39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9"/>
      <c r="BD85" s="4"/>
      <c r="BE85" s="39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9"/>
      <c r="BD86" s="4"/>
      <c r="BE86" s="39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9"/>
      <c r="BD87" s="4"/>
      <c r="BE87" s="39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9"/>
      <c r="BD88" s="4"/>
      <c r="BE88" s="39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9"/>
      <c r="BD89" s="4"/>
      <c r="BE89" s="39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9"/>
      <c r="BD90" s="4"/>
      <c r="BE90" s="39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9"/>
      <c r="BD91" s="4"/>
      <c r="BE91" s="39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9"/>
      <c r="BD92" s="4"/>
      <c r="BE92" s="39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9"/>
      <c r="BD93" s="4"/>
      <c r="BE93" s="39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9"/>
      <c r="BD94" s="4"/>
      <c r="BE94" s="39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9"/>
      <c r="BD95" s="4"/>
      <c r="BE95" s="39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9"/>
      <c r="BD96" s="4"/>
      <c r="BE96" s="39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9"/>
      <c r="BD97" s="4"/>
      <c r="BE97" s="39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9"/>
      <c r="BD98" s="4"/>
      <c r="BE98" s="39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9"/>
      <c r="BD99" s="4"/>
      <c r="BE99" s="39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9"/>
      <c r="BD100" s="4"/>
      <c r="BE100" s="39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9"/>
      <c r="BD101" s="4"/>
      <c r="BE101" s="39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9"/>
      <c r="BD102" s="4"/>
      <c r="BE102" s="39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9"/>
      <c r="BD103" s="4"/>
      <c r="BE103" s="39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9"/>
      <c r="BD104" s="4"/>
      <c r="BE104" s="39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9"/>
      <c r="BD105" s="4"/>
      <c r="BE105" s="39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9"/>
      <c r="BD106" s="4"/>
      <c r="BE106" s="39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9"/>
      <c r="BD107" s="4"/>
      <c r="BE107" s="39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9"/>
      <c r="BD108" s="4"/>
      <c r="BE108" s="39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9"/>
      <c r="BD109" s="4"/>
      <c r="BE109" s="39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9"/>
      <c r="BD110" s="4"/>
      <c r="BE110" s="39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9"/>
      <c r="BD111" s="4"/>
      <c r="BE111" s="39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9"/>
      <c r="BD112" s="4"/>
      <c r="BE112" s="39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9"/>
      <c r="BD113" s="4"/>
      <c r="BE113" s="39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9"/>
      <c r="BD114" s="4"/>
      <c r="BE114" s="39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9"/>
      <c r="BD115" s="4"/>
      <c r="BE115" s="39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9"/>
      <c r="BD116" s="4"/>
      <c r="BE116" s="39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9"/>
      <c r="BD117" s="4"/>
      <c r="BE117" s="39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9"/>
      <c r="BD118" s="4"/>
      <c r="BE118" s="39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9"/>
      <c r="BD119" s="4"/>
      <c r="BE119" s="39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9"/>
      <c r="BD120" s="4"/>
      <c r="BE120" s="39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9"/>
      <c r="BD121" s="4"/>
      <c r="BE121" s="39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9"/>
      <c r="BD122" s="4"/>
      <c r="BE122" s="39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9"/>
      <c r="BD123" s="4"/>
      <c r="BE123" s="39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9"/>
      <c r="BD124" s="4"/>
      <c r="BE124" s="39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9"/>
      <c r="BD125" s="4"/>
      <c r="BE125" s="39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9"/>
      <c r="BD126" s="4"/>
      <c r="BE126" s="39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9"/>
      <c r="BD127" s="4"/>
      <c r="BE127" s="39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9"/>
      <c r="BD128" s="4"/>
      <c r="BE128" s="39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9"/>
      <c r="BD129" s="4"/>
      <c r="BE129" s="39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9"/>
      <c r="BD130" s="4"/>
      <c r="BE130" s="39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9"/>
      <c r="BD131" s="4"/>
      <c r="BE131" s="39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9"/>
      <c r="BD132" s="4"/>
      <c r="BE132" s="39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9"/>
      <c r="BD133" s="4"/>
      <c r="BE133" s="39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9"/>
      <c r="BD134" s="4"/>
      <c r="BE134" s="39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9"/>
      <c r="BD135" s="4"/>
      <c r="BE135" s="39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9"/>
      <c r="BD136" s="4"/>
      <c r="BE136" s="39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9"/>
      <c r="BD137" s="4"/>
      <c r="BE137" s="39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9"/>
      <c r="BD138" s="4"/>
      <c r="BE138" s="39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9"/>
      <c r="BD139" s="4"/>
      <c r="BE139" s="39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9"/>
      <c r="BD140" s="4"/>
      <c r="BE140" s="39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9"/>
      <c r="BD141" s="4"/>
      <c r="BE141" s="39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9"/>
      <c r="BD142" s="4"/>
      <c r="BE142" s="39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9"/>
      <c r="BD143" s="4"/>
      <c r="BE143" s="39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9"/>
      <c r="BD144" s="4"/>
      <c r="BE144" s="39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9"/>
      <c r="BD145" s="4"/>
      <c r="BE145" s="39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9"/>
      <c r="BD146" s="4"/>
      <c r="BE146" s="39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9"/>
      <c r="BD147" s="4"/>
      <c r="BE147" s="39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9"/>
      <c r="BD148" s="4"/>
      <c r="BE148" s="39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9"/>
      <c r="BD149" s="4"/>
      <c r="BE149" s="39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9"/>
      <c r="BD150" s="4"/>
      <c r="BE150" s="39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9"/>
      <c r="BD151" s="4"/>
      <c r="BE151" s="39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9"/>
      <c r="BD152" s="4"/>
      <c r="BE152" s="39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9"/>
      <c r="BD153" s="4"/>
      <c r="BE153" s="39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9"/>
      <c r="BD154" s="4"/>
      <c r="BE154" s="39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9"/>
      <c r="BD155" s="4"/>
      <c r="BE155" s="39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9"/>
      <c r="BD156" s="4"/>
      <c r="BE156" s="39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9"/>
      <c r="BD157" s="4"/>
      <c r="BE157" s="39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9"/>
      <c r="BD158" s="4"/>
      <c r="BE158" s="39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9"/>
      <c r="BD159" s="4"/>
      <c r="BE159" s="39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9"/>
      <c r="BD160" s="4"/>
      <c r="BE160" s="39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9"/>
      <c r="BD161" s="4"/>
      <c r="BE161" s="39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9"/>
      <c r="BD162" s="4"/>
      <c r="BE162" s="39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9"/>
      <c r="BD163" s="4"/>
      <c r="BE163" s="39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9"/>
      <c r="BD164" s="4"/>
      <c r="BE164" s="39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9"/>
      <c r="BD165" s="4"/>
      <c r="BE165" s="39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9"/>
      <c r="BD166" s="4"/>
      <c r="BE166" s="39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9"/>
      <c r="BD167" s="4"/>
      <c r="BE167" s="39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9"/>
      <c r="BD168" s="4"/>
      <c r="BE168" s="39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9"/>
      <c r="BD169" s="4"/>
      <c r="BE169" s="39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9"/>
      <c r="BD170" s="4"/>
      <c r="BE170" s="39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9"/>
      <c r="BD171" s="4"/>
      <c r="BE171" s="39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9"/>
      <c r="BD172" s="4"/>
      <c r="BE172" s="39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9"/>
      <c r="BD173" s="4"/>
      <c r="BE173" s="39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9"/>
      <c r="BD174" s="4"/>
      <c r="BE174" s="39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9"/>
      <c r="BD175" s="4"/>
      <c r="BE175" s="39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9"/>
      <c r="BD176" s="4"/>
      <c r="BE176" s="39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9"/>
      <c r="BD177" s="4"/>
      <c r="BE177" s="39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9"/>
      <c r="BD178" s="4"/>
      <c r="BE178" s="39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9"/>
      <c r="BD179" s="4"/>
      <c r="BE179" s="39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9"/>
      <c r="BD180" s="4"/>
      <c r="BE180" s="39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9"/>
      <c r="BD181" s="4"/>
      <c r="BE181" s="39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9"/>
      <c r="BD182" s="4"/>
      <c r="BE182" s="39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9"/>
      <c r="BD183" s="4"/>
      <c r="BE183" s="39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9"/>
      <c r="BD184" s="4"/>
      <c r="BE184" s="39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9"/>
      <c r="BD185" s="4"/>
      <c r="BE185" s="39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9"/>
      <c r="BD186" s="4"/>
      <c r="BE186" s="39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9"/>
      <c r="BD187" s="4"/>
      <c r="BE187" s="39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9"/>
      <c r="BD188" s="4"/>
      <c r="BE188" s="39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9"/>
      <c r="BD189" s="4"/>
      <c r="BE189" s="39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9"/>
      <c r="BD190" s="4"/>
      <c r="BE190" s="39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9"/>
      <c r="BD191" s="4"/>
      <c r="BE191" s="39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9"/>
      <c r="BD192" s="4"/>
      <c r="BE192" s="39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9"/>
      <c r="BD193" s="4"/>
      <c r="BE193" s="39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9"/>
      <c r="BD194" s="4"/>
      <c r="BE194" s="39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9"/>
      <c r="BD195" s="4"/>
      <c r="BE195" s="39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9"/>
      <c r="BD196" s="4"/>
      <c r="BE196" s="39"/>
      <c r="BF196" s="4"/>
      <c r="BG196" s="4"/>
      <c r="BH196" s="1"/>
      <c r="BI196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9" sqref="A19"/>
    </sheetView>
  </sheetViews>
  <sheetFormatPr defaultRowHeight="15" x14ac:dyDescent="0.25"/>
  <cols>
    <col min="1" max="1" width="22.42578125" style="43" customWidth="1"/>
    <col min="2" max="2" width="67.140625" style="43" customWidth="1"/>
    <col min="3" max="16384" width="9.140625" style="43"/>
  </cols>
  <sheetData>
    <row r="2" spans="1:2" ht="15.75" x14ac:dyDescent="0.25">
      <c r="A2" s="9" t="s">
        <v>193</v>
      </c>
      <c r="B2" s="9" t="s">
        <v>194</v>
      </c>
    </row>
    <row r="3" spans="1:2" ht="15.75" x14ac:dyDescent="0.25">
      <c r="A3" s="44" t="s">
        <v>195</v>
      </c>
      <c r="B3" s="45" t="s">
        <v>200</v>
      </c>
    </row>
    <row r="4" spans="1:2" ht="15.75" x14ac:dyDescent="0.25">
      <c r="A4" s="44" t="s">
        <v>196</v>
      </c>
      <c r="B4" s="46">
        <v>344</v>
      </c>
    </row>
    <row r="5" spans="1:2" ht="15.75" x14ac:dyDescent="0.25">
      <c r="A5" s="44" t="s">
        <v>197</v>
      </c>
      <c r="B5" s="45" t="s">
        <v>62</v>
      </c>
    </row>
    <row r="6" spans="1:2" ht="15.75" x14ac:dyDescent="0.25">
      <c r="A6" s="47" t="s">
        <v>198</v>
      </c>
      <c r="B6" s="45" t="s">
        <v>199</v>
      </c>
    </row>
    <row r="7" spans="1:2" ht="15.75" x14ac:dyDescent="0.25">
      <c r="A7" s="47" t="s">
        <v>231</v>
      </c>
      <c r="B7" s="45">
        <v>2</v>
      </c>
    </row>
    <row r="8" spans="1:2" s="51" customFormat="1" ht="15.75" x14ac:dyDescent="0.25">
      <c r="A8" s="50" t="s">
        <v>236</v>
      </c>
      <c r="B8" s="50" t="s">
        <v>238</v>
      </c>
    </row>
    <row r="9" spans="1:2" s="51" customFormat="1" ht="15.75" x14ac:dyDescent="0.25">
      <c r="A9" s="50" t="s">
        <v>237</v>
      </c>
      <c r="B9" s="50"/>
    </row>
    <row r="10" spans="1:2" s="51" customFormat="1" ht="15.75" x14ac:dyDescent="0.25">
      <c r="A10" s="52" t="s">
        <v>200</v>
      </c>
      <c r="B10" s="50" t="s">
        <v>238</v>
      </c>
    </row>
    <row r="11" spans="1:2" s="51" customFormat="1" ht="15.75" x14ac:dyDescent="0.25">
      <c r="A11" s="50" t="s">
        <v>237</v>
      </c>
      <c r="B11" s="50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2025-09-09T06:03:44Z</dcterms:modified>
</cp:coreProperties>
</file>