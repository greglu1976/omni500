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42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3" i="4" l="1"/>
  <c r="AX4" i="4"/>
  <c r="AX5" i="4"/>
  <c r="AX6" i="4"/>
  <c r="AX7" i="4"/>
  <c r="AX8" i="4"/>
  <c r="AX12" i="4"/>
  <c r="AX13" i="4"/>
  <c r="AX16" i="4"/>
  <c r="AX17" i="4"/>
  <c r="AX18" i="4"/>
  <c r="AX27" i="5"/>
  <c r="AX28" i="5"/>
  <c r="AX29" i="5"/>
  <c r="AX30" i="5"/>
  <c r="AX31" i="5"/>
  <c r="AX32" i="5"/>
  <c r="AX33" i="5"/>
  <c r="AX34" i="5"/>
  <c r="AX35" i="5"/>
  <c r="AX36" i="5"/>
  <c r="AX37" i="5"/>
  <c r="AX38" i="5"/>
  <c r="AX39" i="5"/>
  <c r="AX40" i="5"/>
  <c r="AX41" i="5"/>
  <c r="AX42" i="5"/>
  <c r="AP26" i="5" l="1"/>
  <c r="AP42" i="5"/>
  <c r="AP41" i="5"/>
  <c r="AR34" i="6"/>
  <c r="AR33" i="6"/>
  <c r="BG11" i="4" l="1"/>
  <c r="AP11" i="4"/>
  <c r="AP16" i="4"/>
  <c r="BG18" i="5" l="1"/>
  <c r="AP18" i="5"/>
  <c r="BG10" i="5"/>
  <c r="AP10" i="5"/>
  <c r="AX4" i="6" l="1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27" i="6"/>
  <c r="AX28" i="6"/>
  <c r="AX29" i="6"/>
  <c r="AX30" i="6"/>
  <c r="AX31" i="6"/>
  <c r="AX32" i="6"/>
  <c r="AX33" i="6"/>
  <c r="AX34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J7" i="4"/>
  <c r="I7" i="4"/>
  <c r="BG4" i="4"/>
  <c r="BG5" i="4"/>
  <c r="BG6" i="4"/>
  <c r="BG7" i="4"/>
  <c r="BG8" i="4"/>
  <c r="BG9" i="4"/>
  <c r="BG10" i="4"/>
  <c r="BG12" i="4"/>
  <c r="BG13" i="4"/>
  <c r="BG14" i="4"/>
  <c r="BG15" i="4"/>
  <c r="BG16" i="4"/>
  <c r="BG17" i="4"/>
  <c r="BG18" i="4"/>
  <c r="J6" i="4"/>
  <c r="I6" i="4"/>
  <c r="BG23" i="5" l="1"/>
  <c r="AP23" i="5"/>
  <c r="J23" i="5"/>
  <c r="I23" i="5"/>
  <c r="BG20" i="5"/>
  <c r="AP20" i="5"/>
  <c r="BG4" i="5" l="1"/>
  <c r="BG5" i="5"/>
  <c r="BG6" i="5"/>
  <c r="BG7" i="5"/>
  <c r="BG8" i="5"/>
  <c r="BG9" i="5"/>
  <c r="BG11" i="5"/>
  <c r="BG12" i="5"/>
  <c r="BG13" i="5"/>
  <c r="BG14" i="5"/>
  <c r="BG15" i="5"/>
  <c r="BG16" i="5"/>
  <c r="BG17" i="5"/>
  <c r="BG19" i="5"/>
  <c r="BG21" i="5"/>
  <c r="BG22" i="5"/>
  <c r="BG24" i="5"/>
  <c r="BG25" i="5"/>
  <c r="BG26" i="5"/>
  <c r="BG27" i="5"/>
  <c r="BG28" i="5"/>
  <c r="BG29" i="5"/>
  <c r="BG30" i="5"/>
  <c r="BG31" i="5"/>
  <c r="BG32" i="5"/>
  <c r="BG33" i="5"/>
  <c r="BG34" i="5"/>
  <c r="BG35" i="5"/>
  <c r="BG36" i="5"/>
  <c r="BG37" i="5"/>
  <c r="BG38" i="5"/>
  <c r="BG39" i="5"/>
  <c r="BG40" i="5"/>
  <c r="BG41" i="5"/>
  <c r="BG42" i="5"/>
  <c r="J4" i="5"/>
  <c r="J5" i="5"/>
  <c r="J6" i="5"/>
  <c r="J7" i="5"/>
  <c r="J8" i="5"/>
  <c r="J9" i="5"/>
  <c r="J11" i="5"/>
  <c r="J12" i="5"/>
  <c r="J13" i="5"/>
  <c r="J14" i="5"/>
  <c r="J15" i="5"/>
  <c r="J16" i="5"/>
  <c r="J17" i="5"/>
  <c r="J19" i="5"/>
  <c r="J20" i="5"/>
  <c r="J21" i="5"/>
  <c r="J22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I4" i="5"/>
  <c r="I5" i="5"/>
  <c r="I6" i="5"/>
  <c r="I7" i="5"/>
  <c r="I8" i="5"/>
  <c r="I9" i="5"/>
  <c r="I11" i="5"/>
  <c r="I12" i="5"/>
  <c r="I13" i="5"/>
  <c r="I14" i="5"/>
  <c r="I15" i="5"/>
  <c r="I16" i="5"/>
  <c r="I17" i="5"/>
  <c r="I19" i="5"/>
  <c r="I20" i="5"/>
  <c r="I21" i="5"/>
  <c r="I22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J5" i="4"/>
  <c r="J4" i="4"/>
  <c r="J8" i="4"/>
  <c r="J9" i="4"/>
  <c r="J10" i="4"/>
  <c r="J14" i="4"/>
  <c r="J12" i="4"/>
  <c r="J13" i="4"/>
  <c r="J11" i="4"/>
  <c r="J15" i="4"/>
  <c r="J16" i="4"/>
  <c r="J17" i="4"/>
  <c r="J18" i="4"/>
  <c r="I5" i="4"/>
  <c r="I4" i="4"/>
  <c r="I8" i="4"/>
  <c r="I9" i="4"/>
  <c r="I10" i="4"/>
  <c r="I14" i="4"/>
  <c r="I12" i="4"/>
  <c r="I13" i="4"/>
  <c r="I11" i="4"/>
  <c r="I15" i="4"/>
  <c r="I16" i="4"/>
  <c r="I17" i="4"/>
  <c r="I18" i="4"/>
  <c r="BI22" i="6" l="1"/>
  <c r="BI20" i="6"/>
  <c r="BI9" i="6"/>
  <c r="BI7" i="6"/>
  <c r="BI34" i="6"/>
  <c r="BI33" i="6"/>
  <c r="AR29" i="6"/>
  <c r="AR18" i="6"/>
  <c r="AR5" i="6"/>
  <c r="AR17" i="6"/>
  <c r="AR4" i="6"/>
  <c r="AR21" i="6"/>
  <c r="AR8" i="6"/>
  <c r="AR28" i="6"/>
  <c r="AR27" i="6"/>
  <c r="AR15" i="6"/>
  <c r="AP25" i="5"/>
  <c r="AP34" i="5"/>
  <c r="AP33" i="5"/>
  <c r="AP32" i="5"/>
  <c r="AP31" i="5"/>
  <c r="AP30" i="5"/>
  <c r="AP29" i="5"/>
  <c r="AP38" i="5"/>
  <c r="AP37" i="5"/>
  <c r="AP40" i="5"/>
  <c r="AP39" i="5"/>
  <c r="AP19" i="5"/>
  <c r="AP17" i="5"/>
  <c r="AP15" i="5"/>
  <c r="BG3" i="5"/>
  <c r="J3" i="5"/>
  <c r="I3" i="5"/>
  <c r="AP24" i="5"/>
  <c r="BI29" i="6"/>
  <c r="BI28" i="6"/>
  <c r="BI27" i="6"/>
  <c r="BI26" i="6"/>
  <c r="AR26" i="6"/>
  <c r="BI18" i="6"/>
  <c r="BI17" i="6"/>
  <c r="BI25" i="6"/>
  <c r="BI23" i="6"/>
  <c r="BI21" i="6"/>
  <c r="BI24" i="6"/>
  <c r="BI19" i="6"/>
  <c r="AR19" i="6"/>
  <c r="BI16" i="6"/>
  <c r="BI5" i="6"/>
  <c r="BI4" i="6"/>
  <c r="BI12" i="6"/>
  <c r="BI10" i="6"/>
  <c r="BI8" i="6"/>
  <c r="BI6" i="6"/>
  <c r="AR6" i="6"/>
  <c r="BI3" i="6"/>
  <c r="AX3" i="6"/>
  <c r="L3" i="6"/>
  <c r="K3" i="6"/>
  <c r="BI31" i="6"/>
  <c r="AR31" i="6"/>
  <c r="BI30" i="6"/>
  <c r="AR30" i="6"/>
  <c r="BI15" i="6"/>
  <c r="BI14" i="6"/>
  <c r="AR14" i="6"/>
  <c r="BI13" i="6"/>
  <c r="AR13" i="6"/>
  <c r="BI32" i="6"/>
  <c r="AR32" i="6"/>
  <c r="BI11" i="6"/>
  <c r="AJ1" i="6"/>
  <c r="AP36" i="5"/>
  <c r="AP35" i="5"/>
  <c r="AP28" i="5"/>
  <c r="AP27" i="5"/>
  <c r="AP9" i="5"/>
  <c r="AP7" i="5"/>
  <c r="AH1" i="5"/>
  <c r="BG3" i="4"/>
  <c r="J3" i="4"/>
  <c r="I3" i="4"/>
  <c r="AH1" i="4"/>
</calcChain>
</file>

<file path=xl/sharedStrings.xml><?xml version="1.0" encoding="utf-8"?>
<sst xmlns="http://schemas.openxmlformats.org/spreadsheetml/2006/main" count="1760" uniqueCount="420">
  <si>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</si>
  <si>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</si>
  <si>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</si>
  <si>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</si>
  <si>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</si>
  <si>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</si>
  <si>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</si>
  <si>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</si>
  <si>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</si>
  <si>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</si>
  <si>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</si>
  <si>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</si>
  <si>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</si>
  <si>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</si>
  <si>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</si>
  <si>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</si>
  <si>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</si>
  <si>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</si>
  <si>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</si>
  <si>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</si>
  <si>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</si>
  <si>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</si>
  <si>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</si>
  <si>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</si>
  <si>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</si>
  <si>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</si>
  <si>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</si>
  <si>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</si>
  <si>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</si>
  <si>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</si>
  <si>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</si>
  <si>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</si>
  <si>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</si>
  <si>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</si>
  <si>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</si>
  <si>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</si>
  <si>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</si>
  <si>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</si>
  <si>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</si>
  <si>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</si>
  <si>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</si>
  <si>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</si>
  <si>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</si>
  <si>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</si>
  <si>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</si>
  <si>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</si>
  <si>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</si>
  <si>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</si>
  <si>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</si>
  <si>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</si>
  <si>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</si>
  <si>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</si>
  <si>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</si>
  <si>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</si>
  <si>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</si>
  <si>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</si>
  <si>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</si>
  <si>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</si>
  <si>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</si>
  <si>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</si>
  <si>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тока 3I0</t>
  </si>
  <si>
    <t>mag3I0</t>
  </si>
  <si>
    <t>FLOAT32</t>
  </si>
  <si>
    <t>true</t>
  </si>
  <si>
    <t>false</t>
  </si>
  <si>
    <t>А</t>
  </si>
  <si>
    <t>null</t>
  </si>
  <si>
    <t>Действующее значение 1 гармоники напряжения 3U0</t>
  </si>
  <si>
    <t>mag3U0</t>
  </si>
  <si>
    <t>В</t>
  </si>
  <si>
    <t>Срабатывание БНН</t>
  </si>
  <si>
    <t>BlkV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</si>
  <si>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</si>
  <si>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</si>
  <si>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</si>
  <si>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</si>
  <si>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</si>
  <si>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</si>
  <si>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</si>
  <si>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</si>
  <si>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</si>
  <si>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</si>
  <si>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</si>
  <si>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</si>
  <si>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</si>
  <si>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</si>
  <si>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</si>
  <si>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</si>
  <si>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</si>
  <si>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</si>
  <si>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</si>
  <si>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</si>
  <si>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</si>
  <si>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</si>
  <si>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</si>
  <si>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</si>
  <si>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</si>
  <si>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</si>
  <si>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</si>
  <si>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BOOLEAN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</si>
  <si>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</si>
  <si>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</si>
  <si>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</si>
  <si>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</si>
  <si>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</si>
  <si>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</si>
  <si>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</si>
  <si>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</si>
  <si>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</si>
  <si>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</si>
  <si>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</si>
  <si>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</si>
  <si>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Напряжение срабатывания НП</t>
  </si>
  <si>
    <t>3U0ср</t>
  </si>
  <si>
    <t>ASG</t>
  </si>
  <si>
    <t>setMag.f</t>
  </si>
  <si>
    <t>Ток срабатывания НП</t>
  </si>
  <si>
    <t>3I0ср</t>
  </si>
  <si>
    <t>0.01</t>
  </si>
  <si>
    <t>0.05</t>
  </si>
  <si>
    <t>INT8</t>
  </si>
  <si>
    <t>CURVE</t>
  </si>
  <si>
    <t>setCharact</t>
  </si>
  <si>
    <t>CurveCharKind</t>
  </si>
  <si>
    <t>К</t>
  </si>
  <si>
    <t>0.8</t>
  </si>
  <si>
    <t>Tср</t>
  </si>
  <si>
    <t>TimeSettingScaleCoefficient</t>
  </si>
  <si>
    <t>мс</t>
  </si>
  <si>
    <t>Parameter</t>
  </si>
  <si>
    <t>Value</t>
  </si>
  <si>
    <t>RussianName</t>
  </si>
  <si>
    <t>WeightCoefficient</t>
  </si>
  <si>
    <t>IsCoded</t>
  </si>
  <si>
    <t>IEC61850Name</t>
  </si>
  <si>
    <t>ТЗНП</t>
  </si>
  <si>
    <t>Действующее значение 2 гармоники тока 3I0</t>
  </si>
  <si>
    <t>mag3I02H</t>
  </si>
  <si>
    <t>Сраб БНН</t>
  </si>
  <si>
    <t>ОНМ НП</t>
  </si>
  <si>
    <t>Угол максимальной чувствительности</t>
  </si>
  <si>
    <t>RDIR1_angMaxSens</t>
  </si>
  <si>
    <t>БЧС</t>
  </si>
  <si>
    <t>БНТ НП</t>
  </si>
  <si>
    <t>Отношение тока второй гармоники к току основной гармоники</t>
  </si>
  <si>
    <t>PHAR1_PhStr</t>
  </si>
  <si>
    <t>PHAR1_I0op</t>
  </si>
  <si>
    <t>ZSPTOC1_EnaDis</t>
  </si>
  <si>
    <t>ZSPTOC1_I0op</t>
  </si>
  <si>
    <t>ZSPTOC1_U0op</t>
  </si>
  <si>
    <t>Режим направленности</t>
  </si>
  <si>
    <t>Направленность</t>
  </si>
  <si>
    <t>ZSPTOC1_DirMod</t>
  </si>
  <si>
    <t>ZSPTOC1_BlkVCtrl</t>
  </si>
  <si>
    <t>Независимая выдержка времени срабатывания</t>
  </si>
  <si>
    <t>ZSPTOC1_U0Ctrl</t>
  </si>
  <si>
    <t>Режим оперативного блокирования ЧС</t>
  </si>
  <si>
    <t>Реж_БЧС</t>
  </si>
  <si>
    <t>ZSPTOC1_OpBlkMod</t>
  </si>
  <si>
    <t>Режим контроля от БНТ</t>
  </si>
  <si>
    <t>Реж_БНТ</t>
  </si>
  <si>
    <t>ZSPTOC1_MICMod</t>
  </si>
  <si>
    <t>Характеристика</t>
  </si>
  <si>
    <t>ZSPTOC1_TmACrv</t>
  </si>
  <si>
    <t>ZSPTOC1_K</t>
  </si>
  <si>
    <t>ZSPTOC1_Top</t>
  </si>
  <si>
    <t>ZSPTOC2_EnaDis</t>
  </si>
  <si>
    <t>ZSPTOC2_I0op</t>
  </si>
  <si>
    <t>ZSPTOC2_U0op</t>
  </si>
  <si>
    <t>ZSPTOC2_DirMod</t>
  </si>
  <si>
    <t>ZSPTOC2_BlkVCtrl</t>
  </si>
  <si>
    <t>ZSPTOC2_U0Ctrl</t>
  </si>
  <si>
    <t>ZSPTOC2_OpBlkMod</t>
  </si>
  <si>
    <t>ZSPTOC2_MICMod</t>
  </si>
  <si>
    <t>ZSPTOC2_TmACrv</t>
  </si>
  <si>
    <t>ZSPTOC2_K</t>
  </si>
  <si>
    <t>ZSPTOC2_Top</t>
  </si>
  <si>
    <t>АУ ТЗНП</t>
  </si>
  <si>
    <t>Выбор ускоряемой ступени</t>
  </si>
  <si>
    <t>AUAPSSU1_StepSel</t>
  </si>
  <si>
    <t>RDIR1_ZSDirFuncStr</t>
  </si>
  <si>
    <t>Прямое направление ОНМ НП</t>
  </si>
  <si>
    <t>Прямое</t>
  </si>
  <si>
    <t>RDIR1_ZSDirFuncPDfwd</t>
  </si>
  <si>
    <t>Обратное направление ОНМ НП</t>
  </si>
  <si>
    <t>Обратное</t>
  </si>
  <si>
    <t>RDIR1_ZSDirFuncPDrv</t>
  </si>
  <si>
    <t>Блокировка чувствительных ступеней</t>
  </si>
  <si>
    <t>GAPC1_GapcStr</t>
  </si>
  <si>
    <t>Пуск БНТ НП</t>
  </si>
  <si>
    <t>PHAR1_PharmonicStr</t>
  </si>
  <si>
    <t>ZSPTOC1_FuncEnabled</t>
  </si>
  <si>
    <t>ZSPTOC1_FuncOperDisabled</t>
  </si>
  <si>
    <t>ZSPTOC1_Str</t>
  </si>
  <si>
    <t>ZSPTOC1_Op</t>
  </si>
  <si>
    <t>ZSPTOC2_FuncEnabled</t>
  </si>
  <si>
    <t>ZSPTOC2_FuncOperDisabled</t>
  </si>
  <si>
    <t>ZSPTOC2_Str</t>
  </si>
  <si>
    <t>ZSPTOC2_Op</t>
  </si>
  <si>
    <t>Пуск автоматического ускорения ТЗНП</t>
  </si>
  <si>
    <t>AUAPSSU1_AUAStrZstoc</t>
  </si>
  <si>
    <t>Индикация поведения логического узла ОНМ НП</t>
  </si>
  <si>
    <t>Индикация исправности логического узла ОНМ НП</t>
  </si>
  <si>
    <t>RDIR1_Beh</t>
  </si>
  <si>
    <t>RDIR1_Health</t>
  </si>
  <si>
    <t>Индикация поведения логического узла БЧС</t>
  </si>
  <si>
    <t>Индикация исправности логического узла БЧС</t>
  </si>
  <si>
    <t>GAPC1_Beh</t>
  </si>
  <si>
    <t>GAPC1_Health</t>
  </si>
  <si>
    <t>Индикация поведения логического узла БНТ НП</t>
  </si>
  <si>
    <t>Индикация исправности логического узла БНТ НП</t>
  </si>
  <si>
    <t>PHAR1_Beh</t>
  </si>
  <si>
    <t>PHAR1_Health</t>
  </si>
  <si>
    <t>Индикация поведения логического узла ТЗНП 1 ст.</t>
  </si>
  <si>
    <t>Индикация исправности логического узла ТЗНП 1 ст.</t>
  </si>
  <si>
    <t>ZSPTOC1_Beh</t>
  </si>
  <si>
    <t>ZSPTOC1_Health</t>
  </si>
  <si>
    <t>Индикация поведения логического узла ТЗНП 2 ст.</t>
  </si>
  <si>
    <t>Индикация исправности логического узла ТЗНП 2 ст.</t>
  </si>
  <si>
    <t>ZSPTOC2_Beh</t>
  </si>
  <si>
    <t>ZSPTOC2_Health</t>
  </si>
  <si>
    <t>Индикация поведения логического узла АУ ТЗНП</t>
  </si>
  <si>
    <t>Индикация исправности логического узла АУ ТЗНП</t>
  </si>
  <si>
    <t>AUAPSSU1_Beh</t>
  </si>
  <si>
    <t>AUAPSSU1_Health</t>
  </si>
  <si>
    <t>LVZSTOC</t>
  </si>
  <si>
    <t>о.е.</t>
  </si>
  <si>
    <t>0.1</t>
  </si>
  <si>
    <t>град.</t>
  </si>
  <si>
    <t>%</t>
  </si>
  <si>
    <t>LVZSPTOC</t>
  </si>
  <si>
    <t>ZSPTOC1.Str</t>
  </si>
  <si>
    <t>ZSPTOC2.Str</t>
  </si>
  <si>
    <t>ZSPTOC1.Op</t>
  </si>
  <si>
    <t>ZSPTOC2.Op</t>
  </si>
  <si>
    <t>LVAUATOCZSPSSU</t>
  </si>
  <si>
    <t>AUAPSSU1.Str</t>
  </si>
  <si>
    <t>TOCZSPHAR</t>
  </si>
  <si>
    <t>PHAR1.Str</t>
  </si>
  <si>
    <t>LSSGAPC</t>
  </si>
  <si>
    <t>GAPC1.BlkOp</t>
  </si>
  <si>
    <t>SPS</t>
  </si>
  <si>
    <t>LVTOCZSRDIR</t>
  </si>
  <si>
    <t>ZSPTOC1.Beh</t>
  </si>
  <si>
    <t>ZSPTOC1.Health</t>
  </si>
  <si>
    <t>ZSPTOC2.Beh</t>
  </si>
  <si>
    <t>ZSPTOC2.Health</t>
  </si>
  <si>
    <t>AUAPSSU1.Beh</t>
  </si>
  <si>
    <t>AUAPSSU1.Health</t>
  </si>
  <si>
    <t>RDIR1.Beh</t>
  </si>
  <si>
    <t>RDIR1.Health</t>
  </si>
  <si>
    <t>PHAR1.Beh</t>
  </si>
  <si>
    <t>PHAR1.Health</t>
  </si>
  <si>
    <t>GAPC1.Beh</t>
  </si>
  <si>
    <t>GAPC1.Health</t>
  </si>
  <si>
    <t>ZSPTOC1.StrVal3I0</t>
  </si>
  <si>
    <t>ZSPTOC2.StrVal3I0</t>
  </si>
  <si>
    <t>ZSPTOC1.OpDlTmms</t>
  </si>
  <si>
    <t>ZSPTOC2.OpDlTmms</t>
  </si>
  <si>
    <t>ING</t>
  </si>
  <si>
    <t>setVal</t>
  </si>
  <si>
    <t>INT32</t>
  </si>
  <si>
    <t>ENG</t>
  </si>
  <si>
    <t>FaultDirectionKind</t>
  </si>
  <si>
    <t>ZSPTOC1.DirMod</t>
  </si>
  <si>
    <t>ZSPTOC2.DirMod</t>
  </si>
  <si>
    <t>ZSPTOC1.OpBlkMod</t>
  </si>
  <si>
    <t>SPG</t>
  </si>
  <si>
    <t>ZSPTOC2.OpBlkMod</t>
  </si>
  <si>
    <t>ZSPTOC1.MICMod</t>
  </si>
  <si>
    <t>ZSPTOC2.MICMod</t>
  </si>
  <si>
    <t>ZSPTOC1.TmACrv</t>
  </si>
  <si>
    <t>ZSPTOC2.TmACrv</t>
  </si>
  <si>
    <t>ZSPTOC1.TmMult</t>
  </si>
  <si>
    <t>ZSPTOC2.TmMult</t>
  </si>
  <si>
    <t>AUAPSSU1.LvZsTocStSel</t>
  </si>
  <si>
    <t>LvZsTocStSelKind</t>
  </si>
  <si>
    <t>RDIR1.ChrAng</t>
  </si>
  <si>
    <t>PHAR1.RatIh2Ih1</t>
  </si>
  <si>
    <t>PHAR1.StrVal3I0</t>
  </si>
  <si>
    <t>Param_3I0secRated</t>
  </si>
  <si>
    <t>0 - Не предусмотрено, 1 - Предусмотрено</t>
  </si>
  <si>
    <t>Ввод ОУ ТЗНП</t>
  </si>
  <si>
    <t>TOCZSOperSpeedUp</t>
  </si>
  <si>
    <t>ОУ ТЗНП</t>
  </si>
  <si>
    <t>Выбор_ст</t>
  </si>
  <si>
    <t>Выдержка времени срабатывания оперативного ускорения</t>
  </si>
  <si>
    <t>Срабатывание</t>
  </si>
  <si>
    <t>Индикация поведения логического узла ОУ ТЗНП</t>
  </si>
  <si>
    <t>Индикация исправности логического узла ОУ ТЗНП</t>
  </si>
  <si>
    <t>Сигнал ввода оперативного ускорения ТЗНП</t>
  </si>
  <si>
    <t>NotProvided_Provided</t>
  </si>
  <si>
    <t>DirectionMode</t>
  </si>
  <si>
    <t>TimeCurrentCharacteristics</t>
  </si>
  <si>
    <t>Вывод терминала</t>
  </si>
  <si>
    <t>ControllerDisable</t>
  </si>
  <si>
    <t>LVLINAUA_StAcc</t>
  </si>
  <si>
    <t>Оперативный вывод функции ТЗНП</t>
  </si>
  <si>
    <t>SensLvlBlk</t>
  </si>
  <si>
    <t>LVZSTOC_operOutFunction</t>
  </si>
  <si>
    <t>ZSPTOC1_TrippingBlockSet</t>
  </si>
  <si>
    <t>ZSPTOC1_StAccCtrl</t>
  </si>
  <si>
    <t>Ненапр_АУ</t>
  </si>
  <si>
    <t>ZSPTOC1_BlkVDirCtrl</t>
  </si>
  <si>
    <t>Реж_БНН_ОНМ_НП</t>
  </si>
  <si>
    <t>Режим ОНМ НП при неисправности ЦН</t>
  </si>
  <si>
    <t>Пуск ИО тока НП</t>
  </si>
  <si>
    <t>ИО 3I0</t>
  </si>
  <si>
    <t>ZSPTOC1_DE_3I0</t>
  </si>
  <si>
    <t>ИО 3U0</t>
  </si>
  <si>
    <t>Пуск ИО напряжения НП</t>
  </si>
  <si>
    <t>ZSPTOC1_DE_3U0</t>
  </si>
  <si>
    <t>Срабатывание на сигнал</t>
  </si>
  <si>
    <t>Срабатывание сигн</t>
  </si>
  <si>
    <t>ZSPTOC1_OpOnSignal</t>
  </si>
  <si>
    <t>ZSPTOC2_DE_3I0</t>
  </si>
  <si>
    <t>ZSPTOC2_DE_3U0</t>
  </si>
  <si>
    <t>ZSPTOC2_OpOnSignal</t>
  </si>
  <si>
    <t>ZSPTOC2_TrippingBlockSet</t>
  </si>
  <si>
    <t>Ввод_функции</t>
  </si>
  <si>
    <t>Режим ПО 3U0 при неисправности ЦН</t>
  </si>
  <si>
    <t>Режим контроля от ПО 3U0</t>
  </si>
  <si>
    <t>Реж_3U0</t>
  </si>
  <si>
    <t>Коэффициент регулировки времени срабатывания зависимой характеристики</t>
  </si>
  <si>
    <t>ZSPTOC2_StAccCtrl</t>
  </si>
  <si>
    <t>Реж_БНН_3U0</t>
  </si>
  <si>
    <t>Выбор оперативно ускоряемой ступени</t>
  </si>
  <si>
    <t>Выбор_ст_ОУ</t>
  </si>
  <si>
    <t>T_ОУ</t>
  </si>
  <si>
    <t>Оперативный вывод</t>
  </si>
  <si>
    <t>Пуск ОНМ НП</t>
  </si>
  <si>
    <t>Ввод функции в работу</t>
  </si>
  <si>
    <t>StepSelection2</t>
  </si>
  <si>
    <t>ZSPTOC2_BlkVDirCtrl</t>
  </si>
  <si>
    <t>RDIR1.Dir</t>
  </si>
  <si>
    <t>Направление</t>
  </si>
  <si>
    <t>RDIR1_Direction</t>
  </si>
  <si>
    <t>dirGeneral</t>
  </si>
  <si>
    <t>ОВ ТЗНП</t>
  </si>
  <si>
    <t>ТЗНП 1ст. на сигн</t>
  </si>
  <si>
    <t>Перевод ТЗНП 1 ступени на сигнал</t>
  </si>
  <si>
    <t>Перевод ТЗНП 2 ступени на сигнал</t>
  </si>
  <si>
    <t>ТЗНП 2ст. на сигн</t>
  </si>
  <si>
    <t>LLN0.GrRef</t>
  </si>
  <si>
    <t>LLN0.Beh</t>
  </si>
  <si>
    <t>LLN0.Health</t>
  </si>
  <si>
    <t>1 - 1 ступень, 2 - 2 ступень</t>
  </si>
  <si>
    <t>16 - Независимая, 11 - Кривая A, 10 - Кривая B, 12 - Кривая C, 4 - Кривая D, 2 - Кривая E, 1 - Кривая F, 17 - Кривая RXIDG</t>
  </si>
  <si>
    <t>SGF1</t>
  </si>
  <si>
    <t>SGF8</t>
  </si>
  <si>
    <t>SGF7</t>
  </si>
  <si>
    <t>3I0&gt;</t>
  </si>
  <si>
    <t>SGF4</t>
  </si>
  <si>
    <t>SGF2</t>
  </si>
  <si>
    <t>SGF3</t>
  </si>
  <si>
    <t>SGF5</t>
  </si>
  <si>
    <t>3U0&gt;</t>
  </si>
  <si>
    <t>SGF6</t>
  </si>
  <si>
    <t>T1</t>
  </si>
  <si>
    <t>φмч</t>
  </si>
  <si>
    <t>I2г/I1г&gt;</t>
  </si>
  <si>
    <t>Вывод направленности при АУ</t>
  </si>
  <si>
    <t>Угол мощности НП</t>
  </si>
  <si>
    <t>Угол (3U0, 3I0)</t>
  </si>
  <si>
    <t>AngS0</t>
  </si>
  <si>
    <t>Номинальный ток вторичной обмотки трансформатора тока НП</t>
  </si>
  <si>
    <t>Iном НП</t>
  </si>
  <si>
    <t>InomI0</t>
  </si>
  <si>
    <t>3I0 (1 гарм)</t>
  </si>
  <si>
    <t>3I0 (2 гарм)</t>
  </si>
  <si>
    <t>3U0 (1 гарм)</t>
  </si>
  <si>
    <t>Ввод ускорения от АУ</t>
  </si>
  <si>
    <t>Ввод ускор. от АУ</t>
  </si>
  <si>
    <t>ТЗНП 1 ст.</t>
  </si>
  <si>
    <t>ТЗНП 2 ст.</t>
  </si>
  <si>
    <t>1 - Ненаправленная, 2 - Прямонаправленная, 3 - Обратнонаправленная</t>
  </si>
  <si>
    <t>Характеристика срабатывания</t>
  </si>
  <si>
    <t>Фмч</t>
  </si>
  <si>
    <t>O</t>
  </si>
  <si>
    <t>0 - Блокировка, 1 - Деблокировка</t>
  </si>
  <si>
    <t>BlockUnblock</t>
  </si>
  <si>
    <t>Направление пуска</t>
  </si>
  <si>
    <t>ZSPTOC1_Direction</t>
  </si>
  <si>
    <t>ZSPTOC2_Direction</t>
  </si>
  <si>
    <t>SPC</t>
  </si>
  <si>
    <t>GAPC1.BlkOpCmd</t>
  </si>
  <si>
    <t>OPAPSSU1_StepSel</t>
  </si>
  <si>
    <t>OPAPSSU1_T_OPA</t>
  </si>
  <si>
    <t>LVOPATOCZSPSSU_UIRZ</t>
  </si>
  <si>
    <t>OPAPSSU1.LvZsTocStSel</t>
  </si>
  <si>
    <t>OPAPSSU1.OpDlTmms</t>
  </si>
  <si>
    <t>OPAPSSU1.Beh</t>
  </si>
  <si>
    <t>OPAPSSU1.Health</t>
  </si>
  <si>
    <t>OPAPSSU1.Op</t>
  </si>
  <si>
    <t>OPAPSSU1_Op</t>
  </si>
  <si>
    <t>OPAPSSU1_Beh</t>
  </si>
  <si>
    <t>OPAPSSU1_Health</t>
  </si>
  <si>
    <t>SG</t>
  </si>
  <si>
    <t>FbVersion</t>
  </si>
  <si>
    <t>Ih2/Ih1</t>
  </si>
  <si>
    <t>Ток блокировки НП</t>
  </si>
  <si>
    <t>7.5</t>
  </si>
  <si>
    <t>Режим работы ЧС</t>
  </si>
  <si>
    <t>DescriptionFB</t>
  </si>
  <si>
    <t>DescriptionFuncList</t>
  </si>
  <si>
    <t>Токовая защита нулевой последовательности</t>
  </si>
  <si>
    <t>Орган направления мощности нулевой последовательности</t>
  </si>
  <si>
    <t>Автоматическое ускорение ТЗНП</t>
  </si>
  <si>
    <t>Оперативное ускорение ТЗНП</t>
  </si>
  <si>
    <t>Блокировка при броске тока намагничивания нулевой последовательности</t>
  </si>
  <si>
    <t>1 ступень токовой защиты нулевой последовательности</t>
  </si>
  <si>
    <t>2 ступень токовой защиты нулевой последовательности</t>
  </si>
  <si>
    <t>alias</t>
  </si>
  <si>
    <t>Logger</t>
  </si>
  <si>
    <t>Disturber</t>
  </si>
  <si>
    <t>StartDisturber</t>
  </si>
  <si>
    <t>status</t>
  </si>
  <si>
    <t>control</t>
  </si>
  <si>
    <t>reserved2</t>
  </si>
  <si>
    <t>SGF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</si>
</sst>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7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5" borderId="1" xfId="1" applyFont="1" applyFill="1" applyBorder="1" applyAlignment="1">
      <alignment horizontal="center" vertical="center"/>
    </xf>
    <xf numFmtId="0" fontId="2" fillId="0" borderId="0" xfId="0" applyFont="1" applyFill="1"/>
    <xf numFmtId="0" fontId="2" fillId="5" borderId="0" xfId="0" applyFont="1" applyFill="1"/>
    <xf numFmtId="0" fontId="3" fillId="0" borderId="0" xfId="0" applyFont="1" applyFill="1"/>
    <xf numFmtId="0" fontId="3" fillId="5" borderId="0" xfId="0" applyFont="1" applyFill="1"/>
    <xf numFmtId="0" fontId="2" fillId="6" borderId="0" xfId="0" applyFont="1" applyFill="1"/>
    <xf numFmtId="0" fontId="3" fillId="6" borderId="0" xfId="0" applyFont="1" applyFill="1"/>
    <xf numFmtId="0" fontId="2" fillId="0" borderId="0" xfId="0" applyFont="1"/>
    <xf numFmtId="49" fontId="3" fillId="5" borderId="2" xfId="0" applyNumberFormat="1" applyFont="1" applyFill="1" applyBorder="1" applyAlignment="1">
      <alignment horizontal="left" vertical="center" wrapText="1"/>
    </xf>
    <xf numFmtId="0" fontId="2" fillId="7" borderId="0" xfId="0" applyFont="1" applyFill="1"/>
    <xf numFmtId="0" fontId="3" fillId="8" borderId="2" xfId="0" applyFont="1" applyFill="1" applyBorder="1"/>
    <xf numFmtId="0" fontId="3" fillId="9" borderId="2" xfId="0" applyFont="1" applyFill="1" applyBorder="1"/>
    <xf numFmtId="0" fontId="3" fillId="10" borderId="0" xfId="0" applyFont="1" applyFill="1" applyBorder="1"/>
    <xf numFmtId="0" fontId="4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12" borderId="2" xfId="1" applyFont="1" applyFill="1" applyBorder="1" applyAlignment="1">
      <alignment vertical="center"/>
    </xf>
    <xf numFmtId="0" fontId="3" fillId="12" borderId="2" xfId="1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/>
    </xf>
    <xf numFmtId="0" fontId="3" fillId="12" borderId="1" xfId="1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3" fillId="12" borderId="2" xfId="1" applyFont="1" applyFill="1" applyBorder="1" applyAlignment="1">
      <alignment horizontal="right" vertical="center" wrapText="1"/>
    </xf>
    <xf numFmtId="0" fontId="3" fillId="12" borderId="2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horizontal="left" vertical="center"/>
    </xf>
    <xf numFmtId="0" fontId="3" fillId="12" borderId="2" xfId="1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/>
    </xf>
    <xf numFmtId="0" fontId="2" fillId="12" borderId="1" xfId="1" applyFont="1" applyFill="1" applyBorder="1" applyAlignment="1">
      <alignment horizontal="center" vertical="center" wrapText="1"/>
    </xf>
    <xf numFmtId="0" fontId="7" fillId="12" borderId="2" xfId="1" applyFont="1" applyFill="1" applyBorder="1" applyAlignment="1">
      <alignment horizontal="center" vertical="center"/>
    </xf>
    <xf numFmtId="0" fontId="8" fillId="12" borderId="2" xfId="1" applyFont="1" applyFill="1" applyBorder="1" applyAlignment="1">
      <alignment horizontal="center" vertical="center"/>
    </xf>
    <xf numFmtId="0" fontId="3" fillId="12" borderId="2" xfId="1" applyFont="1" applyFill="1" applyBorder="1" applyAlignment="1">
      <alignment vertical="center" wrapText="1"/>
    </xf>
    <xf numFmtId="0" fontId="3" fillId="12" borderId="0" xfId="1" applyFont="1" applyFill="1" applyBorder="1" applyAlignment="1">
      <alignment vertical="center" wrapText="1"/>
    </xf>
    <xf numFmtId="0" fontId="2" fillId="12" borderId="0" xfId="0" applyFont="1" applyFill="1"/>
    <xf numFmtId="0" fontId="3" fillId="12" borderId="1" xfId="1" applyFont="1" applyFill="1" applyBorder="1" applyAlignment="1">
      <alignment horizontal="left" vertical="center" wrapText="1"/>
    </xf>
    <xf numFmtId="0" fontId="2" fillId="12" borderId="0" xfId="0" applyFont="1" applyFill="1" applyAlignment="1">
      <alignment vertical="center"/>
    </xf>
    <xf numFmtId="0" fontId="2" fillId="12" borderId="0" xfId="0" applyFont="1" applyFill="1" applyAlignment="1">
      <alignment vertical="center" wrapText="1"/>
    </xf>
    <xf numFmtId="0" fontId="7" fillId="12" borderId="1" xfId="1" applyFont="1" applyFill="1" applyBorder="1" applyAlignment="1">
      <alignment horizontal="center" vertical="center"/>
    </xf>
    <xf numFmtId="0" fontId="3" fillId="13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5"/>
  <sheetViews>
    <sheetView tabSelected="1" topLeftCell="AK1" zoomScale="80" zoomScaleNormal="80" workbookViewId="0">
      <selection activeCell="AT22" sqref="AT2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2" style="2" customWidth="1"/>
    <col min="6" max="6" width="18.85546875" style="2" bestFit="1" customWidth="1" outlineLevel="1"/>
    <col min="7" max="7" width="19.5703125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5.7109375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21.140625" style="1" customWidth="1"/>
    <col min="36" max="36" width="22.85546875" style="2" customWidth="1"/>
    <col min="37" max="37" width="24.71093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2.28515625" style="2" bestFit="1" customWidth="1"/>
    <col min="43" max="43" width="16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7" hidden="1" customWidth="1" outlineLevel="1"/>
    <col min="55" max="55" width="13.28515625" style="4" hidden="1" customWidth="1" outlineLevel="1"/>
    <col min="56" max="56" width="13" style="1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62"/>
      <c r="AZ1" s="113" t="s">
        <v>0</v>
      </c>
      <c r="BA1" s="114"/>
      <c r="BB1" s="114"/>
      <c r="BC1" s="114"/>
      <c r="BD1" s="114"/>
      <c r="BE1" s="114"/>
      <c r="BF1" s="114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08" t="s">
        <v>413</v>
      </c>
      <c r="AW2" s="108" t="s">
        <v>414</v>
      </c>
      <c r="AX2" s="108" t="s">
        <v>415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4" customFormat="1" ht="15.75" customHeight="1" x14ac:dyDescent="0.25">
      <c r="A3" s="28"/>
      <c r="B3" s="28" t="s">
        <v>59</v>
      </c>
      <c r="C3" s="29"/>
      <c r="D3" s="30"/>
      <c r="E3" s="31" t="s">
        <v>60</v>
      </c>
      <c r="F3" s="31" t="s">
        <v>368</v>
      </c>
      <c r="G3" s="31" t="s">
        <v>368</v>
      </c>
      <c r="H3" s="31"/>
      <c r="I3" s="31">
        <f t="shared" ref="I3:I18" si="0">LEN(F3)</f>
        <v>12</v>
      </c>
      <c r="J3" s="31" t="str">
        <f t="shared" ref="J3:J18" si="1">IF(LEN(F3)&lt;=$J$1,F3,"")</f>
        <v>3I0 (1 гарм)</v>
      </c>
      <c r="K3" s="28" t="s">
        <v>61</v>
      </c>
      <c r="L3" s="32" t="s">
        <v>62</v>
      </c>
      <c r="M3" s="29" t="s">
        <v>63</v>
      </c>
      <c r="N3" s="29" t="s">
        <v>64</v>
      </c>
      <c r="O3" s="29"/>
      <c r="P3" s="72"/>
      <c r="Q3" s="72"/>
      <c r="R3" s="29" t="s">
        <v>65</v>
      </c>
      <c r="S3" s="29" t="s">
        <v>66</v>
      </c>
      <c r="T3" s="29" t="s">
        <v>66</v>
      </c>
      <c r="U3" s="29" t="s">
        <v>66</v>
      </c>
      <c r="V3" s="29"/>
      <c r="W3" s="29"/>
      <c r="X3" s="29" t="s">
        <v>66</v>
      </c>
      <c r="Y3" s="29">
        <v>0</v>
      </c>
      <c r="Z3" s="33"/>
      <c r="AA3" s="63">
        <v>0</v>
      </c>
      <c r="AB3" s="63"/>
      <c r="AC3" s="63"/>
      <c r="AD3" s="63"/>
      <c r="AE3" s="63"/>
      <c r="AF3" s="63">
        <v>0</v>
      </c>
      <c r="AG3" s="63">
        <v>0</v>
      </c>
      <c r="AH3" s="63">
        <v>0</v>
      </c>
      <c r="AI3" s="34"/>
      <c r="AJ3" s="35"/>
      <c r="AK3" s="35"/>
      <c r="AL3" s="35"/>
      <c r="AM3" s="35"/>
      <c r="AN3" s="35"/>
      <c r="AO3" s="35"/>
      <c r="AP3" s="35"/>
      <c r="AQ3" s="35"/>
      <c r="AR3" s="63">
        <v>0</v>
      </c>
      <c r="AS3" s="63">
        <v>0</v>
      </c>
      <c r="AT3" s="63">
        <v>0</v>
      </c>
      <c r="AU3" s="63">
        <v>0</v>
      </c>
      <c r="AV3" s="63">
        <v>0</v>
      </c>
      <c r="AW3" s="63">
        <v>0</v>
      </c>
      <c r="AX3" s="63">
        <f t="shared" ref="AX3" si="2">BIN2DEC(CONCATENATE(0,0,0,0,AT3,AU3,AV3,AW3))</f>
        <v>0</v>
      </c>
      <c r="AY3" s="63"/>
      <c r="AZ3" s="72"/>
      <c r="BA3" s="63"/>
      <c r="BB3" s="63"/>
      <c r="BC3" s="36"/>
      <c r="BD3" s="63"/>
      <c r="BE3" s="37"/>
      <c r="BF3" s="63"/>
      <c r="BG3" s="38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"3I0 (1 гарм)", note: "Действующее значение 1 гармоники тока 3I0", group: "measurement", minValue: null, maxValue: null, step: null, units: "А", defaultValue: null, eventRegistration: 0</v>
      </c>
      <c r="BH3" s="39"/>
    </row>
    <row r="4" spans="1:16379" s="94" customFormat="1" ht="15.75" customHeight="1" x14ac:dyDescent="0.25">
      <c r="A4" s="28"/>
      <c r="B4" s="28" t="s">
        <v>59</v>
      </c>
      <c r="C4" s="29"/>
      <c r="D4" s="30"/>
      <c r="E4" s="31" t="s">
        <v>136</v>
      </c>
      <c r="F4" s="31" t="s">
        <v>369</v>
      </c>
      <c r="G4" s="31" t="s">
        <v>369</v>
      </c>
      <c r="H4" s="31"/>
      <c r="I4" s="31">
        <f>LEN(F4)</f>
        <v>12</v>
      </c>
      <c r="J4" s="31" t="str">
        <f>IF(LEN(F4)&lt;=$J$1,F4,"")</f>
        <v>3I0 (2 гарм)</v>
      </c>
      <c r="K4" s="28" t="s">
        <v>137</v>
      </c>
      <c r="L4" s="32" t="s">
        <v>62</v>
      </c>
      <c r="M4" s="29" t="s">
        <v>63</v>
      </c>
      <c r="N4" s="29" t="s">
        <v>64</v>
      </c>
      <c r="O4" s="29"/>
      <c r="P4" s="72"/>
      <c r="Q4" s="72"/>
      <c r="R4" s="29" t="s">
        <v>65</v>
      </c>
      <c r="S4" s="29" t="s">
        <v>66</v>
      </c>
      <c r="T4" s="29" t="s">
        <v>66</v>
      </c>
      <c r="U4" s="29" t="s">
        <v>66</v>
      </c>
      <c r="V4" s="29"/>
      <c r="W4" s="29"/>
      <c r="X4" s="29" t="s">
        <v>66</v>
      </c>
      <c r="Y4" s="29">
        <v>0</v>
      </c>
      <c r="Z4" s="33"/>
      <c r="AA4" s="63">
        <v>0</v>
      </c>
      <c r="AB4" s="63"/>
      <c r="AC4" s="63"/>
      <c r="AD4" s="63"/>
      <c r="AE4" s="63"/>
      <c r="AF4" s="63">
        <v>0</v>
      </c>
      <c r="AG4" s="63">
        <v>0</v>
      </c>
      <c r="AH4" s="63">
        <v>0</v>
      </c>
      <c r="AI4" s="34"/>
      <c r="AJ4" s="35"/>
      <c r="AK4" s="35"/>
      <c r="AL4" s="35"/>
      <c r="AM4" s="35"/>
      <c r="AN4" s="35"/>
      <c r="AO4" s="35"/>
      <c r="AP4" s="35"/>
      <c r="AQ4" s="35"/>
      <c r="AR4" s="63">
        <v>0</v>
      </c>
      <c r="AS4" s="63">
        <v>0</v>
      </c>
      <c r="AT4" s="63">
        <v>0</v>
      </c>
      <c r="AU4" s="63">
        <v>0</v>
      </c>
      <c r="AV4" s="63">
        <v>0</v>
      </c>
      <c r="AW4" s="63">
        <v>0</v>
      </c>
      <c r="AX4" s="63">
        <f>BIN2DEC(CONCATENATE(0,0,0,0,AT4,AU4,AV4,AW4))</f>
        <v>0</v>
      </c>
      <c r="AY4" s="63"/>
      <c r="AZ4" s="72"/>
      <c r="BA4" s="63"/>
      <c r="BB4" s="63"/>
      <c r="BC4" s="36"/>
      <c r="BD4" s="63"/>
      <c r="BE4" s="37"/>
      <c r="BF4" s="63"/>
      <c r="BG4" s="38" t="str">
        <f t="shared" ref="BG4:BG18" si="3">CONCATENATE("description: """,F4,"""", ", ", "note: """,E4,"""",", ","group: """, B4, """",", ","minValue: ", S4,", ","maxValue: ", T4,", ","step: ", U4,", ","units: """, R4, """",", ","defaultValue: ", X4,", ","eventRegistration: ", Y4,)</f>
        <v>description: "3I0 (2 гарм)", note: "Действующее значение 2 гармоники тока 3I0", group: "measurement", minValue: null, maxValue: null, step: null, units: "А", defaultValue: null, eventRegistration: 0</v>
      </c>
      <c r="BH4" s="39"/>
    </row>
    <row r="5" spans="1:16379" s="94" customFormat="1" ht="15.75" customHeight="1" x14ac:dyDescent="0.25">
      <c r="A5" s="28"/>
      <c r="B5" s="28" t="s">
        <v>59</v>
      </c>
      <c r="C5" s="29"/>
      <c r="D5" s="30"/>
      <c r="E5" s="31" t="s">
        <v>67</v>
      </c>
      <c r="F5" s="64" t="s">
        <v>370</v>
      </c>
      <c r="G5" s="64" t="s">
        <v>370</v>
      </c>
      <c r="H5" s="31"/>
      <c r="I5" s="31">
        <f t="shared" si="0"/>
        <v>12</v>
      </c>
      <c r="J5" s="31" t="str">
        <f t="shared" si="1"/>
        <v>3U0 (1 гарм)</v>
      </c>
      <c r="K5" s="28" t="s">
        <v>68</v>
      </c>
      <c r="L5" s="32" t="s">
        <v>62</v>
      </c>
      <c r="M5" s="29" t="s">
        <v>63</v>
      </c>
      <c r="N5" s="29" t="s">
        <v>64</v>
      </c>
      <c r="O5" s="29"/>
      <c r="P5" s="72"/>
      <c r="Q5" s="72"/>
      <c r="R5" s="29" t="s">
        <v>69</v>
      </c>
      <c r="S5" s="29" t="s">
        <v>66</v>
      </c>
      <c r="T5" s="29" t="s">
        <v>66</v>
      </c>
      <c r="U5" s="29" t="s">
        <v>66</v>
      </c>
      <c r="V5" s="29"/>
      <c r="W5" s="29"/>
      <c r="X5" s="29" t="s">
        <v>66</v>
      </c>
      <c r="Y5" s="29">
        <v>0</v>
      </c>
      <c r="Z5" s="33"/>
      <c r="AA5" s="63">
        <v>0</v>
      </c>
      <c r="AB5" s="63"/>
      <c r="AC5" s="63"/>
      <c r="AD5" s="63"/>
      <c r="AE5" s="63"/>
      <c r="AF5" s="63">
        <v>0</v>
      </c>
      <c r="AG5" s="63">
        <v>0</v>
      </c>
      <c r="AH5" s="63">
        <v>0</v>
      </c>
      <c r="AI5" s="34"/>
      <c r="AJ5" s="35"/>
      <c r="AK5" s="35"/>
      <c r="AL5" s="35"/>
      <c r="AM5" s="35"/>
      <c r="AN5" s="35"/>
      <c r="AO5" s="35"/>
      <c r="AP5" s="35"/>
      <c r="AQ5" s="35"/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f t="shared" ref="AX5:AX10" si="4">BIN2DEC(CONCATENATE(0,0,0,0,AT5,AU5,AV5,AW5))</f>
        <v>0</v>
      </c>
      <c r="AY5" s="63"/>
      <c r="AZ5" s="72"/>
      <c r="BA5" s="63"/>
      <c r="BB5" s="63"/>
      <c r="BC5" s="36"/>
      <c r="BD5" s="63"/>
      <c r="BE5" s="37"/>
      <c r="BF5" s="63"/>
      <c r="BG5" s="38" t="str">
        <f t="shared" si="3"/>
        <v>description: "3U0 (1 гарм)", note: "Действующее значение 1 гармоники напряжения 3U0", group: "measurement", minValue: null, maxValue: null, step: null, units: "В", defaultValue: null, eventRegistration: 0</v>
      </c>
      <c r="BH5" s="39"/>
    </row>
    <row r="6" spans="1:16379" s="94" customFormat="1" ht="15.75" customHeight="1" x14ac:dyDescent="0.25">
      <c r="A6" s="28"/>
      <c r="B6" s="28" t="s">
        <v>59</v>
      </c>
      <c r="C6" s="29"/>
      <c r="D6" s="30"/>
      <c r="E6" s="31" t="s">
        <v>362</v>
      </c>
      <c r="F6" s="64" t="s">
        <v>363</v>
      </c>
      <c r="G6" s="64" t="s">
        <v>363</v>
      </c>
      <c r="H6" s="31"/>
      <c r="I6" s="31">
        <f t="shared" si="0"/>
        <v>15</v>
      </c>
      <c r="J6" s="31" t="str">
        <f t="shared" si="1"/>
        <v>Угол (3U0, 3I0)</v>
      </c>
      <c r="K6" s="28" t="s">
        <v>364</v>
      </c>
      <c r="L6" s="32" t="s">
        <v>62</v>
      </c>
      <c r="M6" s="29" t="s">
        <v>63</v>
      </c>
      <c r="N6" s="29" t="s">
        <v>64</v>
      </c>
      <c r="O6" s="29"/>
      <c r="P6" s="72"/>
      <c r="Q6" s="72"/>
      <c r="R6" s="29" t="s">
        <v>228</v>
      </c>
      <c r="S6" s="29" t="s">
        <v>66</v>
      </c>
      <c r="T6" s="29" t="s">
        <v>66</v>
      </c>
      <c r="U6" s="29" t="s">
        <v>66</v>
      </c>
      <c r="V6" s="29"/>
      <c r="W6" s="29"/>
      <c r="X6" s="29" t="s">
        <v>66</v>
      </c>
      <c r="Y6" s="29">
        <v>0</v>
      </c>
      <c r="Z6" s="33"/>
      <c r="AA6" s="63">
        <v>0</v>
      </c>
      <c r="AB6" s="63"/>
      <c r="AC6" s="63"/>
      <c r="AD6" s="63"/>
      <c r="AE6" s="63"/>
      <c r="AF6" s="63">
        <v>0</v>
      </c>
      <c r="AG6" s="63">
        <v>0</v>
      </c>
      <c r="AH6" s="63">
        <v>0</v>
      </c>
      <c r="AI6" s="34"/>
      <c r="AJ6" s="35"/>
      <c r="AK6" s="35"/>
      <c r="AL6" s="35"/>
      <c r="AM6" s="35"/>
      <c r="AN6" s="35"/>
      <c r="AO6" s="35"/>
      <c r="AP6" s="35"/>
      <c r="AQ6" s="35"/>
      <c r="AR6" s="63">
        <v>0</v>
      </c>
      <c r="AS6" s="63">
        <v>0</v>
      </c>
      <c r="AT6" s="63">
        <v>0</v>
      </c>
      <c r="AU6" s="63">
        <v>0</v>
      </c>
      <c r="AV6" s="63">
        <v>0</v>
      </c>
      <c r="AW6" s="63">
        <v>0</v>
      </c>
      <c r="AX6" s="63">
        <f t="shared" si="4"/>
        <v>0</v>
      </c>
      <c r="AY6" s="63"/>
      <c r="AZ6" s="72"/>
      <c r="BA6" s="63"/>
      <c r="BB6" s="63"/>
      <c r="BC6" s="36"/>
      <c r="BD6" s="63"/>
      <c r="BE6" s="37"/>
      <c r="BF6" s="63"/>
      <c r="BG6" s="38" t="str">
        <f t="shared" si="3"/>
        <v>description: "Угол (3U0, 3I0)", note: "Угол мощности НП", group: "measurement", minValue: null, maxValue: null, step: null, units: "град.", defaultValue: null, eventRegistration: 0</v>
      </c>
      <c r="BH6" s="39"/>
    </row>
    <row r="7" spans="1:16379" s="94" customFormat="1" ht="15.75" customHeight="1" x14ac:dyDescent="0.25">
      <c r="A7" s="28"/>
      <c r="B7" s="28" t="s">
        <v>59</v>
      </c>
      <c r="C7" s="29"/>
      <c r="D7" s="30"/>
      <c r="E7" s="31" t="s">
        <v>365</v>
      </c>
      <c r="F7" s="31" t="s">
        <v>366</v>
      </c>
      <c r="G7" s="31" t="s">
        <v>366</v>
      </c>
      <c r="H7" s="31"/>
      <c r="I7" s="31">
        <f t="shared" si="0"/>
        <v>7</v>
      </c>
      <c r="J7" s="31" t="str">
        <f t="shared" si="1"/>
        <v>Iном НП</v>
      </c>
      <c r="K7" s="28" t="s">
        <v>367</v>
      </c>
      <c r="L7" s="32" t="s">
        <v>62</v>
      </c>
      <c r="M7" s="29" t="s">
        <v>63</v>
      </c>
      <c r="N7" s="29" t="s">
        <v>64</v>
      </c>
      <c r="O7" s="29"/>
      <c r="P7" s="72"/>
      <c r="Q7" s="72"/>
      <c r="R7" s="29" t="s">
        <v>65</v>
      </c>
      <c r="S7" s="29" t="s">
        <v>66</v>
      </c>
      <c r="T7" s="29" t="s">
        <v>66</v>
      </c>
      <c r="U7" s="29" t="s">
        <v>66</v>
      </c>
      <c r="V7" s="29"/>
      <c r="W7" s="29"/>
      <c r="X7" s="29" t="s">
        <v>66</v>
      </c>
      <c r="Y7" s="29">
        <v>0</v>
      </c>
      <c r="Z7" s="33"/>
      <c r="AA7" s="63">
        <v>0</v>
      </c>
      <c r="AB7" s="63"/>
      <c r="AC7" s="63"/>
      <c r="AD7" s="63"/>
      <c r="AE7" s="63"/>
      <c r="AF7" s="63">
        <v>0</v>
      </c>
      <c r="AG7" s="63">
        <v>0</v>
      </c>
      <c r="AH7" s="63">
        <v>0</v>
      </c>
      <c r="AI7" s="34"/>
      <c r="AJ7" s="35"/>
      <c r="AK7" s="35"/>
      <c r="AL7" s="35"/>
      <c r="AM7" s="35"/>
      <c r="AN7" s="35"/>
      <c r="AO7" s="35"/>
      <c r="AP7" s="35"/>
      <c r="AQ7" s="35"/>
      <c r="AR7" s="63">
        <v>0</v>
      </c>
      <c r="AS7" s="63">
        <v>0</v>
      </c>
      <c r="AT7" s="63">
        <v>0</v>
      </c>
      <c r="AU7" s="63">
        <v>0</v>
      </c>
      <c r="AV7" s="63">
        <v>0</v>
      </c>
      <c r="AW7" s="63">
        <v>0</v>
      </c>
      <c r="AX7" s="63">
        <f t="shared" si="4"/>
        <v>0</v>
      </c>
      <c r="AY7" s="63"/>
      <c r="AZ7" s="72"/>
      <c r="BA7" s="63"/>
      <c r="BB7" s="63"/>
      <c r="BC7" s="36"/>
      <c r="BD7" s="63"/>
      <c r="BE7" s="37"/>
      <c r="BF7" s="63"/>
      <c r="BG7" s="38" t="str">
        <f t="shared" si="3"/>
        <v>description: "Iном НП", note: "Номинальный ток вторичной обмотки трансформатора тока НП", group: "measurement", minValue: null, maxValue: null, step: null, units: "А", defaultValue: null, eventRegistration: 0</v>
      </c>
      <c r="BH7" s="39"/>
    </row>
    <row r="8" spans="1:16379" s="94" customFormat="1" ht="15.75" customHeight="1" x14ac:dyDescent="0.25">
      <c r="A8" s="28"/>
      <c r="B8" s="28" t="s">
        <v>59</v>
      </c>
      <c r="C8" s="29"/>
      <c r="D8" s="30"/>
      <c r="E8" s="31" t="s">
        <v>294</v>
      </c>
      <c r="F8" s="64" t="s">
        <v>294</v>
      </c>
      <c r="G8" s="64" t="s">
        <v>294</v>
      </c>
      <c r="H8" s="31"/>
      <c r="I8" s="31">
        <f t="shared" si="0"/>
        <v>15</v>
      </c>
      <c r="J8" s="31" t="str">
        <f t="shared" si="1"/>
        <v>Вывод терминала</v>
      </c>
      <c r="K8" s="28" t="s">
        <v>295</v>
      </c>
      <c r="L8" s="32" t="s">
        <v>72</v>
      </c>
      <c r="M8" s="29" t="s">
        <v>63</v>
      </c>
      <c r="N8" s="29" t="s">
        <v>64</v>
      </c>
      <c r="O8" s="29"/>
      <c r="P8" s="72"/>
      <c r="Q8" s="72"/>
      <c r="R8" s="29" t="s">
        <v>66</v>
      </c>
      <c r="S8" s="29" t="s">
        <v>66</v>
      </c>
      <c r="T8" s="29" t="s">
        <v>66</v>
      </c>
      <c r="U8" s="29" t="s">
        <v>66</v>
      </c>
      <c r="V8" s="29"/>
      <c r="W8" s="29"/>
      <c r="X8" s="29" t="s">
        <v>66</v>
      </c>
      <c r="Y8" s="29">
        <v>0</v>
      </c>
      <c r="Z8" s="33"/>
      <c r="AA8" s="63">
        <v>0</v>
      </c>
      <c r="AB8" s="63"/>
      <c r="AC8" s="63"/>
      <c r="AD8" s="63"/>
      <c r="AE8" s="63"/>
      <c r="AF8" s="63">
        <v>0</v>
      </c>
      <c r="AG8" s="63">
        <v>0</v>
      </c>
      <c r="AH8" s="63">
        <v>0</v>
      </c>
      <c r="AI8" s="75"/>
      <c r="AJ8" s="35"/>
      <c r="AK8" s="35"/>
      <c r="AL8" s="35"/>
      <c r="AM8" s="35"/>
      <c r="AN8" s="35"/>
      <c r="AO8" s="35"/>
      <c r="AP8" s="35"/>
      <c r="AQ8" s="35"/>
      <c r="AR8" s="63">
        <v>0</v>
      </c>
      <c r="AS8" s="63">
        <v>0</v>
      </c>
      <c r="AT8" s="63">
        <v>0</v>
      </c>
      <c r="AU8" s="63">
        <v>0</v>
      </c>
      <c r="AV8" s="63">
        <v>0</v>
      </c>
      <c r="AW8" s="63">
        <v>0</v>
      </c>
      <c r="AX8" s="63">
        <f t="shared" si="4"/>
        <v>0</v>
      </c>
      <c r="AY8" s="63"/>
      <c r="AZ8" s="72"/>
      <c r="BA8" s="63"/>
      <c r="BB8" s="63"/>
      <c r="BC8" s="36"/>
      <c r="BD8" s="63"/>
      <c r="BE8" s="37"/>
      <c r="BF8" s="63"/>
      <c r="BG8" s="38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8" s="39"/>
    </row>
    <row r="9" spans="1:16379" s="130" customFormat="1" ht="15.75" customHeight="1" x14ac:dyDescent="0.25">
      <c r="A9" s="115"/>
      <c r="B9" s="115" t="s">
        <v>417</v>
      </c>
      <c r="C9" s="116"/>
      <c r="D9" s="117" t="s">
        <v>135</v>
      </c>
      <c r="E9" s="118" t="s">
        <v>297</v>
      </c>
      <c r="F9" s="119" t="s">
        <v>338</v>
      </c>
      <c r="G9" s="119" t="s">
        <v>338</v>
      </c>
      <c r="H9" s="118"/>
      <c r="I9" s="118">
        <f t="shared" si="0"/>
        <v>7</v>
      </c>
      <c r="J9" s="118" t="str">
        <f t="shared" si="1"/>
        <v>ОВ ТЗНП</v>
      </c>
      <c r="K9" s="115" t="s">
        <v>299</v>
      </c>
      <c r="L9" s="120" t="s">
        <v>72</v>
      </c>
      <c r="M9" s="116" t="s">
        <v>63</v>
      </c>
      <c r="N9" s="116" t="s">
        <v>64</v>
      </c>
      <c r="O9" s="116"/>
      <c r="P9" s="121"/>
      <c r="Q9" s="121"/>
      <c r="R9" s="116" t="s">
        <v>66</v>
      </c>
      <c r="S9" s="116" t="s">
        <v>66</v>
      </c>
      <c r="T9" s="116" t="s">
        <v>66</v>
      </c>
      <c r="U9" s="116" t="s">
        <v>66</v>
      </c>
      <c r="V9" s="116"/>
      <c r="W9" s="116"/>
      <c r="X9" s="116" t="s">
        <v>66</v>
      </c>
      <c r="Y9" s="116">
        <v>0</v>
      </c>
      <c r="Z9" s="122"/>
      <c r="AA9" s="123">
        <v>0</v>
      </c>
      <c r="AB9" s="123"/>
      <c r="AC9" s="123"/>
      <c r="AD9" s="123"/>
      <c r="AE9" s="123"/>
      <c r="AF9" s="123">
        <v>0</v>
      </c>
      <c r="AG9" s="123">
        <v>0</v>
      </c>
      <c r="AH9" s="123">
        <v>0</v>
      </c>
      <c r="AI9" s="124"/>
      <c r="AJ9" s="125"/>
      <c r="AK9" s="125"/>
      <c r="AL9" s="125"/>
      <c r="AM9" s="125"/>
      <c r="AN9" s="125"/>
      <c r="AO9" s="125"/>
      <c r="AP9" s="125"/>
      <c r="AQ9" s="125"/>
      <c r="AR9" s="123">
        <v>0</v>
      </c>
      <c r="AS9" s="123">
        <v>0</v>
      </c>
      <c r="AT9" s="135">
        <v>1</v>
      </c>
      <c r="AU9" s="63">
        <v>0</v>
      </c>
      <c r="AV9" s="135">
        <v>1</v>
      </c>
      <c r="AW9" s="135">
        <v>1</v>
      </c>
      <c r="AX9" s="135">
        <v>1</v>
      </c>
      <c r="AY9" s="123"/>
      <c r="AZ9" s="121"/>
      <c r="BA9" s="123"/>
      <c r="BB9" s="123"/>
      <c r="BC9" s="126"/>
      <c r="BD9" s="123"/>
      <c r="BE9" s="127"/>
      <c r="BF9" s="123"/>
      <c r="BG9" s="128" t="str">
        <f t="shared" si="3"/>
        <v>description: "ОВ ТЗНП", note: "Оперативный вывод функции ТЗНП", group: "control", minValue: null, maxValue: null, step: null, units: "null", defaultValue: null, eventRegistration: 0</v>
      </c>
      <c r="BH9" s="129"/>
    </row>
    <row r="10" spans="1:16379" s="130" customFormat="1" ht="15.75" customHeight="1" x14ac:dyDescent="0.25">
      <c r="A10" s="115"/>
      <c r="B10" s="115" t="s">
        <v>417</v>
      </c>
      <c r="C10" s="116"/>
      <c r="D10" s="117" t="s">
        <v>373</v>
      </c>
      <c r="E10" s="118" t="s">
        <v>340</v>
      </c>
      <c r="F10" s="119" t="s">
        <v>339</v>
      </c>
      <c r="G10" s="119" t="s">
        <v>339</v>
      </c>
      <c r="H10" s="118"/>
      <c r="I10" s="118">
        <f t="shared" si="0"/>
        <v>17</v>
      </c>
      <c r="J10" s="118" t="str">
        <f t="shared" si="1"/>
        <v>ТЗНП 1ст. на сигн</v>
      </c>
      <c r="K10" s="115" t="s">
        <v>300</v>
      </c>
      <c r="L10" s="120" t="s">
        <v>72</v>
      </c>
      <c r="M10" s="116" t="s">
        <v>63</v>
      </c>
      <c r="N10" s="116" t="s">
        <v>64</v>
      </c>
      <c r="O10" s="116"/>
      <c r="P10" s="121"/>
      <c r="Q10" s="121"/>
      <c r="R10" s="116" t="s">
        <v>66</v>
      </c>
      <c r="S10" s="116" t="s">
        <v>66</v>
      </c>
      <c r="T10" s="116" t="s">
        <v>66</v>
      </c>
      <c r="U10" s="116" t="s">
        <v>66</v>
      </c>
      <c r="V10" s="116"/>
      <c r="W10" s="116"/>
      <c r="X10" s="116" t="s">
        <v>66</v>
      </c>
      <c r="Y10" s="116">
        <v>0</v>
      </c>
      <c r="Z10" s="122"/>
      <c r="AA10" s="123">
        <v>0</v>
      </c>
      <c r="AB10" s="123"/>
      <c r="AC10" s="123"/>
      <c r="AD10" s="123"/>
      <c r="AE10" s="123"/>
      <c r="AF10" s="123">
        <v>0</v>
      </c>
      <c r="AG10" s="123">
        <v>0</v>
      </c>
      <c r="AH10" s="123">
        <v>0</v>
      </c>
      <c r="AI10" s="124"/>
      <c r="AJ10" s="125"/>
      <c r="AK10" s="125"/>
      <c r="AL10" s="125"/>
      <c r="AM10" s="125"/>
      <c r="AN10" s="125"/>
      <c r="AO10" s="125"/>
      <c r="AP10" s="125"/>
      <c r="AQ10" s="125"/>
      <c r="AR10" s="123">
        <v>0</v>
      </c>
      <c r="AS10" s="123">
        <v>0</v>
      </c>
      <c r="AT10" s="135">
        <v>1</v>
      </c>
      <c r="AU10" s="63">
        <v>0</v>
      </c>
      <c r="AV10" s="135">
        <v>1</v>
      </c>
      <c r="AW10" s="135">
        <v>1</v>
      </c>
      <c r="AX10" s="135">
        <v>1</v>
      </c>
      <c r="AY10" s="123"/>
      <c r="AZ10" s="121"/>
      <c r="BA10" s="123"/>
      <c r="BB10" s="123"/>
      <c r="BC10" s="126"/>
      <c r="BD10" s="123"/>
      <c r="BE10" s="127"/>
      <c r="BF10" s="123"/>
      <c r="BG10" s="128" t="str">
        <f t="shared" si="3"/>
        <v>description: "ТЗНП 1ст. на сигн", note: "Перевод ТЗНП 1 ступени на сигнал", group: "control", minValue: null, maxValue: null, step: null, units: "null", defaultValue: null, eventRegistration: 0</v>
      </c>
      <c r="BH10" s="129"/>
    </row>
    <row r="11" spans="1:16379" s="130" customFormat="1" ht="15.75" customHeight="1" x14ac:dyDescent="0.25">
      <c r="A11" s="115"/>
      <c r="B11" s="115" t="s">
        <v>417</v>
      </c>
      <c r="C11" s="116"/>
      <c r="D11" s="131"/>
      <c r="E11" s="118" t="s">
        <v>402</v>
      </c>
      <c r="F11" s="119" t="s">
        <v>402</v>
      </c>
      <c r="G11" s="119" t="s">
        <v>402</v>
      </c>
      <c r="H11" s="118"/>
      <c r="I11" s="118">
        <f>LEN(F11)</f>
        <v>15</v>
      </c>
      <c r="J11" s="118" t="str">
        <f>IF(LEN(F11)&lt;=$J$1,F11,"")</f>
        <v>Режим работы ЧС</v>
      </c>
      <c r="K11" s="115" t="s">
        <v>298</v>
      </c>
      <c r="L11" s="120" t="s">
        <v>72</v>
      </c>
      <c r="M11" s="116" t="s">
        <v>63</v>
      </c>
      <c r="N11" s="116" t="s">
        <v>64</v>
      </c>
      <c r="O11" s="116"/>
      <c r="P11" s="121"/>
      <c r="Q11" s="121"/>
      <c r="R11" s="116" t="s">
        <v>66</v>
      </c>
      <c r="S11" s="116" t="s">
        <v>66</v>
      </c>
      <c r="T11" s="116" t="s">
        <v>66</v>
      </c>
      <c r="U11" s="116" t="s">
        <v>66</v>
      </c>
      <c r="V11" s="116"/>
      <c r="W11" s="116"/>
      <c r="X11" s="116" t="s">
        <v>66</v>
      </c>
      <c r="Y11" s="116">
        <v>0</v>
      </c>
      <c r="Z11" s="122"/>
      <c r="AA11" s="123">
        <v>0</v>
      </c>
      <c r="AB11" s="123"/>
      <c r="AC11" s="123"/>
      <c r="AD11" s="123"/>
      <c r="AE11" s="123"/>
      <c r="AF11" s="123">
        <v>0</v>
      </c>
      <c r="AG11" s="123">
        <v>0</v>
      </c>
      <c r="AH11" s="123">
        <v>0</v>
      </c>
      <c r="AI11" s="124" t="s">
        <v>239</v>
      </c>
      <c r="AJ11" s="125" t="s">
        <v>385</v>
      </c>
      <c r="AK11" s="125" t="s">
        <v>384</v>
      </c>
      <c r="AL11" s="125" t="s">
        <v>83</v>
      </c>
      <c r="AM11" s="125" t="s">
        <v>99</v>
      </c>
      <c r="AN11" s="125"/>
      <c r="AO11" s="125" t="s">
        <v>86</v>
      </c>
      <c r="AP11" s="125" t="str">
        <f>CONCATENATE(AJ11, ".", AL11)</f>
        <v>GAPC1.BlkOpCmd.stVal</v>
      </c>
      <c r="AQ11" s="125" t="s">
        <v>82</v>
      </c>
      <c r="AR11" s="123">
        <v>0</v>
      </c>
      <c r="AS11" s="123">
        <v>0</v>
      </c>
      <c r="AT11" s="135">
        <v>1</v>
      </c>
      <c r="AU11" s="63">
        <v>0</v>
      </c>
      <c r="AV11" s="135">
        <v>1</v>
      </c>
      <c r="AW11" s="135">
        <v>1</v>
      </c>
      <c r="AX11" s="135">
        <v>1</v>
      </c>
      <c r="AY11" s="123"/>
      <c r="AZ11" s="121"/>
      <c r="BA11" s="123"/>
      <c r="BB11" s="123"/>
      <c r="BC11" s="126"/>
      <c r="BD11" s="123"/>
      <c r="BE11" s="127"/>
      <c r="BF11" s="123"/>
      <c r="BG11" s="128" t="str">
        <f t="shared" si="3"/>
        <v>description: "Режим работы ЧС", note: "Режим работы ЧС", group: "control", minValue: null, maxValue: null, step: null, units: "null", defaultValue: null, eventRegistration: 0</v>
      </c>
      <c r="BH11" s="132"/>
      <c r="BI11" s="133"/>
      <c r="BJ11" s="133"/>
      <c r="BK11" s="133"/>
      <c r="BL11" s="133"/>
      <c r="BM11" s="133"/>
      <c r="BN11" s="133"/>
      <c r="BO11" s="133"/>
      <c r="BP11" s="133"/>
      <c r="BQ11" s="133"/>
      <c r="BR11" s="133"/>
      <c r="BS11" s="133"/>
      <c r="BT11" s="133"/>
      <c r="BU11" s="133"/>
      <c r="BV11" s="133"/>
      <c r="BW11" s="133"/>
      <c r="BX11" s="133"/>
      <c r="BY11" s="133"/>
      <c r="BZ11" s="133"/>
      <c r="CA11" s="133"/>
      <c r="CB11" s="133"/>
      <c r="CC11" s="133"/>
      <c r="CD11" s="133"/>
      <c r="CE11" s="133"/>
      <c r="CF11" s="133"/>
      <c r="CG11" s="133"/>
      <c r="CH11" s="133"/>
      <c r="CI11" s="133"/>
      <c r="CJ11" s="133"/>
      <c r="CK11" s="133"/>
      <c r="CL11" s="133"/>
      <c r="CM11" s="133"/>
      <c r="CN11" s="133"/>
      <c r="CO11" s="133"/>
      <c r="CP11" s="133"/>
      <c r="CQ11" s="133"/>
      <c r="CR11" s="133"/>
      <c r="CS11" s="133"/>
      <c r="CT11" s="133"/>
      <c r="CU11" s="133"/>
      <c r="CV11" s="133"/>
      <c r="CW11" s="133"/>
      <c r="CX11" s="133"/>
      <c r="CY11" s="133"/>
      <c r="CZ11" s="133"/>
      <c r="DA11" s="133"/>
      <c r="DB11" s="133"/>
      <c r="DC11" s="133"/>
      <c r="DD11" s="133"/>
      <c r="DE11" s="133"/>
      <c r="DF11" s="133"/>
      <c r="DG11" s="133"/>
      <c r="DH11" s="133"/>
      <c r="DI11" s="133"/>
      <c r="DJ11" s="133"/>
      <c r="DK11" s="133"/>
      <c r="DL11" s="133"/>
      <c r="DM11" s="133"/>
      <c r="DN11" s="133"/>
      <c r="DO11" s="133"/>
      <c r="DP11" s="133"/>
      <c r="DQ11" s="133"/>
      <c r="DR11" s="133"/>
      <c r="DS11" s="133"/>
      <c r="DT11" s="133"/>
      <c r="DU11" s="133"/>
      <c r="DV11" s="133"/>
      <c r="DW11" s="133"/>
      <c r="DX11" s="133"/>
      <c r="DY11" s="133"/>
      <c r="DZ11" s="133"/>
      <c r="EA11" s="133"/>
      <c r="EB11" s="133"/>
      <c r="EC11" s="133"/>
      <c r="ED11" s="133"/>
      <c r="EE11" s="133"/>
      <c r="EF11" s="133"/>
      <c r="EG11" s="133"/>
      <c r="EH11" s="133"/>
      <c r="EI11" s="133"/>
      <c r="EJ11" s="133"/>
      <c r="EK11" s="133"/>
      <c r="EL11" s="133"/>
      <c r="EM11" s="133"/>
      <c r="EN11" s="133"/>
      <c r="EO11" s="133"/>
      <c r="EP11" s="133"/>
      <c r="EQ11" s="133"/>
      <c r="ER11" s="133"/>
      <c r="ES11" s="133"/>
      <c r="ET11" s="133"/>
      <c r="EU11" s="133"/>
      <c r="EV11" s="133"/>
      <c r="EW11" s="133"/>
      <c r="EX11" s="133"/>
      <c r="EY11" s="133"/>
      <c r="EZ11" s="133"/>
      <c r="FA11" s="133"/>
      <c r="FB11" s="133"/>
      <c r="FC11" s="133"/>
      <c r="FD11" s="133"/>
      <c r="FE11" s="133"/>
      <c r="FF11" s="133"/>
      <c r="FG11" s="133"/>
      <c r="FH11" s="133"/>
      <c r="FI11" s="133"/>
      <c r="FJ11" s="133"/>
      <c r="FK11" s="133"/>
      <c r="FL11" s="133"/>
      <c r="FM11" s="133"/>
      <c r="FN11" s="133"/>
      <c r="FO11" s="133"/>
      <c r="FP11" s="133"/>
      <c r="FQ11" s="133"/>
      <c r="FR11" s="133"/>
      <c r="FS11" s="133"/>
      <c r="FT11" s="133"/>
      <c r="FU11" s="133"/>
      <c r="FV11" s="133"/>
      <c r="FW11" s="133"/>
      <c r="FX11" s="133"/>
      <c r="FY11" s="133"/>
      <c r="FZ11" s="133"/>
      <c r="GA11" s="133"/>
      <c r="GB11" s="133"/>
      <c r="GC11" s="133"/>
      <c r="GD11" s="133"/>
      <c r="GE11" s="133"/>
      <c r="GF11" s="133"/>
      <c r="GG11" s="133"/>
      <c r="GH11" s="133"/>
      <c r="GI11" s="133"/>
      <c r="GJ11" s="133"/>
      <c r="GK11" s="133"/>
      <c r="GL11" s="133"/>
      <c r="GM11" s="133"/>
      <c r="GN11" s="133"/>
      <c r="GO11" s="133"/>
      <c r="GP11" s="133"/>
      <c r="GQ11" s="133"/>
      <c r="GR11" s="133"/>
      <c r="GS11" s="133"/>
      <c r="GT11" s="133"/>
      <c r="GU11" s="133"/>
      <c r="GV11" s="133"/>
      <c r="GW11" s="133"/>
      <c r="GX11" s="133"/>
      <c r="GY11" s="133"/>
      <c r="GZ11" s="133"/>
      <c r="HA11" s="133"/>
      <c r="HB11" s="133"/>
      <c r="HC11" s="133"/>
      <c r="HD11" s="133"/>
      <c r="HE11" s="133"/>
      <c r="HF11" s="133"/>
      <c r="HG11" s="133"/>
      <c r="HH11" s="133"/>
      <c r="HI11" s="133"/>
      <c r="HJ11" s="133"/>
      <c r="HK11" s="133"/>
      <c r="HL11" s="133"/>
      <c r="HM11" s="133"/>
      <c r="HN11" s="133"/>
      <c r="HO11" s="133"/>
      <c r="HP11" s="133"/>
      <c r="HQ11" s="133"/>
      <c r="HR11" s="133"/>
      <c r="HS11" s="133"/>
      <c r="HT11" s="133"/>
      <c r="HU11" s="133"/>
      <c r="HV11" s="133"/>
      <c r="HW11" s="133"/>
      <c r="HX11" s="133"/>
      <c r="HY11" s="133"/>
      <c r="HZ11" s="133"/>
      <c r="IA11" s="133"/>
      <c r="IB11" s="133"/>
      <c r="IC11" s="133"/>
      <c r="ID11" s="133"/>
      <c r="IE11" s="133"/>
      <c r="IF11" s="133"/>
      <c r="IG11" s="133"/>
      <c r="IH11" s="133"/>
      <c r="II11" s="133"/>
      <c r="IJ11" s="133"/>
      <c r="IK11" s="133"/>
      <c r="IL11" s="133"/>
      <c r="IM11" s="133"/>
      <c r="IN11" s="133"/>
      <c r="IO11" s="133"/>
      <c r="IP11" s="133"/>
      <c r="IQ11" s="133"/>
      <c r="IR11" s="133"/>
      <c r="IS11" s="133"/>
      <c r="IT11" s="133"/>
      <c r="IU11" s="133"/>
      <c r="IV11" s="133"/>
      <c r="IW11" s="133"/>
      <c r="IX11" s="133"/>
      <c r="IY11" s="133"/>
      <c r="IZ11" s="133"/>
      <c r="JA11" s="133"/>
      <c r="JB11" s="133"/>
      <c r="JC11" s="133"/>
      <c r="JD11" s="133"/>
      <c r="JE11" s="133"/>
      <c r="JF11" s="133"/>
      <c r="JG11" s="133"/>
      <c r="JH11" s="133"/>
      <c r="JI11" s="133"/>
      <c r="JJ11" s="133"/>
      <c r="JK11" s="133"/>
      <c r="JL11" s="133"/>
      <c r="JM11" s="133"/>
      <c r="JN11" s="133"/>
      <c r="JO11" s="133"/>
      <c r="JP11" s="133"/>
      <c r="JQ11" s="133"/>
      <c r="JR11" s="133"/>
      <c r="JS11" s="133"/>
      <c r="JT11" s="133"/>
      <c r="JU11" s="133"/>
      <c r="JV11" s="133"/>
      <c r="JW11" s="133"/>
      <c r="JX11" s="133"/>
      <c r="JY11" s="133"/>
      <c r="JZ11" s="133"/>
      <c r="KA11" s="133"/>
      <c r="KB11" s="133"/>
      <c r="KC11" s="133"/>
      <c r="KD11" s="133"/>
      <c r="KE11" s="133"/>
      <c r="KF11" s="133"/>
      <c r="KG11" s="133"/>
      <c r="KH11" s="133"/>
      <c r="KI11" s="133"/>
      <c r="KJ11" s="133"/>
      <c r="KK11" s="133"/>
      <c r="KL11" s="133"/>
      <c r="KM11" s="133"/>
      <c r="KN11" s="133"/>
      <c r="KO11" s="133"/>
      <c r="KP11" s="133"/>
      <c r="KQ11" s="133"/>
      <c r="KR11" s="133"/>
      <c r="KS11" s="133"/>
      <c r="KT11" s="133"/>
      <c r="KU11" s="133"/>
      <c r="KV11" s="133"/>
      <c r="KW11" s="133"/>
      <c r="KX11" s="133"/>
      <c r="KY11" s="133"/>
      <c r="KZ11" s="133"/>
      <c r="LA11" s="133"/>
      <c r="LB11" s="133"/>
      <c r="LC11" s="133"/>
      <c r="LD11" s="133"/>
      <c r="LE11" s="133"/>
      <c r="LF11" s="133"/>
      <c r="LG11" s="133"/>
      <c r="LH11" s="133"/>
      <c r="LI11" s="133"/>
      <c r="LJ11" s="133"/>
      <c r="LK11" s="133"/>
      <c r="LL11" s="133"/>
      <c r="LM11" s="133"/>
      <c r="LN11" s="133"/>
      <c r="LO11" s="133"/>
      <c r="LP11" s="133"/>
      <c r="LQ11" s="133"/>
      <c r="LR11" s="133"/>
      <c r="LS11" s="133"/>
      <c r="LT11" s="133"/>
      <c r="LU11" s="133"/>
      <c r="LV11" s="133"/>
      <c r="LW11" s="133"/>
      <c r="LX11" s="133"/>
      <c r="LY11" s="133"/>
      <c r="LZ11" s="133"/>
      <c r="MA11" s="133"/>
      <c r="MB11" s="133"/>
      <c r="MC11" s="133"/>
      <c r="MD11" s="133"/>
      <c r="ME11" s="133"/>
      <c r="MF11" s="133"/>
      <c r="MG11" s="133"/>
      <c r="MH11" s="133"/>
      <c r="MI11" s="133"/>
      <c r="MJ11" s="133"/>
      <c r="MK11" s="133"/>
      <c r="ML11" s="133"/>
      <c r="MM11" s="133"/>
      <c r="MN11" s="133"/>
      <c r="MO11" s="133"/>
      <c r="MP11" s="133"/>
      <c r="MQ11" s="133"/>
      <c r="MR11" s="133"/>
      <c r="MS11" s="133"/>
      <c r="MT11" s="133"/>
      <c r="MU11" s="133"/>
      <c r="MV11" s="133"/>
      <c r="MW11" s="133"/>
      <c r="MX11" s="133"/>
      <c r="MY11" s="133"/>
      <c r="MZ11" s="133"/>
      <c r="NA11" s="133"/>
      <c r="NB11" s="133"/>
      <c r="NC11" s="133"/>
      <c r="ND11" s="133"/>
      <c r="NE11" s="133"/>
      <c r="NF11" s="133"/>
      <c r="NG11" s="133"/>
      <c r="NH11" s="133"/>
      <c r="NI11" s="133"/>
      <c r="NJ11" s="133"/>
      <c r="NK11" s="133"/>
      <c r="NL11" s="133"/>
      <c r="NM11" s="133"/>
      <c r="NN11" s="133"/>
      <c r="NO11" s="133"/>
      <c r="NP11" s="133"/>
      <c r="NQ11" s="133"/>
      <c r="NR11" s="133"/>
      <c r="NS11" s="133"/>
      <c r="NT11" s="133"/>
      <c r="NU11" s="133"/>
      <c r="NV11" s="133"/>
      <c r="NW11" s="133"/>
      <c r="NX11" s="133"/>
      <c r="NY11" s="133"/>
      <c r="NZ11" s="133"/>
      <c r="OA11" s="133"/>
      <c r="OB11" s="133"/>
      <c r="OC11" s="133"/>
      <c r="OD11" s="133"/>
      <c r="OE11" s="133"/>
      <c r="OF11" s="133"/>
      <c r="OG11" s="133"/>
      <c r="OH11" s="133"/>
      <c r="OI11" s="133"/>
      <c r="OJ11" s="133"/>
      <c r="OK11" s="133"/>
      <c r="OL11" s="133"/>
      <c r="OM11" s="133"/>
      <c r="ON11" s="133"/>
      <c r="OO11" s="133"/>
      <c r="OP11" s="133"/>
      <c r="OQ11" s="133"/>
      <c r="OR11" s="133"/>
      <c r="OS11" s="133"/>
      <c r="OT11" s="133"/>
      <c r="OU11" s="133"/>
      <c r="OV11" s="133"/>
      <c r="OW11" s="133"/>
      <c r="OX11" s="133"/>
      <c r="OY11" s="133"/>
      <c r="OZ11" s="133"/>
      <c r="PA11" s="133"/>
      <c r="PB11" s="133"/>
      <c r="PC11" s="133"/>
      <c r="PD11" s="133"/>
      <c r="PE11" s="133"/>
      <c r="PF11" s="133"/>
      <c r="PG11" s="133"/>
      <c r="PH11" s="133"/>
      <c r="PI11" s="133"/>
      <c r="PJ11" s="133"/>
      <c r="PK11" s="133"/>
      <c r="PL11" s="133"/>
      <c r="PM11" s="133"/>
      <c r="PN11" s="133"/>
      <c r="PO11" s="133"/>
      <c r="PP11" s="133"/>
      <c r="PQ11" s="133"/>
      <c r="PR11" s="133"/>
      <c r="PS11" s="133"/>
      <c r="PT11" s="133"/>
      <c r="PU11" s="133"/>
      <c r="PV11" s="133"/>
      <c r="PW11" s="133"/>
      <c r="PX11" s="133"/>
      <c r="PY11" s="133"/>
      <c r="PZ11" s="133"/>
      <c r="QA11" s="133"/>
      <c r="QB11" s="133"/>
      <c r="QC11" s="133"/>
      <c r="QD11" s="133"/>
      <c r="QE11" s="133"/>
      <c r="QF11" s="133"/>
      <c r="QG11" s="133"/>
      <c r="QH11" s="133"/>
      <c r="QI11" s="133"/>
      <c r="QJ11" s="133"/>
      <c r="QK11" s="133"/>
      <c r="QL11" s="133"/>
      <c r="QM11" s="133"/>
      <c r="QN11" s="133"/>
      <c r="QO11" s="133"/>
      <c r="QP11" s="133"/>
      <c r="QQ11" s="133"/>
      <c r="QR11" s="133"/>
      <c r="QS11" s="133"/>
      <c r="QT11" s="133"/>
      <c r="QU11" s="133"/>
      <c r="QV11" s="133"/>
      <c r="QW11" s="133"/>
      <c r="QX11" s="133"/>
      <c r="QY11" s="133"/>
      <c r="QZ11" s="133"/>
      <c r="RA11" s="133"/>
      <c r="RB11" s="133"/>
      <c r="RC11" s="133"/>
      <c r="RD11" s="133"/>
      <c r="RE11" s="133"/>
      <c r="RF11" s="133"/>
      <c r="RG11" s="133"/>
      <c r="RH11" s="133"/>
      <c r="RI11" s="133"/>
      <c r="RJ11" s="133"/>
      <c r="RK11" s="133"/>
      <c r="RL11" s="133"/>
      <c r="RM11" s="133"/>
      <c r="RN11" s="133"/>
      <c r="RO11" s="133"/>
      <c r="RP11" s="133"/>
      <c r="RQ11" s="133"/>
      <c r="RR11" s="133"/>
      <c r="RS11" s="133"/>
      <c r="RT11" s="133"/>
      <c r="RU11" s="133"/>
      <c r="RV11" s="133"/>
      <c r="RW11" s="133"/>
      <c r="RX11" s="133"/>
      <c r="RY11" s="133"/>
      <c r="RZ11" s="133"/>
      <c r="SA11" s="133"/>
      <c r="SB11" s="133"/>
      <c r="SC11" s="133"/>
      <c r="SD11" s="133"/>
      <c r="SE11" s="133"/>
      <c r="SF11" s="133"/>
      <c r="SG11" s="133"/>
      <c r="SH11" s="133"/>
      <c r="SI11" s="133"/>
      <c r="SJ11" s="133"/>
      <c r="SK11" s="133"/>
      <c r="SL11" s="133"/>
      <c r="SM11" s="133"/>
      <c r="SN11" s="133"/>
      <c r="SO11" s="133"/>
      <c r="SP11" s="133"/>
      <c r="SQ11" s="133"/>
      <c r="SR11" s="133"/>
      <c r="SS11" s="133"/>
      <c r="ST11" s="133"/>
      <c r="SU11" s="133"/>
      <c r="SV11" s="133"/>
      <c r="SW11" s="133"/>
      <c r="SX11" s="133"/>
      <c r="SY11" s="133"/>
      <c r="SZ11" s="133"/>
      <c r="TA11" s="133"/>
      <c r="TB11" s="133"/>
      <c r="TC11" s="133"/>
      <c r="TD11" s="133"/>
      <c r="TE11" s="133"/>
      <c r="TF11" s="133"/>
      <c r="TG11" s="133"/>
      <c r="TH11" s="133"/>
      <c r="TI11" s="133"/>
      <c r="TJ11" s="133"/>
      <c r="TK11" s="133"/>
      <c r="TL11" s="133"/>
      <c r="TM11" s="133"/>
      <c r="TN11" s="133"/>
      <c r="TO11" s="133"/>
      <c r="TP11" s="133"/>
      <c r="TQ11" s="133"/>
      <c r="TR11" s="133"/>
      <c r="TS11" s="133"/>
      <c r="TT11" s="133"/>
      <c r="TU11" s="133"/>
      <c r="TV11" s="133"/>
      <c r="TW11" s="133"/>
      <c r="TX11" s="133"/>
      <c r="TY11" s="133"/>
      <c r="TZ11" s="133"/>
      <c r="UA11" s="133"/>
      <c r="UB11" s="133"/>
      <c r="UC11" s="133"/>
      <c r="UD11" s="133"/>
      <c r="UE11" s="133"/>
      <c r="UF11" s="133"/>
      <c r="UG11" s="133"/>
      <c r="UH11" s="133"/>
      <c r="UI11" s="133"/>
      <c r="UJ11" s="133"/>
      <c r="UK11" s="133"/>
      <c r="UL11" s="133"/>
      <c r="UM11" s="133"/>
      <c r="UN11" s="133"/>
      <c r="UO11" s="133"/>
      <c r="UP11" s="133"/>
      <c r="UQ11" s="133"/>
      <c r="UR11" s="133"/>
      <c r="US11" s="133"/>
      <c r="UT11" s="133"/>
      <c r="UU11" s="133"/>
      <c r="UV11" s="133"/>
      <c r="UW11" s="133"/>
      <c r="UX11" s="133"/>
      <c r="UY11" s="133"/>
      <c r="UZ11" s="133"/>
      <c r="VA11" s="133"/>
      <c r="VB11" s="133"/>
      <c r="VC11" s="133"/>
      <c r="VD11" s="133"/>
      <c r="VE11" s="133"/>
      <c r="VF11" s="133"/>
      <c r="VG11" s="133"/>
      <c r="VH11" s="133"/>
      <c r="VI11" s="133"/>
      <c r="VJ11" s="133"/>
      <c r="VK11" s="133"/>
      <c r="VL11" s="133"/>
      <c r="VM11" s="133"/>
      <c r="VN11" s="133"/>
      <c r="VO11" s="133"/>
      <c r="VP11" s="133"/>
      <c r="VQ11" s="133"/>
      <c r="VR11" s="133"/>
      <c r="VS11" s="133"/>
      <c r="VT11" s="133"/>
      <c r="VU11" s="133"/>
      <c r="VV11" s="133"/>
      <c r="VW11" s="133"/>
      <c r="VX11" s="133"/>
      <c r="VY11" s="133"/>
      <c r="VZ11" s="133"/>
      <c r="WA11" s="133"/>
      <c r="WB11" s="133"/>
      <c r="WC11" s="133"/>
      <c r="WD11" s="133"/>
      <c r="WE11" s="133"/>
      <c r="WF11" s="133"/>
      <c r="WG11" s="133"/>
      <c r="WH11" s="133"/>
      <c r="WI11" s="133"/>
      <c r="WJ11" s="133"/>
      <c r="WK11" s="133"/>
      <c r="WL11" s="133"/>
      <c r="WM11" s="133"/>
      <c r="WN11" s="133"/>
      <c r="WO11" s="133"/>
      <c r="WP11" s="133"/>
      <c r="WQ11" s="133"/>
      <c r="WR11" s="133"/>
      <c r="WS11" s="133"/>
      <c r="WT11" s="133"/>
      <c r="WU11" s="133"/>
      <c r="WV11" s="133"/>
      <c r="WW11" s="133"/>
      <c r="WX11" s="133"/>
      <c r="WY11" s="133"/>
      <c r="WZ11" s="133"/>
      <c r="XA11" s="133"/>
      <c r="XB11" s="133"/>
      <c r="XC11" s="133"/>
      <c r="XD11" s="133"/>
      <c r="XE11" s="133"/>
      <c r="XF11" s="133"/>
      <c r="XG11" s="133"/>
      <c r="XH11" s="133"/>
      <c r="XI11" s="133"/>
      <c r="XJ11" s="133"/>
      <c r="XK11" s="133"/>
      <c r="XL11" s="133"/>
      <c r="XM11" s="133"/>
      <c r="XN11" s="133"/>
      <c r="XO11" s="133"/>
      <c r="XP11" s="133"/>
      <c r="XQ11" s="133"/>
      <c r="XR11" s="133"/>
      <c r="XS11" s="133"/>
      <c r="XT11" s="133"/>
      <c r="XU11" s="133"/>
      <c r="XV11" s="133"/>
      <c r="XW11" s="133"/>
      <c r="XX11" s="133"/>
      <c r="XY11" s="133"/>
      <c r="XZ11" s="133"/>
      <c r="YA11" s="133"/>
      <c r="YB11" s="133"/>
      <c r="YC11" s="133"/>
      <c r="YD11" s="133"/>
      <c r="YE11" s="133"/>
      <c r="YF11" s="133"/>
      <c r="YG11" s="133"/>
      <c r="YH11" s="133"/>
      <c r="YI11" s="133"/>
      <c r="YJ11" s="133"/>
      <c r="YK11" s="133"/>
      <c r="YL11" s="133"/>
      <c r="YM11" s="133"/>
      <c r="YN11" s="133"/>
      <c r="YO11" s="133"/>
      <c r="YP11" s="133"/>
      <c r="YQ11" s="133"/>
      <c r="YR11" s="133"/>
      <c r="YS11" s="133"/>
      <c r="YT11" s="133"/>
      <c r="YU11" s="133"/>
      <c r="YV11" s="133"/>
      <c r="YW11" s="133"/>
      <c r="YX11" s="133"/>
      <c r="YY11" s="133"/>
      <c r="YZ11" s="133"/>
      <c r="ZA11" s="133"/>
      <c r="ZB11" s="133"/>
      <c r="ZC11" s="133"/>
      <c r="ZD11" s="133"/>
      <c r="ZE11" s="133"/>
      <c r="ZF11" s="133"/>
      <c r="ZG11" s="133"/>
      <c r="ZH11" s="133"/>
      <c r="ZI11" s="133"/>
      <c r="ZJ11" s="133"/>
      <c r="ZK11" s="133"/>
      <c r="ZL11" s="133"/>
      <c r="ZM11" s="133"/>
      <c r="ZN11" s="133"/>
      <c r="ZO11" s="133"/>
      <c r="ZP11" s="133"/>
      <c r="ZQ11" s="133"/>
      <c r="ZR11" s="133"/>
      <c r="ZS11" s="133"/>
      <c r="ZT11" s="133"/>
      <c r="ZU11" s="133"/>
      <c r="ZV11" s="133"/>
      <c r="ZW11" s="133"/>
      <c r="ZX11" s="133"/>
      <c r="ZY11" s="133"/>
      <c r="ZZ11" s="133"/>
      <c r="AAA11" s="133"/>
      <c r="AAB11" s="133"/>
      <c r="AAC11" s="133"/>
      <c r="AAD11" s="133"/>
      <c r="AAE11" s="133"/>
      <c r="AAF11" s="133"/>
      <c r="AAG11" s="133"/>
      <c r="AAH11" s="133"/>
      <c r="AAI11" s="133"/>
      <c r="AAJ11" s="133"/>
      <c r="AAK11" s="133"/>
      <c r="AAL11" s="133"/>
      <c r="AAM11" s="133"/>
      <c r="AAN11" s="133"/>
      <c r="AAO11" s="133"/>
      <c r="AAP11" s="133"/>
      <c r="AAQ11" s="133"/>
      <c r="AAR11" s="133"/>
      <c r="AAS11" s="133"/>
      <c r="AAT11" s="133"/>
      <c r="AAU11" s="133"/>
      <c r="AAV11" s="133"/>
      <c r="AAW11" s="133"/>
      <c r="AAX11" s="133"/>
      <c r="AAY11" s="133"/>
      <c r="AAZ11" s="133"/>
      <c r="ABA11" s="133"/>
      <c r="ABB11" s="133"/>
      <c r="ABC11" s="133"/>
      <c r="ABD11" s="133"/>
      <c r="ABE11" s="133"/>
      <c r="ABF11" s="133"/>
      <c r="ABG11" s="133"/>
      <c r="ABH11" s="133"/>
      <c r="ABI11" s="133"/>
      <c r="ABJ11" s="133"/>
      <c r="ABK11" s="133"/>
      <c r="ABL11" s="133"/>
      <c r="ABM11" s="133"/>
      <c r="ABN11" s="133"/>
      <c r="ABO11" s="133"/>
      <c r="ABP11" s="133"/>
      <c r="ABQ11" s="133"/>
      <c r="ABR11" s="133"/>
      <c r="ABS11" s="133"/>
      <c r="ABT11" s="133"/>
      <c r="ABU11" s="133"/>
      <c r="ABV11" s="133"/>
      <c r="ABW11" s="133"/>
      <c r="ABX11" s="133"/>
      <c r="ABY11" s="133"/>
      <c r="ABZ11" s="133"/>
      <c r="ACA11" s="133"/>
      <c r="ACB11" s="133"/>
      <c r="ACC11" s="133"/>
      <c r="ACD11" s="133"/>
      <c r="ACE11" s="133"/>
      <c r="ACF11" s="133"/>
      <c r="ACG11" s="133"/>
      <c r="ACH11" s="133"/>
      <c r="ACI11" s="133"/>
      <c r="ACJ11" s="133"/>
      <c r="ACK11" s="133"/>
      <c r="ACL11" s="133"/>
      <c r="ACM11" s="133"/>
      <c r="ACN11" s="133"/>
      <c r="ACO11" s="133"/>
      <c r="ACP11" s="133"/>
      <c r="ACQ11" s="133"/>
      <c r="ACR11" s="133"/>
      <c r="ACS11" s="133"/>
      <c r="ACT11" s="133"/>
      <c r="ACU11" s="133"/>
      <c r="ACV11" s="133"/>
      <c r="ACW11" s="133"/>
      <c r="ACX11" s="133"/>
      <c r="ACY11" s="133"/>
      <c r="ACZ11" s="133"/>
      <c r="ADA11" s="133"/>
      <c r="ADB11" s="133"/>
      <c r="ADC11" s="133"/>
      <c r="ADD11" s="133"/>
      <c r="ADE11" s="133"/>
      <c r="ADF11" s="133"/>
      <c r="ADG11" s="133"/>
      <c r="ADH11" s="133"/>
      <c r="ADI11" s="133"/>
      <c r="ADJ11" s="133"/>
      <c r="ADK11" s="133"/>
      <c r="ADL11" s="133"/>
      <c r="ADM11" s="133"/>
      <c r="ADN11" s="133"/>
      <c r="ADO11" s="133"/>
      <c r="ADP11" s="133"/>
      <c r="ADQ11" s="133"/>
      <c r="ADR11" s="133"/>
      <c r="ADS11" s="133"/>
      <c r="ADT11" s="133"/>
      <c r="ADU11" s="133"/>
      <c r="ADV11" s="133"/>
      <c r="ADW11" s="133"/>
      <c r="ADX11" s="133"/>
      <c r="ADY11" s="133"/>
      <c r="ADZ11" s="133"/>
      <c r="AEA11" s="133"/>
      <c r="AEB11" s="133"/>
      <c r="AEC11" s="133"/>
      <c r="AED11" s="133"/>
      <c r="AEE11" s="133"/>
      <c r="AEF11" s="133"/>
      <c r="AEG11" s="133"/>
      <c r="AEH11" s="133"/>
      <c r="AEI11" s="133"/>
      <c r="AEJ11" s="133"/>
      <c r="AEK11" s="133"/>
      <c r="AEL11" s="133"/>
      <c r="AEM11" s="133"/>
      <c r="AEN11" s="133"/>
      <c r="AEO11" s="133"/>
      <c r="AEP11" s="133"/>
      <c r="AEQ11" s="133"/>
      <c r="AER11" s="133"/>
      <c r="AES11" s="133"/>
      <c r="AET11" s="133"/>
      <c r="AEU11" s="133"/>
      <c r="AEV11" s="133"/>
      <c r="AEW11" s="133"/>
      <c r="AEX11" s="133"/>
      <c r="AEY11" s="133"/>
      <c r="AEZ11" s="133"/>
      <c r="AFA11" s="133"/>
      <c r="AFB11" s="133"/>
      <c r="AFC11" s="133"/>
      <c r="AFD11" s="133"/>
      <c r="AFE11" s="133"/>
      <c r="AFF11" s="133"/>
      <c r="AFG11" s="133"/>
      <c r="AFH11" s="133"/>
      <c r="AFI11" s="133"/>
      <c r="AFJ11" s="133"/>
      <c r="AFK11" s="133"/>
      <c r="AFL11" s="133"/>
      <c r="AFM11" s="133"/>
      <c r="AFN11" s="133"/>
      <c r="AFO11" s="133"/>
      <c r="AFP11" s="133"/>
      <c r="AFQ11" s="133"/>
      <c r="AFR11" s="133"/>
      <c r="AFS11" s="133"/>
      <c r="AFT11" s="133"/>
      <c r="AFU11" s="133"/>
      <c r="AFV11" s="133"/>
      <c r="AFW11" s="133"/>
      <c r="AFX11" s="133"/>
      <c r="AFY11" s="133"/>
      <c r="AFZ11" s="133"/>
      <c r="AGA11" s="133"/>
      <c r="AGB11" s="133"/>
      <c r="AGC11" s="133"/>
      <c r="AGD11" s="133"/>
      <c r="AGE11" s="133"/>
      <c r="AGF11" s="133"/>
      <c r="AGG11" s="133"/>
      <c r="AGH11" s="133"/>
      <c r="AGI11" s="133"/>
      <c r="AGJ11" s="133"/>
      <c r="AGK11" s="133"/>
      <c r="AGL11" s="133"/>
      <c r="AGM11" s="133"/>
      <c r="AGN11" s="133"/>
      <c r="AGO11" s="133"/>
      <c r="AGP11" s="133"/>
      <c r="AGQ11" s="133"/>
      <c r="AGR11" s="133"/>
      <c r="AGS11" s="133"/>
      <c r="AGT11" s="133"/>
      <c r="AGU11" s="133"/>
      <c r="AGV11" s="133"/>
      <c r="AGW11" s="133"/>
      <c r="AGX11" s="133"/>
      <c r="AGY11" s="133"/>
      <c r="AGZ11" s="133"/>
      <c r="AHA11" s="133"/>
      <c r="AHB11" s="133"/>
      <c r="AHC11" s="133"/>
      <c r="AHD11" s="133"/>
      <c r="AHE11" s="133"/>
      <c r="AHF11" s="133"/>
      <c r="AHG11" s="133"/>
      <c r="AHH11" s="133"/>
      <c r="AHI11" s="133"/>
      <c r="AHJ11" s="133"/>
      <c r="AHK11" s="133"/>
      <c r="AHL11" s="133"/>
      <c r="AHM11" s="133"/>
      <c r="AHN11" s="133"/>
      <c r="AHO11" s="133"/>
      <c r="AHP11" s="133"/>
      <c r="AHQ11" s="133"/>
      <c r="AHR11" s="133"/>
      <c r="AHS11" s="133"/>
      <c r="AHT11" s="133"/>
      <c r="AHU11" s="133"/>
      <c r="AHV11" s="133"/>
      <c r="AHW11" s="133"/>
      <c r="AHX11" s="133"/>
      <c r="AHY11" s="133"/>
      <c r="AHZ11" s="133"/>
      <c r="AIA11" s="133"/>
      <c r="AIB11" s="133"/>
      <c r="AIC11" s="133"/>
      <c r="AID11" s="133"/>
      <c r="AIE11" s="133"/>
      <c r="AIF11" s="133"/>
      <c r="AIG11" s="133"/>
      <c r="AIH11" s="133"/>
      <c r="AII11" s="133"/>
      <c r="AIJ11" s="133"/>
      <c r="AIK11" s="133"/>
      <c r="AIL11" s="133"/>
      <c r="AIM11" s="133"/>
      <c r="AIN11" s="133"/>
      <c r="AIO11" s="133"/>
      <c r="AIP11" s="133"/>
      <c r="AIQ11" s="133"/>
      <c r="AIR11" s="133"/>
      <c r="AIS11" s="133"/>
      <c r="AIT11" s="133"/>
      <c r="AIU11" s="133"/>
      <c r="AIV11" s="133"/>
      <c r="AIW11" s="133"/>
      <c r="AIX11" s="133"/>
      <c r="AIY11" s="133"/>
      <c r="AIZ11" s="133"/>
      <c r="AJA11" s="133"/>
      <c r="AJB11" s="133"/>
      <c r="AJC11" s="133"/>
      <c r="AJD11" s="133"/>
      <c r="AJE11" s="133"/>
      <c r="AJF11" s="133"/>
      <c r="AJG11" s="133"/>
      <c r="AJH11" s="133"/>
      <c r="AJI11" s="133"/>
      <c r="AJJ11" s="133"/>
      <c r="AJK11" s="133"/>
      <c r="AJL11" s="133"/>
      <c r="AJM11" s="133"/>
      <c r="AJN11" s="133"/>
      <c r="AJO11" s="133"/>
      <c r="AJP11" s="133"/>
      <c r="AJQ11" s="133"/>
      <c r="AJR11" s="133"/>
      <c r="AJS11" s="133"/>
      <c r="AJT11" s="133"/>
      <c r="AJU11" s="133"/>
      <c r="AJV11" s="133"/>
      <c r="AJW11" s="133"/>
      <c r="AJX11" s="133"/>
      <c r="AJY11" s="133"/>
      <c r="AJZ11" s="133"/>
      <c r="AKA11" s="133"/>
      <c r="AKB11" s="133"/>
      <c r="AKC11" s="133"/>
      <c r="AKD11" s="133"/>
      <c r="AKE11" s="133"/>
      <c r="AKF11" s="133"/>
      <c r="AKG11" s="133"/>
      <c r="AKH11" s="133"/>
      <c r="AKI11" s="133"/>
      <c r="AKJ11" s="133"/>
      <c r="AKK11" s="133"/>
      <c r="AKL11" s="133"/>
      <c r="AKM11" s="133"/>
      <c r="AKN11" s="133"/>
      <c r="AKO11" s="133"/>
      <c r="AKP11" s="133"/>
      <c r="AKQ11" s="133"/>
      <c r="AKR11" s="133"/>
      <c r="AKS11" s="133"/>
      <c r="AKT11" s="133"/>
      <c r="AKU11" s="133"/>
      <c r="AKV11" s="133"/>
      <c r="AKW11" s="133"/>
      <c r="AKX11" s="133"/>
      <c r="AKY11" s="133"/>
      <c r="AKZ11" s="133"/>
      <c r="ALA11" s="133"/>
      <c r="ALB11" s="133"/>
      <c r="ALC11" s="133"/>
      <c r="ALD11" s="133"/>
      <c r="ALE11" s="133"/>
      <c r="ALF11" s="133"/>
      <c r="ALG11" s="133"/>
      <c r="ALH11" s="133"/>
      <c r="ALI11" s="133"/>
      <c r="ALJ11" s="133"/>
      <c r="ALK11" s="133"/>
      <c r="ALL11" s="133"/>
      <c r="ALM11" s="133"/>
      <c r="ALN11" s="133"/>
      <c r="ALO11" s="133"/>
      <c r="ALP11" s="133"/>
      <c r="ALQ11" s="133"/>
      <c r="ALR11" s="133"/>
      <c r="ALS11" s="133"/>
      <c r="ALT11" s="133"/>
      <c r="ALU11" s="133"/>
      <c r="ALV11" s="133"/>
      <c r="ALW11" s="133"/>
      <c r="ALX11" s="133"/>
      <c r="ALY11" s="133"/>
      <c r="ALZ11" s="133"/>
      <c r="AMA11" s="133"/>
      <c r="AMB11" s="133"/>
      <c r="AMC11" s="133"/>
      <c r="AMD11" s="133"/>
      <c r="AME11" s="133"/>
      <c r="AMF11" s="133"/>
      <c r="AMG11" s="133"/>
      <c r="AMH11" s="133"/>
      <c r="AMI11" s="133"/>
      <c r="AMJ11" s="133"/>
      <c r="AMK11" s="133"/>
      <c r="AML11" s="133"/>
      <c r="AMM11" s="133"/>
      <c r="AMN11" s="133"/>
      <c r="AMO11" s="133"/>
      <c r="AMP11" s="133"/>
      <c r="AMQ11" s="133"/>
      <c r="AMR11" s="133"/>
      <c r="AMS11" s="133"/>
      <c r="AMT11" s="133"/>
      <c r="AMU11" s="133"/>
      <c r="AMV11" s="133"/>
      <c r="AMW11" s="133"/>
      <c r="AMX11" s="133"/>
      <c r="AMY11" s="133"/>
      <c r="AMZ11" s="133"/>
      <c r="ANA11" s="133"/>
      <c r="ANB11" s="133"/>
      <c r="ANC11" s="133"/>
      <c r="AND11" s="133"/>
      <c r="ANE11" s="133"/>
      <c r="ANF11" s="133"/>
      <c r="ANG11" s="133"/>
      <c r="ANH11" s="133"/>
      <c r="ANI11" s="133"/>
      <c r="ANJ11" s="133"/>
      <c r="ANK11" s="133"/>
      <c r="ANL11" s="133"/>
      <c r="ANM11" s="133"/>
      <c r="ANN11" s="133"/>
      <c r="ANO11" s="133"/>
      <c r="ANP11" s="133"/>
      <c r="ANQ11" s="133"/>
      <c r="ANR11" s="133"/>
      <c r="ANS11" s="133"/>
      <c r="ANT11" s="133"/>
      <c r="ANU11" s="133"/>
      <c r="ANV11" s="133"/>
      <c r="ANW11" s="133"/>
      <c r="ANX11" s="133"/>
      <c r="ANY11" s="133"/>
      <c r="ANZ11" s="133"/>
      <c r="AOA11" s="133"/>
      <c r="AOB11" s="133"/>
      <c r="AOC11" s="133"/>
      <c r="AOD11" s="133"/>
      <c r="AOE11" s="133"/>
      <c r="AOF11" s="133"/>
      <c r="AOG11" s="133"/>
      <c r="AOH11" s="133"/>
      <c r="AOI11" s="133"/>
      <c r="AOJ11" s="133"/>
      <c r="AOK11" s="133"/>
      <c r="AOL11" s="133"/>
      <c r="AOM11" s="133"/>
      <c r="AON11" s="133"/>
      <c r="AOO11" s="133"/>
      <c r="AOP11" s="133"/>
      <c r="AOQ11" s="133"/>
      <c r="AOR11" s="133"/>
      <c r="AOS11" s="133"/>
      <c r="AOT11" s="133"/>
      <c r="AOU11" s="133"/>
      <c r="AOV11" s="133"/>
      <c r="AOW11" s="133"/>
      <c r="AOX11" s="133"/>
      <c r="AOY11" s="133"/>
      <c r="AOZ11" s="133"/>
      <c r="APA11" s="133"/>
      <c r="APB11" s="133"/>
      <c r="APC11" s="133"/>
      <c r="APD11" s="133"/>
      <c r="APE11" s="133"/>
      <c r="APF11" s="133"/>
      <c r="APG11" s="133"/>
      <c r="APH11" s="133"/>
      <c r="API11" s="133"/>
      <c r="APJ11" s="133"/>
      <c r="APK11" s="133"/>
      <c r="APL11" s="133"/>
      <c r="APM11" s="133"/>
      <c r="APN11" s="133"/>
      <c r="APO11" s="133"/>
      <c r="APP11" s="133"/>
      <c r="APQ11" s="133"/>
      <c r="APR11" s="133"/>
      <c r="APS11" s="133"/>
      <c r="APT11" s="133"/>
      <c r="APU11" s="133"/>
      <c r="APV11" s="133"/>
      <c r="APW11" s="133"/>
      <c r="APX11" s="133"/>
      <c r="APY11" s="133"/>
      <c r="APZ11" s="133"/>
      <c r="AQA11" s="133"/>
      <c r="AQB11" s="133"/>
      <c r="AQC11" s="133"/>
      <c r="AQD11" s="133"/>
      <c r="AQE11" s="133"/>
      <c r="AQF11" s="133"/>
      <c r="AQG11" s="133"/>
      <c r="AQH11" s="133"/>
      <c r="AQI11" s="133"/>
      <c r="AQJ11" s="133"/>
      <c r="AQK11" s="133"/>
      <c r="AQL11" s="133"/>
      <c r="AQM11" s="133"/>
      <c r="AQN11" s="133"/>
      <c r="AQO11" s="133"/>
      <c r="AQP11" s="133"/>
      <c r="AQQ11" s="133"/>
      <c r="AQR11" s="133"/>
      <c r="AQS11" s="133"/>
      <c r="AQT11" s="133"/>
      <c r="AQU11" s="133"/>
      <c r="AQV11" s="133"/>
      <c r="AQW11" s="133"/>
      <c r="AQX11" s="133"/>
      <c r="AQY11" s="133"/>
      <c r="AQZ11" s="133"/>
      <c r="ARA11" s="133"/>
      <c r="ARB11" s="133"/>
      <c r="ARC11" s="133"/>
      <c r="ARD11" s="133"/>
      <c r="ARE11" s="133"/>
      <c r="ARF11" s="133"/>
      <c r="ARG11" s="133"/>
      <c r="ARH11" s="133"/>
      <c r="ARI11" s="133"/>
      <c r="ARJ11" s="133"/>
      <c r="ARK11" s="133"/>
      <c r="ARL11" s="133"/>
      <c r="ARM11" s="133"/>
      <c r="ARN11" s="133"/>
      <c r="ARO11" s="133"/>
      <c r="ARP11" s="133"/>
      <c r="ARQ11" s="133"/>
      <c r="ARR11" s="133"/>
      <c r="ARS11" s="133"/>
      <c r="ART11" s="133"/>
      <c r="ARU11" s="133"/>
      <c r="ARV11" s="133"/>
      <c r="ARW11" s="133"/>
      <c r="ARX11" s="133"/>
      <c r="ARY11" s="133"/>
      <c r="ARZ11" s="133"/>
      <c r="ASA11" s="133"/>
      <c r="ASB11" s="133"/>
      <c r="ASC11" s="133"/>
      <c r="ASD11" s="133"/>
      <c r="ASE11" s="133"/>
      <c r="ASF11" s="133"/>
      <c r="ASG11" s="133"/>
      <c r="ASH11" s="133"/>
      <c r="ASI11" s="133"/>
      <c r="ASJ11" s="133"/>
      <c r="ASK11" s="133"/>
      <c r="ASL11" s="133"/>
      <c r="ASM11" s="133"/>
      <c r="ASN11" s="133"/>
      <c r="ASO11" s="133"/>
      <c r="ASP11" s="133"/>
      <c r="ASQ11" s="133"/>
      <c r="ASR11" s="133"/>
      <c r="ASS11" s="133"/>
      <c r="AST11" s="133"/>
      <c r="ASU11" s="133"/>
      <c r="ASV11" s="133"/>
      <c r="ASW11" s="133"/>
      <c r="ASX11" s="133"/>
      <c r="ASY11" s="133"/>
      <c r="ASZ11" s="133"/>
      <c r="ATA11" s="133"/>
      <c r="ATB11" s="133"/>
      <c r="ATC11" s="133"/>
      <c r="ATD11" s="133"/>
      <c r="ATE11" s="133"/>
      <c r="ATF11" s="133"/>
      <c r="ATG11" s="133"/>
      <c r="ATH11" s="133"/>
      <c r="ATI11" s="133"/>
      <c r="ATJ11" s="133"/>
      <c r="ATK11" s="133"/>
      <c r="ATL11" s="133"/>
      <c r="ATM11" s="133"/>
      <c r="ATN11" s="133"/>
      <c r="ATO11" s="133"/>
      <c r="ATP11" s="133"/>
      <c r="ATQ11" s="133"/>
      <c r="ATR11" s="133"/>
      <c r="ATS11" s="133"/>
      <c r="ATT11" s="133"/>
      <c r="ATU11" s="133"/>
      <c r="ATV11" s="133"/>
      <c r="ATW11" s="133"/>
      <c r="ATX11" s="133"/>
      <c r="ATY11" s="133"/>
      <c r="ATZ11" s="133"/>
      <c r="AUA11" s="133"/>
      <c r="AUB11" s="133"/>
      <c r="AUC11" s="133"/>
      <c r="AUD11" s="133"/>
      <c r="AUE11" s="133"/>
      <c r="AUF11" s="133"/>
      <c r="AUG11" s="133"/>
      <c r="AUH11" s="133"/>
      <c r="AUI11" s="133"/>
      <c r="AUJ11" s="133"/>
      <c r="AUK11" s="133"/>
      <c r="AUL11" s="133"/>
      <c r="AUM11" s="133"/>
      <c r="AUN11" s="133"/>
      <c r="AUO11" s="133"/>
      <c r="AUP11" s="133"/>
      <c r="AUQ11" s="133"/>
      <c r="AUR11" s="133"/>
      <c r="AUS11" s="133"/>
      <c r="AUT11" s="133"/>
      <c r="AUU11" s="133"/>
      <c r="AUV11" s="133"/>
      <c r="AUW11" s="133"/>
      <c r="AUX11" s="133"/>
      <c r="AUY11" s="133"/>
      <c r="AUZ11" s="133"/>
      <c r="AVA11" s="133"/>
      <c r="AVB11" s="133"/>
      <c r="AVC11" s="133"/>
      <c r="AVD11" s="133"/>
      <c r="AVE11" s="133"/>
      <c r="AVF11" s="133"/>
      <c r="AVG11" s="133"/>
      <c r="AVH11" s="133"/>
      <c r="AVI11" s="133"/>
      <c r="AVJ11" s="133"/>
      <c r="AVK11" s="133"/>
      <c r="AVL11" s="133"/>
      <c r="AVM11" s="133"/>
      <c r="AVN11" s="133"/>
      <c r="AVO11" s="133"/>
      <c r="AVP11" s="133"/>
      <c r="AVQ11" s="133"/>
      <c r="AVR11" s="133"/>
      <c r="AVS11" s="133"/>
      <c r="AVT11" s="133"/>
      <c r="AVU11" s="133"/>
      <c r="AVV11" s="133"/>
      <c r="AVW11" s="133"/>
      <c r="AVX11" s="133"/>
      <c r="AVY11" s="133"/>
      <c r="AVZ11" s="133"/>
      <c r="AWA11" s="133"/>
      <c r="AWB11" s="133"/>
      <c r="AWC11" s="133"/>
      <c r="AWD11" s="133"/>
      <c r="AWE11" s="133"/>
      <c r="AWF11" s="133"/>
      <c r="AWG11" s="133"/>
      <c r="AWH11" s="133"/>
      <c r="AWI11" s="133"/>
      <c r="AWJ11" s="133"/>
      <c r="AWK11" s="133"/>
      <c r="AWL11" s="133"/>
      <c r="AWM11" s="133"/>
      <c r="AWN11" s="133"/>
      <c r="AWO11" s="133"/>
      <c r="AWP11" s="133"/>
      <c r="AWQ11" s="133"/>
      <c r="AWR11" s="133"/>
      <c r="AWS11" s="133"/>
      <c r="AWT11" s="133"/>
      <c r="AWU11" s="133"/>
      <c r="AWV11" s="133"/>
      <c r="AWW11" s="133"/>
      <c r="AWX11" s="133"/>
      <c r="AWY11" s="133"/>
      <c r="AWZ11" s="133"/>
      <c r="AXA11" s="133"/>
      <c r="AXB11" s="133"/>
      <c r="AXC11" s="133"/>
      <c r="AXD11" s="133"/>
      <c r="AXE11" s="133"/>
      <c r="AXF11" s="133"/>
      <c r="AXG11" s="133"/>
      <c r="AXH11" s="133"/>
      <c r="AXI11" s="133"/>
      <c r="AXJ11" s="133"/>
      <c r="AXK11" s="133"/>
      <c r="AXL11" s="133"/>
      <c r="AXM11" s="133"/>
      <c r="AXN11" s="133"/>
      <c r="AXO11" s="133"/>
      <c r="AXP11" s="133"/>
      <c r="AXQ11" s="133"/>
      <c r="AXR11" s="133"/>
      <c r="AXS11" s="133"/>
      <c r="AXT11" s="133"/>
      <c r="AXU11" s="133"/>
      <c r="AXV11" s="133"/>
      <c r="AXW11" s="133"/>
      <c r="AXX11" s="133"/>
      <c r="AXY11" s="133"/>
      <c r="AXZ11" s="133"/>
      <c r="AYA11" s="133"/>
      <c r="AYB11" s="133"/>
      <c r="AYC11" s="133"/>
      <c r="AYD11" s="133"/>
      <c r="AYE11" s="133"/>
      <c r="AYF11" s="133"/>
      <c r="AYG11" s="133"/>
      <c r="AYH11" s="133"/>
      <c r="AYI11" s="133"/>
      <c r="AYJ11" s="133"/>
      <c r="AYK11" s="133"/>
      <c r="AYL11" s="133"/>
      <c r="AYM11" s="133"/>
      <c r="AYN11" s="133"/>
      <c r="AYO11" s="133"/>
      <c r="AYP11" s="133"/>
      <c r="AYQ11" s="133"/>
      <c r="AYR11" s="133"/>
      <c r="AYS11" s="133"/>
      <c r="AYT11" s="133"/>
      <c r="AYU11" s="133"/>
      <c r="AYV11" s="133"/>
      <c r="AYW11" s="133"/>
      <c r="AYX11" s="133"/>
      <c r="AYY11" s="133"/>
      <c r="AYZ11" s="133"/>
      <c r="AZA11" s="133"/>
      <c r="AZB11" s="133"/>
      <c r="AZC11" s="133"/>
      <c r="AZD11" s="133"/>
      <c r="AZE11" s="133"/>
      <c r="AZF11" s="133"/>
      <c r="AZG11" s="133"/>
      <c r="AZH11" s="133"/>
      <c r="AZI11" s="133"/>
      <c r="AZJ11" s="133"/>
      <c r="AZK11" s="133"/>
      <c r="AZL11" s="133"/>
      <c r="AZM11" s="133"/>
      <c r="AZN11" s="133"/>
      <c r="AZO11" s="133"/>
      <c r="AZP11" s="133"/>
      <c r="AZQ11" s="133"/>
      <c r="AZR11" s="133"/>
      <c r="AZS11" s="133"/>
      <c r="AZT11" s="133"/>
      <c r="AZU11" s="133"/>
      <c r="AZV11" s="133"/>
      <c r="AZW11" s="133"/>
      <c r="AZX11" s="133"/>
      <c r="AZY11" s="133"/>
      <c r="AZZ11" s="133"/>
      <c r="BAA11" s="133"/>
      <c r="BAB11" s="133"/>
      <c r="BAC11" s="133"/>
      <c r="BAD11" s="133"/>
      <c r="BAE11" s="133"/>
      <c r="BAF11" s="133"/>
      <c r="BAG11" s="133"/>
      <c r="BAH11" s="133"/>
      <c r="BAI11" s="133"/>
      <c r="BAJ11" s="133"/>
      <c r="BAK11" s="133"/>
      <c r="BAL11" s="133"/>
      <c r="BAM11" s="133"/>
      <c r="BAN11" s="133"/>
      <c r="BAO11" s="133"/>
      <c r="BAP11" s="133"/>
      <c r="BAQ11" s="133"/>
      <c r="BAR11" s="133"/>
      <c r="BAS11" s="133"/>
      <c r="BAT11" s="133"/>
      <c r="BAU11" s="133"/>
      <c r="BAV11" s="133"/>
      <c r="BAW11" s="133"/>
      <c r="BAX11" s="133"/>
      <c r="BAY11" s="133"/>
      <c r="BAZ11" s="133"/>
      <c r="BBA11" s="133"/>
      <c r="BBB11" s="133"/>
      <c r="BBC11" s="133"/>
      <c r="BBD11" s="133"/>
      <c r="BBE11" s="133"/>
      <c r="BBF11" s="133"/>
      <c r="BBG11" s="133"/>
      <c r="BBH11" s="133"/>
      <c r="BBI11" s="133"/>
      <c r="BBJ11" s="133"/>
      <c r="BBK11" s="133"/>
      <c r="BBL11" s="133"/>
      <c r="BBM11" s="133"/>
      <c r="BBN11" s="133"/>
      <c r="BBO11" s="133"/>
      <c r="BBP11" s="133"/>
      <c r="BBQ11" s="133"/>
      <c r="BBR11" s="133"/>
      <c r="BBS11" s="133"/>
      <c r="BBT11" s="133"/>
      <c r="BBU11" s="133"/>
      <c r="BBV11" s="133"/>
      <c r="BBW11" s="133"/>
      <c r="BBX11" s="133"/>
      <c r="BBY11" s="133"/>
      <c r="BBZ11" s="133"/>
      <c r="BCA11" s="133"/>
      <c r="BCB11" s="133"/>
      <c r="BCC11" s="133"/>
      <c r="BCD11" s="133"/>
      <c r="BCE11" s="133"/>
      <c r="BCF11" s="133"/>
      <c r="BCG11" s="133"/>
      <c r="BCH11" s="133"/>
      <c r="BCI11" s="133"/>
      <c r="BCJ11" s="133"/>
      <c r="BCK11" s="133"/>
      <c r="BCL11" s="133"/>
      <c r="BCM11" s="133"/>
      <c r="BCN11" s="133"/>
      <c r="BCO11" s="133"/>
      <c r="BCP11" s="133"/>
      <c r="BCQ11" s="133"/>
      <c r="BCR11" s="133"/>
      <c r="BCS11" s="133"/>
      <c r="BCT11" s="133"/>
      <c r="BCU11" s="133"/>
      <c r="BCV11" s="133"/>
      <c r="BCW11" s="133"/>
      <c r="BCX11" s="133"/>
      <c r="BCY11" s="133"/>
      <c r="BCZ11" s="133"/>
      <c r="BDA11" s="133"/>
      <c r="BDB11" s="133"/>
      <c r="BDC11" s="133"/>
      <c r="BDD11" s="133"/>
      <c r="BDE11" s="133"/>
      <c r="BDF11" s="133"/>
      <c r="BDG11" s="133"/>
      <c r="BDH11" s="133"/>
      <c r="BDI11" s="133"/>
      <c r="BDJ11" s="133"/>
      <c r="BDK11" s="133"/>
      <c r="BDL11" s="133"/>
      <c r="BDM11" s="133"/>
      <c r="BDN11" s="133"/>
      <c r="BDO11" s="133"/>
      <c r="BDP11" s="133"/>
      <c r="BDQ11" s="133"/>
      <c r="BDR11" s="133"/>
      <c r="BDS11" s="133"/>
      <c r="BDT11" s="133"/>
      <c r="BDU11" s="133"/>
      <c r="BDV11" s="133"/>
      <c r="BDW11" s="133"/>
      <c r="BDX11" s="133"/>
      <c r="BDY11" s="133"/>
      <c r="BDZ11" s="133"/>
      <c r="BEA11" s="133"/>
      <c r="BEB11" s="133"/>
      <c r="BEC11" s="133"/>
      <c r="BED11" s="133"/>
      <c r="BEE11" s="133"/>
      <c r="BEF11" s="133"/>
      <c r="BEG11" s="133"/>
      <c r="BEH11" s="133"/>
      <c r="BEI11" s="133"/>
      <c r="BEJ11" s="133"/>
      <c r="BEK11" s="133"/>
      <c r="BEL11" s="133"/>
      <c r="BEM11" s="133"/>
      <c r="BEN11" s="133"/>
      <c r="BEO11" s="133"/>
      <c r="BEP11" s="133"/>
      <c r="BEQ11" s="133"/>
      <c r="BER11" s="133"/>
      <c r="BES11" s="133"/>
      <c r="BET11" s="133"/>
      <c r="BEU11" s="133"/>
      <c r="BEV11" s="133"/>
      <c r="BEW11" s="133"/>
      <c r="BEX11" s="133"/>
      <c r="BEY11" s="133"/>
      <c r="BEZ11" s="133"/>
      <c r="BFA11" s="133"/>
      <c r="BFB11" s="133"/>
      <c r="BFC11" s="133"/>
      <c r="BFD11" s="133"/>
      <c r="BFE11" s="133"/>
      <c r="BFF11" s="133"/>
      <c r="BFG11" s="133"/>
      <c r="BFH11" s="133"/>
      <c r="BFI11" s="133"/>
      <c r="BFJ11" s="133"/>
      <c r="BFK11" s="133"/>
      <c r="BFL11" s="133"/>
      <c r="BFM11" s="133"/>
      <c r="BFN11" s="133"/>
      <c r="BFO11" s="133"/>
      <c r="BFP11" s="133"/>
      <c r="BFQ11" s="133"/>
      <c r="BFR11" s="133"/>
      <c r="BFS11" s="133"/>
      <c r="BFT11" s="133"/>
      <c r="BFU11" s="133"/>
      <c r="BFV11" s="133"/>
      <c r="BFW11" s="133"/>
      <c r="BFX11" s="133"/>
      <c r="BFY11" s="133"/>
      <c r="BFZ11" s="133"/>
      <c r="BGA11" s="133"/>
      <c r="BGB11" s="133"/>
      <c r="BGC11" s="133"/>
      <c r="BGD11" s="133"/>
      <c r="BGE11" s="133"/>
      <c r="BGF11" s="133"/>
      <c r="BGG11" s="133"/>
      <c r="BGH11" s="133"/>
      <c r="BGI11" s="133"/>
      <c r="BGJ11" s="133"/>
      <c r="BGK11" s="133"/>
      <c r="BGL11" s="133"/>
      <c r="BGM11" s="133"/>
      <c r="BGN11" s="133"/>
      <c r="BGO11" s="133"/>
      <c r="BGP11" s="133"/>
      <c r="BGQ11" s="133"/>
      <c r="BGR11" s="133"/>
      <c r="BGS11" s="133"/>
      <c r="BGT11" s="133"/>
      <c r="BGU11" s="133"/>
      <c r="BGV11" s="133"/>
      <c r="BGW11" s="133"/>
      <c r="BGX11" s="133"/>
      <c r="BGY11" s="133"/>
      <c r="BGZ11" s="133"/>
      <c r="BHA11" s="133"/>
      <c r="BHB11" s="133"/>
      <c r="BHC11" s="133"/>
      <c r="BHD11" s="133"/>
      <c r="BHE11" s="133"/>
      <c r="BHF11" s="133"/>
      <c r="BHG11" s="133"/>
      <c r="BHH11" s="133"/>
      <c r="BHI11" s="133"/>
      <c r="BHJ11" s="133"/>
      <c r="BHK11" s="133"/>
      <c r="BHL11" s="133"/>
      <c r="BHM11" s="133"/>
      <c r="BHN11" s="133"/>
      <c r="BHO11" s="133"/>
      <c r="BHP11" s="133"/>
      <c r="BHQ11" s="133"/>
      <c r="BHR11" s="133"/>
      <c r="BHS11" s="133"/>
      <c r="BHT11" s="133"/>
      <c r="BHU11" s="133"/>
      <c r="BHV11" s="133"/>
      <c r="BHW11" s="133"/>
      <c r="BHX11" s="133"/>
      <c r="BHY11" s="133"/>
      <c r="BHZ11" s="133"/>
      <c r="BIA11" s="133"/>
      <c r="BIB11" s="133"/>
      <c r="BIC11" s="133"/>
      <c r="BID11" s="133"/>
      <c r="BIE11" s="133"/>
      <c r="BIF11" s="133"/>
      <c r="BIG11" s="133"/>
      <c r="BIH11" s="133"/>
      <c r="BII11" s="133"/>
      <c r="BIJ11" s="133"/>
      <c r="BIK11" s="133"/>
      <c r="BIL11" s="133"/>
      <c r="BIM11" s="133"/>
      <c r="BIN11" s="133"/>
      <c r="BIO11" s="133"/>
      <c r="BIP11" s="133"/>
      <c r="BIQ11" s="133"/>
      <c r="BIR11" s="133"/>
      <c r="BIS11" s="133"/>
      <c r="BIT11" s="133"/>
      <c r="BIU11" s="133"/>
      <c r="BIV11" s="133"/>
      <c r="BIW11" s="133"/>
      <c r="BIX11" s="133"/>
      <c r="BIY11" s="133"/>
      <c r="BIZ11" s="133"/>
      <c r="BJA11" s="133"/>
      <c r="BJB11" s="133"/>
      <c r="BJC11" s="133"/>
      <c r="BJD11" s="133"/>
      <c r="BJE11" s="133"/>
      <c r="BJF11" s="133"/>
      <c r="BJG11" s="133"/>
      <c r="BJH11" s="133"/>
      <c r="BJI11" s="133"/>
      <c r="BJJ11" s="133"/>
      <c r="BJK11" s="133"/>
      <c r="BJL11" s="133"/>
      <c r="BJM11" s="133"/>
      <c r="BJN11" s="133"/>
      <c r="BJO11" s="133"/>
      <c r="BJP11" s="133"/>
      <c r="BJQ11" s="133"/>
      <c r="BJR11" s="133"/>
      <c r="BJS11" s="133"/>
      <c r="BJT11" s="133"/>
      <c r="BJU11" s="133"/>
      <c r="BJV11" s="133"/>
      <c r="BJW11" s="133"/>
      <c r="BJX11" s="133"/>
      <c r="BJY11" s="133"/>
      <c r="BJZ11" s="133"/>
      <c r="BKA11" s="133"/>
      <c r="BKB11" s="133"/>
      <c r="BKC11" s="133"/>
      <c r="BKD11" s="133"/>
      <c r="BKE11" s="133"/>
      <c r="BKF11" s="133"/>
      <c r="BKG11" s="133"/>
      <c r="BKH11" s="133"/>
      <c r="BKI11" s="133"/>
      <c r="BKJ11" s="133"/>
      <c r="BKK11" s="133"/>
      <c r="BKL11" s="133"/>
      <c r="BKM11" s="133"/>
      <c r="BKN11" s="133"/>
      <c r="BKO11" s="133"/>
      <c r="BKP11" s="133"/>
      <c r="BKQ11" s="133"/>
      <c r="BKR11" s="133"/>
      <c r="BKS11" s="133"/>
      <c r="BKT11" s="133"/>
      <c r="BKU11" s="133"/>
      <c r="BKV11" s="133"/>
      <c r="BKW11" s="133"/>
      <c r="BKX11" s="133"/>
      <c r="BKY11" s="133"/>
      <c r="BKZ11" s="133"/>
      <c r="BLA11" s="133"/>
      <c r="BLB11" s="133"/>
      <c r="BLC11" s="133"/>
      <c r="BLD11" s="133"/>
      <c r="BLE11" s="133"/>
      <c r="BLF11" s="133"/>
      <c r="BLG11" s="133"/>
      <c r="BLH11" s="133"/>
      <c r="BLI11" s="133"/>
      <c r="BLJ11" s="133"/>
      <c r="BLK11" s="133"/>
      <c r="BLL11" s="133"/>
      <c r="BLM11" s="133"/>
      <c r="BLN11" s="133"/>
      <c r="BLO11" s="133"/>
      <c r="BLP11" s="133"/>
      <c r="BLQ11" s="133"/>
      <c r="BLR11" s="133"/>
      <c r="BLS11" s="133"/>
      <c r="BLT11" s="133"/>
      <c r="BLU11" s="133"/>
      <c r="BLV11" s="133"/>
      <c r="BLW11" s="133"/>
      <c r="BLX11" s="133"/>
      <c r="BLY11" s="133"/>
      <c r="BLZ11" s="133"/>
      <c r="BMA11" s="133"/>
      <c r="BMB11" s="133"/>
      <c r="BMC11" s="133"/>
      <c r="BMD11" s="133"/>
      <c r="BME11" s="133"/>
      <c r="BMF11" s="133"/>
      <c r="BMG11" s="133"/>
      <c r="BMH11" s="133"/>
      <c r="BMI11" s="133"/>
      <c r="BMJ11" s="133"/>
      <c r="BMK11" s="133"/>
      <c r="BML11" s="133"/>
      <c r="BMM11" s="133"/>
      <c r="BMN11" s="133"/>
      <c r="BMO11" s="133"/>
      <c r="BMP11" s="133"/>
      <c r="BMQ11" s="133"/>
      <c r="BMR11" s="133"/>
      <c r="BMS11" s="133"/>
      <c r="BMT11" s="133"/>
      <c r="BMU11" s="133"/>
      <c r="BMV11" s="133"/>
      <c r="BMW11" s="133"/>
      <c r="BMX11" s="133"/>
      <c r="BMY11" s="133"/>
      <c r="BMZ11" s="133"/>
      <c r="BNA11" s="133"/>
      <c r="BNB11" s="133"/>
      <c r="BNC11" s="133"/>
      <c r="BND11" s="133"/>
      <c r="BNE11" s="133"/>
      <c r="BNF11" s="133"/>
      <c r="BNG11" s="133"/>
      <c r="BNH11" s="133"/>
      <c r="BNI11" s="133"/>
      <c r="BNJ11" s="133"/>
      <c r="BNK11" s="133"/>
      <c r="BNL11" s="133"/>
      <c r="BNM11" s="133"/>
      <c r="BNN11" s="133"/>
      <c r="BNO11" s="133"/>
      <c r="BNP11" s="133"/>
      <c r="BNQ11" s="133"/>
      <c r="BNR11" s="133"/>
      <c r="BNS11" s="133"/>
      <c r="BNT11" s="133"/>
      <c r="BNU11" s="133"/>
      <c r="BNV11" s="133"/>
      <c r="BNW11" s="133"/>
      <c r="BNX11" s="133"/>
      <c r="BNY11" s="133"/>
      <c r="BNZ11" s="133"/>
      <c r="BOA11" s="133"/>
      <c r="BOB11" s="133"/>
      <c r="BOC11" s="133"/>
      <c r="BOD11" s="133"/>
      <c r="BOE11" s="133"/>
      <c r="BOF11" s="133"/>
      <c r="BOG11" s="133"/>
      <c r="BOH11" s="133"/>
      <c r="BOI11" s="133"/>
      <c r="BOJ11" s="133"/>
      <c r="BOK11" s="133"/>
      <c r="BOL11" s="133"/>
      <c r="BOM11" s="133"/>
      <c r="BON11" s="133"/>
      <c r="BOO11" s="133"/>
      <c r="BOP11" s="133"/>
      <c r="BOQ11" s="133"/>
      <c r="BOR11" s="133"/>
      <c r="BOS11" s="133"/>
      <c r="BOT11" s="133"/>
      <c r="BOU11" s="133"/>
      <c r="BOV11" s="133"/>
      <c r="BOW11" s="133"/>
      <c r="BOX11" s="133"/>
      <c r="BOY11" s="133"/>
      <c r="BOZ11" s="133"/>
      <c r="BPA11" s="133"/>
      <c r="BPB11" s="133"/>
      <c r="BPC11" s="133"/>
      <c r="BPD11" s="133"/>
      <c r="BPE11" s="133"/>
      <c r="BPF11" s="133"/>
      <c r="BPG11" s="133"/>
      <c r="BPH11" s="133"/>
      <c r="BPI11" s="133"/>
      <c r="BPJ11" s="133"/>
      <c r="BPK11" s="133"/>
      <c r="BPL11" s="133"/>
      <c r="BPM11" s="133"/>
      <c r="BPN11" s="133"/>
      <c r="BPO11" s="133"/>
      <c r="BPP11" s="133"/>
      <c r="BPQ11" s="133"/>
      <c r="BPR11" s="133"/>
      <c r="BPS11" s="133"/>
      <c r="BPT11" s="133"/>
      <c r="BPU11" s="133"/>
      <c r="BPV11" s="133"/>
      <c r="BPW11" s="133"/>
      <c r="BPX11" s="133"/>
      <c r="BPY11" s="133"/>
      <c r="BPZ11" s="133"/>
      <c r="BQA11" s="133"/>
      <c r="BQB11" s="133"/>
      <c r="BQC11" s="133"/>
      <c r="BQD11" s="133"/>
      <c r="BQE11" s="133"/>
      <c r="BQF11" s="133"/>
      <c r="BQG11" s="133"/>
      <c r="BQH11" s="133"/>
      <c r="BQI11" s="133"/>
      <c r="BQJ11" s="133"/>
      <c r="BQK11" s="133"/>
      <c r="BQL11" s="133"/>
      <c r="BQM11" s="133"/>
      <c r="BQN11" s="133"/>
      <c r="BQO11" s="133"/>
      <c r="BQP11" s="133"/>
      <c r="BQQ11" s="133"/>
      <c r="BQR11" s="133"/>
      <c r="BQS11" s="133"/>
      <c r="BQT11" s="133"/>
      <c r="BQU11" s="133"/>
      <c r="BQV11" s="133"/>
      <c r="BQW11" s="133"/>
      <c r="BQX11" s="133"/>
      <c r="BQY11" s="133"/>
      <c r="BQZ11" s="133"/>
      <c r="BRA11" s="133"/>
      <c r="BRB11" s="133"/>
      <c r="BRC11" s="133"/>
      <c r="BRD11" s="133"/>
      <c r="BRE11" s="133"/>
      <c r="BRF11" s="133"/>
      <c r="BRG11" s="133"/>
      <c r="BRH11" s="133"/>
      <c r="BRI11" s="133"/>
      <c r="BRJ11" s="133"/>
      <c r="BRK11" s="133"/>
      <c r="BRL11" s="133"/>
      <c r="BRM11" s="133"/>
      <c r="BRN11" s="133"/>
      <c r="BRO11" s="133"/>
      <c r="BRP11" s="133"/>
      <c r="BRQ11" s="133"/>
      <c r="BRR11" s="133"/>
      <c r="BRS11" s="133"/>
      <c r="BRT11" s="133"/>
      <c r="BRU11" s="133"/>
      <c r="BRV11" s="133"/>
      <c r="BRW11" s="133"/>
      <c r="BRX11" s="133"/>
      <c r="BRY11" s="133"/>
      <c r="BRZ11" s="133"/>
      <c r="BSA11" s="133"/>
      <c r="BSB11" s="133"/>
      <c r="BSC11" s="133"/>
      <c r="BSD11" s="133"/>
      <c r="BSE11" s="133"/>
      <c r="BSF11" s="133"/>
      <c r="BSG11" s="133"/>
      <c r="BSH11" s="133"/>
      <c r="BSI11" s="133"/>
      <c r="BSJ11" s="133"/>
      <c r="BSK11" s="133"/>
      <c r="BSL11" s="133"/>
      <c r="BSM11" s="133"/>
      <c r="BSN11" s="133"/>
      <c r="BSO11" s="133"/>
      <c r="BSP11" s="133"/>
      <c r="BSQ11" s="133"/>
      <c r="BSR11" s="133"/>
      <c r="BSS11" s="133"/>
      <c r="BST11" s="133"/>
      <c r="BSU11" s="133"/>
      <c r="BSV11" s="133"/>
      <c r="BSW11" s="133"/>
      <c r="BSX11" s="133"/>
      <c r="BSY11" s="133"/>
      <c r="BSZ11" s="133"/>
      <c r="BTA11" s="133"/>
      <c r="BTB11" s="133"/>
      <c r="BTC11" s="133"/>
      <c r="BTD11" s="133"/>
      <c r="BTE11" s="133"/>
      <c r="BTF11" s="133"/>
      <c r="BTG11" s="133"/>
      <c r="BTH11" s="133"/>
      <c r="BTI11" s="133"/>
      <c r="BTJ11" s="133"/>
      <c r="BTK11" s="133"/>
      <c r="BTL11" s="133"/>
      <c r="BTM11" s="133"/>
      <c r="BTN11" s="133"/>
      <c r="BTO11" s="133"/>
      <c r="BTP11" s="133"/>
      <c r="BTQ11" s="133"/>
      <c r="BTR11" s="133"/>
      <c r="BTS11" s="133"/>
      <c r="BTT11" s="133"/>
      <c r="BTU11" s="133"/>
      <c r="BTV11" s="133"/>
      <c r="BTW11" s="133"/>
      <c r="BTX11" s="133"/>
      <c r="BTY11" s="133"/>
      <c r="BTZ11" s="133"/>
      <c r="BUA11" s="133"/>
      <c r="BUB11" s="133"/>
      <c r="BUC11" s="133"/>
      <c r="BUD11" s="133"/>
      <c r="BUE11" s="133"/>
      <c r="BUF11" s="133"/>
      <c r="BUG11" s="133"/>
      <c r="BUH11" s="133"/>
      <c r="BUI11" s="133"/>
      <c r="BUJ11" s="133"/>
      <c r="BUK11" s="133"/>
      <c r="BUL11" s="133"/>
      <c r="BUM11" s="133"/>
      <c r="BUN11" s="133"/>
      <c r="BUO11" s="133"/>
      <c r="BUP11" s="133"/>
      <c r="BUQ11" s="133"/>
      <c r="BUR11" s="133"/>
      <c r="BUS11" s="133"/>
      <c r="BUT11" s="133"/>
      <c r="BUU11" s="133"/>
      <c r="BUV11" s="133"/>
      <c r="BUW11" s="133"/>
      <c r="BUX11" s="133"/>
      <c r="BUY11" s="133"/>
      <c r="BUZ11" s="133"/>
      <c r="BVA11" s="133"/>
      <c r="BVB11" s="133"/>
      <c r="BVC11" s="133"/>
      <c r="BVD11" s="133"/>
      <c r="BVE11" s="133"/>
      <c r="BVF11" s="133"/>
      <c r="BVG11" s="133"/>
      <c r="BVH11" s="133"/>
      <c r="BVI11" s="133"/>
      <c r="BVJ11" s="133"/>
      <c r="BVK11" s="133"/>
      <c r="BVL11" s="133"/>
      <c r="BVM11" s="133"/>
      <c r="BVN11" s="133"/>
      <c r="BVO11" s="133"/>
      <c r="BVP11" s="133"/>
      <c r="BVQ11" s="133"/>
      <c r="BVR11" s="133"/>
      <c r="BVS11" s="133"/>
      <c r="BVT11" s="133"/>
      <c r="BVU11" s="133"/>
      <c r="BVV11" s="133"/>
      <c r="BVW11" s="133"/>
      <c r="BVX11" s="133"/>
      <c r="BVY11" s="133"/>
      <c r="BVZ11" s="133"/>
      <c r="BWA11" s="133"/>
      <c r="BWB11" s="133"/>
      <c r="BWC11" s="133"/>
      <c r="BWD11" s="133"/>
      <c r="BWE11" s="133"/>
      <c r="BWF11" s="133"/>
      <c r="BWG11" s="133"/>
      <c r="BWH11" s="133"/>
      <c r="BWI11" s="133"/>
      <c r="BWJ11" s="133"/>
      <c r="BWK11" s="133"/>
      <c r="BWL11" s="133"/>
      <c r="BWM11" s="133"/>
      <c r="BWN11" s="133"/>
      <c r="BWO11" s="133"/>
      <c r="BWP11" s="133"/>
      <c r="BWQ11" s="133"/>
      <c r="BWR11" s="133"/>
      <c r="BWS11" s="133"/>
      <c r="BWT11" s="133"/>
      <c r="BWU11" s="133"/>
      <c r="BWV11" s="133"/>
      <c r="BWW11" s="133"/>
      <c r="BWX11" s="133"/>
      <c r="BWY11" s="133"/>
      <c r="BWZ11" s="133"/>
      <c r="BXA11" s="133"/>
      <c r="BXB11" s="133"/>
      <c r="BXC11" s="133"/>
      <c r="BXD11" s="133"/>
      <c r="BXE11" s="133"/>
      <c r="BXF11" s="133"/>
      <c r="BXG11" s="133"/>
      <c r="BXH11" s="133"/>
      <c r="BXI11" s="133"/>
      <c r="BXJ11" s="133"/>
      <c r="BXK11" s="133"/>
      <c r="BXL11" s="133"/>
      <c r="BXM11" s="133"/>
      <c r="BXN11" s="133"/>
      <c r="BXO11" s="133"/>
      <c r="BXP11" s="133"/>
      <c r="BXQ11" s="133"/>
      <c r="BXR11" s="133"/>
      <c r="BXS11" s="133"/>
      <c r="BXT11" s="133"/>
      <c r="BXU11" s="133"/>
      <c r="BXV11" s="133"/>
      <c r="BXW11" s="133"/>
      <c r="BXX11" s="133"/>
      <c r="BXY11" s="133"/>
      <c r="BXZ11" s="133"/>
      <c r="BYA11" s="133"/>
      <c r="BYB11" s="133"/>
      <c r="BYC11" s="133"/>
      <c r="BYD11" s="133"/>
      <c r="BYE11" s="133"/>
      <c r="BYF11" s="133"/>
      <c r="BYG11" s="133"/>
      <c r="BYH11" s="133"/>
      <c r="BYI11" s="133"/>
      <c r="BYJ11" s="133"/>
      <c r="BYK11" s="133"/>
      <c r="BYL11" s="133"/>
      <c r="BYM11" s="133"/>
      <c r="BYN11" s="133"/>
      <c r="BYO11" s="133"/>
      <c r="BYP11" s="133"/>
      <c r="BYQ11" s="133"/>
      <c r="BYR11" s="133"/>
      <c r="BYS11" s="133"/>
      <c r="BYT11" s="133"/>
      <c r="BYU11" s="133"/>
      <c r="BYV11" s="133"/>
      <c r="BYW11" s="133"/>
      <c r="BYX11" s="133"/>
      <c r="BYY11" s="133"/>
      <c r="BYZ11" s="133"/>
      <c r="BZA11" s="133"/>
      <c r="BZB11" s="133"/>
      <c r="BZC11" s="133"/>
      <c r="BZD11" s="133"/>
      <c r="BZE11" s="133"/>
      <c r="BZF11" s="133"/>
      <c r="BZG11" s="133"/>
      <c r="BZH11" s="133"/>
      <c r="BZI11" s="133"/>
      <c r="BZJ11" s="133"/>
      <c r="BZK11" s="133"/>
      <c r="BZL11" s="133"/>
      <c r="BZM11" s="133"/>
      <c r="BZN11" s="133"/>
      <c r="BZO11" s="133"/>
      <c r="BZP11" s="133"/>
      <c r="BZQ11" s="133"/>
      <c r="BZR11" s="133"/>
      <c r="BZS11" s="133"/>
      <c r="BZT11" s="133"/>
      <c r="BZU11" s="133"/>
      <c r="BZV11" s="133"/>
      <c r="BZW11" s="133"/>
      <c r="BZX11" s="133"/>
      <c r="BZY11" s="133"/>
      <c r="BZZ11" s="133"/>
      <c r="CAA11" s="133"/>
      <c r="CAB11" s="133"/>
      <c r="CAC11" s="133"/>
      <c r="CAD11" s="133"/>
      <c r="CAE11" s="133"/>
      <c r="CAF11" s="133"/>
      <c r="CAG11" s="133"/>
      <c r="CAH11" s="133"/>
      <c r="CAI11" s="133"/>
      <c r="CAJ11" s="133"/>
      <c r="CAK11" s="133"/>
      <c r="CAL11" s="133"/>
      <c r="CAM11" s="133"/>
      <c r="CAN11" s="133"/>
      <c r="CAO11" s="133"/>
      <c r="CAP11" s="133"/>
      <c r="CAQ11" s="133"/>
      <c r="CAR11" s="133"/>
      <c r="CAS11" s="133"/>
      <c r="CAT11" s="133"/>
      <c r="CAU11" s="133"/>
      <c r="CAV11" s="133"/>
      <c r="CAW11" s="133"/>
      <c r="CAX11" s="133"/>
      <c r="CAY11" s="133"/>
      <c r="CAZ11" s="133"/>
      <c r="CBA11" s="133"/>
      <c r="CBB11" s="133"/>
      <c r="CBC11" s="133"/>
      <c r="CBD11" s="133"/>
      <c r="CBE11" s="133"/>
      <c r="CBF11" s="133"/>
      <c r="CBG11" s="133"/>
      <c r="CBH11" s="133"/>
      <c r="CBI11" s="133"/>
      <c r="CBJ11" s="133"/>
      <c r="CBK11" s="133"/>
      <c r="CBL11" s="133"/>
      <c r="CBM11" s="133"/>
      <c r="CBN11" s="133"/>
      <c r="CBO11" s="133"/>
      <c r="CBP11" s="133"/>
      <c r="CBQ11" s="133"/>
      <c r="CBR11" s="133"/>
      <c r="CBS11" s="133"/>
      <c r="CBT11" s="133"/>
      <c r="CBU11" s="133"/>
      <c r="CBV11" s="133"/>
      <c r="CBW11" s="133"/>
      <c r="CBX11" s="133"/>
      <c r="CBY11" s="133"/>
      <c r="CBZ11" s="133"/>
      <c r="CCA11" s="133"/>
      <c r="CCB11" s="133"/>
      <c r="CCC11" s="133"/>
      <c r="CCD11" s="133"/>
      <c r="CCE11" s="133"/>
      <c r="CCF11" s="133"/>
      <c r="CCG11" s="133"/>
      <c r="CCH11" s="133"/>
      <c r="CCI11" s="133"/>
      <c r="CCJ11" s="133"/>
      <c r="CCK11" s="133"/>
      <c r="CCL11" s="133"/>
      <c r="CCM11" s="133"/>
      <c r="CCN11" s="133"/>
      <c r="CCO11" s="133"/>
      <c r="CCP11" s="133"/>
      <c r="CCQ11" s="133"/>
      <c r="CCR11" s="133"/>
      <c r="CCS11" s="133"/>
      <c r="CCT11" s="133"/>
      <c r="CCU11" s="133"/>
      <c r="CCV11" s="133"/>
      <c r="CCW11" s="133"/>
      <c r="CCX11" s="133"/>
      <c r="CCY11" s="133"/>
      <c r="CCZ11" s="133"/>
      <c r="CDA11" s="133"/>
      <c r="CDB11" s="133"/>
      <c r="CDC11" s="133"/>
      <c r="CDD11" s="133"/>
      <c r="CDE11" s="133"/>
      <c r="CDF11" s="133"/>
      <c r="CDG11" s="133"/>
      <c r="CDH11" s="133"/>
      <c r="CDI11" s="133"/>
      <c r="CDJ11" s="133"/>
      <c r="CDK11" s="133"/>
      <c r="CDL11" s="133"/>
      <c r="CDM11" s="133"/>
      <c r="CDN11" s="133"/>
      <c r="CDO11" s="133"/>
      <c r="CDP11" s="133"/>
      <c r="CDQ11" s="133"/>
      <c r="CDR11" s="133"/>
      <c r="CDS11" s="133"/>
      <c r="CDT11" s="133"/>
      <c r="CDU11" s="133"/>
      <c r="CDV11" s="133"/>
      <c r="CDW11" s="133"/>
      <c r="CDX11" s="133"/>
      <c r="CDY11" s="133"/>
      <c r="CDZ11" s="133"/>
      <c r="CEA11" s="133"/>
      <c r="CEB11" s="133"/>
      <c r="CEC11" s="133"/>
      <c r="CED11" s="133"/>
      <c r="CEE11" s="133"/>
      <c r="CEF11" s="133"/>
      <c r="CEG11" s="133"/>
      <c r="CEH11" s="133"/>
      <c r="CEI11" s="133"/>
      <c r="CEJ11" s="133"/>
      <c r="CEK11" s="133"/>
      <c r="CEL11" s="133"/>
      <c r="CEM11" s="133"/>
      <c r="CEN11" s="133"/>
      <c r="CEO11" s="133"/>
      <c r="CEP11" s="133"/>
      <c r="CEQ11" s="133"/>
      <c r="CER11" s="133"/>
      <c r="CES11" s="133"/>
      <c r="CET11" s="133"/>
      <c r="CEU11" s="133"/>
      <c r="CEV11" s="133"/>
      <c r="CEW11" s="133"/>
      <c r="CEX11" s="133"/>
      <c r="CEY11" s="133"/>
      <c r="CEZ11" s="133"/>
      <c r="CFA11" s="133"/>
      <c r="CFB11" s="133"/>
      <c r="CFC11" s="133"/>
      <c r="CFD11" s="133"/>
      <c r="CFE11" s="133"/>
      <c r="CFF11" s="133"/>
      <c r="CFG11" s="133"/>
      <c r="CFH11" s="133"/>
      <c r="CFI11" s="133"/>
      <c r="CFJ11" s="133"/>
      <c r="CFK11" s="133"/>
      <c r="CFL11" s="133"/>
      <c r="CFM11" s="133"/>
      <c r="CFN11" s="133"/>
      <c r="CFO11" s="133"/>
      <c r="CFP11" s="133"/>
      <c r="CFQ11" s="133"/>
      <c r="CFR11" s="133"/>
      <c r="CFS11" s="133"/>
      <c r="CFT11" s="133"/>
      <c r="CFU11" s="133"/>
      <c r="CFV11" s="133"/>
      <c r="CFW11" s="133"/>
      <c r="CFX11" s="133"/>
      <c r="CFY11" s="133"/>
      <c r="CFZ11" s="133"/>
      <c r="CGA11" s="133"/>
      <c r="CGB11" s="133"/>
      <c r="CGC11" s="133"/>
      <c r="CGD11" s="133"/>
      <c r="CGE11" s="133"/>
      <c r="CGF11" s="133"/>
      <c r="CGG11" s="133"/>
      <c r="CGH11" s="133"/>
      <c r="CGI11" s="133"/>
      <c r="CGJ11" s="133"/>
      <c r="CGK11" s="133"/>
      <c r="CGL11" s="133"/>
      <c r="CGM11" s="133"/>
      <c r="CGN11" s="133"/>
      <c r="CGO11" s="133"/>
      <c r="CGP11" s="133"/>
      <c r="CGQ11" s="133"/>
      <c r="CGR11" s="133"/>
      <c r="CGS11" s="133"/>
      <c r="CGT11" s="133"/>
      <c r="CGU11" s="133"/>
      <c r="CGV11" s="133"/>
      <c r="CGW11" s="133"/>
      <c r="CGX11" s="133"/>
      <c r="CGY11" s="133"/>
      <c r="CGZ11" s="133"/>
      <c r="CHA11" s="133"/>
      <c r="CHB11" s="133"/>
      <c r="CHC11" s="133"/>
      <c r="CHD11" s="133"/>
      <c r="CHE11" s="133"/>
      <c r="CHF11" s="133"/>
      <c r="CHG11" s="133"/>
      <c r="CHH11" s="133"/>
      <c r="CHI11" s="133"/>
      <c r="CHJ11" s="133"/>
      <c r="CHK11" s="133"/>
      <c r="CHL11" s="133"/>
      <c r="CHM11" s="133"/>
      <c r="CHN11" s="133"/>
      <c r="CHO11" s="133"/>
      <c r="CHP11" s="133"/>
      <c r="CHQ11" s="133"/>
      <c r="CHR11" s="133"/>
      <c r="CHS11" s="133"/>
      <c r="CHT11" s="133"/>
      <c r="CHU11" s="133"/>
      <c r="CHV11" s="133"/>
      <c r="CHW11" s="133"/>
      <c r="CHX11" s="133"/>
      <c r="CHY11" s="133"/>
      <c r="CHZ11" s="133"/>
      <c r="CIA11" s="133"/>
      <c r="CIB11" s="133"/>
      <c r="CIC11" s="133"/>
      <c r="CID11" s="133"/>
      <c r="CIE11" s="133"/>
      <c r="CIF11" s="133"/>
      <c r="CIG11" s="133"/>
      <c r="CIH11" s="133"/>
      <c r="CII11" s="133"/>
      <c r="CIJ11" s="133"/>
      <c r="CIK11" s="133"/>
      <c r="CIL11" s="133"/>
      <c r="CIM11" s="133"/>
      <c r="CIN11" s="133"/>
      <c r="CIO11" s="133"/>
      <c r="CIP11" s="133"/>
      <c r="CIQ11" s="133"/>
      <c r="CIR11" s="133"/>
      <c r="CIS11" s="133"/>
      <c r="CIT11" s="133"/>
      <c r="CIU11" s="133"/>
      <c r="CIV11" s="133"/>
      <c r="CIW11" s="133"/>
      <c r="CIX11" s="133"/>
      <c r="CIY11" s="133"/>
      <c r="CIZ11" s="133"/>
      <c r="CJA11" s="133"/>
      <c r="CJB11" s="133"/>
      <c r="CJC11" s="133"/>
      <c r="CJD11" s="133"/>
      <c r="CJE11" s="133"/>
      <c r="CJF11" s="133"/>
      <c r="CJG11" s="133"/>
      <c r="CJH11" s="133"/>
      <c r="CJI11" s="133"/>
      <c r="CJJ11" s="133"/>
      <c r="CJK11" s="133"/>
      <c r="CJL11" s="133"/>
      <c r="CJM11" s="133"/>
      <c r="CJN11" s="133"/>
      <c r="CJO11" s="133"/>
      <c r="CJP11" s="133"/>
      <c r="CJQ11" s="133"/>
      <c r="CJR11" s="133"/>
      <c r="CJS11" s="133"/>
      <c r="CJT11" s="133"/>
      <c r="CJU11" s="133"/>
      <c r="CJV11" s="133"/>
      <c r="CJW11" s="133"/>
      <c r="CJX11" s="133"/>
      <c r="CJY11" s="133"/>
      <c r="CJZ11" s="133"/>
      <c r="CKA11" s="133"/>
      <c r="CKB11" s="133"/>
      <c r="CKC11" s="133"/>
      <c r="CKD11" s="133"/>
      <c r="CKE11" s="133"/>
      <c r="CKF11" s="133"/>
      <c r="CKG11" s="133"/>
      <c r="CKH11" s="133"/>
      <c r="CKI11" s="133"/>
      <c r="CKJ11" s="133"/>
      <c r="CKK11" s="133"/>
      <c r="CKL11" s="133"/>
      <c r="CKM11" s="133"/>
      <c r="CKN11" s="133"/>
      <c r="CKO11" s="133"/>
      <c r="CKP11" s="133"/>
      <c r="CKQ11" s="133"/>
      <c r="CKR11" s="133"/>
      <c r="CKS11" s="133"/>
      <c r="CKT11" s="133"/>
      <c r="CKU11" s="133"/>
      <c r="CKV11" s="133"/>
      <c r="CKW11" s="133"/>
      <c r="CKX11" s="133"/>
      <c r="CKY11" s="133"/>
      <c r="CKZ11" s="133"/>
      <c r="CLA11" s="133"/>
      <c r="CLB11" s="133"/>
      <c r="CLC11" s="133"/>
      <c r="CLD11" s="133"/>
      <c r="CLE11" s="133"/>
      <c r="CLF11" s="133"/>
      <c r="CLG11" s="133"/>
      <c r="CLH11" s="133"/>
      <c r="CLI11" s="133"/>
      <c r="CLJ11" s="133"/>
      <c r="CLK11" s="133"/>
      <c r="CLL11" s="133"/>
      <c r="CLM11" s="133"/>
      <c r="CLN11" s="133"/>
      <c r="CLO11" s="133"/>
      <c r="CLP11" s="133"/>
      <c r="CLQ11" s="133"/>
      <c r="CLR11" s="133"/>
      <c r="CLS11" s="133"/>
      <c r="CLT11" s="133"/>
      <c r="CLU11" s="133"/>
      <c r="CLV11" s="133"/>
      <c r="CLW11" s="133"/>
      <c r="CLX11" s="133"/>
      <c r="CLY11" s="133"/>
      <c r="CLZ11" s="133"/>
      <c r="CMA11" s="133"/>
      <c r="CMB11" s="133"/>
      <c r="CMC11" s="133"/>
      <c r="CMD11" s="133"/>
      <c r="CME11" s="133"/>
      <c r="CMF11" s="133"/>
      <c r="CMG11" s="133"/>
      <c r="CMH11" s="133"/>
      <c r="CMI11" s="133"/>
      <c r="CMJ11" s="133"/>
      <c r="CMK11" s="133"/>
      <c r="CML11" s="133"/>
      <c r="CMM11" s="133"/>
      <c r="CMN11" s="133"/>
      <c r="CMO11" s="133"/>
      <c r="CMP11" s="133"/>
      <c r="CMQ11" s="133"/>
      <c r="CMR11" s="133"/>
      <c r="CMS11" s="133"/>
      <c r="CMT11" s="133"/>
      <c r="CMU11" s="133"/>
      <c r="CMV11" s="133"/>
      <c r="CMW11" s="133"/>
      <c r="CMX11" s="133"/>
      <c r="CMY11" s="133"/>
      <c r="CMZ11" s="133"/>
      <c r="CNA11" s="133"/>
      <c r="CNB11" s="133"/>
      <c r="CNC11" s="133"/>
      <c r="CND11" s="133"/>
      <c r="CNE11" s="133"/>
      <c r="CNF11" s="133"/>
      <c r="CNG11" s="133"/>
      <c r="CNH11" s="133"/>
      <c r="CNI11" s="133"/>
      <c r="CNJ11" s="133"/>
      <c r="CNK11" s="133"/>
      <c r="CNL11" s="133"/>
      <c r="CNM11" s="133"/>
      <c r="CNN11" s="133"/>
      <c r="CNO11" s="133"/>
      <c r="CNP11" s="133"/>
      <c r="CNQ11" s="133"/>
      <c r="CNR11" s="133"/>
      <c r="CNS11" s="133"/>
      <c r="CNT11" s="133"/>
      <c r="CNU11" s="133"/>
      <c r="CNV11" s="133"/>
      <c r="CNW11" s="133"/>
      <c r="CNX11" s="133"/>
      <c r="CNY11" s="133"/>
      <c r="CNZ11" s="133"/>
      <c r="COA11" s="133"/>
      <c r="COB11" s="133"/>
      <c r="COC11" s="133"/>
      <c r="COD11" s="133"/>
      <c r="COE11" s="133"/>
      <c r="COF11" s="133"/>
      <c r="COG11" s="133"/>
      <c r="COH11" s="133"/>
      <c r="COI11" s="133"/>
      <c r="COJ11" s="133"/>
      <c r="COK11" s="133"/>
      <c r="COL11" s="133"/>
      <c r="COM11" s="133"/>
      <c r="CON11" s="133"/>
      <c r="COO11" s="133"/>
      <c r="COP11" s="133"/>
      <c r="COQ11" s="133"/>
      <c r="COR11" s="133"/>
      <c r="COS11" s="133"/>
      <c r="COT11" s="133"/>
      <c r="COU11" s="133"/>
      <c r="COV11" s="133"/>
      <c r="COW11" s="133"/>
      <c r="COX11" s="133"/>
      <c r="COY11" s="133"/>
      <c r="COZ11" s="133"/>
      <c r="CPA11" s="133"/>
      <c r="CPB11" s="133"/>
      <c r="CPC11" s="133"/>
      <c r="CPD11" s="133"/>
      <c r="CPE11" s="133"/>
      <c r="CPF11" s="133"/>
      <c r="CPG11" s="133"/>
      <c r="CPH11" s="133"/>
      <c r="CPI11" s="133"/>
      <c r="CPJ11" s="133"/>
      <c r="CPK11" s="133"/>
      <c r="CPL11" s="133"/>
      <c r="CPM11" s="133"/>
      <c r="CPN11" s="133"/>
      <c r="CPO11" s="133"/>
      <c r="CPP11" s="133"/>
      <c r="CPQ11" s="133"/>
      <c r="CPR11" s="133"/>
      <c r="CPS11" s="133"/>
      <c r="CPT11" s="133"/>
      <c r="CPU11" s="133"/>
      <c r="CPV11" s="133"/>
      <c r="CPW11" s="133"/>
      <c r="CPX11" s="133"/>
      <c r="CPY11" s="133"/>
      <c r="CPZ11" s="133"/>
      <c r="CQA11" s="133"/>
      <c r="CQB11" s="133"/>
      <c r="CQC11" s="133"/>
      <c r="CQD11" s="133"/>
      <c r="CQE11" s="133"/>
      <c r="CQF11" s="133"/>
      <c r="CQG11" s="133"/>
      <c r="CQH11" s="133"/>
      <c r="CQI11" s="133"/>
      <c r="CQJ11" s="133"/>
      <c r="CQK11" s="133"/>
      <c r="CQL11" s="133"/>
      <c r="CQM11" s="133"/>
      <c r="CQN11" s="133"/>
      <c r="CQO11" s="133"/>
      <c r="CQP11" s="133"/>
      <c r="CQQ11" s="133"/>
      <c r="CQR11" s="133"/>
      <c r="CQS11" s="133"/>
      <c r="CQT11" s="133"/>
      <c r="CQU11" s="133"/>
      <c r="CQV11" s="133"/>
      <c r="CQW11" s="133"/>
      <c r="CQX11" s="133"/>
      <c r="CQY11" s="133"/>
      <c r="CQZ11" s="133"/>
      <c r="CRA11" s="133"/>
      <c r="CRB11" s="133"/>
      <c r="CRC11" s="133"/>
      <c r="CRD11" s="133"/>
      <c r="CRE11" s="133"/>
      <c r="CRF11" s="133"/>
      <c r="CRG11" s="133"/>
      <c r="CRH11" s="133"/>
      <c r="CRI11" s="133"/>
      <c r="CRJ11" s="133"/>
      <c r="CRK11" s="133"/>
      <c r="CRL11" s="133"/>
      <c r="CRM11" s="133"/>
      <c r="CRN11" s="133"/>
      <c r="CRO11" s="133"/>
      <c r="CRP11" s="133"/>
      <c r="CRQ11" s="133"/>
      <c r="CRR11" s="133"/>
      <c r="CRS11" s="133"/>
      <c r="CRT11" s="133"/>
      <c r="CRU11" s="133"/>
      <c r="CRV11" s="133"/>
      <c r="CRW11" s="133"/>
      <c r="CRX11" s="133"/>
      <c r="CRY11" s="133"/>
      <c r="CRZ11" s="133"/>
      <c r="CSA11" s="133"/>
      <c r="CSB11" s="133"/>
      <c r="CSC11" s="133"/>
      <c r="CSD11" s="133"/>
      <c r="CSE11" s="133"/>
      <c r="CSF11" s="133"/>
      <c r="CSG11" s="133"/>
      <c r="CSH11" s="133"/>
      <c r="CSI11" s="133"/>
      <c r="CSJ11" s="133"/>
      <c r="CSK11" s="133"/>
      <c r="CSL11" s="133"/>
      <c r="CSM11" s="133"/>
      <c r="CSN11" s="133"/>
      <c r="CSO11" s="133"/>
      <c r="CSP11" s="133"/>
      <c r="CSQ11" s="133"/>
      <c r="CSR11" s="133"/>
      <c r="CSS11" s="133"/>
      <c r="CST11" s="133"/>
      <c r="CSU11" s="133"/>
      <c r="CSV11" s="133"/>
      <c r="CSW11" s="133"/>
      <c r="CSX11" s="133"/>
      <c r="CSY11" s="133"/>
      <c r="CSZ11" s="133"/>
      <c r="CTA11" s="133"/>
      <c r="CTB11" s="133"/>
      <c r="CTC11" s="133"/>
      <c r="CTD11" s="133"/>
      <c r="CTE11" s="133"/>
      <c r="CTF11" s="133"/>
      <c r="CTG11" s="133"/>
      <c r="CTH11" s="133"/>
      <c r="CTI11" s="133"/>
      <c r="CTJ11" s="133"/>
      <c r="CTK11" s="133"/>
      <c r="CTL11" s="133"/>
      <c r="CTM11" s="133"/>
      <c r="CTN11" s="133"/>
      <c r="CTO11" s="133"/>
      <c r="CTP11" s="133"/>
      <c r="CTQ11" s="133"/>
      <c r="CTR11" s="133"/>
      <c r="CTS11" s="133"/>
      <c r="CTT11" s="133"/>
      <c r="CTU11" s="133"/>
      <c r="CTV11" s="133"/>
      <c r="CTW11" s="133"/>
      <c r="CTX11" s="133"/>
      <c r="CTY11" s="133"/>
      <c r="CTZ11" s="133"/>
      <c r="CUA11" s="133"/>
      <c r="CUB11" s="133"/>
      <c r="CUC11" s="133"/>
      <c r="CUD11" s="133"/>
      <c r="CUE11" s="133"/>
      <c r="CUF11" s="133"/>
      <c r="CUG11" s="133"/>
      <c r="CUH11" s="133"/>
      <c r="CUI11" s="133"/>
      <c r="CUJ11" s="133"/>
      <c r="CUK11" s="133"/>
      <c r="CUL11" s="133"/>
      <c r="CUM11" s="133"/>
      <c r="CUN11" s="133"/>
      <c r="CUO11" s="133"/>
      <c r="CUP11" s="133"/>
      <c r="CUQ11" s="133"/>
      <c r="CUR11" s="133"/>
      <c r="CUS11" s="133"/>
      <c r="CUT11" s="133"/>
      <c r="CUU11" s="133"/>
      <c r="CUV11" s="133"/>
      <c r="CUW11" s="133"/>
      <c r="CUX11" s="133"/>
      <c r="CUY11" s="133"/>
      <c r="CUZ11" s="133"/>
      <c r="CVA11" s="133"/>
      <c r="CVB11" s="133"/>
      <c r="CVC11" s="133"/>
      <c r="CVD11" s="133"/>
      <c r="CVE11" s="133"/>
      <c r="CVF11" s="133"/>
      <c r="CVG11" s="133"/>
      <c r="CVH11" s="133"/>
      <c r="CVI11" s="133"/>
      <c r="CVJ11" s="133"/>
      <c r="CVK11" s="133"/>
      <c r="CVL11" s="133"/>
      <c r="CVM11" s="133"/>
      <c r="CVN11" s="133"/>
      <c r="CVO11" s="133"/>
      <c r="CVP11" s="133"/>
      <c r="CVQ11" s="133"/>
      <c r="CVR11" s="133"/>
      <c r="CVS11" s="133"/>
      <c r="CVT11" s="133"/>
      <c r="CVU11" s="133"/>
      <c r="CVV11" s="133"/>
      <c r="CVW11" s="133"/>
      <c r="CVX11" s="133"/>
      <c r="CVY11" s="133"/>
      <c r="CVZ11" s="133"/>
      <c r="CWA11" s="133"/>
      <c r="CWB11" s="133"/>
      <c r="CWC11" s="133"/>
      <c r="CWD11" s="133"/>
      <c r="CWE11" s="133"/>
      <c r="CWF11" s="133"/>
      <c r="CWG11" s="133"/>
      <c r="CWH11" s="133"/>
      <c r="CWI11" s="133"/>
      <c r="CWJ11" s="133"/>
      <c r="CWK11" s="133"/>
      <c r="CWL11" s="133"/>
      <c r="CWM11" s="133"/>
      <c r="CWN11" s="133"/>
      <c r="CWO11" s="133"/>
      <c r="CWP11" s="133"/>
      <c r="CWQ11" s="133"/>
      <c r="CWR11" s="133"/>
      <c r="CWS11" s="133"/>
      <c r="CWT11" s="133"/>
      <c r="CWU11" s="133"/>
      <c r="CWV11" s="133"/>
      <c r="CWW11" s="133"/>
      <c r="CWX11" s="133"/>
      <c r="CWY11" s="133"/>
      <c r="CWZ11" s="133"/>
      <c r="CXA11" s="133"/>
      <c r="CXB11" s="133"/>
      <c r="CXC11" s="133"/>
      <c r="CXD11" s="133"/>
      <c r="CXE11" s="133"/>
      <c r="CXF11" s="133"/>
      <c r="CXG11" s="133"/>
      <c r="CXH11" s="133"/>
      <c r="CXI11" s="133"/>
      <c r="CXJ11" s="133"/>
      <c r="CXK11" s="133"/>
      <c r="CXL11" s="133"/>
      <c r="CXM11" s="133"/>
      <c r="CXN11" s="133"/>
      <c r="CXO11" s="133"/>
      <c r="CXP11" s="133"/>
      <c r="CXQ11" s="133"/>
      <c r="CXR11" s="133"/>
      <c r="CXS11" s="133"/>
      <c r="CXT11" s="133"/>
      <c r="CXU11" s="133"/>
      <c r="CXV11" s="133"/>
      <c r="CXW11" s="133"/>
      <c r="CXX11" s="133"/>
      <c r="CXY11" s="133"/>
      <c r="CXZ11" s="133"/>
      <c r="CYA11" s="133"/>
      <c r="CYB11" s="133"/>
      <c r="CYC11" s="133"/>
      <c r="CYD11" s="133"/>
      <c r="CYE11" s="133"/>
      <c r="CYF11" s="133"/>
      <c r="CYG11" s="133"/>
      <c r="CYH11" s="133"/>
      <c r="CYI11" s="133"/>
      <c r="CYJ11" s="133"/>
      <c r="CYK11" s="133"/>
      <c r="CYL11" s="133"/>
      <c r="CYM11" s="133"/>
      <c r="CYN11" s="133"/>
      <c r="CYO11" s="133"/>
      <c r="CYP11" s="133"/>
      <c r="CYQ11" s="133"/>
      <c r="CYR11" s="133"/>
      <c r="CYS11" s="133"/>
      <c r="CYT11" s="133"/>
      <c r="CYU11" s="133"/>
      <c r="CYV11" s="133"/>
      <c r="CYW11" s="133"/>
      <c r="CYX11" s="133"/>
      <c r="CYY11" s="133"/>
      <c r="CYZ11" s="133"/>
      <c r="CZA11" s="133"/>
      <c r="CZB11" s="133"/>
      <c r="CZC11" s="133"/>
      <c r="CZD11" s="133"/>
      <c r="CZE11" s="133"/>
      <c r="CZF11" s="133"/>
      <c r="CZG11" s="133"/>
      <c r="CZH11" s="133"/>
      <c r="CZI11" s="133"/>
      <c r="CZJ11" s="133"/>
      <c r="CZK11" s="133"/>
      <c r="CZL11" s="133"/>
      <c r="CZM11" s="133"/>
      <c r="CZN11" s="133"/>
      <c r="CZO11" s="133"/>
      <c r="CZP11" s="133"/>
      <c r="CZQ11" s="133"/>
      <c r="CZR11" s="133"/>
      <c r="CZS11" s="133"/>
      <c r="CZT11" s="133"/>
      <c r="CZU11" s="133"/>
      <c r="CZV11" s="133"/>
      <c r="CZW11" s="133"/>
      <c r="CZX11" s="133"/>
      <c r="CZY11" s="133"/>
      <c r="CZZ11" s="133"/>
      <c r="DAA11" s="133"/>
      <c r="DAB11" s="133"/>
      <c r="DAC11" s="133"/>
      <c r="DAD11" s="133"/>
      <c r="DAE11" s="133"/>
      <c r="DAF11" s="133"/>
      <c r="DAG11" s="133"/>
      <c r="DAH11" s="133"/>
      <c r="DAI11" s="133"/>
      <c r="DAJ11" s="133"/>
      <c r="DAK11" s="133"/>
      <c r="DAL11" s="133"/>
      <c r="DAM11" s="133"/>
      <c r="DAN11" s="133"/>
      <c r="DAO11" s="133"/>
      <c r="DAP11" s="133"/>
      <c r="DAQ11" s="133"/>
      <c r="DAR11" s="133"/>
      <c r="DAS11" s="133"/>
      <c r="DAT11" s="133"/>
      <c r="DAU11" s="133"/>
      <c r="DAV11" s="133"/>
      <c r="DAW11" s="133"/>
      <c r="DAX11" s="133"/>
      <c r="DAY11" s="133"/>
      <c r="DAZ11" s="133"/>
      <c r="DBA11" s="133"/>
      <c r="DBB11" s="133"/>
      <c r="DBC11" s="133"/>
      <c r="DBD11" s="133"/>
      <c r="DBE11" s="133"/>
      <c r="DBF11" s="133"/>
      <c r="DBG11" s="133"/>
      <c r="DBH11" s="133"/>
      <c r="DBI11" s="133"/>
      <c r="DBJ11" s="133"/>
      <c r="DBK11" s="133"/>
      <c r="DBL11" s="133"/>
      <c r="DBM11" s="133"/>
      <c r="DBN11" s="133"/>
      <c r="DBO11" s="133"/>
      <c r="DBP11" s="133"/>
      <c r="DBQ11" s="133"/>
      <c r="DBR11" s="133"/>
      <c r="DBS11" s="133"/>
      <c r="DBT11" s="133"/>
      <c r="DBU11" s="133"/>
      <c r="DBV11" s="133"/>
      <c r="DBW11" s="133"/>
      <c r="DBX11" s="133"/>
      <c r="DBY11" s="133"/>
      <c r="DBZ11" s="133"/>
      <c r="DCA11" s="133"/>
      <c r="DCB11" s="133"/>
      <c r="DCC11" s="133"/>
      <c r="DCD11" s="133"/>
      <c r="DCE11" s="133"/>
      <c r="DCF11" s="133"/>
      <c r="DCG11" s="133"/>
      <c r="DCH11" s="133"/>
      <c r="DCI11" s="133"/>
      <c r="DCJ11" s="133"/>
      <c r="DCK11" s="133"/>
      <c r="DCL11" s="133"/>
      <c r="DCM11" s="133"/>
      <c r="DCN11" s="133"/>
      <c r="DCO11" s="133"/>
      <c r="DCP11" s="133"/>
      <c r="DCQ11" s="133"/>
      <c r="DCR11" s="133"/>
      <c r="DCS11" s="133"/>
      <c r="DCT11" s="133"/>
      <c r="DCU11" s="133"/>
      <c r="DCV11" s="133"/>
      <c r="DCW11" s="133"/>
      <c r="DCX11" s="133"/>
      <c r="DCY11" s="133"/>
      <c r="DCZ11" s="133"/>
      <c r="DDA11" s="133"/>
      <c r="DDB11" s="133"/>
      <c r="DDC11" s="133"/>
      <c r="DDD11" s="133"/>
      <c r="DDE11" s="133"/>
      <c r="DDF11" s="133"/>
      <c r="DDG11" s="133"/>
      <c r="DDH11" s="133"/>
      <c r="DDI11" s="133"/>
      <c r="DDJ11" s="133"/>
      <c r="DDK11" s="133"/>
      <c r="DDL11" s="133"/>
      <c r="DDM11" s="133"/>
      <c r="DDN11" s="133"/>
      <c r="DDO11" s="133"/>
      <c r="DDP11" s="133"/>
      <c r="DDQ11" s="133"/>
      <c r="DDR11" s="133"/>
      <c r="DDS11" s="133"/>
      <c r="DDT11" s="133"/>
      <c r="DDU11" s="133"/>
      <c r="DDV11" s="133"/>
      <c r="DDW11" s="133"/>
      <c r="DDX11" s="133"/>
      <c r="DDY11" s="133"/>
      <c r="DDZ11" s="133"/>
      <c r="DEA11" s="133"/>
      <c r="DEB11" s="133"/>
      <c r="DEC11" s="133"/>
      <c r="DED11" s="133"/>
      <c r="DEE11" s="133"/>
      <c r="DEF11" s="133"/>
      <c r="DEG11" s="133"/>
      <c r="DEH11" s="133"/>
      <c r="DEI11" s="133"/>
      <c r="DEJ11" s="133"/>
      <c r="DEK11" s="133"/>
      <c r="DEL11" s="133"/>
      <c r="DEM11" s="133"/>
      <c r="DEN11" s="133"/>
      <c r="DEO11" s="133"/>
      <c r="DEP11" s="133"/>
      <c r="DEQ11" s="133"/>
      <c r="DER11" s="133"/>
      <c r="DES11" s="133"/>
      <c r="DET11" s="133"/>
      <c r="DEU11" s="133"/>
      <c r="DEV11" s="133"/>
      <c r="DEW11" s="133"/>
      <c r="DEX11" s="133"/>
      <c r="DEY11" s="133"/>
      <c r="DEZ11" s="133"/>
      <c r="DFA11" s="133"/>
      <c r="DFB11" s="133"/>
      <c r="DFC11" s="133"/>
      <c r="DFD11" s="133"/>
      <c r="DFE11" s="133"/>
      <c r="DFF11" s="133"/>
      <c r="DFG11" s="133"/>
      <c r="DFH11" s="133"/>
      <c r="DFI11" s="133"/>
      <c r="DFJ11" s="133"/>
      <c r="DFK11" s="133"/>
      <c r="DFL11" s="133"/>
      <c r="DFM11" s="133"/>
      <c r="DFN11" s="133"/>
      <c r="DFO11" s="133"/>
      <c r="DFP11" s="133"/>
      <c r="DFQ11" s="133"/>
      <c r="DFR11" s="133"/>
      <c r="DFS11" s="133"/>
      <c r="DFT11" s="133"/>
      <c r="DFU11" s="133"/>
      <c r="DFV11" s="133"/>
      <c r="DFW11" s="133"/>
      <c r="DFX11" s="133"/>
      <c r="DFY11" s="133"/>
      <c r="DFZ11" s="133"/>
      <c r="DGA11" s="133"/>
      <c r="DGB11" s="133"/>
      <c r="DGC11" s="133"/>
      <c r="DGD11" s="133"/>
      <c r="DGE11" s="133"/>
      <c r="DGF11" s="133"/>
      <c r="DGG11" s="133"/>
      <c r="DGH11" s="133"/>
      <c r="DGI11" s="133"/>
      <c r="DGJ11" s="133"/>
      <c r="DGK11" s="133"/>
      <c r="DGL11" s="133"/>
      <c r="DGM11" s="133"/>
      <c r="DGN11" s="133"/>
      <c r="DGO11" s="133"/>
      <c r="DGP11" s="133"/>
      <c r="DGQ11" s="133"/>
      <c r="DGR11" s="133"/>
      <c r="DGS11" s="133"/>
      <c r="DGT11" s="133"/>
      <c r="DGU11" s="133"/>
      <c r="DGV11" s="133"/>
      <c r="DGW11" s="133"/>
      <c r="DGX11" s="133"/>
      <c r="DGY11" s="133"/>
      <c r="DGZ11" s="133"/>
      <c r="DHA11" s="133"/>
      <c r="DHB11" s="133"/>
      <c r="DHC11" s="133"/>
      <c r="DHD11" s="133"/>
      <c r="DHE11" s="133"/>
      <c r="DHF11" s="133"/>
      <c r="DHG11" s="133"/>
      <c r="DHH11" s="133"/>
      <c r="DHI11" s="133"/>
      <c r="DHJ11" s="133"/>
      <c r="DHK11" s="133"/>
      <c r="DHL11" s="133"/>
      <c r="DHM11" s="133"/>
      <c r="DHN11" s="133"/>
      <c r="DHO11" s="133"/>
      <c r="DHP11" s="133"/>
      <c r="DHQ11" s="133"/>
      <c r="DHR11" s="133"/>
      <c r="DHS11" s="133"/>
      <c r="DHT11" s="133"/>
      <c r="DHU11" s="133"/>
      <c r="DHV11" s="133"/>
      <c r="DHW11" s="133"/>
      <c r="DHX11" s="133"/>
      <c r="DHY11" s="133"/>
      <c r="DHZ11" s="133"/>
      <c r="DIA11" s="133"/>
      <c r="DIB11" s="133"/>
      <c r="DIC11" s="133"/>
      <c r="DID11" s="133"/>
      <c r="DIE11" s="133"/>
      <c r="DIF11" s="133"/>
      <c r="DIG11" s="133"/>
      <c r="DIH11" s="133"/>
      <c r="DII11" s="133"/>
      <c r="DIJ11" s="133"/>
      <c r="DIK11" s="133"/>
      <c r="DIL11" s="133"/>
      <c r="DIM11" s="133"/>
      <c r="DIN11" s="133"/>
      <c r="DIO11" s="133"/>
      <c r="DIP11" s="133"/>
      <c r="DIQ11" s="133"/>
      <c r="DIR11" s="133"/>
      <c r="DIS11" s="133"/>
      <c r="DIT11" s="133"/>
      <c r="DIU11" s="133"/>
      <c r="DIV11" s="133"/>
      <c r="DIW11" s="133"/>
      <c r="DIX11" s="133"/>
      <c r="DIY11" s="133"/>
      <c r="DIZ11" s="133"/>
      <c r="DJA11" s="133"/>
      <c r="DJB11" s="133"/>
      <c r="DJC11" s="133"/>
      <c r="DJD11" s="133"/>
      <c r="DJE11" s="133"/>
      <c r="DJF11" s="133"/>
      <c r="DJG11" s="133"/>
      <c r="DJH11" s="133"/>
      <c r="DJI11" s="133"/>
      <c r="DJJ11" s="133"/>
      <c r="DJK11" s="133"/>
      <c r="DJL11" s="133"/>
      <c r="DJM11" s="133"/>
      <c r="DJN11" s="133"/>
      <c r="DJO11" s="133"/>
      <c r="DJP11" s="133"/>
      <c r="DJQ11" s="133"/>
      <c r="DJR11" s="133"/>
      <c r="DJS11" s="133"/>
      <c r="DJT11" s="133"/>
      <c r="DJU11" s="133"/>
      <c r="DJV11" s="133"/>
      <c r="DJW11" s="133"/>
      <c r="DJX11" s="133"/>
      <c r="DJY11" s="133"/>
      <c r="DJZ11" s="133"/>
      <c r="DKA11" s="133"/>
      <c r="DKB11" s="133"/>
      <c r="DKC11" s="133"/>
      <c r="DKD11" s="133"/>
      <c r="DKE11" s="133"/>
      <c r="DKF11" s="133"/>
      <c r="DKG11" s="133"/>
      <c r="DKH11" s="133"/>
      <c r="DKI11" s="133"/>
      <c r="DKJ11" s="133"/>
      <c r="DKK11" s="133"/>
      <c r="DKL11" s="133"/>
      <c r="DKM11" s="133"/>
      <c r="DKN11" s="133"/>
      <c r="DKO11" s="133"/>
      <c r="DKP11" s="133"/>
      <c r="DKQ11" s="133"/>
      <c r="DKR11" s="133"/>
      <c r="DKS11" s="133"/>
      <c r="DKT11" s="133"/>
      <c r="DKU11" s="133"/>
      <c r="DKV11" s="133"/>
      <c r="DKW11" s="133"/>
      <c r="DKX11" s="133"/>
      <c r="DKY11" s="133"/>
      <c r="DKZ11" s="133"/>
      <c r="DLA11" s="133"/>
      <c r="DLB11" s="133"/>
      <c r="DLC11" s="133"/>
      <c r="DLD11" s="133"/>
      <c r="DLE11" s="133"/>
      <c r="DLF11" s="133"/>
      <c r="DLG11" s="133"/>
      <c r="DLH11" s="133"/>
      <c r="DLI11" s="133"/>
      <c r="DLJ11" s="133"/>
      <c r="DLK11" s="133"/>
      <c r="DLL11" s="133"/>
      <c r="DLM11" s="133"/>
      <c r="DLN11" s="133"/>
      <c r="DLO11" s="133"/>
      <c r="DLP11" s="133"/>
      <c r="DLQ11" s="133"/>
      <c r="DLR11" s="133"/>
      <c r="DLS11" s="133"/>
      <c r="DLT11" s="133"/>
      <c r="DLU11" s="133"/>
      <c r="DLV11" s="133"/>
      <c r="DLW11" s="133"/>
      <c r="DLX11" s="133"/>
      <c r="DLY11" s="133"/>
      <c r="DLZ11" s="133"/>
      <c r="DMA11" s="133"/>
      <c r="DMB11" s="133"/>
      <c r="DMC11" s="133"/>
      <c r="DMD11" s="133"/>
      <c r="DME11" s="133"/>
      <c r="DMF11" s="133"/>
      <c r="DMG11" s="133"/>
      <c r="DMH11" s="133"/>
      <c r="DMI11" s="133"/>
      <c r="DMJ11" s="133"/>
      <c r="DMK11" s="133"/>
      <c r="DML11" s="133"/>
      <c r="DMM11" s="133"/>
      <c r="DMN11" s="133"/>
      <c r="DMO11" s="133"/>
      <c r="DMP11" s="133"/>
      <c r="DMQ11" s="133"/>
      <c r="DMR11" s="133"/>
      <c r="DMS11" s="133"/>
      <c r="DMT11" s="133"/>
      <c r="DMU11" s="133"/>
      <c r="DMV11" s="133"/>
      <c r="DMW11" s="133"/>
      <c r="DMX11" s="133"/>
      <c r="DMY11" s="133"/>
      <c r="DMZ11" s="133"/>
      <c r="DNA11" s="133"/>
      <c r="DNB11" s="133"/>
      <c r="DNC11" s="133"/>
      <c r="DND11" s="133"/>
      <c r="DNE11" s="133"/>
      <c r="DNF11" s="133"/>
      <c r="DNG11" s="133"/>
      <c r="DNH11" s="133"/>
      <c r="DNI11" s="133"/>
      <c r="DNJ11" s="133"/>
      <c r="DNK11" s="133"/>
      <c r="DNL11" s="133"/>
      <c r="DNM11" s="133"/>
      <c r="DNN11" s="133"/>
      <c r="DNO11" s="133"/>
      <c r="DNP11" s="133"/>
      <c r="DNQ11" s="133"/>
      <c r="DNR11" s="133"/>
      <c r="DNS11" s="133"/>
      <c r="DNT11" s="133"/>
      <c r="DNU11" s="133"/>
      <c r="DNV11" s="133"/>
      <c r="DNW11" s="133"/>
      <c r="DNX11" s="133"/>
      <c r="DNY11" s="133"/>
      <c r="DNZ11" s="133"/>
      <c r="DOA11" s="133"/>
      <c r="DOB11" s="133"/>
      <c r="DOC11" s="133"/>
      <c r="DOD11" s="133"/>
      <c r="DOE11" s="133"/>
      <c r="DOF11" s="133"/>
      <c r="DOG11" s="133"/>
      <c r="DOH11" s="133"/>
      <c r="DOI11" s="133"/>
      <c r="DOJ11" s="133"/>
      <c r="DOK11" s="133"/>
      <c r="DOL11" s="133"/>
      <c r="DOM11" s="133"/>
      <c r="DON11" s="133"/>
      <c r="DOO11" s="133"/>
      <c r="DOP11" s="133"/>
      <c r="DOQ11" s="133"/>
      <c r="DOR11" s="133"/>
      <c r="DOS11" s="133"/>
      <c r="DOT11" s="133"/>
      <c r="DOU11" s="133"/>
      <c r="DOV11" s="133"/>
      <c r="DOW11" s="133"/>
      <c r="DOX11" s="133"/>
      <c r="DOY11" s="133"/>
      <c r="DOZ11" s="133"/>
      <c r="DPA11" s="133"/>
      <c r="DPB11" s="133"/>
      <c r="DPC11" s="133"/>
      <c r="DPD11" s="133"/>
      <c r="DPE11" s="133"/>
      <c r="DPF11" s="133"/>
      <c r="DPG11" s="133"/>
      <c r="DPH11" s="133"/>
      <c r="DPI11" s="133"/>
      <c r="DPJ11" s="133"/>
      <c r="DPK11" s="133"/>
      <c r="DPL11" s="133"/>
      <c r="DPM11" s="133"/>
      <c r="DPN11" s="133"/>
      <c r="DPO11" s="133"/>
      <c r="DPP11" s="133"/>
      <c r="DPQ11" s="133"/>
      <c r="DPR11" s="133"/>
      <c r="DPS11" s="133"/>
      <c r="DPT11" s="133"/>
      <c r="DPU11" s="133"/>
      <c r="DPV11" s="133"/>
      <c r="DPW11" s="133"/>
      <c r="DPX11" s="133"/>
      <c r="DPY11" s="133"/>
      <c r="DPZ11" s="133"/>
      <c r="DQA11" s="133"/>
      <c r="DQB11" s="133"/>
      <c r="DQC11" s="133"/>
      <c r="DQD11" s="133"/>
      <c r="DQE11" s="133"/>
      <c r="DQF11" s="133"/>
      <c r="DQG11" s="133"/>
      <c r="DQH11" s="133"/>
      <c r="DQI11" s="133"/>
      <c r="DQJ11" s="133"/>
      <c r="DQK11" s="133"/>
      <c r="DQL11" s="133"/>
      <c r="DQM11" s="133"/>
      <c r="DQN11" s="133"/>
      <c r="DQO11" s="133"/>
      <c r="DQP11" s="133"/>
      <c r="DQQ11" s="133"/>
      <c r="DQR11" s="133"/>
      <c r="DQS11" s="133"/>
      <c r="DQT11" s="133"/>
      <c r="DQU11" s="133"/>
      <c r="DQV11" s="133"/>
      <c r="DQW11" s="133"/>
      <c r="DQX11" s="133"/>
      <c r="DQY11" s="133"/>
      <c r="DQZ11" s="133"/>
      <c r="DRA11" s="133"/>
      <c r="DRB11" s="133"/>
      <c r="DRC11" s="133"/>
      <c r="DRD11" s="133"/>
      <c r="DRE11" s="133"/>
      <c r="DRF11" s="133"/>
      <c r="DRG11" s="133"/>
      <c r="DRH11" s="133"/>
      <c r="DRI11" s="133"/>
      <c r="DRJ11" s="133"/>
      <c r="DRK11" s="133"/>
      <c r="DRL11" s="133"/>
      <c r="DRM11" s="133"/>
      <c r="DRN11" s="133"/>
      <c r="DRO11" s="133"/>
      <c r="DRP11" s="133"/>
      <c r="DRQ11" s="133"/>
      <c r="DRR11" s="133"/>
      <c r="DRS11" s="133"/>
      <c r="DRT11" s="133"/>
      <c r="DRU11" s="133"/>
      <c r="DRV11" s="133"/>
      <c r="DRW11" s="133"/>
      <c r="DRX11" s="133"/>
      <c r="DRY11" s="133"/>
      <c r="DRZ11" s="133"/>
      <c r="DSA11" s="133"/>
      <c r="DSB11" s="133"/>
      <c r="DSC11" s="133"/>
      <c r="DSD11" s="133"/>
      <c r="DSE11" s="133"/>
      <c r="DSF11" s="133"/>
      <c r="DSG11" s="133"/>
      <c r="DSH11" s="133"/>
      <c r="DSI11" s="133"/>
      <c r="DSJ11" s="133"/>
      <c r="DSK11" s="133"/>
      <c r="DSL11" s="133"/>
      <c r="DSM11" s="133"/>
      <c r="DSN11" s="133"/>
      <c r="DSO11" s="133"/>
      <c r="DSP11" s="133"/>
      <c r="DSQ11" s="133"/>
      <c r="DSR11" s="133"/>
      <c r="DSS11" s="133"/>
      <c r="DST11" s="133"/>
      <c r="DSU11" s="133"/>
      <c r="DSV11" s="133"/>
      <c r="DSW11" s="133"/>
      <c r="DSX11" s="133"/>
      <c r="DSY11" s="133"/>
      <c r="DSZ11" s="133"/>
      <c r="DTA11" s="133"/>
      <c r="DTB11" s="133"/>
      <c r="DTC11" s="133"/>
      <c r="DTD11" s="133"/>
      <c r="DTE11" s="133"/>
      <c r="DTF11" s="133"/>
      <c r="DTG11" s="133"/>
      <c r="DTH11" s="133"/>
      <c r="DTI11" s="133"/>
      <c r="DTJ11" s="133"/>
      <c r="DTK11" s="133"/>
      <c r="DTL11" s="133"/>
      <c r="DTM11" s="133"/>
      <c r="DTN11" s="133"/>
      <c r="DTO11" s="133"/>
      <c r="DTP11" s="133"/>
      <c r="DTQ11" s="133"/>
      <c r="DTR11" s="133"/>
      <c r="DTS11" s="133"/>
      <c r="DTT11" s="133"/>
      <c r="DTU11" s="133"/>
      <c r="DTV11" s="133"/>
      <c r="DTW11" s="133"/>
      <c r="DTX11" s="133"/>
      <c r="DTY11" s="133"/>
      <c r="DTZ11" s="133"/>
      <c r="DUA11" s="133"/>
      <c r="DUB11" s="133"/>
      <c r="DUC11" s="133"/>
      <c r="DUD11" s="133"/>
      <c r="DUE11" s="133"/>
      <c r="DUF11" s="133"/>
      <c r="DUG11" s="133"/>
      <c r="DUH11" s="133"/>
      <c r="DUI11" s="133"/>
      <c r="DUJ11" s="133"/>
      <c r="DUK11" s="133"/>
      <c r="DUL11" s="133"/>
      <c r="DUM11" s="133"/>
      <c r="DUN11" s="133"/>
      <c r="DUO11" s="133"/>
      <c r="DUP11" s="133"/>
      <c r="DUQ11" s="133"/>
      <c r="DUR11" s="133"/>
      <c r="DUS11" s="133"/>
      <c r="DUT11" s="133"/>
      <c r="DUU11" s="133"/>
      <c r="DUV11" s="133"/>
      <c r="DUW11" s="133"/>
      <c r="DUX11" s="133"/>
      <c r="DUY11" s="133"/>
      <c r="DUZ11" s="133"/>
      <c r="DVA11" s="133"/>
      <c r="DVB11" s="133"/>
      <c r="DVC11" s="133"/>
      <c r="DVD11" s="133"/>
      <c r="DVE11" s="133"/>
      <c r="DVF11" s="133"/>
      <c r="DVG11" s="133"/>
      <c r="DVH11" s="133"/>
      <c r="DVI11" s="133"/>
      <c r="DVJ11" s="133"/>
      <c r="DVK11" s="133"/>
      <c r="DVL11" s="133"/>
      <c r="DVM11" s="133"/>
      <c r="DVN11" s="133"/>
      <c r="DVO11" s="133"/>
      <c r="DVP11" s="133"/>
      <c r="DVQ11" s="133"/>
      <c r="DVR11" s="133"/>
      <c r="DVS11" s="133"/>
      <c r="DVT11" s="133"/>
      <c r="DVU11" s="133"/>
      <c r="DVV11" s="133"/>
      <c r="DVW11" s="133"/>
      <c r="DVX11" s="133"/>
      <c r="DVY11" s="133"/>
      <c r="DVZ11" s="133"/>
      <c r="DWA11" s="133"/>
      <c r="DWB11" s="133"/>
      <c r="DWC11" s="133"/>
      <c r="DWD11" s="133"/>
      <c r="DWE11" s="133"/>
      <c r="DWF11" s="133"/>
      <c r="DWG11" s="133"/>
      <c r="DWH11" s="133"/>
      <c r="DWI11" s="133"/>
      <c r="DWJ11" s="133"/>
      <c r="DWK11" s="133"/>
      <c r="DWL11" s="133"/>
      <c r="DWM11" s="133"/>
      <c r="DWN11" s="133"/>
      <c r="DWO11" s="133"/>
      <c r="DWP11" s="133"/>
      <c r="DWQ11" s="133"/>
      <c r="DWR11" s="133"/>
      <c r="DWS11" s="133"/>
      <c r="DWT11" s="133"/>
      <c r="DWU11" s="133"/>
      <c r="DWV11" s="133"/>
      <c r="DWW11" s="133"/>
      <c r="DWX11" s="133"/>
      <c r="DWY11" s="133"/>
      <c r="DWZ11" s="133"/>
      <c r="DXA11" s="133"/>
      <c r="DXB11" s="133"/>
      <c r="DXC11" s="133"/>
      <c r="DXD11" s="133"/>
      <c r="DXE11" s="133"/>
      <c r="DXF11" s="133"/>
      <c r="DXG11" s="133"/>
      <c r="DXH11" s="133"/>
      <c r="DXI11" s="133"/>
      <c r="DXJ11" s="133"/>
      <c r="DXK11" s="133"/>
      <c r="DXL11" s="133"/>
      <c r="DXM11" s="133"/>
      <c r="DXN11" s="133"/>
      <c r="DXO11" s="133"/>
      <c r="DXP11" s="133"/>
      <c r="DXQ11" s="133"/>
      <c r="DXR11" s="133"/>
      <c r="DXS11" s="133"/>
      <c r="DXT11" s="133"/>
      <c r="DXU11" s="133"/>
      <c r="DXV11" s="133"/>
      <c r="DXW11" s="133"/>
      <c r="DXX11" s="133"/>
      <c r="DXY11" s="133"/>
      <c r="DXZ11" s="133"/>
      <c r="DYA11" s="133"/>
      <c r="DYB11" s="133"/>
      <c r="DYC11" s="133"/>
      <c r="DYD11" s="133"/>
      <c r="DYE11" s="133"/>
      <c r="DYF11" s="133"/>
      <c r="DYG11" s="133"/>
      <c r="DYH11" s="133"/>
      <c r="DYI11" s="133"/>
      <c r="DYJ11" s="133"/>
      <c r="DYK11" s="133"/>
      <c r="DYL11" s="133"/>
      <c r="DYM11" s="133"/>
      <c r="DYN11" s="133"/>
      <c r="DYO11" s="133"/>
      <c r="DYP11" s="133"/>
      <c r="DYQ11" s="133"/>
      <c r="DYR11" s="133"/>
      <c r="DYS11" s="133"/>
      <c r="DYT11" s="133"/>
      <c r="DYU11" s="133"/>
      <c r="DYV11" s="133"/>
      <c r="DYW11" s="133"/>
      <c r="DYX11" s="133"/>
      <c r="DYY11" s="133"/>
      <c r="DYZ11" s="133"/>
      <c r="DZA11" s="133"/>
      <c r="DZB11" s="133"/>
      <c r="DZC11" s="133"/>
      <c r="DZD11" s="133"/>
      <c r="DZE11" s="133"/>
      <c r="DZF11" s="133"/>
      <c r="DZG11" s="133"/>
      <c r="DZH11" s="133"/>
      <c r="DZI11" s="133"/>
      <c r="DZJ11" s="133"/>
      <c r="DZK11" s="133"/>
      <c r="DZL11" s="133"/>
      <c r="DZM11" s="133"/>
      <c r="DZN11" s="133"/>
      <c r="DZO11" s="133"/>
      <c r="DZP11" s="133"/>
      <c r="DZQ11" s="133"/>
      <c r="DZR11" s="133"/>
      <c r="DZS11" s="133"/>
      <c r="DZT11" s="133"/>
      <c r="DZU11" s="133"/>
      <c r="DZV11" s="133"/>
      <c r="DZW11" s="133"/>
      <c r="DZX11" s="133"/>
      <c r="DZY11" s="133"/>
      <c r="DZZ11" s="133"/>
      <c r="EAA11" s="133"/>
      <c r="EAB11" s="133"/>
      <c r="EAC11" s="133"/>
      <c r="EAD11" s="133"/>
      <c r="EAE11" s="133"/>
      <c r="EAF11" s="133"/>
      <c r="EAG11" s="133"/>
      <c r="EAH11" s="133"/>
      <c r="EAI11" s="133"/>
      <c r="EAJ11" s="133"/>
      <c r="EAK11" s="133"/>
      <c r="EAL11" s="133"/>
      <c r="EAM11" s="133"/>
      <c r="EAN11" s="133"/>
      <c r="EAO11" s="133"/>
      <c r="EAP11" s="133"/>
      <c r="EAQ11" s="133"/>
      <c r="EAR11" s="133"/>
      <c r="EAS11" s="133"/>
      <c r="EAT11" s="133"/>
      <c r="EAU11" s="133"/>
      <c r="EAV11" s="133"/>
      <c r="EAW11" s="133"/>
      <c r="EAX11" s="133"/>
      <c r="EAY11" s="133"/>
      <c r="EAZ11" s="133"/>
      <c r="EBA11" s="133"/>
      <c r="EBB11" s="133"/>
      <c r="EBC11" s="133"/>
      <c r="EBD11" s="133"/>
      <c r="EBE11" s="133"/>
      <c r="EBF11" s="133"/>
      <c r="EBG11" s="133"/>
      <c r="EBH11" s="133"/>
      <c r="EBI11" s="133"/>
      <c r="EBJ11" s="133"/>
      <c r="EBK11" s="133"/>
      <c r="EBL11" s="133"/>
      <c r="EBM11" s="133"/>
      <c r="EBN11" s="133"/>
      <c r="EBO11" s="133"/>
      <c r="EBP11" s="133"/>
      <c r="EBQ11" s="133"/>
      <c r="EBR11" s="133"/>
      <c r="EBS11" s="133"/>
      <c r="EBT11" s="133"/>
      <c r="EBU11" s="133"/>
      <c r="EBV11" s="133"/>
      <c r="EBW11" s="133"/>
      <c r="EBX11" s="133"/>
      <c r="EBY11" s="133"/>
      <c r="EBZ11" s="133"/>
      <c r="ECA11" s="133"/>
      <c r="ECB11" s="133"/>
      <c r="ECC11" s="133"/>
      <c r="ECD11" s="133"/>
      <c r="ECE11" s="133"/>
      <c r="ECF11" s="133"/>
      <c r="ECG11" s="133"/>
      <c r="ECH11" s="133"/>
      <c r="ECI11" s="133"/>
      <c r="ECJ11" s="133"/>
      <c r="ECK11" s="133"/>
      <c r="ECL11" s="133"/>
      <c r="ECM11" s="133"/>
      <c r="ECN11" s="133"/>
      <c r="ECO11" s="133"/>
      <c r="ECP11" s="133"/>
      <c r="ECQ11" s="133"/>
      <c r="ECR11" s="133"/>
      <c r="ECS11" s="133"/>
      <c r="ECT11" s="133"/>
      <c r="ECU11" s="133"/>
      <c r="ECV11" s="133"/>
      <c r="ECW11" s="133"/>
      <c r="ECX11" s="133"/>
      <c r="ECY11" s="133"/>
      <c r="ECZ11" s="133"/>
      <c r="EDA11" s="133"/>
      <c r="EDB11" s="133"/>
      <c r="EDC11" s="133"/>
      <c r="EDD11" s="133"/>
      <c r="EDE11" s="133"/>
      <c r="EDF11" s="133"/>
      <c r="EDG11" s="133"/>
      <c r="EDH11" s="133"/>
      <c r="EDI11" s="133"/>
      <c r="EDJ11" s="133"/>
      <c r="EDK11" s="133"/>
      <c r="EDL11" s="133"/>
      <c r="EDM11" s="133"/>
      <c r="EDN11" s="133"/>
      <c r="EDO11" s="133"/>
      <c r="EDP11" s="133"/>
      <c r="EDQ11" s="133"/>
      <c r="EDR11" s="133"/>
      <c r="EDS11" s="133"/>
      <c r="EDT11" s="133"/>
      <c r="EDU11" s="133"/>
      <c r="EDV11" s="133"/>
      <c r="EDW11" s="133"/>
      <c r="EDX11" s="133"/>
      <c r="EDY11" s="133"/>
      <c r="EDZ11" s="133"/>
      <c r="EEA11" s="133"/>
      <c r="EEB11" s="133"/>
      <c r="EEC11" s="133"/>
      <c r="EED11" s="133"/>
      <c r="EEE11" s="133"/>
      <c r="EEF11" s="133"/>
      <c r="EEG11" s="133"/>
      <c r="EEH11" s="133"/>
      <c r="EEI11" s="133"/>
      <c r="EEJ11" s="133"/>
      <c r="EEK11" s="133"/>
      <c r="EEL11" s="133"/>
      <c r="EEM11" s="133"/>
      <c r="EEN11" s="133"/>
      <c r="EEO11" s="133"/>
      <c r="EEP11" s="133"/>
      <c r="EEQ11" s="133"/>
      <c r="EER11" s="133"/>
      <c r="EES11" s="133"/>
      <c r="EET11" s="133"/>
      <c r="EEU11" s="133"/>
      <c r="EEV11" s="133"/>
      <c r="EEW11" s="133"/>
      <c r="EEX11" s="133"/>
      <c r="EEY11" s="133"/>
      <c r="EEZ11" s="133"/>
      <c r="EFA11" s="133"/>
      <c r="EFB11" s="133"/>
      <c r="EFC11" s="133"/>
      <c r="EFD11" s="133"/>
      <c r="EFE11" s="133"/>
      <c r="EFF11" s="133"/>
      <c r="EFG11" s="133"/>
      <c r="EFH11" s="133"/>
      <c r="EFI11" s="133"/>
      <c r="EFJ11" s="133"/>
      <c r="EFK11" s="133"/>
      <c r="EFL11" s="133"/>
      <c r="EFM11" s="133"/>
      <c r="EFN11" s="133"/>
      <c r="EFO11" s="133"/>
      <c r="EFP11" s="133"/>
      <c r="EFQ11" s="133"/>
      <c r="EFR11" s="133"/>
      <c r="EFS11" s="133"/>
      <c r="EFT11" s="133"/>
      <c r="EFU11" s="133"/>
      <c r="EFV11" s="133"/>
      <c r="EFW11" s="133"/>
      <c r="EFX11" s="133"/>
      <c r="EFY11" s="133"/>
      <c r="EFZ11" s="133"/>
      <c r="EGA11" s="133"/>
      <c r="EGB11" s="133"/>
      <c r="EGC11" s="133"/>
      <c r="EGD11" s="133"/>
      <c r="EGE11" s="133"/>
      <c r="EGF11" s="133"/>
      <c r="EGG11" s="133"/>
      <c r="EGH11" s="133"/>
      <c r="EGI11" s="133"/>
      <c r="EGJ11" s="133"/>
      <c r="EGK11" s="133"/>
      <c r="EGL11" s="133"/>
      <c r="EGM11" s="133"/>
      <c r="EGN11" s="133"/>
      <c r="EGO11" s="133"/>
      <c r="EGP11" s="133"/>
      <c r="EGQ11" s="133"/>
      <c r="EGR11" s="133"/>
      <c r="EGS11" s="133"/>
      <c r="EGT11" s="133"/>
      <c r="EGU11" s="133"/>
      <c r="EGV11" s="133"/>
      <c r="EGW11" s="133"/>
      <c r="EGX11" s="133"/>
      <c r="EGY11" s="133"/>
      <c r="EGZ11" s="133"/>
      <c r="EHA11" s="133"/>
      <c r="EHB11" s="133"/>
      <c r="EHC11" s="133"/>
      <c r="EHD11" s="133"/>
      <c r="EHE11" s="133"/>
      <c r="EHF11" s="133"/>
      <c r="EHG11" s="133"/>
      <c r="EHH11" s="133"/>
      <c r="EHI11" s="133"/>
      <c r="EHJ11" s="133"/>
      <c r="EHK11" s="133"/>
      <c r="EHL11" s="133"/>
      <c r="EHM11" s="133"/>
      <c r="EHN11" s="133"/>
      <c r="EHO11" s="133"/>
      <c r="EHP11" s="133"/>
      <c r="EHQ11" s="133"/>
      <c r="EHR11" s="133"/>
      <c r="EHS11" s="133"/>
      <c r="EHT11" s="133"/>
      <c r="EHU11" s="133"/>
      <c r="EHV11" s="133"/>
      <c r="EHW11" s="133"/>
      <c r="EHX11" s="133"/>
      <c r="EHY11" s="133"/>
      <c r="EHZ11" s="133"/>
      <c r="EIA11" s="133"/>
      <c r="EIB11" s="133"/>
      <c r="EIC11" s="133"/>
      <c r="EID11" s="133"/>
      <c r="EIE11" s="133"/>
      <c r="EIF11" s="133"/>
      <c r="EIG11" s="133"/>
      <c r="EIH11" s="133"/>
      <c r="EII11" s="133"/>
      <c r="EIJ11" s="133"/>
      <c r="EIK11" s="133"/>
      <c r="EIL11" s="133"/>
      <c r="EIM11" s="133"/>
      <c r="EIN11" s="133"/>
      <c r="EIO11" s="133"/>
      <c r="EIP11" s="133"/>
      <c r="EIQ11" s="133"/>
      <c r="EIR11" s="133"/>
      <c r="EIS11" s="133"/>
      <c r="EIT11" s="133"/>
      <c r="EIU11" s="133"/>
      <c r="EIV11" s="133"/>
      <c r="EIW11" s="133"/>
      <c r="EIX11" s="133"/>
      <c r="EIY11" s="133"/>
      <c r="EIZ11" s="133"/>
      <c r="EJA11" s="133"/>
      <c r="EJB11" s="133"/>
      <c r="EJC11" s="133"/>
      <c r="EJD11" s="133"/>
      <c r="EJE11" s="133"/>
      <c r="EJF11" s="133"/>
      <c r="EJG11" s="133"/>
      <c r="EJH11" s="133"/>
      <c r="EJI11" s="133"/>
      <c r="EJJ11" s="133"/>
      <c r="EJK11" s="133"/>
      <c r="EJL11" s="133"/>
      <c r="EJM11" s="133"/>
      <c r="EJN11" s="133"/>
      <c r="EJO11" s="133"/>
      <c r="EJP11" s="133"/>
      <c r="EJQ11" s="133"/>
      <c r="EJR11" s="133"/>
      <c r="EJS11" s="133"/>
      <c r="EJT11" s="133"/>
      <c r="EJU11" s="133"/>
      <c r="EJV11" s="133"/>
      <c r="EJW11" s="133"/>
      <c r="EJX11" s="133"/>
      <c r="EJY11" s="133"/>
      <c r="EJZ11" s="133"/>
      <c r="EKA11" s="133"/>
      <c r="EKB11" s="133"/>
      <c r="EKC11" s="133"/>
      <c r="EKD11" s="133"/>
      <c r="EKE11" s="133"/>
      <c r="EKF11" s="133"/>
      <c r="EKG11" s="133"/>
      <c r="EKH11" s="133"/>
      <c r="EKI11" s="133"/>
      <c r="EKJ11" s="133"/>
      <c r="EKK11" s="133"/>
      <c r="EKL11" s="133"/>
      <c r="EKM11" s="133"/>
      <c r="EKN11" s="133"/>
      <c r="EKO11" s="133"/>
      <c r="EKP11" s="133"/>
      <c r="EKQ11" s="133"/>
      <c r="EKR11" s="133"/>
      <c r="EKS11" s="133"/>
      <c r="EKT11" s="133"/>
      <c r="EKU11" s="133"/>
      <c r="EKV11" s="133"/>
      <c r="EKW11" s="133"/>
      <c r="EKX11" s="133"/>
      <c r="EKY11" s="133"/>
      <c r="EKZ11" s="133"/>
      <c r="ELA11" s="133"/>
      <c r="ELB11" s="133"/>
      <c r="ELC11" s="133"/>
      <c r="ELD11" s="133"/>
      <c r="ELE11" s="133"/>
      <c r="ELF11" s="133"/>
      <c r="ELG11" s="133"/>
      <c r="ELH11" s="133"/>
      <c r="ELI11" s="133"/>
      <c r="ELJ11" s="133"/>
      <c r="ELK11" s="133"/>
      <c r="ELL11" s="133"/>
      <c r="ELM11" s="133"/>
      <c r="ELN11" s="133"/>
      <c r="ELO11" s="133"/>
      <c r="ELP11" s="133"/>
      <c r="ELQ11" s="133"/>
      <c r="ELR11" s="133"/>
      <c r="ELS11" s="133"/>
      <c r="ELT11" s="133"/>
      <c r="ELU11" s="133"/>
      <c r="ELV11" s="133"/>
      <c r="ELW11" s="133"/>
      <c r="ELX11" s="133"/>
      <c r="ELY11" s="133"/>
      <c r="ELZ11" s="133"/>
      <c r="EMA11" s="133"/>
      <c r="EMB11" s="133"/>
      <c r="EMC11" s="133"/>
      <c r="EMD11" s="133"/>
      <c r="EME11" s="133"/>
      <c r="EMF11" s="133"/>
      <c r="EMG11" s="133"/>
      <c r="EMH11" s="133"/>
      <c r="EMI11" s="133"/>
      <c r="EMJ11" s="133"/>
      <c r="EMK11" s="133"/>
      <c r="EML11" s="133"/>
      <c r="EMM11" s="133"/>
      <c r="EMN11" s="133"/>
      <c r="EMO11" s="133"/>
      <c r="EMP11" s="133"/>
      <c r="EMQ11" s="133"/>
      <c r="EMR11" s="133"/>
      <c r="EMS11" s="133"/>
      <c r="EMT11" s="133"/>
      <c r="EMU11" s="133"/>
      <c r="EMV11" s="133"/>
      <c r="EMW11" s="133"/>
      <c r="EMX11" s="133"/>
      <c r="EMY11" s="133"/>
      <c r="EMZ11" s="133"/>
      <c r="ENA11" s="133"/>
      <c r="ENB11" s="133"/>
      <c r="ENC11" s="133"/>
      <c r="END11" s="133"/>
      <c r="ENE11" s="133"/>
      <c r="ENF11" s="133"/>
      <c r="ENG11" s="133"/>
      <c r="ENH11" s="133"/>
      <c r="ENI11" s="133"/>
      <c r="ENJ11" s="133"/>
      <c r="ENK11" s="133"/>
      <c r="ENL11" s="133"/>
      <c r="ENM11" s="133"/>
      <c r="ENN11" s="133"/>
      <c r="ENO11" s="133"/>
      <c r="ENP11" s="133"/>
      <c r="ENQ11" s="133"/>
      <c r="ENR11" s="133"/>
      <c r="ENS11" s="133"/>
      <c r="ENT11" s="133"/>
      <c r="ENU11" s="133"/>
      <c r="ENV11" s="133"/>
      <c r="ENW11" s="133"/>
      <c r="ENX11" s="133"/>
      <c r="ENY11" s="133"/>
      <c r="ENZ11" s="133"/>
      <c r="EOA11" s="133"/>
      <c r="EOB11" s="133"/>
      <c r="EOC11" s="133"/>
      <c r="EOD11" s="133"/>
      <c r="EOE11" s="133"/>
      <c r="EOF11" s="133"/>
      <c r="EOG11" s="133"/>
      <c r="EOH11" s="133"/>
      <c r="EOI11" s="133"/>
      <c r="EOJ11" s="133"/>
      <c r="EOK11" s="133"/>
      <c r="EOL11" s="133"/>
      <c r="EOM11" s="133"/>
      <c r="EON11" s="133"/>
      <c r="EOO11" s="133"/>
      <c r="EOP11" s="133"/>
      <c r="EOQ11" s="133"/>
      <c r="EOR11" s="133"/>
      <c r="EOS11" s="133"/>
      <c r="EOT11" s="133"/>
      <c r="EOU11" s="133"/>
      <c r="EOV11" s="133"/>
      <c r="EOW11" s="133"/>
      <c r="EOX11" s="133"/>
      <c r="EOY11" s="133"/>
      <c r="EOZ11" s="133"/>
      <c r="EPA11" s="133"/>
      <c r="EPB11" s="133"/>
      <c r="EPC11" s="133"/>
      <c r="EPD11" s="133"/>
      <c r="EPE11" s="133"/>
      <c r="EPF11" s="133"/>
      <c r="EPG11" s="133"/>
      <c r="EPH11" s="133"/>
      <c r="EPI11" s="133"/>
      <c r="EPJ11" s="133"/>
      <c r="EPK11" s="133"/>
      <c r="EPL11" s="133"/>
      <c r="EPM11" s="133"/>
      <c r="EPN11" s="133"/>
      <c r="EPO11" s="133"/>
      <c r="EPP11" s="133"/>
      <c r="EPQ11" s="133"/>
      <c r="EPR11" s="133"/>
      <c r="EPS11" s="133"/>
      <c r="EPT11" s="133"/>
      <c r="EPU11" s="133"/>
      <c r="EPV11" s="133"/>
      <c r="EPW11" s="133"/>
      <c r="EPX11" s="133"/>
      <c r="EPY11" s="133"/>
      <c r="EPZ11" s="133"/>
      <c r="EQA11" s="133"/>
      <c r="EQB11" s="133"/>
      <c r="EQC11" s="133"/>
      <c r="EQD11" s="133"/>
      <c r="EQE11" s="133"/>
      <c r="EQF11" s="133"/>
      <c r="EQG11" s="133"/>
      <c r="EQH11" s="133"/>
      <c r="EQI11" s="133"/>
      <c r="EQJ11" s="133"/>
      <c r="EQK11" s="133"/>
      <c r="EQL11" s="133"/>
      <c r="EQM11" s="133"/>
      <c r="EQN11" s="133"/>
      <c r="EQO11" s="133"/>
      <c r="EQP11" s="133"/>
      <c r="EQQ11" s="133"/>
      <c r="EQR11" s="133"/>
      <c r="EQS11" s="133"/>
      <c r="EQT11" s="133"/>
      <c r="EQU11" s="133"/>
      <c r="EQV11" s="133"/>
      <c r="EQW11" s="133"/>
      <c r="EQX11" s="133"/>
      <c r="EQY11" s="133"/>
      <c r="EQZ11" s="133"/>
      <c r="ERA11" s="133"/>
      <c r="ERB11" s="133"/>
      <c r="ERC11" s="133"/>
      <c r="ERD11" s="133"/>
      <c r="ERE11" s="133"/>
      <c r="ERF11" s="133"/>
      <c r="ERG11" s="133"/>
      <c r="ERH11" s="133"/>
      <c r="ERI11" s="133"/>
      <c r="ERJ11" s="133"/>
      <c r="ERK11" s="133"/>
      <c r="ERL11" s="133"/>
      <c r="ERM11" s="133"/>
      <c r="ERN11" s="133"/>
      <c r="ERO11" s="133"/>
      <c r="ERP11" s="133"/>
      <c r="ERQ11" s="133"/>
      <c r="ERR11" s="133"/>
      <c r="ERS11" s="133"/>
      <c r="ERT11" s="133"/>
      <c r="ERU11" s="133"/>
      <c r="ERV11" s="133"/>
      <c r="ERW11" s="133"/>
      <c r="ERX11" s="133"/>
      <c r="ERY11" s="133"/>
      <c r="ERZ11" s="133"/>
      <c r="ESA11" s="133"/>
      <c r="ESB11" s="133"/>
      <c r="ESC11" s="133"/>
      <c r="ESD11" s="133"/>
      <c r="ESE11" s="133"/>
      <c r="ESF11" s="133"/>
      <c r="ESG11" s="133"/>
      <c r="ESH11" s="133"/>
      <c r="ESI11" s="133"/>
      <c r="ESJ11" s="133"/>
      <c r="ESK11" s="133"/>
      <c r="ESL11" s="133"/>
      <c r="ESM11" s="133"/>
      <c r="ESN11" s="133"/>
      <c r="ESO11" s="133"/>
      <c r="ESP11" s="133"/>
      <c r="ESQ11" s="133"/>
      <c r="ESR11" s="133"/>
      <c r="ESS11" s="133"/>
      <c r="EST11" s="133"/>
      <c r="ESU11" s="133"/>
      <c r="ESV11" s="133"/>
      <c r="ESW11" s="133"/>
      <c r="ESX11" s="133"/>
      <c r="ESY11" s="133"/>
      <c r="ESZ11" s="133"/>
      <c r="ETA11" s="133"/>
      <c r="ETB11" s="133"/>
      <c r="ETC11" s="133"/>
      <c r="ETD11" s="133"/>
      <c r="ETE11" s="133"/>
      <c r="ETF11" s="133"/>
      <c r="ETG11" s="133"/>
      <c r="ETH11" s="133"/>
      <c r="ETI11" s="133"/>
      <c r="ETJ11" s="133"/>
      <c r="ETK11" s="133"/>
      <c r="ETL11" s="133"/>
      <c r="ETM11" s="133"/>
      <c r="ETN11" s="133"/>
      <c r="ETO11" s="133"/>
      <c r="ETP11" s="133"/>
      <c r="ETQ11" s="133"/>
      <c r="ETR11" s="133"/>
      <c r="ETS11" s="133"/>
      <c r="ETT11" s="133"/>
      <c r="ETU11" s="133"/>
      <c r="ETV11" s="133"/>
      <c r="ETW11" s="133"/>
      <c r="ETX11" s="133"/>
      <c r="ETY11" s="133"/>
      <c r="ETZ11" s="133"/>
      <c r="EUA11" s="133"/>
      <c r="EUB11" s="133"/>
      <c r="EUC11" s="133"/>
      <c r="EUD11" s="133"/>
      <c r="EUE11" s="133"/>
      <c r="EUF11" s="133"/>
      <c r="EUG11" s="133"/>
      <c r="EUH11" s="133"/>
      <c r="EUI11" s="133"/>
      <c r="EUJ11" s="133"/>
      <c r="EUK11" s="133"/>
      <c r="EUL11" s="133"/>
      <c r="EUM11" s="133"/>
      <c r="EUN11" s="133"/>
      <c r="EUO11" s="133"/>
      <c r="EUP11" s="133"/>
      <c r="EUQ11" s="133"/>
      <c r="EUR11" s="133"/>
      <c r="EUS11" s="133"/>
      <c r="EUT11" s="133"/>
      <c r="EUU11" s="133"/>
      <c r="EUV11" s="133"/>
      <c r="EUW11" s="133"/>
      <c r="EUX11" s="133"/>
      <c r="EUY11" s="133"/>
      <c r="EUZ11" s="133"/>
      <c r="EVA11" s="133"/>
      <c r="EVB11" s="133"/>
      <c r="EVC11" s="133"/>
      <c r="EVD11" s="133"/>
      <c r="EVE11" s="133"/>
      <c r="EVF11" s="133"/>
      <c r="EVG11" s="133"/>
      <c r="EVH11" s="133"/>
      <c r="EVI11" s="133"/>
      <c r="EVJ11" s="133"/>
      <c r="EVK11" s="133"/>
      <c r="EVL11" s="133"/>
      <c r="EVM11" s="133"/>
      <c r="EVN11" s="133"/>
      <c r="EVO11" s="133"/>
      <c r="EVP11" s="133"/>
      <c r="EVQ11" s="133"/>
      <c r="EVR11" s="133"/>
      <c r="EVS11" s="133"/>
      <c r="EVT11" s="133"/>
      <c r="EVU11" s="133"/>
      <c r="EVV11" s="133"/>
      <c r="EVW11" s="133"/>
      <c r="EVX11" s="133"/>
      <c r="EVY11" s="133"/>
      <c r="EVZ11" s="133"/>
      <c r="EWA11" s="133"/>
      <c r="EWB11" s="133"/>
      <c r="EWC11" s="133"/>
      <c r="EWD11" s="133"/>
      <c r="EWE11" s="133"/>
      <c r="EWF11" s="133"/>
      <c r="EWG11" s="133"/>
      <c r="EWH11" s="133"/>
      <c r="EWI11" s="133"/>
      <c r="EWJ11" s="133"/>
      <c r="EWK11" s="133"/>
      <c r="EWL11" s="133"/>
      <c r="EWM11" s="133"/>
      <c r="EWN11" s="133"/>
      <c r="EWO11" s="133"/>
      <c r="EWP11" s="133"/>
      <c r="EWQ11" s="133"/>
      <c r="EWR11" s="133"/>
      <c r="EWS11" s="133"/>
      <c r="EWT11" s="133"/>
      <c r="EWU11" s="133"/>
      <c r="EWV11" s="133"/>
      <c r="EWW11" s="133"/>
      <c r="EWX11" s="133"/>
      <c r="EWY11" s="133"/>
      <c r="EWZ11" s="133"/>
      <c r="EXA11" s="133"/>
      <c r="EXB11" s="133"/>
      <c r="EXC11" s="133"/>
      <c r="EXD11" s="133"/>
      <c r="EXE11" s="133"/>
      <c r="EXF11" s="133"/>
      <c r="EXG11" s="133"/>
      <c r="EXH11" s="133"/>
      <c r="EXI11" s="133"/>
      <c r="EXJ11" s="133"/>
      <c r="EXK11" s="133"/>
      <c r="EXL11" s="133"/>
      <c r="EXM11" s="133"/>
      <c r="EXN11" s="133"/>
      <c r="EXO11" s="133"/>
      <c r="EXP11" s="133"/>
      <c r="EXQ11" s="133"/>
      <c r="EXR11" s="133"/>
      <c r="EXS11" s="133"/>
      <c r="EXT11" s="133"/>
      <c r="EXU11" s="133"/>
      <c r="EXV11" s="133"/>
      <c r="EXW11" s="133"/>
      <c r="EXX11" s="133"/>
      <c r="EXY11" s="133"/>
      <c r="EXZ11" s="133"/>
      <c r="EYA11" s="133"/>
      <c r="EYB11" s="133"/>
      <c r="EYC11" s="133"/>
      <c r="EYD11" s="133"/>
      <c r="EYE11" s="133"/>
      <c r="EYF11" s="133"/>
      <c r="EYG11" s="133"/>
      <c r="EYH11" s="133"/>
      <c r="EYI11" s="133"/>
      <c r="EYJ11" s="133"/>
      <c r="EYK11" s="133"/>
      <c r="EYL11" s="133"/>
      <c r="EYM11" s="133"/>
      <c r="EYN11" s="133"/>
      <c r="EYO11" s="133"/>
      <c r="EYP11" s="133"/>
      <c r="EYQ11" s="133"/>
      <c r="EYR11" s="133"/>
      <c r="EYS11" s="133"/>
      <c r="EYT11" s="133"/>
      <c r="EYU11" s="133"/>
      <c r="EYV11" s="133"/>
      <c r="EYW11" s="133"/>
      <c r="EYX11" s="133"/>
      <c r="EYY11" s="133"/>
      <c r="EYZ11" s="133"/>
      <c r="EZA11" s="133"/>
      <c r="EZB11" s="133"/>
      <c r="EZC11" s="133"/>
      <c r="EZD11" s="133"/>
      <c r="EZE11" s="133"/>
      <c r="EZF11" s="133"/>
      <c r="EZG11" s="133"/>
      <c r="EZH11" s="133"/>
      <c r="EZI11" s="133"/>
      <c r="EZJ11" s="133"/>
      <c r="EZK11" s="133"/>
      <c r="EZL11" s="133"/>
      <c r="EZM11" s="133"/>
      <c r="EZN11" s="133"/>
      <c r="EZO11" s="133"/>
      <c r="EZP11" s="133"/>
      <c r="EZQ11" s="133"/>
      <c r="EZR11" s="133"/>
      <c r="EZS11" s="133"/>
      <c r="EZT11" s="133"/>
      <c r="EZU11" s="133"/>
      <c r="EZV11" s="133"/>
      <c r="EZW11" s="133"/>
      <c r="EZX11" s="133"/>
      <c r="EZY11" s="133"/>
      <c r="EZZ11" s="133"/>
      <c r="FAA11" s="133"/>
      <c r="FAB11" s="133"/>
      <c r="FAC11" s="133"/>
      <c r="FAD11" s="133"/>
      <c r="FAE11" s="133"/>
      <c r="FAF11" s="133"/>
      <c r="FAG11" s="133"/>
      <c r="FAH11" s="133"/>
      <c r="FAI11" s="133"/>
      <c r="FAJ11" s="133"/>
      <c r="FAK11" s="133"/>
      <c r="FAL11" s="133"/>
      <c r="FAM11" s="133"/>
      <c r="FAN11" s="133"/>
      <c r="FAO11" s="133"/>
      <c r="FAP11" s="133"/>
      <c r="FAQ11" s="133"/>
      <c r="FAR11" s="133"/>
      <c r="FAS11" s="133"/>
      <c r="FAT11" s="133"/>
      <c r="FAU11" s="133"/>
      <c r="FAV11" s="133"/>
      <c r="FAW11" s="133"/>
      <c r="FAX11" s="133"/>
      <c r="FAY11" s="133"/>
      <c r="FAZ11" s="133"/>
      <c r="FBA11" s="133"/>
      <c r="FBB11" s="133"/>
      <c r="FBC11" s="133"/>
      <c r="FBD11" s="133"/>
      <c r="FBE11" s="133"/>
      <c r="FBF11" s="133"/>
      <c r="FBG11" s="133"/>
      <c r="FBH11" s="133"/>
      <c r="FBI11" s="133"/>
      <c r="FBJ11" s="133"/>
      <c r="FBK11" s="133"/>
      <c r="FBL11" s="133"/>
      <c r="FBM11" s="133"/>
      <c r="FBN11" s="133"/>
      <c r="FBO11" s="133"/>
      <c r="FBP11" s="133"/>
      <c r="FBQ11" s="133"/>
      <c r="FBR11" s="133"/>
      <c r="FBS11" s="133"/>
      <c r="FBT11" s="133"/>
      <c r="FBU11" s="133"/>
      <c r="FBV11" s="133"/>
      <c r="FBW11" s="133"/>
      <c r="FBX11" s="133"/>
      <c r="FBY11" s="133"/>
      <c r="FBZ11" s="133"/>
      <c r="FCA11" s="133"/>
      <c r="FCB11" s="133"/>
      <c r="FCC11" s="133"/>
      <c r="FCD11" s="133"/>
      <c r="FCE11" s="133"/>
      <c r="FCF11" s="133"/>
      <c r="FCG11" s="133"/>
      <c r="FCH11" s="133"/>
      <c r="FCI11" s="133"/>
      <c r="FCJ11" s="133"/>
      <c r="FCK11" s="133"/>
      <c r="FCL11" s="133"/>
      <c r="FCM11" s="133"/>
      <c r="FCN11" s="133"/>
      <c r="FCO11" s="133"/>
      <c r="FCP11" s="133"/>
      <c r="FCQ11" s="133"/>
      <c r="FCR11" s="133"/>
      <c r="FCS11" s="133"/>
      <c r="FCT11" s="133"/>
      <c r="FCU11" s="133"/>
      <c r="FCV11" s="133"/>
      <c r="FCW11" s="133"/>
      <c r="FCX11" s="133"/>
      <c r="FCY11" s="133"/>
      <c r="FCZ11" s="133"/>
      <c r="FDA11" s="133"/>
      <c r="FDB11" s="133"/>
      <c r="FDC11" s="133"/>
      <c r="FDD11" s="133"/>
      <c r="FDE11" s="133"/>
      <c r="FDF11" s="133"/>
      <c r="FDG11" s="133"/>
      <c r="FDH11" s="133"/>
      <c r="FDI11" s="133"/>
      <c r="FDJ11" s="133"/>
      <c r="FDK11" s="133"/>
      <c r="FDL11" s="133"/>
      <c r="FDM11" s="133"/>
      <c r="FDN11" s="133"/>
      <c r="FDO11" s="133"/>
      <c r="FDP11" s="133"/>
      <c r="FDQ11" s="133"/>
      <c r="FDR11" s="133"/>
      <c r="FDS11" s="133"/>
      <c r="FDT11" s="133"/>
      <c r="FDU11" s="133"/>
      <c r="FDV11" s="133"/>
      <c r="FDW11" s="133"/>
      <c r="FDX11" s="133"/>
      <c r="FDY11" s="133"/>
      <c r="FDZ11" s="133"/>
      <c r="FEA11" s="133"/>
      <c r="FEB11" s="133"/>
      <c r="FEC11" s="133"/>
      <c r="FED11" s="133"/>
      <c r="FEE11" s="133"/>
      <c r="FEF11" s="133"/>
      <c r="FEG11" s="133"/>
      <c r="FEH11" s="133"/>
      <c r="FEI11" s="133"/>
      <c r="FEJ11" s="133"/>
      <c r="FEK11" s="133"/>
      <c r="FEL11" s="133"/>
      <c r="FEM11" s="133"/>
      <c r="FEN11" s="133"/>
      <c r="FEO11" s="133"/>
      <c r="FEP11" s="133"/>
      <c r="FEQ11" s="133"/>
      <c r="FER11" s="133"/>
      <c r="FES11" s="133"/>
      <c r="FET11" s="133"/>
      <c r="FEU11" s="133"/>
      <c r="FEV11" s="133"/>
      <c r="FEW11" s="133"/>
      <c r="FEX11" s="133"/>
      <c r="FEY11" s="133"/>
      <c r="FEZ11" s="133"/>
      <c r="FFA11" s="133"/>
      <c r="FFB11" s="133"/>
      <c r="FFC11" s="133"/>
      <c r="FFD11" s="133"/>
      <c r="FFE11" s="133"/>
      <c r="FFF11" s="133"/>
      <c r="FFG11" s="133"/>
      <c r="FFH11" s="133"/>
      <c r="FFI11" s="133"/>
      <c r="FFJ11" s="133"/>
      <c r="FFK11" s="133"/>
      <c r="FFL11" s="133"/>
      <c r="FFM11" s="133"/>
      <c r="FFN11" s="133"/>
      <c r="FFO11" s="133"/>
      <c r="FFP11" s="133"/>
      <c r="FFQ11" s="133"/>
      <c r="FFR11" s="133"/>
      <c r="FFS11" s="133"/>
      <c r="FFT11" s="133"/>
      <c r="FFU11" s="133"/>
      <c r="FFV11" s="133"/>
      <c r="FFW11" s="133"/>
      <c r="FFX11" s="133"/>
      <c r="FFY11" s="133"/>
      <c r="FFZ11" s="133"/>
      <c r="FGA11" s="133"/>
      <c r="FGB11" s="133"/>
      <c r="FGC11" s="133"/>
      <c r="FGD11" s="133"/>
      <c r="FGE11" s="133"/>
      <c r="FGF11" s="133"/>
      <c r="FGG11" s="133"/>
      <c r="FGH11" s="133"/>
      <c r="FGI11" s="133"/>
      <c r="FGJ11" s="133"/>
      <c r="FGK11" s="133"/>
      <c r="FGL11" s="133"/>
      <c r="FGM11" s="133"/>
      <c r="FGN11" s="133"/>
      <c r="FGO11" s="133"/>
      <c r="FGP11" s="133"/>
      <c r="FGQ11" s="133"/>
      <c r="FGR11" s="133"/>
      <c r="FGS11" s="133"/>
      <c r="FGT11" s="133"/>
      <c r="FGU11" s="133"/>
      <c r="FGV11" s="133"/>
      <c r="FGW11" s="133"/>
      <c r="FGX11" s="133"/>
      <c r="FGY11" s="133"/>
      <c r="FGZ11" s="133"/>
      <c r="FHA11" s="133"/>
      <c r="FHB11" s="133"/>
      <c r="FHC11" s="133"/>
      <c r="FHD11" s="133"/>
      <c r="FHE11" s="133"/>
      <c r="FHF11" s="133"/>
      <c r="FHG11" s="133"/>
      <c r="FHH11" s="133"/>
      <c r="FHI11" s="133"/>
      <c r="FHJ11" s="133"/>
      <c r="FHK11" s="133"/>
      <c r="FHL11" s="133"/>
      <c r="FHM11" s="133"/>
      <c r="FHN11" s="133"/>
      <c r="FHO11" s="133"/>
      <c r="FHP11" s="133"/>
      <c r="FHQ11" s="133"/>
      <c r="FHR11" s="133"/>
      <c r="FHS11" s="133"/>
      <c r="FHT11" s="133"/>
      <c r="FHU11" s="133"/>
      <c r="FHV11" s="133"/>
      <c r="FHW11" s="133"/>
      <c r="FHX11" s="133"/>
      <c r="FHY11" s="133"/>
      <c r="FHZ11" s="133"/>
      <c r="FIA11" s="133"/>
      <c r="FIB11" s="133"/>
      <c r="FIC11" s="133"/>
      <c r="FID11" s="133"/>
      <c r="FIE11" s="133"/>
      <c r="FIF11" s="133"/>
      <c r="FIG11" s="133"/>
      <c r="FIH11" s="133"/>
      <c r="FII11" s="133"/>
      <c r="FIJ11" s="133"/>
      <c r="FIK11" s="133"/>
      <c r="FIL11" s="133"/>
      <c r="FIM11" s="133"/>
      <c r="FIN11" s="133"/>
      <c r="FIO11" s="133"/>
      <c r="FIP11" s="133"/>
      <c r="FIQ11" s="133"/>
      <c r="FIR11" s="133"/>
      <c r="FIS11" s="133"/>
      <c r="FIT11" s="133"/>
      <c r="FIU11" s="133"/>
      <c r="FIV11" s="133"/>
      <c r="FIW11" s="133"/>
      <c r="FIX11" s="133"/>
      <c r="FIY11" s="133"/>
      <c r="FIZ11" s="133"/>
      <c r="FJA11" s="133"/>
      <c r="FJB11" s="133"/>
      <c r="FJC11" s="133"/>
      <c r="FJD11" s="133"/>
      <c r="FJE11" s="133"/>
      <c r="FJF11" s="133"/>
      <c r="FJG11" s="133"/>
      <c r="FJH11" s="133"/>
      <c r="FJI11" s="133"/>
      <c r="FJJ11" s="133"/>
      <c r="FJK11" s="133"/>
      <c r="FJL11" s="133"/>
      <c r="FJM11" s="133"/>
      <c r="FJN11" s="133"/>
      <c r="FJO11" s="133"/>
      <c r="FJP11" s="133"/>
      <c r="FJQ11" s="133"/>
      <c r="FJR11" s="133"/>
      <c r="FJS11" s="133"/>
      <c r="FJT11" s="133"/>
      <c r="FJU11" s="133"/>
      <c r="FJV11" s="133"/>
      <c r="FJW11" s="133"/>
      <c r="FJX11" s="133"/>
      <c r="FJY11" s="133"/>
      <c r="FJZ11" s="133"/>
      <c r="FKA11" s="133"/>
      <c r="FKB11" s="133"/>
      <c r="FKC11" s="133"/>
      <c r="FKD11" s="133"/>
      <c r="FKE11" s="133"/>
      <c r="FKF11" s="133"/>
      <c r="FKG11" s="133"/>
      <c r="FKH11" s="133"/>
      <c r="FKI11" s="133"/>
      <c r="FKJ11" s="133"/>
      <c r="FKK11" s="133"/>
      <c r="FKL11" s="133"/>
      <c r="FKM11" s="133"/>
      <c r="FKN11" s="133"/>
      <c r="FKO11" s="133"/>
      <c r="FKP11" s="133"/>
      <c r="FKQ11" s="133"/>
      <c r="FKR11" s="133"/>
      <c r="FKS11" s="133"/>
      <c r="FKT11" s="133"/>
      <c r="FKU11" s="133"/>
      <c r="FKV11" s="133"/>
      <c r="FKW11" s="133"/>
      <c r="FKX11" s="133"/>
      <c r="FKY11" s="133"/>
      <c r="FKZ11" s="133"/>
      <c r="FLA11" s="133"/>
      <c r="FLB11" s="133"/>
      <c r="FLC11" s="133"/>
      <c r="FLD11" s="133"/>
      <c r="FLE11" s="133"/>
      <c r="FLF11" s="133"/>
      <c r="FLG11" s="133"/>
      <c r="FLH11" s="133"/>
      <c r="FLI11" s="133"/>
      <c r="FLJ11" s="133"/>
      <c r="FLK11" s="133"/>
      <c r="FLL11" s="133"/>
      <c r="FLM11" s="133"/>
      <c r="FLN11" s="133"/>
      <c r="FLO11" s="133"/>
      <c r="FLP11" s="133"/>
      <c r="FLQ11" s="133"/>
      <c r="FLR11" s="133"/>
      <c r="FLS11" s="133"/>
      <c r="FLT11" s="133"/>
      <c r="FLU11" s="133"/>
      <c r="FLV11" s="133"/>
      <c r="FLW11" s="133"/>
      <c r="FLX11" s="133"/>
      <c r="FLY11" s="133"/>
      <c r="FLZ11" s="133"/>
      <c r="FMA11" s="133"/>
      <c r="FMB11" s="133"/>
      <c r="FMC11" s="133"/>
      <c r="FMD11" s="133"/>
      <c r="FME11" s="133"/>
      <c r="FMF11" s="133"/>
      <c r="FMG11" s="133"/>
      <c r="FMH11" s="133"/>
      <c r="FMI11" s="133"/>
      <c r="FMJ11" s="133"/>
      <c r="FMK11" s="133"/>
      <c r="FML11" s="133"/>
      <c r="FMM11" s="133"/>
      <c r="FMN11" s="133"/>
      <c r="FMO11" s="133"/>
      <c r="FMP11" s="133"/>
      <c r="FMQ11" s="133"/>
      <c r="FMR11" s="133"/>
      <c r="FMS11" s="133"/>
      <c r="FMT11" s="133"/>
      <c r="FMU11" s="133"/>
      <c r="FMV11" s="133"/>
      <c r="FMW11" s="133"/>
      <c r="FMX11" s="133"/>
      <c r="FMY11" s="133"/>
      <c r="FMZ11" s="133"/>
      <c r="FNA11" s="133"/>
      <c r="FNB11" s="133"/>
      <c r="FNC11" s="133"/>
      <c r="FND11" s="133"/>
      <c r="FNE11" s="133"/>
      <c r="FNF11" s="133"/>
      <c r="FNG11" s="133"/>
      <c r="FNH11" s="133"/>
      <c r="FNI11" s="133"/>
      <c r="FNJ11" s="133"/>
      <c r="FNK11" s="133"/>
      <c r="FNL11" s="133"/>
      <c r="FNM11" s="133"/>
      <c r="FNN11" s="133"/>
      <c r="FNO11" s="133"/>
      <c r="FNP11" s="133"/>
      <c r="FNQ11" s="133"/>
      <c r="FNR11" s="133"/>
      <c r="FNS11" s="133"/>
      <c r="FNT11" s="133"/>
      <c r="FNU11" s="133"/>
      <c r="FNV11" s="133"/>
      <c r="FNW11" s="133"/>
      <c r="FNX11" s="133"/>
      <c r="FNY11" s="133"/>
      <c r="FNZ11" s="133"/>
      <c r="FOA11" s="133"/>
      <c r="FOB11" s="133"/>
      <c r="FOC11" s="133"/>
      <c r="FOD11" s="133"/>
      <c r="FOE11" s="133"/>
      <c r="FOF11" s="133"/>
      <c r="FOG11" s="133"/>
      <c r="FOH11" s="133"/>
      <c r="FOI11" s="133"/>
      <c r="FOJ11" s="133"/>
      <c r="FOK11" s="133"/>
      <c r="FOL11" s="133"/>
      <c r="FOM11" s="133"/>
      <c r="FON11" s="133"/>
      <c r="FOO11" s="133"/>
      <c r="FOP11" s="133"/>
      <c r="FOQ11" s="133"/>
      <c r="FOR11" s="133"/>
      <c r="FOS11" s="133"/>
      <c r="FOT11" s="133"/>
      <c r="FOU11" s="133"/>
      <c r="FOV11" s="133"/>
      <c r="FOW11" s="133"/>
      <c r="FOX11" s="133"/>
      <c r="FOY11" s="133"/>
      <c r="FOZ11" s="133"/>
      <c r="FPA11" s="133"/>
      <c r="FPB11" s="133"/>
      <c r="FPC11" s="133"/>
      <c r="FPD11" s="133"/>
      <c r="FPE11" s="133"/>
      <c r="FPF11" s="133"/>
      <c r="FPG11" s="133"/>
      <c r="FPH11" s="133"/>
      <c r="FPI11" s="133"/>
      <c r="FPJ11" s="133"/>
      <c r="FPK11" s="133"/>
      <c r="FPL11" s="133"/>
      <c r="FPM11" s="133"/>
      <c r="FPN11" s="133"/>
      <c r="FPO11" s="133"/>
      <c r="FPP11" s="133"/>
      <c r="FPQ11" s="133"/>
      <c r="FPR11" s="133"/>
      <c r="FPS11" s="133"/>
      <c r="FPT11" s="133"/>
      <c r="FPU11" s="133"/>
      <c r="FPV11" s="133"/>
      <c r="FPW11" s="133"/>
      <c r="FPX11" s="133"/>
      <c r="FPY11" s="133"/>
      <c r="FPZ11" s="133"/>
      <c r="FQA11" s="133"/>
      <c r="FQB11" s="133"/>
      <c r="FQC11" s="133"/>
      <c r="FQD11" s="133"/>
      <c r="FQE11" s="133"/>
      <c r="FQF11" s="133"/>
      <c r="FQG11" s="133"/>
      <c r="FQH11" s="133"/>
      <c r="FQI11" s="133"/>
      <c r="FQJ11" s="133"/>
      <c r="FQK11" s="133"/>
      <c r="FQL11" s="133"/>
      <c r="FQM11" s="133"/>
      <c r="FQN11" s="133"/>
      <c r="FQO11" s="133"/>
      <c r="FQP11" s="133"/>
      <c r="FQQ11" s="133"/>
      <c r="FQR11" s="133"/>
      <c r="FQS11" s="133"/>
      <c r="FQT11" s="133"/>
      <c r="FQU11" s="133"/>
      <c r="FQV11" s="133"/>
      <c r="FQW11" s="133"/>
      <c r="FQX11" s="133"/>
      <c r="FQY11" s="133"/>
      <c r="FQZ11" s="133"/>
      <c r="FRA11" s="133"/>
      <c r="FRB11" s="133"/>
      <c r="FRC11" s="133"/>
      <c r="FRD11" s="133"/>
      <c r="FRE11" s="133"/>
      <c r="FRF11" s="133"/>
      <c r="FRG11" s="133"/>
      <c r="FRH11" s="133"/>
      <c r="FRI11" s="133"/>
      <c r="FRJ11" s="133"/>
      <c r="FRK11" s="133"/>
      <c r="FRL11" s="133"/>
      <c r="FRM11" s="133"/>
      <c r="FRN11" s="133"/>
      <c r="FRO11" s="133"/>
      <c r="FRP11" s="133"/>
      <c r="FRQ11" s="133"/>
      <c r="FRR11" s="133"/>
      <c r="FRS11" s="133"/>
      <c r="FRT11" s="133"/>
      <c r="FRU11" s="133"/>
      <c r="FRV11" s="133"/>
      <c r="FRW11" s="133"/>
      <c r="FRX11" s="133"/>
      <c r="FRY11" s="133"/>
      <c r="FRZ11" s="133"/>
      <c r="FSA11" s="133"/>
      <c r="FSB11" s="133"/>
      <c r="FSC11" s="133"/>
      <c r="FSD11" s="133"/>
      <c r="FSE11" s="133"/>
      <c r="FSF11" s="133"/>
      <c r="FSG11" s="133"/>
      <c r="FSH11" s="133"/>
      <c r="FSI11" s="133"/>
      <c r="FSJ11" s="133"/>
      <c r="FSK11" s="133"/>
      <c r="FSL11" s="133"/>
      <c r="FSM11" s="133"/>
      <c r="FSN11" s="133"/>
      <c r="FSO11" s="133"/>
      <c r="FSP11" s="133"/>
      <c r="FSQ11" s="133"/>
      <c r="FSR11" s="133"/>
      <c r="FSS11" s="133"/>
      <c r="FST11" s="133"/>
      <c r="FSU11" s="133"/>
      <c r="FSV11" s="133"/>
      <c r="FSW11" s="133"/>
      <c r="FSX11" s="133"/>
      <c r="FSY11" s="133"/>
      <c r="FSZ11" s="133"/>
      <c r="FTA11" s="133"/>
      <c r="FTB11" s="133"/>
      <c r="FTC11" s="133"/>
      <c r="FTD11" s="133"/>
      <c r="FTE11" s="133"/>
      <c r="FTF11" s="133"/>
      <c r="FTG11" s="133"/>
      <c r="FTH11" s="133"/>
      <c r="FTI11" s="133"/>
      <c r="FTJ11" s="133"/>
      <c r="FTK11" s="133"/>
      <c r="FTL11" s="133"/>
      <c r="FTM11" s="133"/>
      <c r="FTN11" s="133"/>
      <c r="FTO11" s="133"/>
      <c r="FTP11" s="133"/>
      <c r="FTQ11" s="133"/>
      <c r="FTR11" s="133"/>
      <c r="FTS11" s="133"/>
      <c r="FTT11" s="133"/>
      <c r="FTU11" s="133"/>
      <c r="FTV11" s="133"/>
      <c r="FTW11" s="133"/>
      <c r="FTX11" s="133"/>
      <c r="FTY11" s="133"/>
      <c r="FTZ11" s="133"/>
      <c r="FUA11" s="133"/>
      <c r="FUB11" s="133"/>
      <c r="FUC11" s="133"/>
      <c r="FUD11" s="133"/>
      <c r="FUE11" s="133"/>
      <c r="FUF11" s="133"/>
      <c r="FUG11" s="133"/>
      <c r="FUH11" s="133"/>
      <c r="FUI11" s="133"/>
      <c r="FUJ11" s="133"/>
      <c r="FUK11" s="133"/>
      <c r="FUL11" s="133"/>
      <c r="FUM11" s="133"/>
      <c r="FUN11" s="133"/>
      <c r="FUO11" s="133"/>
      <c r="FUP11" s="133"/>
      <c r="FUQ11" s="133"/>
      <c r="FUR11" s="133"/>
      <c r="FUS11" s="133"/>
      <c r="FUT11" s="133"/>
      <c r="FUU11" s="133"/>
      <c r="FUV11" s="133"/>
      <c r="FUW11" s="133"/>
      <c r="FUX11" s="133"/>
      <c r="FUY11" s="133"/>
      <c r="FUZ11" s="133"/>
      <c r="FVA11" s="133"/>
      <c r="FVB11" s="133"/>
      <c r="FVC11" s="133"/>
      <c r="FVD11" s="133"/>
      <c r="FVE11" s="133"/>
      <c r="FVF11" s="133"/>
      <c r="FVG11" s="133"/>
      <c r="FVH11" s="133"/>
      <c r="FVI11" s="133"/>
      <c r="FVJ11" s="133"/>
      <c r="FVK11" s="133"/>
      <c r="FVL11" s="133"/>
      <c r="FVM11" s="133"/>
      <c r="FVN11" s="133"/>
      <c r="FVO11" s="133"/>
      <c r="FVP11" s="133"/>
      <c r="FVQ11" s="133"/>
      <c r="FVR11" s="133"/>
      <c r="FVS11" s="133"/>
      <c r="FVT11" s="133"/>
      <c r="FVU11" s="133"/>
      <c r="FVV11" s="133"/>
      <c r="FVW11" s="133"/>
      <c r="FVX11" s="133"/>
      <c r="FVY11" s="133"/>
      <c r="FVZ11" s="133"/>
      <c r="FWA11" s="133"/>
      <c r="FWB11" s="133"/>
      <c r="FWC11" s="133"/>
      <c r="FWD11" s="133"/>
      <c r="FWE11" s="133"/>
      <c r="FWF11" s="133"/>
      <c r="FWG11" s="133"/>
      <c r="FWH11" s="133"/>
      <c r="FWI11" s="133"/>
      <c r="FWJ11" s="133"/>
      <c r="FWK11" s="133"/>
      <c r="FWL11" s="133"/>
      <c r="FWM11" s="133"/>
      <c r="FWN11" s="133"/>
      <c r="FWO11" s="133"/>
      <c r="FWP11" s="133"/>
      <c r="FWQ11" s="133"/>
      <c r="FWR11" s="133"/>
      <c r="FWS11" s="133"/>
      <c r="FWT11" s="133"/>
      <c r="FWU11" s="133"/>
      <c r="FWV11" s="133"/>
      <c r="FWW11" s="133"/>
      <c r="FWX11" s="133"/>
      <c r="FWY11" s="133"/>
      <c r="FWZ11" s="133"/>
      <c r="FXA11" s="133"/>
      <c r="FXB11" s="133"/>
      <c r="FXC11" s="133"/>
      <c r="FXD11" s="133"/>
      <c r="FXE11" s="133"/>
      <c r="FXF11" s="133"/>
      <c r="FXG11" s="133"/>
      <c r="FXH11" s="133"/>
      <c r="FXI11" s="133"/>
      <c r="FXJ11" s="133"/>
      <c r="FXK11" s="133"/>
      <c r="FXL11" s="133"/>
      <c r="FXM11" s="133"/>
      <c r="FXN11" s="133"/>
      <c r="FXO11" s="133"/>
      <c r="FXP11" s="133"/>
      <c r="FXQ11" s="133"/>
      <c r="FXR11" s="133"/>
      <c r="FXS11" s="133"/>
      <c r="FXT11" s="133"/>
      <c r="FXU11" s="133"/>
      <c r="FXV11" s="133"/>
      <c r="FXW11" s="133"/>
      <c r="FXX11" s="133"/>
      <c r="FXY11" s="133"/>
      <c r="FXZ11" s="133"/>
      <c r="FYA11" s="133"/>
      <c r="FYB11" s="133"/>
      <c r="FYC11" s="133"/>
      <c r="FYD11" s="133"/>
      <c r="FYE11" s="133"/>
      <c r="FYF11" s="133"/>
      <c r="FYG11" s="133"/>
      <c r="FYH11" s="133"/>
      <c r="FYI11" s="133"/>
      <c r="FYJ11" s="133"/>
      <c r="FYK11" s="133"/>
      <c r="FYL11" s="133"/>
      <c r="FYM11" s="133"/>
      <c r="FYN11" s="133"/>
      <c r="FYO11" s="133"/>
      <c r="FYP11" s="133"/>
      <c r="FYQ11" s="133"/>
      <c r="FYR11" s="133"/>
      <c r="FYS11" s="133"/>
      <c r="FYT11" s="133"/>
      <c r="FYU11" s="133"/>
      <c r="FYV11" s="133"/>
      <c r="FYW11" s="133"/>
      <c r="FYX11" s="133"/>
      <c r="FYY11" s="133"/>
      <c r="FYZ11" s="133"/>
      <c r="FZA11" s="133"/>
      <c r="FZB11" s="133"/>
      <c r="FZC11" s="133"/>
      <c r="FZD11" s="133"/>
      <c r="FZE11" s="133"/>
      <c r="FZF11" s="133"/>
      <c r="FZG11" s="133"/>
      <c r="FZH11" s="133"/>
      <c r="FZI11" s="133"/>
      <c r="FZJ11" s="133"/>
      <c r="FZK11" s="133"/>
      <c r="FZL11" s="133"/>
      <c r="FZM11" s="133"/>
      <c r="FZN11" s="133"/>
      <c r="FZO11" s="133"/>
      <c r="FZP11" s="133"/>
      <c r="FZQ11" s="133"/>
      <c r="FZR11" s="133"/>
      <c r="FZS11" s="133"/>
      <c r="FZT11" s="133"/>
      <c r="FZU11" s="133"/>
      <c r="FZV11" s="133"/>
      <c r="FZW11" s="133"/>
      <c r="FZX11" s="133"/>
      <c r="FZY11" s="133"/>
      <c r="FZZ11" s="133"/>
      <c r="GAA11" s="133"/>
      <c r="GAB11" s="133"/>
      <c r="GAC11" s="133"/>
      <c r="GAD11" s="133"/>
      <c r="GAE11" s="133"/>
      <c r="GAF11" s="133"/>
      <c r="GAG11" s="133"/>
      <c r="GAH11" s="133"/>
      <c r="GAI11" s="133"/>
      <c r="GAJ11" s="133"/>
      <c r="GAK11" s="133"/>
      <c r="GAL11" s="133"/>
      <c r="GAM11" s="133"/>
      <c r="GAN11" s="133"/>
      <c r="GAO11" s="133"/>
      <c r="GAP11" s="133"/>
      <c r="GAQ11" s="133"/>
      <c r="GAR11" s="133"/>
      <c r="GAS11" s="133"/>
      <c r="GAT11" s="133"/>
      <c r="GAU11" s="133"/>
      <c r="GAV11" s="133"/>
      <c r="GAW11" s="133"/>
      <c r="GAX11" s="133"/>
      <c r="GAY11" s="133"/>
      <c r="GAZ11" s="133"/>
      <c r="GBA11" s="133"/>
      <c r="GBB11" s="133"/>
      <c r="GBC11" s="133"/>
      <c r="GBD11" s="133"/>
      <c r="GBE11" s="133"/>
      <c r="GBF11" s="133"/>
      <c r="GBG11" s="133"/>
      <c r="GBH11" s="133"/>
      <c r="GBI11" s="133"/>
      <c r="GBJ11" s="133"/>
      <c r="GBK11" s="133"/>
      <c r="GBL11" s="133"/>
      <c r="GBM11" s="133"/>
      <c r="GBN11" s="133"/>
      <c r="GBO11" s="133"/>
      <c r="GBP11" s="133"/>
      <c r="GBQ11" s="133"/>
      <c r="GBR11" s="133"/>
      <c r="GBS11" s="133"/>
      <c r="GBT11" s="133"/>
      <c r="GBU11" s="133"/>
      <c r="GBV11" s="133"/>
      <c r="GBW11" s="133"/>
      <c r="GBX11" s="133"/>
      <c r="GBY11" s="133"/>
      <c r="GBZ11" s="133"/>
      <c r="GCA11" s="133"/>
      <c r="GCB11" s="133"/>
      <c r="GCC11" s="133"/>
      <c r="GCD11" s="133"/>
      <c r="GCE11" s="133"/>
      <c r="GCF11" s="133"/>
      <c r="GCG11" s="133"/>
      <c r="GCH11" s="133"/>
      <c r="GCI11" s="133"/>
      <c r="GCJ11" s="133"/>
      <c r="GCK11" s="133"/>
      <c r="GCL11" s="133"/>
      <c r="GCM11" s="133"/>
      <c r="GCN11" s="133"/>
      <c r="GCO11" s="133"/>
      <c r="GCP11" s="133"/>
      <c r="GCQ11" s="133"/>
      <c r="GCR11" s="133"/>
      <c r="GCS11" s="133"/>
      <c r="GCT11" s="133"/>
      <c r="GCU11" s="133"/>
      <c r="GCV11" s="133"/>
      <c r="GCW11" s="133"/>
      <c r="GCX11" s="133"/>
      <c r="GCY11" s="133"/>
      <c r="GCZ11" s="133"/>
      <c r="GDA11" s="133"/>
      <c r="GDB11" s="133"/>
      <c r="GDC11" s="133"/>
      <c r="GDD11" s="133"/>
      <c r="GDE11" s="133"/>
      <c r="GDF11" s="133"/>
      <c r="GDG11" s="133"/>
      <c r="GDH11" s="133"/>
      <c r="GDI11" s="133"/>
      <c r="GDJ11" s="133"/>
      <c r="GDK11" s="133"/>
      <c r="GDL11" s="133"/>
      <c r="GDM11" s="133"/>
      <c r="GDN11" s="133"/>
      <c r="GDO11" s="133"/>
      <c r="GDP11" s="133"/>
      <c r="GDQ11" s="133"/>
      <c r="GDR11" s="133"/>
      <c r="GDS11" s="133"/>
      <c r="GDT11" s="133"/>
      <c r="GDU11" s="133"/>
      <c r="GDV11" s="133"/>
      <c r="GDW11" s="133"/>
      <c r="GDX11" s="133"/>
      <c r="GDY11" s="133"/>
      <c r="GDZ11" s="133"/>
      <c r="GEA11" s="133"/>
      <c r="GEB11" s="133"/>
      <c r="GEC11" s="133"/>
      <c r="GED11" s="133"/>
      <c r="GEE11" s="133"/>
      <c r="GEF11" s="133"/>
      <c r="GEG11" s="133"/>
      <c r="GEH11" s="133"/>
      <c r="GEI11" s="133"/>
      <c r="GEJ11" s="133"/>
      <c r="GEK11" s="133"/>
      <c r="GEL11" s="133"/>
      <c r="GEM11" s="133"/>
      <c r="GEN11" s="133"/>
      <c r="GEO11" s="133"/>
      <c r="GEP11" s="133"/>
      <c r="GEQ11" s="133"/>
      <c r="GER11" s="133"/>
      <c r="GES11" s="133"/>
      <c r="GET11" s="133"/>
      <c r="GEU11" s="133"/>
      <c r="GEV11" s="133"/>
      <c r="GEW11" s="133"/>
      <c r="GEX11" s="133"/>
      <c r="GEY11" s="133"/>
      <c r="GEZ11" s="133"/>
      <c r="GFA11" s="133"/>
      <c r="GFB11" s="133"/>
      <c r="GFC11" s="133"/>
      <c r="GFD11" s="133"/>
      <c r="GFE11" s="133"/>
      <c r="GFF11" s="133"/>
      <c r="GFG11" s="133"/>
      <c r="GFH11" s="133"/>
      <c r="GFI11" s="133"/>
      <c r="GFJ11" s="133"/>
      <c r="GFK11" s="133"/>
      <c r="GFL11" s="133"/>
      <c r="GFM11" s="133"/>
      <c r="GFN11" s="133"/>
      <c r="GFO11" s="133"/>
      <c r="GFP11" s="133"/>
      <c r="GFQ11" s="133"/>
      <c r="GFR11" s="133"/>
      <c r="GFS11" s="133"/>
      <c r="GFT11" s="133"/>
      <c r="GFU11" s="133"/>
      <c r="GFV11" s="133"/>
      <c r="GFW11" s="133"/>
      <c r="GFX11" s="133"/>
      <c r="GFY11" s="133"/>
      <c r="GFZ11" s="133"/>
      <c r="GGA11" s="133"/>
      <c r="GGB11" s="133"/>
      <c r="GGC11" s="133"/>
      <c r="GGD11" s="133"/>
      <c r="GGE11" s="133"/>
      <c r="GGF11" s="133"/>
      <c r="GGG11" s="133"/>
      <c r="GGH11" s="133"/>
      <c r="GGI11" s="133"/>
      <c r="GGJ11" s="133"/>
      <c r="GGK11" s="133"/>
      <c r="GGL11" s="133"/>
      <c r="GGM11" s="133"/>
      <c r="GGN11" s="133"/>
      <c r="GGO11" s="133"/>
      <c r="GGP11" s="133"/>
      <c r="GGQ11" s="133"/>
      <c r="GGR11" s="133"/>
      <c r="GGS11" s="133"/>
      <c r="GGT11" s="133"/>
      <c r="GGU11" s="133"/>
      <c r="GGV11" s="133"/>
      <c r="GGW11" s="133"/>
      <c r="GGX11" s="133"/>
      <c r="GGY11" s="133"/>
      <c r="GGZ11" s="133"/>
      <c r="GHA11" s="133"/>
      <c r="GHB11" s="133"/>
      <c r="GHC11" s="133"/>
      <c r="GHD11" s="133"/>
      <c r="GHE11" s="133"/>
      <c r="GHF11" s="133"/>
      <c r="GHG11" s="133"/>
      <c r="GHH11" s="133"/>
      <c r="GHI11" s="133"/>
      <c r="GHJ11" s="133"/>
      <c r="GHK11" s="133"/>
      <c r="GHL11" s="133"/>
      <c r="GHM11" s="133"/>
      <c r="GHN11" s="133"/>
      <c r="GHO11" s="133"/>
      <c r="GHP11" s="133"/>
      <c r="GHQ11" s="133"/>
      <c r="GHR11" s="133"/>
      <c r="GHS11" s="133"/>
      <c r="GHT11" s="133"/>
      <c r="GHU11" s="133"/>
      <c r="GHV11" s="133"/>
      <c r="GHW11" s="133"/>
      <c r="GHX11" s="133"/>
      <c r="GHY11" s="133"/>
      <c r="GHZ11" s="133"/>
      <c r="GIA11" s="133"/>
      <c r="GIB11" s="133"/>
      <c r="GIC11" s="133"/>
      <c r="GID11" s="133"/>
      <c r="GIE11" s="133"/>
      <c r="GIF11" s="133"/>
      <c r="GIG11" s="133"/>
      <c r="GIH11" s="133"/>
      <c r="GII11" s="133"/>
      <c r="GIJ11" s="133"/>
      <c r="GIK11" s="133"/>
      <c r="GIL11" s="133"/>
      <c r="GIM11" s="133"/>
      <c r="GIN11" s="133"/>
      <c r="GIO11" s="133"/>
      <c r="GIP11" s="133"/>
      <c r="GIQ11" s="133"/>
      <c r="GIR11" s="133"/>
      <c r="GIS11" s="133"/>
      <c r="GIT11" s="133"/>
      <c r="GIU11" s="133"/>
      <c r="GIV11" s="133"/>
      <c r="GIW11" s="133"/>
      <c r="GIX11" s="133"/>
      <c r="GIY11" s="133"/>
      <c r="GIZ11" s="133"/>
      <c r="GJA11" s="133"/>
      <c r="GJB11" s="133"/>
      <c r="GJC11" s="133"/>
      <c r="GJD11" s="133"/>
      <c r="GJE11" s="133"/>
      <c r="GJF11" s="133"/>
      <c r="GJG11" s="133"/>
      <c r="GJH11" s="133"/>
      <c r="GJI11" s="133"/>
      <c r="GJJ11" s="133"/>
      <c r="GJK11" s="133"/>
      <c r="GJL11" s="133"/>
      <c r="GJM11" s="133"/>
      <c r="GJN11" s="133"/>
      <c r="GJO11" s="133"/>
      <c r="GJP11" s="133"/>
      <c r="GJQ11" s="133"/>
      <c r="GJR11" s="133"/>
      <c r="GJS11" s="133"/>
      <c r="GJT11" s="133"/>
      <c r="GJU11" s="133"/>
      <c r="GJV11" s="133"/>
      <c r="GJW11" s="133"/>
      <c r="GJX11" s="133"/>
      <c r="GJY11" s="133"/>
      <c r="GJZ11" s="133"/>
      <c r="GKA11" s="133"/>
      <c r="GKB11" s="133"/>
      <c r="GKC11" s="133"/>
      <c r="GKD11" s="133"/>
      <c r="GKE11" s="133"/>
      <c r="GKF11" s="133"/>
      <c r="GKG11" s="133"/>
      <c r="GKH11" s="133"/>
      <c r="GKI11" s="133"/>
      <c r="GKJ11" s="133"/>
      <c r="GKK11" s="133"/>
      <c r="GKL11" s="133"/>
      <c r="GKM11" s="133"/>
      <c r="GKN11" s="133"/>
      <c r="GKO11" s="133"/>
      <c r="GKP11" s="133"/>
      <c r="GKQ11" s="133"/>
      <c r="GKR11" s="133"/>
      <c r="GKS11" s="133"/>
      <c r="GKT11" s="133"/>
      <c r="GKU11" s="133"/>
      <c r="GKV11" s="133"/>
      <c r="GKW11" s="133"/>
      <c r="GKX11" s="133"/>
      <c r="GKY11" s="133"/>
      <c r="GKZ11" s="133"/>
      <c r="GLA11" s="133"/>
      <c r="GLB11" s="133"/>
      <c r="GLC11" s="133"/>
      <c r="GLD11" s="133"/>
      <c r="GLE11" s="133"/>
      <c r="GLF11" s="133"/>
      <c r="GLG11" s="133"/>
      <c r="GLH11" s="133"/>
      <c r="GLI11" s="133"/>
      <c r="GLJ11" s="133"/>
      <c r="GLK11" s="133"/>
      <c r="GLL11" s="133"/>
      <c r="GLM11" s="133"/>
      <c r="GLN11" s="133"/>
      <c r="GLO11" s="133"/>
      <c r="GLP11" s="133"/>
      <c r="GLQ11" s="133"/>
      <c r="GLR11" s="133"/>
      <c r="GLS11" s="133"/>
      <c r="GLT11" s="133"/>
      <c r="GLU11" s="133"/>
      <c r="GLV11" s="133"/>
      <c r="GLW11" s="133"/>
      <c r="GLX11" s="133"/>
      <c r="GLY11" s="133"/>
      <c r="GLZ11" s="133"/>
      <c r="GMA11" s="133"/>
      <c r="GMB11" s="133"/>
      <c r="GMC11" s="133"/>
      <c r="GMD11" s="133"/>
      <c r="GME11" s="133"/>
      <c r="GMF11" s="133"/>
      <c r="GMG11" s="133"/>
      <c r="GMH11" s="133"/>
      <c r="GMI11" s="133"/>
      <c r="GMJ11" s="133"/>
      <c r="GMK11" s="133"/>
      <c r="GML11" s="133"/>
      <c r="GMM11" s="133"/>
      <c r="GMN11" s="133"/>
      <c r="GMO11" s="133"/>
      <c r="GMP11" s="133"/>
      <c r="GMQ11" s="133"/>
      <c r="GMR11" s="133"/>
      <c r="GMS11" s="133"/>
      <c r="GMT11" s="133"/>
      <c r="GMU11" s="133"/>
      <c r="GMV11" s="133"/>
      <c r="GMW11" s="133"/>
      <c r="GMX11" s="133"/>
      <c r="GMY11" s="133"/>
      <c r="GMZ11" s="133"/>
      <c r="GNA11" s="133"/>
      <c r="GNB11" s="133"/>
      <c r="GNC11" s="133"/>
      <c r="GND11" s="133"/>
      <c r="GNE11" s="133"/>
      <c r="GNF11" s="133"/>
      <c r="GNG11" s="133"/>
      <c r="GNH11" s="133"/>
      <c r="GNI11" s="133"/>
      <c r="GNJ11" s="133"/>
      <c r="GNK11" s="133"/>
      <c r="GNL11" s="133"/>
      <c r="GNM11" s="133"/>
      <c r="GNN11" s="133"/>
      <c r="GNO11" s="133"/>
      <c r="GNP11" s="133"/>
      <c r="GNQ11" s="133"/>
      <c r="GNR11" s="133"/>
      <c r="GNS11" s="133"/>
      <c r="GNT11" s="133"/>
      <c r="GNU11" s="133"/>
      <c r="GNV11" s="133"/>
      <c r="GNW11" s="133"/>
      <c r="GNX11" s="133"/>
      <c r="GNY11" s="133"/>
      <c r="GNZ11" s="133"/>
      <c r="GOA11" s="133"/>
      <c r="GOB11" s="133"/>
      <c r="GOC11" s="133"/>
      <c r="GOD11" s="133"/>
      <c r="GOE11" s="133"/>
      <c r="GOF11" s="133"/>
      <c r="GOG11" s="133"/>
      <c r="GOH11" s="133"/>
      <c r="GOI11" s="133"/>
      <c r="GOJ11" s="133"/>
      <c r="GOK11" s="133"/>
      <c r="GOL11" s="133"/>
      <c r="GOM11" s="133"/>
      <c r="GON11" s="133"/>
      <c r="GOO11" s="133"/>
      <c r="GOP11" s="133"/>
      <c r="GOQ11" s="133"/>
      <c r="GOR11" s="133"/>
      <c r="GOS11" s="133"/>
      <c r="GOT11" s="133"/>
      <c r="GOU11" s="133"/>
      <c r="GOV11" s="133"/>
      <c r="GOW11" s="133"/>
      <c r="GOX11" s="133"/>
      <c r="GOY11" s="133"/>
      <c r="GOZ11" s="133"/>
      <c r="GPA11" s="133"/>
      <c r="GPB11" s="133"/>
      <c r="GPC11" s="133"/>
      <c r="GPD11" s="133"/>
      <c r="GPE11" s="133"/>
      <c r="GPF11" s="133"/>
      <c r="GPG11" s="133"/>
      <c r="GPH11" s="133"/>
      <c r="GPI11" s="133"/>
      <c r="GPJ11" s="133"/>
      <c r="GPK11" s="133"/>
      <c r="GPL11" s="133"/>
      <c r="GPM11" s="133"/>
      <c r="GPN11" s="133"/>
      <c r="GPO11" s="133"/>
      <c r="GPP11" s="133"/>
      <c r="GPQ11" s="133"/>
      <c r="GPR11" s="133"/>
      <c r="GPS11" s="133"/>
      <c r="GPT11" s="133"/>
      <c r="GPU11" s="133"/>
      <c r="GPV11" s="133"/>
      <c r="GPW11" s="133"/>
      <c r="GPX11" s="133"/>
      <c r="GPY11" s="133"/>
      <c r="GPZ11" s="133"/>
      <c r="GQA11" s="133"/>
      <c r="GQB11" s="133"/>
      <c r="GQC11" s="133"/>
      <c r="GQD11" s="133"/>
      <c r="GQE11" s="133"/>
      <c r="GQF11" s="133"/>
      <c r="GQG11" s="133"/>
      <c r="GQH11" s="133"/>
      <c r="GQI11" s="133"/>
      <c r="GQJ11" s="133"/>
      <c r="GQK11" s="133"/>
      <c r="GQL11" s="133"/>
      <c r="GQM11" s="133"/>
      <c r="GQN11" s="133"/>
      <c r="GQO11" s="133"/>
      <c r="GQP11" s="133"/>
      <c r="GQQ11" s="133"/>
      <c r="GQR11" s="133"/>
      <c r="GQS11" s="133"/>
      <c r="GQT11" s="133"/>
      <c r="GQU11" s="133"/>
      <c r="GQV11" s="133"/>
      <c r="GQW11" s="133"/>
      <c r="GQX11" s="133"/>
      <c r="GQY11" s="133"/>
      <c r="GQZ11" s="133"/>
      <c r="GRA11" s="133"/>
      <c r="GRB11" s="133"/>
      <c r="GRC11" s="133"/>
      <c r="GRD11" s="133"/>
      <c r="GRE11" s="133"/>
      <c r="GRF11" s="133"/>
      <c r="GRG11" s="133"/>
      <c r="GRH11" s="133"/>
      <c r="GRI11" s="133"/>
      <c r="GRJ11" s="133"/>
      <c r="GRK11" s="133"/>
      <c r="GRL11" s="133"/>
      <c r="GRM11" s="133"/>
      <c r="GRN11" s="133"/>
      <c r="GRO11" s="133"/>
      <c r="GRP11" s="133"/>
      <c r="GRQ11" s="133"/>
      <c r="GRR11" s="133"/>
      <c r="GRS11" s="133"/>
      <c r="GRT11" s="133"/>
      <c r="GRU11" s="133"/>
      <c r="GRV11" s="133"/>
      <c r="GRW11" s="133"/>
      <c r="GRX11" s="133"/>
      <c r="GRY11" s="133"/>
      <c r="GRZ11" s="133"/>
      <c r="GSA11" s="133"/>
      <c r="GSB11" s="133"/>
      <c r="GSC11" s="133"/>
      <c r="GSD11" s="133"/>
      <c r="GSE11" s="133"/>
      <c r="GSF11" s="133"/>
      <c r="GSG11" s="133"/>
      <c r="GSH11" s="133"/>
      <c r="GSI11" s="133"/>
      <c r="GSJ11" s="133"/>
      <c r="GSK11" s="133"/>
      <c r="GSL11" s="133"/>
      <c r="GSM11" s="133"/>
      <c r="GSN11" s="133"/>
      <c r="GSO11" s="133"/>
      <c r="GSP11" s="133"/>
      <c r="GSQ11" s="133"/>
      <c r="GSR11" s="133"/>
      <c r="GSS11" s="133"/>
      <c r="GST11" s="133"/>
      <c r="GSU11" s="133"/>
      <c r="GSV11" s="133"/>
      <c r="GSW11" s="133"/>
      <c r="GSX11" s="133"/>
      <c r="GSY11" s="133"/>
      <c r="GSZ11" s="133"/>
      <c r="GTA11" s="133"/>
      <c r="GTB11" s="133"/>
      <c r="GTC11" s="133"/>
      <c r="GTD11" s="133"/>
      <c r="GTE11" s="133"/>
      <c r="GTF11" s="133"/>
      <c r="GTG11" s="133"/>
      <c r="GTH11" s="133"/>
      <c r="GTI11" s="133"/>
      <c r="GTJ11" s="133"/>
      <c r="GTK11" s="133"/>
      <c r="GTL11" s="133"/>
      <c r="GTM11" s="133"/>
      <c r="GTN11" s="133"/>
      <c r="GTO11" s="133"/>
      <c r="GTP11" s="133"/>
      <c r="GTQ11" s="133"/>
      <c r="GTR11" s="133"/>
      <c r="GTS11" s="133"/>
      <c r="GTT11" s="133"/>
      <c r="GTU11" s="133"/>
      <c r="GTV11" s="133"/>
      <c r="GTW11" s="133"/>
      <c r="GTX11" s="133"/>
      <c r="GTY11" s="133"/>
      <c r="GTZ11" s="133"/>
      <c r="GUA11" s="133"/>
      <c r="GUB11" s="133"/>
      <c r="GUC11" s="133"/>
      <c r="GUD11" s="133"/>
      <c r="GUE11" s="133"/>
      <c r="GUF11" s="133"/>
      <c r="GUG11" s="133"/>
      <c r="GUH11" s="133"/>
      <c r="GUI11" s="133"/>
      <c r="GUJ11" s="133"/>
      <c r="GUK11" s="133"/>
      <c r="GUL11" s="133"/>
      <c r="GUM11" s="133"/>
      <c r="GUN11" s="133"/>
      <c r="GUO11" s="133"/>
      <c r="GUP11" s="133"/>
      <c r="GUQ11" s="133"/>
      <c r="GUR11" s="133"/>
      <c r="GUS11" s="133"/>
      <c r="GUT11" s="133"/>
      <c r="GUU11" s="133"/>
      <c r="GUV11" s="133"/>
      <c r="GUW11" s="133"/>
      <c r="GUX11" s="133"/>
      <c r="GUY11" s="133"/>
      <c r="GUZ11" s="133"/>
      <c r="GVA11" s="133"/>
      <c r="GVB11" s="133"/>
      <c r="GVC11" s="133"/>
      <c r="GVD11" s="133"/>
      <c r="GVE11" s="133"/>
      <c r="GVF11" s="133"/>
      <c r="GVG11" s="133"/>
      <c r="GVH11" s="133"/>
      <c r="GVI11" s="133"/>
      <c r="GVJ11" s="133"/>
      <c r="GVK11" s="133"/>
      <c r="GVL11" s="133"/>
      <c r="GVM11" s="133"/>
      <c r="GVN11" s="133"/>
      <c r="GVO11" s="133"/>
      <c r="GVP11" s="133"/>
      <c r="GVQ11" s="133"/>
      <c r="GVR11" s="133"/>
      <c r="GVS11" s="133"/>
      <c r="GVT11" s="133"/>
      <c r="GVU11" s="133"/>
      <c r="GVV11" s="133"/>
      <c r="GVW11" s="133"/>
      <c r="GVX11" s="133"/>
      <c r="GVY11" s="133"/>
      <c r="GVZ11" s="133"/>
      <c r="GWA11" s="133"/>
      <c r="GWB11" s="133"/>
      <c r="GWC11" s="133"/>
      <c r="GWD11" s="133"/>
      <c r="GWE11" s="133"/>
      <c r="GWF11" s="133"/>
      <c r="GWG11" s="133"/>
      <c r="GWH11" s="133"/>
      <c r="GWI11" s="133"/>
      <c r="GWJ11" s="133"/>
      <c r="GWK11" s="133"/>
      <c r="GWL11" s="133"/>
      <c r="GWM11" s="133"/>
      <c r="GWN11" s="133"/>
      <c r="GWO11" s="133"/>
      <c r="GWP11" s="133"/>
      <c r="GWQ11" s="133"/>
      <c r="GWR11" s="133"/>
      <c r="GWS11" s="133"/>
      <c r="GWT11" s="133"/>
      <c r="GWU11" s="133"/>
      <c r="GWV11" s="133"/>
      <c r="GWW11" s="133"/>
      <c r="GWX11" s="133"/>
      <c r="GWY11" s="133"/>
      <c r="GWZ11" s="133"/>
      <c r="GXA11" s="133"/>
      <c r="GXB11" s="133"/>
      <c r="GXC11" s="133"/>
      <c r="GXD11" s="133"/>
      <c r="GXE11" s="133"/>
      <c r="GXF11" s="133"/>
      <c r="GXG11" s="133"/>
      <c r="GXH11" s="133"/>
      <c r="GXI11" s="133"/>
      <c r="GXJ11" s="133"/>
      <c r="GXK11" s="133"/>
      <c r="GXL11" s="133"/>
      <c r="GXM11" s="133"/>
      <c r="GXN11" s="133"/>
      <c r="GXO11" s="133"/>
      <c r="GXP11" s="133"/>
      <c r="GXQ11" s="133"/>
      <c r="GXR11" s="133"/>
      <c r="GXS11" s="133"/>
      <c r="GXT11" s="133"/>
      <c r="GXU11" s="133"/>
      <c r="GXV11" s="133"/>
      <c r="GXW11" s="133"/>
      <c r="GXX11" s="133"/>
      <c r="GXY11" s="133"/>
      <c r="GXZ11" s="133"/>
      <c r="GYA11" s="133"/>
      <c r="GYB11" s="133"/>
      <c r="GYC11" s="133"/>
      <c r="GYD11" s="133"/>
      <c r="GYE11" s="133"/>
      <c r="GYF11" s="133"/>
      <c r="GYG11" s="133"/>
      <c r="GYH11" s="133"/>
      <c r="GYI11" s="133"/>
      <c r="GYJ11" s="133"/>
      <c r="GYK11" s="133"/>
      <c r="GYL11" s="133"/>
      <c r="GYM11" s="133"/>
      <c r="GYN11" s="133"/>
      <c r="GYO11" s="133"/>
      <c r="GYP11" s="133"/>
      <c r="GYQ11" s="133"/>
      <c r="GYR11" s="133"/>
      <c r="GYS11" s="133"/>
      <c r="GYT11" s="133"/>
      <c r="GYU11" s="133"/>
      <c r="GYV11" s="133"/>
      <c r="GYW11" s="133"/>
      <c r="GYX11" s="133"/>
      <c r="GYY11" s="133"/>
      <c r="GYZ11" s="133"/>
      <c r="GZA11" s="133"/>
      <c r="GZB11" s="133"/>
      <c r="GZC11" s="133"/>
      <c r="GZD11" s="133"/>
      <c r="GZE11" s="133"/>
      <c r="GZF11" s="133"/>
      <c r="GZG11" s="133"/>
      <c r="GZH11" s="133"/>
      <c r="GZI11" s="133"/>
      <c r="GZJ11" s="133"/>
      <c r="GZK11" s="133"/>
      <c r="GZL11" s="133"/>
      <c r="GZM11" s="133"/>
      <c r="GZN11" s="133"/>
      <c r="GZO11" s="133"/>
      <c r="GZP11" s="133"/>
      <c r="GZQ11" s="133"/>
      <c r="GZR11" s="133"/>
      <c r="GZS11" s="133"/>
      <c r="GZT11" s="133"/>
      <c r="GZU11" s="133"/>
      <c r="GZV11" s="133"/>
      <c r="GZW11" s="133"/>
      <c r="GZX11" s="133"/>
      <c r="GZY11" s="133"/>
      <c r="GZZ11" s="133"/>
      <c r="HAA11" s="133"/>
      <c r="HAB11" s="133"/>
      <c r="HAC11" s="133"/>
      <c r="HAD11" s="133"/>
      <c r="HAE11" s="133"/>
      <c r="HAF11" s="133"/>
      <c r="HAG11" s="133"/>
      <c r="HAH11" s="133"/>
      <c r="HAI11" s="133"/>
      <c r="HAJ11" s="133"/>
      <c r="HAK11" s="133"/>
      <c r="HAL11" s="133"/>
      <c r="HAM11" s="133"/>
      <c r="HAN11" s="133"/>
      <c r="HAO11" s="133"/>
      <c r="HAP11" s="133"/>
      <c r="HAQ11" s="133"/>
      <c r="HAR11" s="133"/>
      <c r="HAS11" s="133"/>
      <c r="HAT11" s="133"/>
      <c r="HAU11" s="133"/>
      <c r="HAV11" s="133"/>
      <c r="HAW11" s="133"/>
      <c r="HAX11" s="133"/>
      <c r="HAY11" s="133"/>
      <c r="HAZ11" s="133"/>
      <c r="HBA11" s="133"/>
      <c r="HBB11" s="133"/>
      <c r="HBC11" s="133"/>
      <c r="HBD11" s="133"/>
      <c r="HBE11" s="133"/>
      <c r="HBF11" s="133"/>
      <c r="HBG11" s="133"/>
      <c r="HBH11" s="133"/>
      <c r="HBI11" s="133"/>
      <c r="HBJ11" s="133"/>
      <c r="HBK11" s="133"/>
      <c r="HBL11" s="133"/>
      <c r="HBM11" s="133"/>
      <c r="HBN11" s="133"/>
      <c r="HBO11" s="133"/>
      <c r="HBP11" s="133"/>
      <c r="HBQ11" s="133"/>
      <c r="HBR11" s="133"/>
      <c r="HBS11" s="133"/>
      <c r="HBT11" s="133"/>
      <c r="HBU11" s="133"/>
      <c r="HBV11" s="133"/>
      <c r="HBW11" s="133"/>
      <c r="HBX11" s="133"/>
      <c r="HBY11" s="133"/>
      <c r="HBZ11" s="133"/>
      <c r="HCA11" s="133"/>
      <c r="HCB11" s="133"/>
      <c r="HCC11" s="133"/>
      <c r="HCD11" s="133"/>
      <c r="HCE11" s="133"/>
      <c r="HCF11" s="133"/>
      <c r="HCG11" s="133"/>
      <c r="HCH11" s="133"/>
      <c r="HCI11" s="133"/>
      <c r="HCJ11" s="133"/>
      <c r="HCK11" s="133"/>
      <c r="HCL11" s="133"/>
      <c r="HCM11" s="133"/>
      <c r="HCN11" s="133"/>
      <c r="HCO11" s="133"/>
      <c r="HCP11" s="133"/>
      <c r="HCQ11" s="133"/>
      <c r="HCR11" s="133"/>
      <c r="HCS11" s="133"/>
      <c r="HCT11" s="133"/>
      <c r="HCU11" s="133"/>
      <c r="HCV11" s="133"/>
      <c r="HCW11" s="133"/>
      <c r="HCX11" s="133"/>
      <c r="HCY11" s="133"/>
      <c r="HCZ11" s="133"/>
      <c r="HDA11" s="133"/>
      <c r="HDB11" s="133"/>
      <c r="HDC11" s="133"/>
      <c r="HDD11" s="133"/>
      <c r="HDE11" s="133"/>
      <c r="HDF11" s="133"/>
      <c r="HDG11" s="133"/>
      <c r="HDH11" s="133"/>
      <c r="HDI11" s="133"/>
      <c r="HDJ11" s="133"/>
      <c r="HDK11" s="133"/>
      <c r="HDL11" s="133"/>
      <c r="HDM11" s="133"/>
      <c r="HDN11" s="133"/>
      <c r="HDO11" s="133"/>
      <c r="HDP11" s="133"/>
      <c r="HDQ11" s="133"/>
      <c r="HDR11" s="133"/>
      <c r="HDS11" s="133"/>
      <c r="HDT11" s="133"/>
      <c r="HDU11" s="133"/>
      <c r="HDV11" s="133"/>
      <c r="HDW11" s="133"/>
      <c r="HDX11" s="133"/>
      <c r="HDY11" s="133"/>
      <c r="HDZ11" s="133"/>
      <c r="HEA11" s="133"/>
      <c r="HEB11" s="133"/>
      <c r="HEC11" s="133"/>
      <c r="HED11" s="133"/>
      <c r="HEE11" s="133"/>
      <c r="HEF11" s="133"/>
      <c r="HEG11" s="133"/>
      <c r="HEH11" s="133"/>
      <c r="HEI11" s="133"/>
      <c r="HEJ11" s="133"/>
      <c r="HEK11" s="133"/>
      <c r="HEL11" s="133"/>
      <c r="HEM11" s="133"/>
      <c r="HEN11" s="133"/>
      <c r="HEO11" s="133"/>
      <c r="HEP11" s="133"/>
      <c r="HEQ11" s="133"/>
      <c r="HER11" s="133"/>
      <c r="HES11" s="133"/>
      <c r="HET11" s="133"/>
      <c r="HEU11" s="133"/>
      <c r="HEV11" s="133"/>
      <c r="HEW11" s="133"/>
      <c r="HEX11" s="133"/>
      <c r="HEY11" s="133"/>
      <c r="HEZ11" s="133"/>
      <c r="HFA11" s="133"/>
      <c r="HFB11" s="133"/>
      <c r="HFC11" s="133"/>
      <c r="HFD11" s="133"/>
      <c r="HFE11" s="133"/>
      <c r="HFF11" s="133"/>
      <c r="HFG11" s="133"/>
      <c r="HFH11" s="133"/>
      <c r="HFI11" s="133"/>
      <c r="HFJ11" s="133"/>
      <c r="HFK11" s="133"/>
      <c r="HFL11" s="133"/>
      <c r="HFM11" s="133"/>
      <c r="HFN11" s="133"/>
      <c r="HFO11" s="133"/>
      <c r="HFP11" s="133"/>
      <c r="HFQ11" s="133"/>
      <c r="HFR11" s="133"/>
      <c r="HFS11" s="133"/>
      <c r="HFT11" s="133"/>
      <c r="HFU11" s="133"/>
      <c r="HFV11" s="133"/>
      <c r="HFW11" s="133"/>
      <c r="HFX11" s="133"/>
      <c r="HFY11" s="133"/>
      <c r="HFZ11" s="133"/>
      <c r="HGA11" s="133"/>
      <c r="HGB11" s="133"/>
      <c r="HGC11" s="133"/>
      <c r="HGD11" s="133"/>
      <c r="HGE11" s="133"/>
      <c r="HGF11" s="133"/>
      <c r="HGG11" s="133"/>
      <c r="HGH11" s="133"/>
      <c r="HGI11" s="133"/>
      <c r="HGJ11" s="133"/>
      <c r="HGK11" s="133"/>
      <c r="HGL11" s="133"/>
      <c r="HGM11" s="133"/>
      <c r="HGN11" s="133"/>
      <c r="HGO11" s="133"/>
      <c r="HGP11" s="133"/>
      <c r="HGQ11" s="133"/>
      <c r="HGR11" s="133"/>
      <c r="HGS11" s="133"/>
      <c r="HGT11" s="133"/>
      <c r="HGU11" s="133"/>
      <c r="HGV11" s="133"/>
      <c r="HGW11" s="133"/>
      <c r="HGX11" s="133"/>
      <c r="HGY11" s="133"/>
      <c r="HGZ11" s="133"/>
      <c r="HHA11" s="133"/>
      <c r="HHB11" s="133"/>
      <c r="HHC11" s="133"/>
      <c r="HHD11" s="133"/>
      <c r="HHE11" s="133"/>
      <c r="HHF11" s="133"/>
      <c r="HHG11" s="133"/>
      <c r="HHH11" s="133"/>
      <c r="HHI11" s="133"/>
      <c r="HHJ11" s="133"/>
      <c r="HHK11" s="133"/>
      <c r="HHL11" s="133"/>
      <c r="HHM11" s="133"/>
      <c r="HHN11" s="133"/>
      <c r="HHO11" s="133"/>
      <c r="HHP11" s="133"/>
      <c r="HHQ11" s="133"/>
      <c r="HHR11" s="133"/>
      <c r="HHS11" s="133"/>
      <c r="HHT11" s="133"/>
      <c r="HHU11" s="133"/>
      <c r="HHV11" s="133"/>
      <c r="HHW11" s="133"/>
      <c r="HHX11" s="133"/>
      <c r="HHY11" s="133"/>
      <c r="HHZ11" s="133"/>
      <c r="HIA11" s="133"/>
      <c r="HIB11" s="133"/>
      <c r="HIC11" s="133"/>
      <c r="HID11" s="133"/>
      <c r="HIE11" s="133"/>
      <c r="HIF11" s="133"/>
      <c r="HIG11" s="133"/>
      <c r="HIH11" s="133"/>
      <c r="HII11" s="133"/>
      <c r="HIJ11" s="133"/>
      <c r="HIK11" s="133"/>
      <c r="HIL11" s="133"/>
      <c r="HIM11" s="133"/>
      <c r="HIN11" s="133"/>
      <c r="HIO11" s="133"/>
      <c r="HIP11" s="133"/>
      <c r="HIQ11" s="133"/>
      <c r="HIR11" s="133"/>
      <c r="HIS11" s="133"/>
      <c r="HIT11" s="133"/>
      <c r="HIU11" s="133"/>
      <c r="HIV11" s="133"/>
      <c r="HIW11" s="133"/>
      <c r="HIX11" s="133"/>
      <c r="HIY11" s="133"/>
      <c r="HIZ11" s="133"/>
      <c r="HJA11" s="133"/>
      <c r="HJB11" s="133"/>
      <c r="HJC11" s="133"/>
      <c r="HJD11" s="133"/>
      <c r="HJE11" s="133"/>
      <c r="HJF11" s="133"/>
      <c r="HJG11" s="133"/>
      <c r="HJH11" s="133"/>
      <c r="HJI11" s="133"/>
      <c r="HJJ11" s="133"/>
      <c r="HJK11" s="133"/>
      <c r="HJL11" s="133"/>
      <c r="HJM11" s="133"/>
      <c r="HJN11" s="133"/>
      <c r="HJO11" s="133"/>
      <c r="HJP11" s="133"/>
      <c r="HJQ11" s="133"/>
      <c r="HJR11" s="133"/>
      <c r="HJS11" s="133"/>
      <c r="HJT11" s="133"/>
      <c r="HJU11" s="133"/>
      <c r="HJV11" s="133"/>
      <c r="HJW11" s="133"/>
      <c r="HJX11" s="133"/>
      <c r="HJY11" s="133"/>
      <c r="HJZ11" s="133"/>
      <c r="HKA11" s="133"/>
      <c r="HKB11" s="133"/>
      <c r="HKC11" s="133"/>
      <c r="HKD11" s="133"/>
      <c r="HKE11" s="133"/>
      <c r="HKF11" s="133"/>
      <c r="HKG11" s="133"/>
      <c r="HKH11" s="133"/>
      <c r="HKI11" s="133"/>
      <c r="HKJ11" s="133"/>
      <c r="HKK11" s="133"/>
      <c r="HKL11" s="133"/>
      <c r="HKM11" s="133"/>
      <c r="HKN11" s="133"/>
      <c r="HKO11" s="133"/>
      <c r="HKP11" s="133"/>
      <c r="HKQ11" s="133"/>
      <c r="HKR11" s="133"/>
      <c r="HKS11" s="133"/>
      <c r="HKT11" s="133"/>
      <c r="HKU11" s="133"/>
      <c r="HKV11" s="133"/>
      <c r="HKW11" s="133"/>
      <c r="HKX11" s="133"/>
      <c r="HKY11" s="133"/>
      <c r="HKZ11" s="133"/>
      <c r="HLA11" s="133"/>
      <c r="HLB11" s="133"/>
      <c r="HLC11" s="133"/>
      <c r="HLD11" s="133"/>
      <c r="HLE11" s="133"/>
      <c r="HLF11" s="133"/>
      <c r="HLG11" s="133"/>
      <c r="HLH11" s="133"/>
      <c r="HLI11" s="133"/>
      <c r="HLJ11" s="133"/>
      <c r="HLK11" s="133"/>
      <c r="HLL11" s="133"/>
      <c r="HLM11" s="133"/>
      <c r="HLN11" s="133"/>
      <c r="HLO11" s="133"/>
      <c r="HLP11" s="133"/>
      <c r="HLQ11" s="133"/>
      <c r="HLR11" s="133"/>
      <c r="HLS11" s="133"/>
      <c r="HLT11" s="133"/>
      <c r="HLU11" s="133"/>
      <c r="HLV11" s="133"/>
      <c r="HLW11" s="133"/>
      <c r="HLX11" s="133"/>
      <c r="HLY11" s="133"/>
      <c r="HLZ11" s="133"/>
      <c r="HMA11" s="133"/>
      <c r="HMB11" s="133"/>
      <c r="HMC11" s="133"/>
      <c r="HMD11" s="133"/>
      <c r="HME11" s="133"/>
      <c r="HMF11" s="133"/>
      <c r="HMG11" s="133"/>
      <c r="HMH11" s="133"/>
      <c r="HMI11" s="133"/>
      <c r="HMJ11" s="133"/>
      <c r="HMK11" s="133"/>
      <c r="HML11" s="133"/>
      <c r="HMM11" s="133"/>
      <c r="HMN11" s="133"/>
      <c r="HMO11" s="133"/>
      <c r="HMP11" s="133"/>
      <c r="HMQ11" s="133"/>
      <c r="HMR11" s="133"/>
      <c r="HMS11" s="133"/>
      <c r="HMT11" s="133"/>
      <c r="HMU11" s="133"/>
      <c r="HMV11" s="133"/>
      <c r="HMW11" s="133"/>
      <c r="HMX11" s="133"/>
      <c r="HMY11" s="133"/>
      <c r="HMZ11" s="133"/>
      <c r="HNA11" s="133"/>
      <c r="HNB11" s="133"/>
      <c r="HNC11" s="133"/>
      <c r="HND11" s="133"/>
      <c r="HNE11" s="133"/>
      <c r="HNF11" s="133"/>
      <c r="HNG11" s="133"/>
      <c r="HNH11" s="133"/>
      <c r="HNI11" s="133"/>
      <c r="HNJ11" s="133"/>
      <c r="HNK11" s="133"/>
      <c r="HNL11" s="133"/>
      <c r="HNM11" s="133"/>
      <c r="HNN11" s="133"/>
      <c r="HNO11" s="133"/>
      <c r="HNP11" s="133"/>
      <c r="HNQ11" s="133"/>
      <c r="HNR11" s="133"/>
      <c r="HNS11" s="133"/>
      <c r="HNT11" s="133"/>
      <c r="HNU11" s="133"/>
      <c r="HNV11" s="133"/>
      <c r="HNW11" s="133"/>
      <c r="HNX11" s="133"/>
      <c r="HNY11" s="133"/>
      <c r="HNZ11" s="133"/>
      <c r="HOA11" s="133"/>
      <c r="HOB11" s="133"/>
      <c r="HOC11" s="133"/>
      <c r="HOD11" s="133"/>
      <c r="HOE11" s="133"/>
      <c r="HOF11" s="133"/>
      <c r="HOG11" s="133"/>
      <c r="HOH11" s="133"/>
      <c r="HOI11" s="133"/>
      <c r="HOJ11" s="133"/>
      <c r="HOK11" s="133"/>
      <c r="HOL11" s="133"/>
      <c r="HOM11" s="133"/>
      <c r="HON11" s="133"/>
      <c r="HOO11" s="133"/>
      <c r="HOP11" s="133"/>
      <c r="HOQ11" s="133"/>
      <c r="HOR11" s="133"/>
      <c r="HOS11" s="133"/>
      <c r="HOT11" s="133"/>
      <c r="HOU11" s="133"/>
      <c r="HOV11" s="133"/>
      <c r="HOW11" s="133"/>
      <c r="HOX11" s="133"/>
      <c r="HOY11" s="133"/>
      <c r="HOZ11" s="133"/>
      <c r="HPA11" s="133"/>
      <c r="HPB11" s="133"/>
      <c r="HPC11" s="133"/>
      <c r="HPD11" s="133"/>
      <c r="HPE11" s="133"/>
      <c r="HPF11" s="133"/>
      <c r="HPG11" s="133"/>
      <c r="HPH11" s="133"/>
      <c r="HPI11" s="133"/>
      <c r="HPJ11" s="133"/>
      <c r="HPK11" s="133"/>
      <c r="HPL11" s="133"/>
      <c r="HPM11" s="133"/>
      <c r="HPN11" s="133"/>
      <c r="HPO11" s="133"/>
      <c r="HPP11" s="133"/>
      <c r="HPQ11" s="133"/>
      <c r="HPR11" s="133"/>
      <c r="HPS11" s="133"/>
      <c r="HPT11" s="133"/>
      <c r="HPU11" s="133"/>
      <c r="HPV11" s="133"/>
      <c r="HPW11" s="133"/>
      <c r="HPX11" s="133"/>
      <c r="HPY11" s="133"/>
      <c r="HPZ11" s="133"/>
      <c r="HQA11" s="133"/>
      <c r="HQB11" s="133"/>
      <c r="HQC11" s="133"/>
      <c r="HQD11" s="133"/>
      <c r="HQE11" s="133"/>
      <c r="HQF11" s="133"/>
      <c r="HQG11" s="133"/>
      <c r="HQH11" s="133"/>
      <c r="HQI11" s="133"/>
      <c r="HQJ11" s="133"/>
      <c r="HQK11" s="133"/>
      <c r="HQL11" s="133"/>
      <c r="HQM11" s="133"/>
      <c r="HQN11" s="133"/>
      <c r="HQO11" s="133"/>
      <c r="HQP11" s="133"/>
      <c r="HQQ11" s="133"/>
      <c r="HQR11" s="133"/>
      <c r="HQS11" s="133"/>
      <c r="HQT11" s="133"/>
      <c r="HQU11" s="133"/>
      <c r="HQV11" s="133"/>
      <c r="HQW11" s="133"/>
      <c r="HQX11" s="133"/>
      <c r="HQY11" s="133"/>
      <c r="HQZ11" s="133"/>
      <c r="HRA11" s="133"/>
      <c r="HRB11" s="133"/>
      <c r="HRC11" s="133"/>
      <c r="HRD11" s="133"/>
      <c r="HRE11" s="133"/>
      <c r="HRF11" s="133"/>
      <c r="HRG11" s="133"/>
      <c r="HRH11" s="133"/>
      <c r="HRI11" s="133"/>
      <c r="HRJ11" s="133"/>
      <c r="HRK11" s="133"/>
      <c r="HRL11" s="133"/>
      <c r="HRM11" s="133"/>
      <c r="HRN11" s="133"/>
      <c r="HRO11" s="133"/>
      <c r="HRP11" s="133"/>
      <c r="HRQ11" s="133"/>
      <c r="HRR11" s="133"/>
      <c r="HRS11" s="133"/>
      <c r="HRT11" s="133"/>
      <c r="HRU11" s="133"/>
      <c r="HRV11" s="133"/>
      <c r="HRW11" s="133"/>
      <c r="HRX11" s="133"/>
      <c r="HRY11" s="133"/>
      <c r="HRZ11" s="133"/>
      <c r="HSA11" s="133"/>
      <c r="HSB11" s="133"/>
      <c r="HSC11" s="133"/>
      <c r="HSD11" s="133"/>
      <c r="HSE11" s="133"/>
      <c r="HSF11" s="133"/>
      <c r="HSG11" s="133"/>
      <c r="HSH11" s="133"/>
      <c r="HSI11" s="133"/>
      <c r="HSJ11" s="133"/>
      <c r="HSK11" s="133"/>
      <c r="HSL11" s="133"/>
      <c r="HSM11" s="133"/>
      <c r="HSN11" s="133"/>
      <c r="HSO11" s="133"/>
      <c r="HSP11" s="133"/>
      <c r="HSQ11" s="133"/>
      <c r="HSR11" s="133"/>
      <c r="HSS11" s="133"/>
      <c r="HST11" s="133"/>
      <c r="HSU11" s="133"/>
      <c r="HSV11" s="133"/>
      <c r="HSW11" s="133"/>
      <c r="HSX11" s="133"/>
      <c r="HSY11" s="133"/>
      <c r="HSZ11" s="133"/>
      <c r="HTA11" s="133"/>
      <c r="HTB11" s="133"/>
      <c r="HTC11" s="133"/>
      <c r="HTD11" s="133"/>
      <c r="HTE11" s="133"/>
      <c r="HTF11" s="133"/>
      <c r="HTG11" s="133"/>
      <c r="HTH11" s="133"/>
      <c r="HTI11" s="133"/>
      <c r="HTJ11" s="133"/>
      <c r="HTK11" s="133"/>
      <c r="HTL11" s="133"/>
      <c r="HTM11" s="133"/>
      <c r="HTN11" s="133"/>
      <c r="HTO11" s="133"/>
      <c r="HTP11" s="133"/>
      <c r="HTQ11" s="133"/>
      <c r="HTR11" s="133"/>
      <c r="HTS11" s="133"/>
      <c r="HTT11" s="133"/>
      <c r="HTU11" s="133"/>
      <c r="HTV11" s="133"/>
      <c r="HTW11" s="133"/>
      <c r="HTX11" s="133"/>
      <c r="HTY11" s="133"/>
      <c r="HTZ11" s="133"/>
      <c r="HUA11" s="133"/>
      <c r="HUB11" s="133"/>
      <c r="HUC11" s="133"/>
      <c r="HUD11" s="133"/>
      <c r="HUE11" s="133"/>
      <c r="HUF11" s="133"/>
      <c r="HUG11" s="133"/>
      <c r="HUH11" s="133"/>
      <c r="HUI11" s="133"/>
      <c r="HUJ11" s="133"/>
      <c r="HUK11" s="133"/>
      <c r="HUL11" s="133"/>
      <c r="HUM11" s="133"/>
      <c r="HUN11" s="133"/>
      <c r="HUO11" s="133"/>
      <c r="HUP11" s="133"/>
      <c r="HUQ11" s="133"/>
      <c r="HUR11" s="133"/>
      <c r="HUS11" s="133"/>
      <c r="HUT11" s="133"/>
      <c r="HUU11" s="133"/>
      <c r="HUV11" s="133"/>
      <c r="HUW11" s="133"/>
      <c r="HUX11" s="133"/>
      <c r="HUY11" s="133"/>
      <c r="HUZ11" s="133"/>
      <c r="HVA11" s="133"/>
      <c r="HVB11" s="133"/>
      <c r="HVC11" s="133"/>
      <c r="HVD11" s="133"/>
      <c r="HVE11" s="133"/>
      <c r="HVF11" s="133"/>
      <c r="HVG11" s="133"/>
      <c r="HVH11" s="133"/>
      <c r="HVI11" s="133"/>
      <c r="HVJ11" s="133"/>
      <c r="HVK11" s="133"/>
      <c r="HVL11" s="133"/>
      <c r="HVM11" s="133"/>
      <c r="HVN11" s="133"/>
      <c r="HVO11" s="133"/>
      <c r="HVP11" s="133"/>
      <c r="HVQ11" s="133"/>
      <c r="HVR11" s="133"/>
      <c r="HVS11" s="133"/>
      <c r="HVT11" s="133"/>
      <c r="HVU11" s="133"/>
      <c r="HVV11" s="133"/>
      <c r="HVW11" s="133"/>
      <c r="HVX11" s="133"/>
      <c r="HVY11" s="133"/>
      <c r="HVZ11" s="133"/>
      <c r="HWA11" s="133"/>
      <c r="HWB11" s="133"/>
      <c r="HWC11" s="133"/>
      <c r="HWD11" s="133"/>
      <c r="HWE11" s="133"/>
      <c r="HWF11" s="133"/>
      <c r="HWG11" s="133"/>
      <c r="HWH11" s="133"/>
      <c r="HWI11" s="133"/>
      <c r="HWJ11" s="133"/>
      <c r="HWK11" s="133"/>
      <c r="HWL11" s="133"/>
      <c r="HWM11" s="133"/>
      <c r="HWN11" s="133"/>
      <c r="HWO11" s="133"/>
      <c r="HWP11" s="133"/>
      <c r="HWQ11" s="133"/>
      <c r="HWR11" s="133"/>
      <c r="HWS11" s="133"/>
      <c r="HWT11" s="133"/>
      <c r="HWU11" s="133"/>
      <c r="HWV11" s="133"/>
      <c r="HWW11" s="133"/>
      <c r="HWX11" s="133"/>
      <c r="HWY11" s="133"/>
      <c r="HWZ11" s="133"/>
      <c r="HXA11" s="133"/>
      <c r="HXB11" s="133"/>
      <c r="HXC11" s="133"/>
      <c r="HXD11" s="133"/>
      <c r="HXE11" s="133"/>
      <c r="HXF11" s="133"/>
      <c r="HXG11" s="133"/>
      <c r="HXH11" s="133"/>
      <c r="HXI11" s="133"/>
      <c r="HXJ11" s="133"/>
      <c r="HXK11" s="133"/>
      <c r="HXL11" s="133"/>
      <c r="HXM11" s="133"/>
      <c r="HXN11" s="133"/>
      <c r="HXO11" s="133"/>
      <c r="HXP11" s="133"/>
      <c r="HXQ11" s="133"/>
      <c r="HXR11" s="133"/>
      <c r="HXS11" s="133"/>
      <c r="HXT11" s="133"/>
      <c r="HXU11" s="133"/>
      <c r="HXV11" s="133"/>
      <c r="HXW11" s="133"/>
      <c r="HXX11" s="133"/>
      <c r="HXY11" s="133"/>
      <c r="HXZ11" s="133"/>
      <c r="HYA11" s="133"/>
      <c r="HYB11" s="133"/>
      <c r="HYC11" s="133"/>
      <c r="HYD11" s="133"/>
      <c r="HYE11" s="133"/>
      <c r="HYF11" s="133"/>
      <c r="HYG11" s="133"/>
      <c r="HYH11" s="133"/>
      <c r="HYI11" s="133"/>
      <c r="HYJ11" s="133"/>
      <c r="HYK11" s="133"/>
      <c r="HYL11" s="133"/>
      <c r="HYM11" s="133"/>
      <c r="HYN11" s="133"/>
      <c r="HYO11" s="133"/>
      <c r="HYP11" s="133"/>
      <c r="HYQ11" s="133"/>
      <c r="HYR11" s="133"/>
      <c r="HYS11" s="133"/>
      <c r="HYT11" s="133"/>
      <c r="HYU11" s="133"/>
      <c r="HYV11" s="133"/>
      <c r="HYW11" s="133"/>
      <c r="HYX11" s="133"/>
      <c r="HYY11" s="133"/>
      <c r="HYZ11" s="133"/>
      <c r="HZA11" s="133"/>
      <c r="HZB11" s="133"/>
      <c r="HZC11" s="133"/>
      <c r="HZD11" s="133"/>
      <c r="HZE11" s="133"/>
      <c r="HZF11" s="133"/>
      <c r="HZG11" s="133"/>
      <c r="HZH11" s="133"/>
      <c r="HZI11" s="133"/>
      <c r="HZJ11" s="133"/>
      <c r="HZK11" s="133"/>
      <c r="HZL11" s="133"/>
      <c r="HZM11" s="133"/>
      <c r="HZN11" s="133"/>
      <c r="HZO11" s="133"/>
      <c r="HZP11" s="133"/>
      <c r="HZQ11" s="133"/>
      <c r="HZR11" s="133"/>
      <c r="HZS11" s="133"/>
      <c r="HZT11" s="133"/>
      <c r="HZU11" s="133"/>
      <c r="HZV11" s="133"/>
      <c r="HZW11" s="133"/>
      <c r="HZX11" s="133"/>
      <c r="HZY11" s="133"/>
      <c r="HZZ11" s="133"/>
      <c r="IAA11" s="133"/>
      <c r="IAB11" s="133"/>
      <c r="IAC11" s="133"/>
      <c r="IAD11" s="133"/>
      <c r="IAE11" s="133"/>
      <c r="IAF11" s="133"/>
      <c r="IAG11" s="133"/>
      <c r="IAH11" s="133"/>
      <c r="IAI11" s="133"/>
      <c r="IAJ11" s="133"/>
      <c r="IAK11" s="133"/>
      <c r="IAL11" s="133"/>
      <c r="IAM11" s="133"/>
      <c r="IAN11" s="133"/>
      <c r="IAO11" s="133"/>
      <c r="IAP11" s="133"/>
      <c r="IAQ11" s="133"/>
      <c r="IAR11" s="133"/>
      <c r="IAS11" s="133"/>
      <c r="IAT11" s="133"/>
      <c r="IAU11" s="133"/>
      <c r="IAV11" s="133"/>
      <c r="IAW11" s="133"/>
      <c r="IAX11" s="133"/>
      <c r="IAY11" s="133"/>
      <c r="IAZ11" s="133"/>
      <c r="IBA11" s="133"/>
      <c r="IBB11" s="133"/>
      <c r="IBC11" s="133"/>
      <c r="IBD11" s="133"/>
      <c r="IBE11" s="133"/>
      <c r="IBF11" s="133"/>
      <c r="IBG11" s="133"/>
      <c r="IBH11" s="133"/>
      <c r="IBI11" s="133"/>
      <c r="IBJ11" s="133"/>
      <c r="IBK11" s="133"/>
      <c r="IBL11" s="133"/>
      <c r="IBM11" s="133"/>
      <c r="IBN11" s="133"/>
      <c r="IBO11" s="133"/>
      <c r="IBP11" s="133"/>
      <c r="IBQ11" s="133"/>
      <c r="IBR11" s="133"/>
      <c r="IBS11" s="133"/>
      <c r="IBT11" s="133"/>
      <c r="IBU11" s="133"/>
      <c r="IBV11" s="133"/>
      <c r="IBW11" s="133"/>
      <c r="IBX11" s="133"/>
      <c r="IBY11" s="133"/>
      <c r="IBZ11" s="133"/>
      <c r="ICA11" s="133"/>
      <c r="ICB11" s="133"/>
      <c r="ICC11" s="133"/>
      <c r="ICD11" s="133"/>
      <c r="ICE11" s="133"/>
      <c r="ICF11" s="133"/>
      <c r="ICG11" s="133"/>
      <c r="ICH11" s="133"/>
      <c r="ICI11" s="133"/>
      <c r="ICJ11" s="133"/>
      <c r="ICK11" s="133"/>
      <c r="ICL11" s="133"/>
      <c r="ICM11" s="133"/>
      <c r="ICN11" s="133"/>
      <c r="ICO11" s="133"/>
      <c r="ICP11" s="133"/>
      <c r="ICQ11" s="133"/>
      <c r="ICR11" s="133"/>
      <c r="ICS11" s="133"/>
      <c r="ICT11" s="133"/>
      <c r="ICU11" s="133"/>
      <c r="ICV11" s="133"/>
      <c r="ICW11" s="133"/>
      <c r="ICX11" s="133"/>
      <c r="ICY11" s="133"/>
      <c r="ICZ11" s="133"/>
      <c r="IDA11" s="133"/>
      <c r="IDB11" s="133"/>
      <c r="IDC11" s="133"/>
      <c r="IDD11" s="133"/>
      <c r="IDE11" s="133"/>
      <c r="IDF11" s="133"/>
      <c r="IDG11" s="133"/>
      <c r="IDH11" s="133"/>
      <c r="IDI11" s="133"/>
      <c r="IDJ11" s="133"/>
      <c r="IDK11" s="133"/>
      <c r="IDL11" s="133"/>
      <c r="IDM11" s="133"/>
      <c r="IDN11" s="133"/>
      <c r="IDO11" s="133"/>
      <c r="IDP11" s="133"/>
      <c r="IDQ11" s="133"/>
      <c r="IDR11" s="133"/>
      <c r="IDS11" s="133"/>
      <c r="IDT11" s="133"/>
      <c r="IDU11" s="133"/>
      <c r="IDV11" s="133"/>
      <c r="IDW11" s="133"/>
      <c r="IDX11" s="133"/>
      <c r="IDY11" s="133"/>
      <c r="IDZ11" s="133"/>
      <c r="IEA11" s="133"/>
      <c r="IEB11" s="133"/>
      <c r="IEC11" s="133"/>
      <c r="IED11" s="133"/>
      <c r="IEE11" s="133"/>
      <c r="IEF11" s="133"/>
      <c r="IEG11" s="133"/>
      <c r="IEH11" s="133"/>
      <c r="IEI11" s="133"/>
      <c r="IEJ11" s="133"/>
      <c r="IEK11" s="133"/>
      <c r="IEL11" s="133"/>
      <c r="IEM11" s="133"/>
      <c r="IEN11" s="133"/>
      <c r="IEO11" s="133"/>
      <c r="IEP11" s="133"/>
      <c r="IEQ11" s="133"/>
      <c r="IER11" s="133"/>
      <c r="IES11" s="133"/>
      <c r="IET11" s="133"/>
      <c r="IEU11" s="133"/>
      <c r="IEV11" s="133"/>
      <c r="IEW11" s="133"/>
      <c r="IEX11" s="133"/>
      <c r="IEY11" s="133"/>
      <c r="IEZ11" s="133"/>
      <c r="IFA11" s="133"/>
      <c r="IFB11" s="133"/>
      <c r="IFC11" s="133"/>
      <c r="IFD11" s="133"/>
      <c r="IFE11" s="133"/>
      <c r="IFF11" s="133"/>
      <c r="IFG11" s="133"/>
      <c r="IFH11" s="133"/>
      <c r="IFI11" s="133"/>
      <c r="IFJ11" s="133"/>
      <c r="IFK11" s="133"/>
      <c r="IFL11" s="133"/>
      <c r="IFM11" s="133"/>
      <c r="IFN11" s="133"/>
      <c r="IFO11" s="133"/>
      <c r="IFP11" s="133"/>
      <c r="IFQ11" s="133"/>
      <c r="IFR11" s="133"/>
      <c r="IFS11" s="133"/>
      <c r="IFT11" s="133"/>
      <c r="IFU11" s="133"/>
      <c r="IFV11" s="133"/>
      <c r="IFW11" s="133"/>
      <c r="IFX11" s="133"/>
      <c r="IFY11" s="133"/>
      <c r="IFZ11" s="133"/>
      <c r="IGA11" s="133"/>
      <c r="IGB11" s="133"/>
      <c r="IGC11" s="133"/>
      <c r="IGD11" s="133"/>
      <c r="IGE11" s="133"/>
      <c r="IGF11" s="133"/>
      <c r="IGG11" s="133"/>
      <c r="IGH11" s="133"/>
      <c r="IGI11" s="133"/>
      <c r="IGJ11" s="133"/>
      <c r="IGK11" s="133"/>
      <c r="IGL11" s="133"/>
      <c r="IGM11" s="133"/>
      <c r="IGN11" s="133"/>
      <c r="IGO11" s="133"/>
      <c r="IGP11" s="133"/>
      <c r="IGQ11" s="133"/>
      <c r="IGR11" s="133"/>
      <c r="IGS11" s="133"/>
      <c r="IGT11" s="133"/>
      <c r="IGU11" s="133"/>
      <c r="IGV11" s="133"/>
      <c r="IGW11" s="133"/>
      <c r="IGX11" s="133"/>
      <c r="IGY11" s="133"/>
      <c r="IGZ11" s="133"/>
      <c r="IHA11" s="133"/>
      <c r="IHB11" s="133"/>
      <c r="IHC11" s="133"/>
      <c r="IHD11" s="133"/>
      <c r="IHE11" s="133"/>
      <c r="IHF11" s="133"/>
      <c r="IHG11" s="133"/>
      <c r="IHH11" s="133"/>
      <c r="IHI11" s="133"/>
      <c r="IHJ11" s="133"/>
      <c r="IHK11" s="133"/>
      <c r="IHL11" s="133"/>
      <c r="IHM11" s="133"/>
      <c r="IHN11" s="133"/>
      <c r="IHO11" s="133"/>
      <c r="IHP11" s="133"/>
      <c r="IHQ11" s="133"/>
      <c r="IHR11" s="133"/>
      <c r="IHS11" s="133"/>
      <c r="IHT11" s="133"/>
      <c r="IHU11" s="133"/>
      <c r="IHV11" s="133"/>
      <c r="IHW11" s="133"/>
      <c r="IHX11" s="133"/>
      <c r="IHY11" s="133"/>
      <c r="IHZ11" s="133"/>
      <c r="IIA11" s="133"/>
      <c r="IIB11" s="133"/>
      <c r="IIC11" s="133"/>
      <c r="IID11" s="133"/>
      <c r="IIE11" s="133"/>
      <c r="IIF11" s="133"/>
      <c r="IIG11" s="133"/>
      <c r="IIH11" s="133"/>
      <c r="III11" s="133"/>
      <c r="IIJ11" s="133"/>
      <c r="IIK11" s="133"/>
      <c r="IIL11" s="133"/>
      <c r="IIM11" s="133"/>
      <c r="IIN11" s="133"/>
      <c r="IIO11" s="133"/>
      <c r="IIP11" s="133"/>
      <c r="IIQ11" s="133"/>
      <c r="IIR11" s="133"/>
      <c r="IIS11" s="133"/>
      <c r="IIT11" s="133"/>
      <c r="IIU11" s="133"/>
      <c r="IIV11" s="133"/>
      <c r="IIW11" s="133"/>
      <c r="IIX11" s="133"/>
      <c r="IIY11" s="133"/>
      <c r="IIZ11" s="133"/>
      <c r="IJA11" s="133"/>
      <c r="IJB11" s="133"/>
      <c r="IJC11" s="133"/>
      <c r="IJD11" s="133"/>
      <c r="IJE11" s="133"/>
      <c r="IJF11" s="133"/>
      <c r="IJG11" s="133"/>
      <c r="IJH11" s="133"/>
      <c r="IJI11" s="133"/>
      <c r="IJJ11" s="133"/>
      <c r="IJK11" s="133"/>
      <c r="IJL11" s="133"/>
      <c r="IJM11" s="133"/>
      <c r="IJN11" s="133"/>
      <c r="IJO11" s="133"/>
      <c r="IJP11" s="133"/>
      <c r="IJQ11" s="133"/>
      <c r="IJR11" s="133"/>
      <c r="IJS11" s="133"/>
      <c r="IJT11" s="133"/>
      <c r="IJU11" s="133"/>
      <c r="IJV11" s="133"/>
      <c r="IJW11" s="133"/>
      <c r="IJX11" s="133"/>
      <c r="IJY11" s="133"/>
      <c r="IJZ11" s="133"/>
      <c r="IKA11" s="133"/>
      <c r="IKB11" s="133"/>
      <c r="IKC11" s="133"/>
      <c r="IKD11" s="133"/>
      <c r="IKE11" s="133"/>
      <c r="IKF11" s="133"/>
      <c r="IKG11" s="133"/>
      <c r="IKH11" s="133"/>
      <c r="IKI11" s="133"/>
      <c r="IKJ11" s="133"/>
      <c r="IKK11" s="133"/>
      <c r="IKL11" s="133"/>
      <c r="IKM11" s="133"/>
      <c r="IKN11" s="133"/>
      <c r="IKO11" s="133"/>
      <c r="IKP11" s="133"/>
      <c r="IKQ11" s="133"/>
      <c r="IKR11" s="133"/>
      <c r="IKS11" s="133"/>
      <c r="IKT11" s="133"/>
      <c r="IKU11" s="133"/>
      <c r="IKV11" s="133"/>
      <c r="IKW11" s="133"/>
      <c r="IKX11" s="133"/>
      <c r="IKY11" s="133"/>
      <c r="IKZ11" s="133"/>
      <c r="ILA11" s="133"/>
      <c r="ILB11" s="133"/>
      <c r="ILC11" s="133"/>
      <c r="ILD11" s="133"/>
      <c r="ILE11" s="133"/>
      <c r="ILF11" s="133"/>
      <c r="ILG11" s="133"/>
      <c r="ILH11" s="133"/>
      <c r="ILI11" s="133"/>
      <c r="ILJ11" s="133"/>
      <c r="ILK11" s="133"/>
      <c r="ILL11" s="133"/>
      <c r="ILM11" s="133"/>
      <c r="ILN11" s="133"/>
      <c r="ILO11" s="133"/>
      <c r="ILP11" s="133"/>
      <c r="ILQ11" s="133"/>
      <c r="ILR11" s="133"/>
      <c r="ILS11" s="133"/>
      <c r="ILT11" s="133"/>
      <c r="ILU11" s="133"/>
      <c r="ILV11" s="133"/>
      <c r="ILW11" s="133"/>
      <c r="ILX11" s="133"/>
      <c r="ILY11" s="133"/>
      <c r="ILZ11" s="133"/>
      <c r="IMA11" s="133"/>
      <c r="IMB11" s="133"/>
      <c r="IMC11" s="133"/>
      <c r="IMD11" s="133"/>
      <c r="IME11" s="133"/>
      <c r="IMF11" s="133"/>
      <c r="IMG11" s="133"/>
      <c r="IMH11" s="133"/>
      <c r="IMI11" s="133"/>
      <c r="IMJ11" s="133"/>
      <c r="IMK11" s="133"/>
      <c r="IML11" s="133"/>
      <c r="IMM11" s="133"/>
      <c r="IMN11" s="133"/>
      <c r="IMO11" s="133"/>
      <c r="IMP11" s="133"/>
      <c r="IMQ11" s="133"/>
      <c r="IMR11" s="133"/>
      <c r="IMS11" s="133"/>
      <c r="IMT11" s="133"/>
      <c r="IMU11" s="133"/>
      <c r="IMV11" s="133"/>
      <c r="IMW11" s="133"/>
      <c r="IMX11" s="133"/>
      <c r="IMY11" s="133"/>
      <c r="IMZ11" s="133"/>
      <c r="INA11" s="133"/>
      <c r="INB11" s="133"/>
      <c r="INC11" s="133"/>
      <c r="IND11" s="133"/>
      <c r="INE11" s="133"/>
      <c r="INF11" s="133"/>
      <c r="ING11" s="133"/>
      <c r="INH11" s="133"/>
      <c r="INI11" s="133"/>
      <c r="INJ11" s="133"/>
      <c r="INK11" s="133"/>
      <c r="INL11" s="133"/>
      <c r="INM11" s="133"/>
      <c r="INN11" s="133"/>
      <c r="INO11" s="133"/>
      <c r="INP11" s="133"/>
      <c r="INQ11" s="133"/>
      <c r="INR11" s="133"/>
      <c r="INS11" s="133"/>
      <c r="INT11" s="133"/>
      <c r="INU11" s="133"/>
      <c r="INV11" s="133"/>
      <c r="INW11" s="133"/>
      <c r="INX11" s="133"/>
      <c r="INY11" s="133"/>
      <c r="INZ11" s="133"/>
      <c r="IOA11" s="133"/>
      <c r="IOB11" s="133"/>
      <c r="IOC11" s="133"/>
      <c r="IOD11" s="133"/>
      <c r="IOE11" s="133"/>
      <c r="IOF11" s="133"/>
      <c r="IOG11" s="133"/>
      <c r="IOH11" s="133"/>
      <c r="IOI11" s="133"/>
      <c r="IOJ11" s="133"/>
      <c r="IOK11" s="133"/>
      <c r="IOL11" s="133"/>
      <c r="IOM11" s="133"/>
      <c r="ION11" s="133"/>
      <c r="IOO11" s="133"/>
      <c r="IOP11" s="133"/>
      <c r="IOQ11" s="133"/>
      <c r="IOR11" s="133"/>
      <c r="IOS11" s="133"/>
      <c r="IOT11" s="133"/>
      <c r="IOU11" s="133"/>
      <c r="IOV11" s="133"/>
      <c r="IOW11" s="133"/>
      <c r="IOX11" s="133"/>
      <c r="IOY11" s="133"/>
      <c r="IOZ11" s="133"/>
      <c r="IPA11" s="133"/>
      <c r="IPB11" s="133"/>
      <c r="IPC11" s="133"/>
      <c r="IPD11" s="133"/>
      <c r="IPE11" s="133"/>
      <c r="IPF11" s="133"/>
      <c r="IPG11" s="133"/>
      <c r="IPH11" s="133"/>
      <c r="IPI11" s="133"/>
      <c r="IPJ11" s="133"/>
      <c r="IPK11" s="133"/>
      <c r="IPL11" s="133"/>
      <c r="IPM11" s="133"/>
      <c r="IPN11" s="133"/>
      <c r="IPO11" s="133"/>
      <c r="IPP11" s="133"/>
      <c r="IPQ11" s="133"/>
      <c r="IPR11" s="133"/>
      <c r="IPS11" s="133"/>
      <c r="IPT11" s="133"/>
      <c r="IPU11" s="133"/>
      <c r="IPV11" s="133"/>
      <c r="IPW11" s="133"/>
      <c r="IPX11" s="133"/>
      <c r="IPY11" s="133"/>
      <c r="IPZ11" s="133"/>
      <c r="IQA11" s="133"/>
      <c r="IQB11" s="133"/>
      <c r="IQC11" s="133"/>
      <c r="IQD11" s="133"/>
      <c r="IQE11" s="133"/>
      <c r="IQF11" s="133"/>
      <c r="IQG11" s="133"/>
      <c r="IQH11" s="133"/>
      <c r="IQI11" s="133"/>
      <c r="IQJ11" s="133"/>
      <c r="IQK11" s="133"/>
      <c r="IQL11" s="133"/>
      <c r="IQM11" s="133"/>
      <c r="IQN11" s="133"/>
      <c r="IQO11" s="133"/>
      <c r="IQP11" s="133"/>
      <c r="IQQ11" s="133"/>
      <c r="IQR11" s="133"/>
      <c r="IQS11" s="133"/>
      <c r="IQT11" s="133"/>
      <c r="IQU11" s="133"/>
      <c r="IQV11" s="133"/>
      <c r="IQW11" s="133"/>
      <c r="IQX11" s="133"/>
      <c r="IQY11" s="133"/>
      <c r="IQZ11" s="133"/>
      <c r="IRA11" s="133"/>
      <c r="IRB11" s="133"/>
      <c r="IRC11" s="133"/>
      <c r="IRD11" s="133"/>
      <c r="IRE11" s="133"/>
      <c r="IRF11" s="133"/>
      <c r="IRG11" s="133"/>
      <c r="IRH11" s="133"/>
      <c r="IRI11" s="133"/>
      <c r="IRJ11" s="133"/>
      <c r="IRK11" s="133"/>
      <c r="IRL11" s="133"/>
      <c r="IRM11" s="133"/>
      <c r="IRN11" s="133"/>
      <c r="IRO11" s="133"/>
      <c r="IRP11" s="133"/>
      <c r="IRQ11" s="133"/>
      <c r="IRR11" s="133"/>
      <c r="IRS11" s="133"/>
      <c r="IRT11" s="133"/>
      <c r="IRU11" s="133"/>
      <c r="IRV11" s="133"/>
      <c r="IRW11" s="133"/>
      <c r="IRX11" s="133"/>
      <c r="IRY11" s="133"/>
      <c r="IRZ11" s="133"/>
      <c r="ISA11" s="133"/>
      <c r="ISB11" s="133"/>
      <c r="ISC11" s="133"/>
      <c r="ISD11" s="133"/>
      <c r="ISE11" s="133"/>
      <c r="ISF11" s="133"/>
      <c r="ISG11" s="133"/>
      <c r="ISH11" s="133"/>
      <c r="ISI11" s="133"/>
      <c r="ISJ11" s="133"/>
      <c r="ISK11" s="133"/>
      <c r="ISL11" s="133"/>
      <c r="ISM11" s="133"/>
      <c r="ISN11" s="133"/>
      <c r="ISO11" s="133"/>
      <c r="ISP11" s="133"/>
      <c r="ISQ11" s="133"/>
      <c r="ISR11" s="133"/>
      <c r="ISS11" s="133"/>
      <c r="IST11" s="133"/>
      <c r="ISU11" s="133"/>
      <c r="ISV11" s="133"/>
      <c r="ISW11" s="133"/>
      <c r="ISX11" s="133"/>
      <c r="ISY11" s="133"/>
      <c r="ISZ11" s="133"/>
      <c r="ITA11" s="133"/>
      <c r="ITB11" s="133"/>
      <c r="ITC11" s="133"/>
      <c r="ITD11" s="133"/>
      <c r="ITE11" s="133"/>
      <c r="ITF11" s="133"/>
      <c r="ITG11" s="133"/>
      <c r="ITH11" s="133"/>
      <c r="ITI11" s="133"/>
      <c r="ITJ11" s="133"/>
      <c r="ITK11" s="133"/>
      <c r="ITL11" s="133"/>
      <c r="ITM11" s="133"/>
      <c r="ITN11" s="133"/>
      <c r="ITO11" s="133"/>
      <c r="ITP11" s="133"/>
      <c r="ITQ11" s="133"/>
      <c r="ITR11" s="133"/>
      <c r="ITS11" s="133"/>
      <c r="ITT11" s="133"/>
      <c r="ITU11" s="133"/>
      <c r="ITV11" s="133"/>
      <c r="ITW11" s="133"/>
      <c r="ITX11" s="133"/>
      <c r="ITY11" s="133"/>
      <c r="ITZ11" s="133"/>
      <c r="IUA11" s="133"/>
      <c r="IUB11" s="133"/>
      <c r="IUC11" s="133"/>
      <c r="IUD11" s="133"/>
      <c r="IUE11" s="133"/>
      <c r="IUF11" s="133"/>
      <c r="IUG11" s="133"/>
      <c r="IUH11" s="133"/>
      <c r="IUI11" s="133"/>
      <c r="IUJ11" s="133"/>
      <c r="IUK11" s="133"/>
      <c r="IUL11" s="133"/>
      <c r="IUM11" s="133"/>
      <c r="IUN11" s="133"/>
      <c r="IUO11" s="133"/>
      <c r="IUP11" s="133"/>
      <c r="IUQ11" s="133"/>
      <c r="IUR11" s="133"/>
      <c r="IUS11" s="133"/>
      <c r="IUT11" s="133"/>
      <c r="IUU11" s="133"/>
      <c r="IUV11" s="133"/>
      <c r="IUW11" s="133"/>
      <c r="IUX11" s="133"/>
      <c r="IUY11" s="133"/>
      <c r="IUZ11" s="133"/>
      <c r="IVA11" s="133"/>
      <c r="IVB11" s="133"/>
      <c r="IVC11" s="133"/>
      <c r="IVD11" s="133"/>
      <c r="IVE11" s="133"/>
      <c r="IVF11" s="133"/>
      <c r="IVG11" s="133"/>
      <c r="IVH11" s="133"/>
      <c r="IVI11" s="133"/>
      <c r="IVJ11" s="133"/>
      <c r="IVK11" s="133"/>
      <c r="IVL11" s="133"/>
      <c r="IVM11" s="133"/>
      <c r="IVN11" s="133"/>
      <c r="IVO11" s="133"/>
      <c r="IVP11" s="133"/>
      <c r="IVQ11" s="133"/>
      <c r="IVR11" s="133"/>
      <c r="IVS11" s="133"/>
      <c r="IVT11" s="133"/>
      <c r="IVU11" s="133"/>
      <c r="IVV11" s="133"/>
      <c r="IVW11" s="133"/>
      <c r="IVX11" s="133"/>
      <c r="IVY11" s="133"/>
      <c r="IVZ11" s="133"/>
      <c r="IWA11" s="133"/>
      <c r="IWB11" s="133"/>
      <c r="IWC11" s="133"/>
      <c r="IWD11" s="133"/>
      <c r="IWE11" s="133"/>
      <c r="IWF11" s="133"/>
      <c r="IWG11" s="133"/>
      <c r="IWH11" s="133"/>
      <c r="IWI11" s="133"/>
      <c r="IWJ11" s="133"/>
      <c r="IWK11" s="133"/>
      <c r="IWL11" s="133"/>
      <c r="IWM11" s="133"/>
      <c r="IWN11" s="133"/>
      <c r="IWO11" s="133"/>
      <c r="IWP11" s="133"/>
      <c r="IWQ11" s="133"/>
      <c r="IWR11" s="133"/>
      <c r="IWS11" s="133"/>
      <c r="IWT11" s="133"/>
      <c r="IWU11" s="133"/>
      <c r="IWV11" s="133"/>
      <c r="IWW11" s="133"/>
      <c r="IWX11" s="133"/>
      <c r="IWY11" s="133"/>
      <c r="IWZ11" s="133"/>
      <c r="IXA11" s="133"/>
      <c r="IXB11" s="133"/>
      <c r="IXC11" s="133"/>
      <c r="IXD11" s="133"/>
      <c r="IXE11" s="133"/>
      <c r="IXF11" s="133"/>
      <c r="IXG11" s="133"/>
      <c r="IXH11" s="133"/>
      <c r="IXI11" s="133"/>
      <c r="IXJ11" s="133"/>
      <c r="IXK11" s="133"/>
      <c r="IXL11" s="133"/>
      <c r="IXM11" s="133"/>
      <c r="IXN11" s="133"/>
      <c r="IXO11" s="133"/>
      <c r="IXP11" s="133"/>
      <c r="IXQ11" s="133"/>
      <c r="IXR11" s="133"/>
      <c r="IXS11" s="133"/>
      <c r="IXT11" s="133"/>
      <c r="IXU11" s="133"/>
      <c r="IXV11" s="133"/>
      <c r="IXW11" s="133"/>
      <c r="IXX11" s="133"/>
      <c r="IXY11" s="133"/>
      <c r="IXZ11" s="133"/>
      <c r="IYA11" s="133"/>
      <c r="IYB11" s="133"/>
      <c r="IYC11" s="133"/>
      <c r="IYD11" s="133"/>
      <c r="IYE11" s="133"/>
      <c r="IYF11" s="133"/>
      <c r="IYG11" s="133"/>
      <c r="IYH11" s="133"/>
      <c r="IYI11" s="133"/>
      <c r="IYJ11" s="133"/>
      <c r="IYK11" s="133"/>
      <c r="IYL11" s="133"/>
      <c r="IYM11" s="133"/>
      <c r="IYN11" s="133"/>
      <c r="IYO11" s="133"/>
      <c r="IYP11" s="133"/>
      <c r="IYQ11" s="133"/>
      <c r="IYR11" s="133"/>
      <c r="IYS11" s="133"/>
      <c r="IYT11" s="133"/>
      <c r="IYU11" s="133"/>
      <c r="IYV11" s="133"/>
      <c r="IYW11" s="133"/>
      <c r="IYX11" s="133"/>
      <c r="IYY11" s="133"/>
      <c r="IYZ11" s="133"/>
      <c r="IZA11" s="133"/>
      <c r="IZB11" s="133"/>
      <c r="IZC11" s="133"/>
      <c r="IZD11" s="133"/>
      <c r="IZE11" s="133"/>
      <c r="IZF11" s="133"/>
      <c r="IZG11" s="133"/>
      <c r="IZH11" s="133"/>
      <c r="IZI11" s="133"/>
      <c r="IZJ11" s="133"/>
      <c r="IZK11" s="133"/>
      <c r="IZL11" s="133"/>
      <c r="IZM11" s="133"/>
      <c r="IZN11" s="133"/>
      <c r="IZO11" s="133"/>
      <c r="IZP11" s="133"/>
      <c r="IZQ11" s="133"/>
      <c r="IZR11" s="133"/>
      <c r="IZS11" s="133"/>
      <c r="IZT11" s="133"/>
      <c r="IZU11" s="133"/>
      <c r="IZV11" s="133"/>
      <c r="IZW11" s="133"/>
      <c r="IZX11" s="133"/>
      <c r="IZY11" s="133"/>
      <c r="IZZ11" s="133"/>
      <c r="JAA11" s="133"/>
      <c r="JAB11" s="133"/>
      <c r="JAC11" s="133"/>
      <c r="JAD11" s="133"/>
      <c r="JAE11" s="133"/>
      <c r="JAF11" s="133"/>
      <c r="JAG11" s="133"/>
      <c r="JAH11" s="133"/>
      <c r="JAI11" s="133"/>
      <c r="JAJ11" s="133"/>
      <c r="JAK11" s="133"/>
      <c r="JAL11" s="133"/>
      <c r="JAM11" s="133"/>
      <c r="JAN11" s="133"/>
      <c r="JAO11" s="133"/>
      <c r="JAP11" s="133"/>
      <c r="JAQ11" s="133"/>
      <c r="JAR11" s="133"/>
      <c r="JAS11" s="133"/>
      <c r="JAT11" s="133"/>
      <c r="JAU11" s="133"/>
      <c r="JAV11" s="133"/>
      <c r="JAW11" s="133"/>
      <c r="JAX11" s="133"/>
      <c r="JAY11" s="133"/>
      <c r="JAZ11" s="133"/>
      <c r="JBA11" s="133"/>
      <c r="JBB11" s="133"/>
      <c r="JBC11" s="133"/>
      <c r="JBD11" s="133"/>
      <c r="JBE11" s="133"/>
      <c r="JBF11" s="133"/>
      <c r="JBG11" s="133"/>
      <c r="JBH11" s="133"/>
      <c r="JBI11" s="133"/>
      <c r="JBJ11" s="133"/>
      <c r="JBK11" s="133"/>
      <c r="JBL11" s="133"/>
      <c r="JBM11" s="133"/>
      <c r="JBN11" s="133"/>
      <c r="JBO11" s="133"/>
      <c r="JBP11" s="133"/>
      <c r="JBQ11" s="133"/>
      <c r="JBR11" s="133"/>
      <c r="JBS11" s="133"/>
      <c r="JBT11" s="133"/>
      <c r="JBU11" s="133"/>
      <c r="JBV11" s="133"/>
      <c r="JBW11" s="133"/>
      <c r="JBX11" s="133"/>
      <c r="JBY11" s="133"/>
      <c r="JBZ11" s="133"/>
      <c r="JCA11" s="133"/>
      <c r="JCB11" s="133"/>
      <c r="JCC11" s="133"/>
      <c r="JCD11" s="133"/>
      <c r="JCE11" s="133"/>
      <c r="JCF11" s="133"/>
      <c r="JCG11" s="133"/>
      <c r="JCH11" s="133"/>
      <c r="JCI11" s="133"/>
      <c r="JCJ11" s="133"/>
      <c r="JCK11" s="133"/>
      <c r="JCL11" s="133"/>
      <c r="JCM11" s="133"/>
      <c r="JCN11" s="133"/>
      <c r="JCO11" s="133"/>
      <c r="JCP11" s="133"/>
      <c r="JCQ11" s="133"/>
      <c r="JCR11" s="133"/>
      <c r="JCS11" s="133"/>
      <c r="JCT11" s="133"/>
      <c r="JCU11" s="133"/>
      <c r="JCV11" s="133"/>
      <c r="JCW11" s="133"/>
      <c r="JCX11" s="133"/>
      <c r="JCY11" s="133"/>
      <c r="JCZ11" s="133"/>
      <c r="JDA11" s="133"/>
      <c r="JDB11" s="133"/>
      <c r="JDC11" s="133"/>
      <c r="JDD11" s="133"/>
      <c r="JDE11" s="133"/>
      <c r="JDF11" s="133"/>
      <c r="JDG11" s="133"/>
      <c r="JDH11" s="133"/>
      <c r="JDI11" s="133"/>
      <c r="JDJ11" s="133"/>
      <c r="JDK11" s="133"/>
      <c r="JDL11" s="133"/>
      <c r="JDM11" s="133"/>
      <c r="JDN11" s="133"/>
      <c r="JDO11" s="133"/>
      <c r="JDP11" s="133"/>
      <c r="JDQ11" s="133"/>
      <c r="JDR11" s="133"/>
      <c r="JDS11" s="133"/>
      <c r="JDT11" s="133"/>
      <c r="JDU11" s="133"/>
      <c r="JDV11" s="133"/>
      <c r="JDW11" s="133"/>
      <c r="JDX11" s="133"/>
      <c r="JDY11" s="133"/>
      <c r="JDZ11" s="133"/>
      <c r="JEA11" s="133"/>
      <c r="JEB11" s="133"/>
      <c r="JEC11" s="133"/>
      <c r="JED11" s="133"/>
      <c r="JEE11" s="133"/>
      <c r="JEF11" s="133"/>
      <c r="JEG11" s="133"/>
      <c r="JEH11" s="133"/>
      <c r="JEI11" s="133"/>
      <c r="JEJ11" s="133"/>
      <c r="JEK11" s="133"/>
      <c r="JEL11" s="133"/>
      <c r="JEM11" s="133"/>
      <c r="JEN11" s="133"/>
      <c r="JEO11" s="133"/>
      <c r="JEP11" s="133"/>
      <c r="JEQ11" s="133"/>
      <c r="JER11" s="133"/>
      <c r="JES11" s="133"/>
      <c r="JET11" s="133"/>
      <c r="JEU11" s="133"/>
      <c r="JEV11" s="133"/>
      <c r="JEW11" s="133"/>
      <c r="JEX11" s="133"/>
      <c r="JEY11" s="133"/>
      <c r="JEZ11" s="133"/>
      <c r="JFA11" s="133"/>
      <c r="JFB11" s="133"/>
      <c r="JFC11" s="133"/>
      <c r="JFD11" s="133"/>
      <c r="JFE11" s="133"/>
      <c r="JFF11" s="133"/>
      <c r="JFG11" s="133"/>
      <c r="JFH11" s="133"/>
      <c r="JFI11" s="133"/>
      <c r="JFJ11" s="133"/>
      <c r="JFK11" s="133"/>
      <c r="JFL11" s="133"/>
      <c r="JFM11" s="133"/>
      <c r="JFN11" s="133"/>
      <c r="JFO11" s="133"/>
      <c r="JFP11" s="133"/>
      <c r="JFQ11" s="133"/>
      <c r="JFR11" s="133"/>
      <c r="JFS11" s="133"/>
      <c r="JFT11" s="133"/>
      <c r="JFU11" s="133"/>
      <c r="JFV11" s="133"/>
      <c r="JFW11" s="133"/>
      <c r="JFX11" s="133"/>
      <c r="JFY11" s="133"/>
      <c r="JFZ11" s="133"/>
      <c r="JGA11" s="133"/>
      <c r="JGB11" s="133"/>
      <c r="JGC11" s="133"/>
      <c r="JGD11" s="133"/>
      <c r="JGE11" s="133"/>
      <c r="JGF11" s="133"/>
      <c r="JGG11" s="133"/>
      <c r="JGH11" s="133"/>
      <c r="JGI11" s="133"/>
      <c r="JGJ11" s="133"/>
      <c r="JGK11" s="133"/>
      <c r="JGL11" s="133"/>
      <c r="JGM11" s="133"/>
      <c r="JGN11" s="133"/>
      <c r="JGO11" s="133"/>
      <c r="JGP11" s="133"/>
      <c r="JGQ11" s="133"/>
      <c r="JGR11" s="133"/>
      <c r="JGS11" s="133"/>
      <c r="JGT11" s="133"/>
      <c r="JGU11" s="133"/>
      <c r="JGV11" s="133"/>
      <c r="JGW11" s="133"/>
      <c r="JGX11" s="133"/>
      <c r="JGY11" s="133"/>
      <c r="JGZ11" s="133"/>
      <c r="JHA11" s="133"/>
      <c r="JHB11" s="133"/>
      <c r="JHC11" s="133"/>
      <c r="JHD11" s="133"/>
      <c r="JHE11" s="133"/>
      <c r="JHF11" s="133"/>
      <c r="JHG11" s="133"/>
      <c r="JHH11" s="133"/>
      <c r="JHI11" s="133"/>
      <c r="JHJ11" s="133"/>
      <c r="JHK11" s="133"/>
      <c r="JHL11" s="133"/>
      <c r="JHM11" s="133"/>
      <c r="JHN11" s="133"/>
      <c r="JHO11" s="133"/>
      <c r="JHP11" s="133"/>
      <c r="JHQ11" s="133"/>
      <c r="JHR11" s="133"/>
      <c r="JHS11" s="133"/>
      <c r="JHT11" s="133"/>
      <c r="JHU11" s="133"/>
      <c r="JHV11" s="133"/>
      <c r="JHW11" s="133"/>
      <c r="JHX11" s="133"/>
      <c r="JHY11" s="133"/>
      <c r="JHZ11" s="133"/>
      <c r="JIA11" s="133"/>
      <c r="JIB11" s="133"/>
      <c r="JIC11" s="133"/>
      <c r="JID11" s="133"/>
      <c r="JIE11" s="133"/>
      <c r="JIF11" s="133"/>
      <c r="JIG11" s="133"/>
      <c r="JIH11" s="133"/>
      <c r="JII11" s="133"/>
      <c r="JIJ11" s="133"/>
      <c r="JIK11" s="133"/>
      <c r="JIL11" s="133"/>
      <c r="JIM11" s="133"/>
      <c r="JIN11" s="133"/>
      <c r="JIO11" s="133"/>
      <c r="JIP11" s="133"/>
      <c r="JIQ11" s="133"/>
      <c r="JIR11" s="133"/>
      <c r="JIS11" s="133"/>
      <c r="JIT11" s="133"/>
      <c r="JIU11" s="133"/>
      <c r="JIV11" s="133"/>
      <c r="JIW11" s="133"/>
      <c r="JIX11" s="133"/>
      <c r="JIY11" s="133"/>
      <c r="JIZ11" s="133"/>
      <c r="JJA11" s="133"/>
      <c r="JJB11" s="133"/>
      <c r="JJC11" s="133"/>
      <c r="JJD11" s="133"/>
      <c r="JJE11" s="133"/>
      <c r="JJF11" s="133"/>
      <c r="JJG11" s="133"/>
      <c r="JJH11" s="133"/>
      <c r="JJI11" s="133"/>
      <c r="JJJ11" s="133"/>
      <c r="JJK11" s="133"/>
      <c r="JJL11" s="133"/>
      <c r="JJM11" s="133"/>
      <c r="JJN11" s="133"/>
      <c r="JJO11" s="133"/>
      <c r="JJP11" s="133"/>
      <c r="JJQ11" s="133"/>
      <c r="JJR11" s="133"/>
      <c r="JJS11" s="133"/>
      <c r="JJT11" s="133"/>
      <c r="JJU11" s="133"/>
      <c r="JJV11" s="133"/>
      <c r="JJW11" s="133"/>
      <c r="JJX11" s="133"/>
      <c r="JJY11" s="133"/>
      <c r="JJZ11" s="133"/>
      <c r="JKA11" s="133"/>
      <c r="JKB11" s="133"/>
      <c r="JKC11" s="133"/>
      <c r="JKD11" s="133"/>
      <c r="JKE11" s="133"/>
      <c r="JKF11" s="133"/>
      <c r="JKG11" s="133"/>
      <c r="JKH11" s="133"/>
      <c r="JKI11" s="133"/>
      <c r="JKJ11" s="133"/>
      <c r="JKK11" s="133"/>
      <c r="JKL11" s="133"/>
      <c r="JKM11" s="133"/>
      <c r="JKN11" s="133"/>
      <c r="JKO11" s="133"/>
      <c r="JKP11" s="133"/>
      <c r="JKQ11" s="133"/>
      <c r="JKR11" s="133"/>
      <c r="JKS11" s="133"/>
      <c r="JKT11" s="133"/>
      <c r="JKU11" s="133"/>
      <c r="JKV11" s="133"/>
      <c r="JKW11" s="133"/>
      <c r="JKX11" s="133"/>
      <c r="JKY11" s="133"/>
      <c r="JKZ11" s="133"/>
      <c r="JLA11" s="133"/>
      <c r="JLB11" s="133"/>
      <c r="JLC11" s="133"/>
      <c r="JLD11" s="133"/>
      <c r="JLE11" s="133"/>
      <c r="JLF11" s="133"/>
      <c r="JLG11" s="133"/>
      <c r="JLH11" s="133"/>
      <c r="JLI11" s="133"/>
      <c r="JLJ11" s="133"/>
      <c r="JLK11" s="133"/>
      <c r="JLL11" s="133"/>
      <c r="JLM11" s="133"/>
      <c r="JLN11" s="133"/>
      <c r="JLO11" s="133"/>
      <c r="JLP11" s="133"/>
      <c r="JLQ11" s="133"/>
      <c r="JLR11" s="133"/>
      <c r="JLS11" s="133"/>
      <c r="JLT11" s="133"/>
      <c r="JLU11" s="133"/>
      <c r="JLV11" s="133"/>
      <c r="JLW11" s="133"/>
      <c r="JLX11" s="133"/>
      <c r="JLY11" s="133"/>
      <c r="JLZ11" s="133"/>
      <c r="JMA11" s="133"/>
      <c r="JMB11" s="133"/>
      <c r="JMC11" s="133"/>
      <c r="JMD11" s="133"/>
      <c r="JME11" s="133"/>
      <c r="JMF11" s="133"/>
      <c r="JMG11" s="133"/>
      <c r="JMH11" s="133"/>
      <c r="JMI11" s="133"/>
      <c r="JMJ11" s="133"/>
      <c r="JMK11" s="133"/>
      <c r="JML11" s="133"/>
      <c r="JMM11" s="133"/>
      <c r="JMN11" s="133"/>
      <c r="JMO11" s="133"/>
      <c r="JMP11" s="133"/>
      <c r="JMQ11" s="133"/>
      <c r="JMR11" s="133"/>
      <c r="JMS11" s="133"/>
      <c r="JMT11" s="133"/>
      <c r="JMU11" s="133"/>
      <c r="JMV11" s="133"/>
      <c r="JMW11" s="133"/>
      <c r="JMX11" s="133"/>
      <c r="JMY11" s="133"/>
      <c r="JMZ11" s="133"/>
      <c r="JNA11" s="133"/>
      <c r="JNB11" s="133"/>
      <c r="JNC11" s="133"/>
      <c r="JND11" s="133"/>
      <c r="JNE11" s="133"/>
      <c r="JNF11" s="133"/>
      <c r="JNG11" s="133"/>
      <c r="JNH11" s="133"/>
      <c r="JNI11" s="133"/>
      <c r="JNJ11" s="133"/>
      <c r="JNK11" s="133"/>
      <c r="JNL11" s="133"/>
      <c r="JNM11" s="133"/>
      <c r="JNN11" s="133"/>
      <c r="JNO11" s="133"/>
      <c r="JNP11" s="133"/>
      <c r="JNQ11" s="133"/>
      <c r="JNR11" s="133"/>
      <c r="JNS11" s="133"/>
      <c r="JNT11" s="133"/>
      <c r="JNU11" s="133"/>
      <c r="JNV11" s="133"/>
      <c r="JNW11" s="133"/>
      <c r="JNX11" s="133"/>
      <c r="JNY11" s="133"/>
      <c r="JNZ11" s="133"/>
      <c r="JOA11" s="133"/>
      <c r="JOB11" s="133"/>
      <c r="JOC11" s="133"/>
      <c r="JOD11" s="133"/>
      <c r="JOE11" s="133"/>
      <c r="JOF11" s="133"/>
      <c r="JOG11" s="133"/>
      <c r="JOH11" s="133"/>
      <c r="JOI11" s="133"/>
      <c r="JOJ11" s="133"/>
      <c r="JOK11" s="133"/>
      <c r="JOL11" s="133"/>
      <c r="JOM11" s="133"/>
      <c r="JON11" s="133"/>
      <c r="JOO11" s="133"/>
      <c r="JOP11" s="133"/>
      <c r="JOQ11" s="133"/>
      <c r="JOR11" s="133"/>
      <c r="JOS11" s="133"/>
      <c r="JOT11" s="133"/>
      <c r="JOU11" s="133"/>
      <c r="JOV11" s="133"/>
      <c r="JOW11" s="133"/>
      <c r="JOX11" s="133"/>
      <c r="JOY11" s="133"/>
      <c r="JOZ11" s="133"/>
      <c r="JPA11" s="133"/>
      <c r="JPB11" s="133"/>
      <c r="JPC11" s="133"/>
      <c r="JPD11" s="133"/>
      <c r="JPE11" s="133"/>
      <c r="JPF11" s="133"/>
      <c r="JPG11" s="133"/>
      <c r="JPH11" s="133"/>
      <c r="JPI11" s="133"/>
      <c r="JPJ11" s="133"/>
      <c r="JPK11" s="133"/>
      <c r="JPL11" s="133"/>
      <c r="JPM11" s="133"/>
      <c r="JPN11" s="133"/>
      <c r="JPO11" s="133"/>
      <c r="JPP11" s="133"/>
      <c r="JPQ11" s="133"/>
      <c r="JPR11" s="133"/>
      <c r="JPS11" s="133"/>
      <c r="JPT11" s="133"/>
      <c r="JPU11" s="133"/>
      <c r="JPV11" s="133"/>
      <c r="JPW11" s="133"/>
      <c r="JPX11" s="133"/>
      <c r="JPY11" s="133"/>
      <c r="JPZ11" s="133"/>
      <c r="JQA11" s="133"/>
      <c r="JQB11" s="133"/>
      <c r="JQC11" s="133"/>
      <c r="JQD11" s="133"/>
      <c r="JQE11" s="133"/>
      <c r="JQF11" s="133"/>
      <c r="JQG11" s="133"/>
      <c r="JQH11" s="133"/>
      <c r="JQI11" s="133"/>
      <c r="JQJ11" s="133"/>
      <c r="JQK11" s="133"/>
      <c r="JQL11" s="133"/>
      <c r="JQM11" s="133"/>
      <c r="JQN11" s="133"/>
      <c r="JQO11" s="133"/>
      <c r="JQP11" s="133"/>
      <c r="JQQ11" s="133"/>
      <c r="JQR11" s="133"/>
      <c r="JQS11" s="133"/>
      <c r="JQT11" s="133"/>
      <c r="JQU11" s="133"/>
      <c r="JQV11" s="133"/>
      <c r="JQW11" s="133"/>
      <c r="JQX11" s="133"/>
      <c r="JQY11" s="133"/>
      <c r="JQZ11" s="133"/>
      <c r="JRA11" s="133"/>
      <c r="JRB11" s="133"/>
      <c r="JRC11" s="133"/>
      <c r="JRD11" s="133"/>
      <c r="JRE11" s="133"/>
      <c r="JRF11" s="133"/>
      <c r="JRG11" s="133"/>
      <c r="JRH11" s="133"/>
      <c r="JRI11" s="133"/>
      <c r="JRJ11" s="133"/>
      <c r="JRK11" s="133"/>
      <c r="JRL11" s="133"/>
      <c r="JRM11" s="133"/>
      <c r="JRN11" s="133"/>
      <c r="JRO11" s="133"/>
      <c r="JRP11" s="133"/>
      <c r="JRQ11" s="133"/>
      <c r="JRR11" s="133"/>
      <c r="JRS11" s="133"/>
      <c r="JRT11" s="133"/>
      <c r="JRU11" s="133"/>
      <c r="JRV11" s="133"/>
      <c r="JRW11" s="133"/>
      <c r="JRX11" s="133"/>
      <c r="JRY11" s="133"/>
      <c r="JRZ11" s="133"/>
      <c r="JSA11" s="133"/>
      <c r="JSB11" s="133"/>
      <c r="JSC11" s="133"/>
      <c r="JSD11" s="133"/>
      <c r="JSE11" s="133"/>
      <c r="JSF11" s="133"/>
      <c r="JSG11" s="133"/>
      <c r="JSH11" s="133"/>
      <c r="JSI11" s="133"/>
      <c r="JSJ11" s="133"/>
      <c r="JSK11" s="133"/>
      <c r="JSL11" s="133"/>
      <c r="JSM11" s="133"/>
      <c r="JSN11" s="133"/>
      <c r="JSO11" s="133"/>
      <c r="JSP11" s="133"/>
      <c r="JSQ11" s="133"/>
      <c r="JSR11" s="133"/>
      <c r="JSS11" s="133"/>
      <c r="JST11" s="133"/>
      <c r="JSU11" s="133"/>
      <c r="JSV11" s="133"/>
      <c r="JSW11" s="133"/>
      <c r="JSX11" s="133"/>
      <c r="JSY11" s="133"/>
      <c r="JSZ11" s="133"/>
      <c r="JTA11" s="133"/>
      <c r="JTB11" s="133"/>
      <c r="JTC11" s="133"/>
      <c r="JTD11" s="133"/>
      <c r="JTE11" s="133"/>
      <c r="JTF11" s="133"/>
      <c r="JTG11" s="133"/>
      <c r="JTH11" s="133"/>
      <c r="JTI11" s="133"/>
      <c r="JTJ11" s="133"/>
      <c r="JTK11" s="133"/>
      <c r="JTL11" s="133"/>
      <c r="JTM11" s="133"/>
      <c r="JTN11" s="133"/>
      <c r="JTO11" s="133"/>
      <c r="JTP11" s="133"/>
      <c r="JTQ11" s="133"/>
      <c r="JTR11" s="133"/>
      <c r="JTS11" s="133"/>
      <c r="JTT11" s="133"/>
      <c r="JTU11" s="133"/>
      <c r="JTV11" s="133"/>
      <c r="JTW11" s="133"/>
      <c r="JTX11" s="133"/>
      <c r="JTY11" s="133"/>
      <c r="JTZ11" s="133"/>
      <c r="JUA11" s="133"/>
      <c r="JUB11" s="133"/>
      <c r="JUC11" s="133"/>
      <c r="JUD11" s="133"/>
      <c r="JUE11" s="133"/>
      <c r="JUF11" s="133"/>
      <c r="JUG11" s="133"/>
      <c r="JUH11" s="133"/>
      <c r="JUI11" s="133"/>
      <c r="JUJ11" s="133"/>
      <c r="JUK11" s="133"/>
      <c r="JUL11" s="133"/>
      <c r="JUM11" s="133"/>
      <c r="JUN11" s="133"/>
      <c r="JUO11" s="133"/>
      <c r="JUP11" s="133"/>
      <c r="JUQ11" s="133"/>
      <c r="JUR11" s="133"/>
      <c r="JUS11" s="133"/>
      <c r="JUT11" s="133"/>
      <c r="JUU11" s="133"/>
      <c r="JUV11" s="133"/>
      <c r="JUW11" s="133"/>
      <c r="JUX11" s="133"/>
      <c r="JUY11" s="133"/>
      <c r="JUZ11" s="133"/>
      <c r="JVA11" s="133"/>
      <c r="JVB11" s="133"/>
      <c r="JVC11" s="133"/>
      <c r="JVD11" s="133"/>
      <c r="JVE11" s="133"/>
      <c r="JVF11" s="133"/>
      <c r="JVG11" s="133"/>
      <c r="JVH11" s="133"/>
      <c r="JVI11" s="133"/>
      <c r="JVJ11" s="133"/>
      <c r="JVK11" s="133"/>
      <c r="JVL11" s="133"/>
      <c r="JVM11" s="133"/>
      <c r="JVN11" s="133"/>
      <c r="JVO11" s="133"/>
      <c r="JVP11" s="133"/>
      <c r="JVQ11" s="133"/>
      <c r="JVR11" s="133"/>
      <c r="JVS11" s="133"/>
      <c r="JVT11" s="133"/>
      <c r="JVU11" s="133"/>
      <c r="JVV11" s="133"/>
      <c r="JVW11" s="133"/>
      <c r="JVX11" s="133"/>
      <c r="JVY11" s="133"/>
      <c r="JVZ11" s="133"/>
      <c r="JWA11" s="133"/>
      <c r="JWB11" s="133"/>
      <c r="JWC11" s="133"/>
      <c r="JWD11" s="133"/>
      <c r="JWE11" s="133"/>
      <c r="JWF11" s="133"/>
      <c r="JWG11" s="133"/>
      <c r="JWH11" s="133"/>
      <c r="JWI11" s="133"/>
      <c r="JWJ11" s="133"/>
      <c r="JWK11" s="133"/>
      <c r="JWL11" s="133"/>
      <c r="JWM11" s="133"/>
      <c r="JWN11" s="133"/>
      <c r="JWO11" s="133"/>
      <c r="JWP11" s="133"/>
      <c r="JWQ11" s="133"/>
      <c r="JWR11" s="133"/>
      <c r="JWS11" s="133"/>
      <c r="JWT11" s="133"/>
      <c r="JWU11" s="133"/>
      <c r="JWV11" s="133"/>
      <c r="JWW11" s="133"/>
      <c r="JWX11" s="133"/>
      <c r="JWY11" s="133"/>
      <c r="JWZ11" s="133"/>
      <c r="JXA11" s="133"/>
      <c r="JXB11" s="133"/>
      <c r="JXC11" s="133"/>
      <c r="JXD11" s="133"/>
      <c r="JXE11" s="133"/>
      <c r="JXF11" s="133"/>
      <c r="JXG11" s="133"/>
      <c r="JXH11" s="133"/>
      <c r="JXI11" s="133"/>
      <c r="JXJ11" s="133"/>
      <c r="JXK11" s="133"/>
      <c r="JXL11" s="133"/>
      <c r="JXM11" s="133"/>
      <c r="JXN11" s="133"/>
      <c r="JXO11" s="133"/>
      <c r="JXP11" s="133"/>
      <c r="JXQ11" s="133"/>
      <c r="JXR11" s="133"/>
      <c r="JXS11" s="133"/>
      <c r="JXT11" s="133"/>
      <c r="JXU11" s="133"/>
      <c r="JXV11" s="133"/>
      <c r="JXW11" s="133"/>
      <c r="JXX11" s="133"/>
      <c r="JXY11" s="133"/>
      <c r="JXZ11" s="133"/>
      <c r="JYA11" s="133"/>
      <c r="JYB11" s="133"/>
      <c r="JYC11" s="133"/>
      <c r="JYD11" s="133"/>
      <c r="JYE11" s="133"/>
      <c r="JYF11" s="133"/>
      <c r="JYG11" s="133"/>
      <c r="JYH11" s="133"/>
      <c r="JYI11" s="133"/>
      <c r="JYJ11" s="133"/>
      <c r="JYK11" s="133"/>
      <c r="JYL11" s="133"/>
      <c r="JYM11" s="133"/>
      <c r="JYN11" s="133"/>
      <c r="JYO11" s="133"/>
      <c r="JYP11" s="133"/>
      <c r="JYQ11" s="133"/>
      <c r="JYR11" s="133"/>
      <c r="JYS11" s="133"/>
      <c r="JYT11" s="133"/>
      <c r="JYU11" s="133"/>
      <c r="JYV11" s="133"/>
      <c r="JYW11" s="133"/>
      <c r="JYX11" s="133"/>
      <c r="JYY11" s="133"/>
      <c r="JYZ11" s="133"/>
      <c r="JZA11" s="133"/>
      <c r="JZB11" s="133"/>
      <c r="JZC11" s="133"/>
      <c r="JZD11" s="133"/>
      <c r="JZE11" s="133"/>
      <c r="JZF11" s="133"/>
      <c r="JZG11" s="133"/>
      <c r="JZH11" s="133"/>
      <c r="JZI11" s="133"/>
      <c r="JZJ11" s="133"/>
      <c r="JZK11" s="133"/>
      <c r="JZL11" s="133"/>
      <c r="JZM11" s="133"/>
      <c r="JZN11" s="133"/>
      <c r="JZO11" s="133"/>
      <c r="JZP11" s="133"/>
      <c r="JZQ11" s="133"/>
      <c r="JZR11" s="133"/>
      <c r="JZS11" s="133"/>
      <c r="JZT11" s="133"/>
      <c r="JZU11" s="133"/>
      <c r="JZV11" s="133"/>
      <c r="JZW11" s="133"/>
      <c r="JZX11" s="133"/>
      <c r="JZY11" s="133"/>
      <c r="JZZ11" s="133"/>
      <c r="KAA11" s="133"/>
      <c r="KAB11" s="133"/>
      <c r="KAC11" s="133"/>
      <c r="KAD11" s="133"/>
      <c r="KAE11" s="133"/>
      <c r="KAF11" s="133"/>
      <c r="KAG11" s="133"/>
      <c r="KAH11" s="133"/>
      <c r="KAI11" s="133"/>
      <c r="KAJ11" s="133"/>
      <c r="KAK11" s="133"/>
      <c r="KAL11" s="133"/>
      <c r="KAM11" s="133"/>
      <c r="KAN11" s="133"/>
      <c r="KAO11" s="133"/>
      <c r="KAP11" s="133"/>
      <c r="KAQ11" s="133"/>
      <c r="KAR11" s="133"/>
      <c r="KAS11" s="133"/>
      <c r="KAT11" s="133"/>
      <c r="KAU11" s="133"/>
      <c r="KAV11" s="133"/>
      <c r="KAW11" s="133"/>
      <c r="KAX11" s="133"/>
      <c r="KAY11" s="133"/>
      <c r="KAZ11" s="133"/>
      <c r="KBA11" s="133"/>
      <c r="KBB11" s="133"/>
      <c r="KBC11" s="133"/>
      <c r="KBD11" s="133"/>
      <c r="KBE11" s="133"/>
      <c r="KBF11" s="133"/>
      <c r="KBG11" s="133"/>
      <c r="KBH11" s="133"/>
      <c r="KBI11" s="133"/>
      <c r="KBJ11" s="133"/>
      <c r="KBK11" s="133"/>
      <c r="KBL11" s="133"/>
      <c r="KBM11" s="133"/>
      <c r="KBN11" s="133"/>
      <c r="KBO11" s="133"/>
      <c r="KBP11" s="133"/>
      <c r="KBQ11" s="133"/>
      <c r="KBR11" s="133"/>
      <c r="KBS11" s="133"/>
      <c r="KBT11" s="133"/>
      <c r="KBU11" s="133"/>
      <c r="KBV11" s="133"/>
      <c r="KBW11" s="133"/>
      <c r="KBX11" s="133"/>
      <c r="KBY11" s="133"/>
      <c r="KBZ11" s="133"/>
      <c r="KCA11" s="133"/>
      <c r="KCB11" s="133"/>
      <c r="KCC11" s="133"/>
      <c r="KCD11" s="133"/>
      <c r="KCE11" s="133"/>
      <c r="KCF11" s="133"/>
      <c r="KCG11" s="133"/>
      <c r="KCH11" s="133"/>
      <c r="KCI11" s="133"/>
      <c r="KCJ11" s="133"/>
      <c r="KCK11" s="133"/>
      <c r="KCL11" s="133"/>
      <c r="KCM11" s="133"/>
      <c r="KCN11" s="133"/>
      <c r="KCO11" s="133"/>
      <c r="KCP11" s="133"/>
      <c r="KCQ11" s="133"/>
      <c r="KCR11" s="133"/>
      <c r="KCS11" s="133"/>
      <c r="KCT11" s="133"/>
      <c r="KCU11" s="133"/>
      <c r="KCV11" s="133"/>
      <c r="KCW11" s="133"/>
      <c r="KCX11" s="133"/>
      <c r="KCY11" s="133"/>
      <c r="KCZ11" s="133"/>
      <c r="KDA11" s="133"/>
      <c r="KDB11" s="133"/>
      <c r="KDC11" s="133"/>
      <c r="KDD11" s="133"/>
      <c r="KDE11" s="133"/>
      <c r="KDF11" s="133"/>
      <c r="KDG11" s="133"/>
      <c r="KDH11" s="133"/>
      <c r="KDI11" s="133"/>
      <c r="KDJ11" s="133"/>
      <c r="KDK11" s="133"/>
      <c r="KDL11" s="133"/>
      <c r="KDM11" s="133"/>
      <c r="KDN11" s="133"/>
      <c r="KDO11" s="133"/>
      <c r="KDP11" s="133"/>
      <c r="KDQ11" s="133"/>
      <c r="KDR11" s="133"/>
      <c r="KDS11" s="133"/>
      <c r="KDT11" s="133"/>
      <c r="KDU11" s="133"/>
      <c r="KDV11" s="133"/>
      <c r="KDW11" s="133"/>
      <c r="KDX11" s="133"/>
      <c r="KDY11" s="133"/>
      <c r="KDZ11" s="133"/>
      <c r="KEA11" s="133"/>
      <c r="KEB11" s="133"/>
      <c r="KEC11" s="133"/>
      <c r="KED11" s="133"/>
      <c r="KEE11" s="133"/>
      <c r="KEF11" s="133"/>
      <c r="KEG11" s="133"/>
      <c r="KEH11" s="133"/>
      <c r="KEI11" s="133"/>
      <c r="KEJ11" s="133"/>
      <c r="KEK11" s="133"/>
      <c r="KEL11" s="133"/>
      <c r="KEM11" s="133"/>
      <c r="KEN11" s="133"/>
      <c r="KEO11" s="133"/>
      <c r="KEP11" s="133"/>
      <c r="KEQ11" s="133"/>
      <c r="KER11" s="133"/>
      <c r="KES11" s="133"/>
      <c r="KET11" s="133"/>
      <c r="KEU11" s="133"/>
      <c r="KEV11" s="133"/>
      <c r="KEW11" s="133"/>
      <c r="KEX11" s="133"/>
      <c r="KEY11" s="133"/>
      <c r="KEZ11" s="133"/>
      <c r="KFA11" s="133"/>
      <c r="KFB11" s="133"/>
      <c r="KFC11" s="133"/>
      <c r="KFD11" s="133"/>
      <c r="KFE11" s="133"/>
      <c r="KFF11" s="133"/>
      <c r="KFG11" s="133"/>
      <c r="KFH11" s="133"/>
      <c r="KFI11" s="133"/>
      <c r="KFJ11" s="133"/>
      <c r="KFK11" s="133"/>
      <c r="KFL11" s="133"/>
      <c r="KFM11" s="133"/>
      <c r="KFN11" s="133"/>
      <c r="KFO11" s="133"/>
      <c r="KFP11" s="133"/>
      <c r="KFQ11" s="133"/>
      <c r="KFR11" s="133"/>
      <c r="KFS11" s="133"/>
      <c r="KFT11" s="133"/>
      <c r="KFU11" s="133"/>
      <c r="KFV11" s="133"/>
      <c r="KFW11" s="133"/>
      <c r="KFX11" s="133"/>
      <c r="KFY11" s="133"/>
      <c r="KFZ11" s="133"/>
      <c r="KGA11" s="133"/>
      <c r="KGB11" s="133"/>
      <c r="KGC11" s="133"/>
      <c r="KGD11" s="133"/>
      <c r="KGE11" s="133"/>
      <c r="KGF11" s="133"/>
      <c r="KGG11" s="133"/>
      <c r="KGH11" s="133"/>
      <c r="KGI11" s="133"/>
      <c r="KGJ11" s="133"/>
      <c r="KGK11" s="133"/>
      <c r="KGL11" s="133"/>
      <c r="KGM11" s="133"/>
      <c r="KGN11" s="133"/>
      <c r="KGO11" s="133"/>
      <c r="KGP11" s="133"/>
      <c r="KGQ11" s="133"/>
      <c r="KGR11" s="133"/>
      <c r="KGS11" s="133"/>
      <c r="KGT11" s="133"/>
      <c r="KGU11" s="133"/>
      <c r="KGV11" s="133"/>
      <c r="KGW11" s="133"/>
      <c r="KGX11" s="133"/>
      <c r="KGY11" s="133"/>
      <c r="KGZ11" s="133"/>
      <c r="KHA11" s="133"/>
      <c r="KHB11" s="133"/>
      <c r="KHC11" s="133"/>
      <c r="KHD11" s="133"/>
      <c r="KHE11" s="133"/>
      <c r="KHF11" s="133"/>
      <c r="KHG11" s="133"/>
      <c r="KHH11" s="133"/>
      <c r="KHI11" s="133"/>
      <c r="KHJ11" s="133"/>
      <c r="KHK11" s="133"/>
      <c r="KHL11" s="133"/>
      <c r="KHM11" s="133"/>
      <c r="KHN11" s="133"/>
      <c r="KHO11" s="133"/>
      <c r="KHP11" s="133"/>
      <c r="KHQ11" s="133"/>
      <c r="KHR11" s="133"/>
      <c r="KHS11" s="133"/>
      <c r="KHT11" s="133"/>
      <c r="KHU11" s="133"/>
      <c r="KHV11" s="133"/>
      <c r="KHW11" s="133"/>
      <c r="KHX11" s="133"/>
      <c r="KHY11" s="133"/>
      <c r="KHZ11" s="133"/>
      <c r="KIA11" s="133"/>
      <c r="KIB11" s="133"/>
      <c r="KIC11" s="133"/>
      <c r="KID11" s="133"/>
      <c r="KIE11" s="133"/>
      <c r="KIF11" s="133"/>
      <c r="KIG11" s="133"/>
      <c r="KIH11" s="133"/>
      <c r="KII11" s="133"/>
      <c r="KIJ11" s="133"/>
      <c r="KIK11" s="133"/>
      <c r="KIL11" s="133"/>
      <c r="KIM11" s="133"/>
      <c r="KIN11" s="133"/>
      <c r="KIO11" s="133"/>
      <c r="KIP11" s="133"/>
      <c r="KIQ11" s="133"/>
      <c r="KIR11" s="133"/>
      <c r="KIS11" s="133"/>
      <c r="KIT11" s="133"/>
      <c r="KIU11" s="133"/>
      <c r="KIV11" s="133"/>
      <c r="KIW11" s="133"/>
      <c r="KIX11" s="133"/>
      <c r="KIY11" s="133"/>
      <c r="KIZ11" s="133"/>
      <c r="KJA11" s="133"/>
      <c r="KJB11" s="133"/>
      <c r="KJC11" s="133"/>
      <c r="KJD11" s="133"/>
      <c r="KJE11" s="133"/>
      <c r="KJF11" s="133"/>
      <c r="KJG11" s="133"/>
      <c r="KJH11" s="133"/>
      <c r="KJI11" s="133"/>
      <c r="KJJ11" s="133"/>
      <c r="KJK11" s="133"/>
      <c r="KJL11" s="133"/>
      <c r="KJM11" s="133"/>
      <c r="KJN11" s="133"/>
      <c r="KJO11" s="133"/>
      <c r="KJP11" s="133"/>
      <c r="KJQ11" s="133"/>
      <c r="KJR11" s="133"/>
      <c r="KJS11" s="133"/>
      <c r="KJT11" s="133"/>
      <c r="KJU11" s="133"/>
      <c r="KJV11" s="133"/>
      <c r="KJW11" s="133"/>
      <c r="KJX11" s="133"/>
      <c r="KJY11" s="133"/>
      <c r="KJZ11" s="133"/>
      <c r="KKA11" s="133"/>
      <c r="KKB11" s="133"/>
      <c r="KKC11" s="133"/>
      <c r="KKD11" s="133"/>
      <c r="KKE11" s="133"/>
      <c r="KKF11" s="133"/>
      <c r="KKG11" s="133"/>
      <c r="KKH11" s="133"/>
      <c r="KKI11" s="133"/>
      <c r="KKJ11" s="133"/>
      <c r="KKK11" s="133"/>
      <c r="KKL11" s="133"/>
      <c r="KKM11" s="133"/>
      <c r="KKN11" s="133"/>
      <c r="KKO11" s="133"/>
      <c r="KKP11" s="133"/>
      <c r="KKQ11" s="133"/>
      <c r="KKR11" s="133"/>
      <c r="KKS11" s="133"/>
      <c r="KKT11" s="133"/>
      <c r="KKU11" s="133"/>
      <c r="KKV11" s="133"/>
      <c r="KKW11" s="133"/>
      <c r="KKX11" s="133"/>
      <c r="KKY11" s="133"/>
      <c r="KKZ11" s="133"/>
      <c r="KLA11" s="133"/>
      <c r="KLB11" s="133"/>
      <c r="KLC11" s="133"/>
      <c r="KLD11" s="133"/>
      <c r="KLE11" s="133"/>
      <c r="KLF11" s="133"/>
      <c r="KLG11" s="133"/>
      <c r="KLH11" s="133"/>
      <c r="KLI11" s="133"/>
      <c r="KLJ11" s="133"/>
      <c r="KLK11" s="133"/>
      <c r="KLL11" s="133"/>
      <c r="KLM11" s="133"/>
      <c r="KLN11" s="133"/>
      <c r="KLO11" s="133"/>
      <c r="KLP11" s="133"/>
      <c r="KLQ11" s="133"/>
      <c r="KLR11" s="133"/>
      <c r="KLS11" s="133"/>
      <c r="KLT11" s="133"/>
      <c r="KLU11" s="133"/>
      <c r="KLV11" s="133"/>
      <c r="KLW11" s="133"/>
      <c r="KLX11" s="133"/>
      <c r="KLY11" s="133"/>
      <c r="KLZ11" s="133"/>
      <c r="KMA11" s="133"/>
      <c r="KMB11" s="133"/>
      <c r="KMC11" s="133"/>
      <c r="KMD11" s="133"/>
      <c r="KME11" s="133"/>
      <c r="KMF11" s="133"/>
      <c r="KMG11" s="133"/>
      <c r="KMH11" s="133"/>
      <c r="KMI11" s="133"/>
      <c r="KMJ11" s="133"/>
      <c r="KMK11" s="133"/>
      <c r="KML11" s="133"/>
      <c r="KMM11" s="133"/>
      <c r="KMN11" s="133"/>
      <c r="KMO11" s="133"/>
      <c r="KMP11" s="133"/>
      <c r="KMQ11" s="133"/>
      <c r="KMR11" s="133"/>
      <c r="KMS11" s="133"/>
      <c r="KMT11" s="133"/>
      <c r="KMU11" s="133"/>
      <c r="KMV11" s="133"/>
      <c r="KMW11" s="133"/>
      <c r="KMX11" s="133"/>
      <c r="KMY11" s="133"/>
      <c r="KMZ11" s="133"/>
      <c r="KNA11" s="133"/>
      <c r="KNB11" s="133"/>
      <c r="KNC11" s="133"/>
      <c r="KND11" s="133"/>
      <c r="KNE11" s="133"/>
      <c r="KNF11" s="133"/>
      <c r="KNG11" s="133"/>
      <c r="KNH11" s="133"/>
      <c r="KNI11" s="133"/>
      <c r="KNJ11" s="133"/>
      <c r="KNK11" s="133"/>
      <c r="KNL11" s="133"/>
      <c r="KNM11" s="133"/>
      <c r="KNN11" s="133"/>
      <c r="KNO11" s="133"/>
      <c r="KNP11" s="133"/>
      <c r="KNQ11" s="133"/>
      <c r="KNR11" s="133"/>
      <c r="KNS11" s="133"/>
      <c r="KNT11" s="133"/>
      <c r="KNU11" s="133"/>
      <c r="KNV11" s="133"/>
      <c r="KNW11" s="133"/>
      <c r="KNX11" s="133"/>
      <c r="KNY11" s="133"/>
      <c r="KNZ11" s="133"/>
      <c r="KOA11" s="133"/>
      <c r="KOB11" s="133"/>
      <c r="KOC11" s="133"/>
      <c r="KOD11" s="133"/>
      <c r="KOE11" s="133"/>
      <c r="KOF11" s="133"/>
      <c r="KOG11" s="133"/>
      <c r="KOH11" s="133"/>
      <c r="KOI11" s="133"/>
      <c r="KOJ11" s="133"/>
      <c r="KOK11" s="133"/>
      <c r="KOL11" s="133"/>
      <c r="KOM11" s="133"/>
      <c r="KON11" s="133"/>
      <c r="KOO11" s="133"/>
      <c r="KOP11" s="133"/>
      <c r="KOQ11" s="133"/>
      <c r="KOR11" s="133"/>
      <c r="KOS11" s="133"/>
      <c r="KOT11" s="133"/>
      <c r="KOU11" s="133"/>
      <c r="KOV11" s="133"/>
      <c r="KOW11" s="133"/>
      <c r="KOX11" s="133"/>
      <c r="KOY11" s="133"/>
      <c r="KOZ11" s="133"/>
      <c r="KPA11" s="133"/>
      <c r="KPB11" s="133"/>
      <c r="KPC11" s="133"/>
      <c r="KPD11" s="133"/>
      <c r="KPE11" s="133"/>
      <c r="KPF11" s="133"/>
      <c r="KPG11" s="133"/>
      <c r="KPH11" s="133"/>
      <c r="KPI11" s="133"/>
      <c r="KPJ11" s="133"/>
      <c r="KPK11" s="133"/>
      <c r="KPL11" s="133"/>
      <c r="KPM11" s="133"/>
      <c r="KPN11" s="133"/>
      <c r="KPO11" s="133"/>
      <c r="KPP11" s="133"/>
      <c r="KPQ11" s="133"/>
      <c r="KPR11" s="133"/>
      <c r="KPS11" s="133"/>
      <c r="KPT11" s="133"/>
      <c r="KPU11" s="133"/>
      <c r="KPV11" s="133"/>
      <c r="KPW11" s="133"/>
      <c r="KPX11" s="133"/>
      <c r="KPY11" s="133"/>
      <c r="KPZ11" s="133"/>
      <c r="KQA11" s="133"/>
      <c r="KQB11" s="133"/>
      <c r="KQC11" s="133"/>
      <c r="KQD11" s="133"/>
      <c r="KQE11" s="133"/>
      <c r="KQF11" s="133"/>
      <c r="KQG11" s="133"/>
      <c r="KQH11" s="133"/>
      <c r="KQI11" s="133"/>
      <c r="KQJ11" s="133"/>
      <c r="KQK11" s="133"/>
      <c r="KQL11" s="133"/>
      <c r="KQM11" s="133"/>
      <c r="KQN11" s="133"/>
      <c r="KQO11" s="133"/>
      <c r="KQP11" s="133"/>
      <c r="KQQ11" s="133"/>
      <c r="KQR11" s="133"/>
      <c r="KQS11" s="133"/>
      <c r="KQT11" s="133"/>
      <c r="KQU11" s="133"/>
      <c r="KQV11" s="133"/>
      <c r="KQW11" s="133"/>
      <c r="KQX11" s="133"/>
      <c r="KQY11" s="133"/>
      <c r="KQZ11" s="133"/>
      <c r="KRA11" s="133"/>
      <c r="KRB11" s="133"/>
      <c r="KRC11" s="133"/>
      <c r="KRD11" s="133"/>
      <c r="KRE11" s="133"/>
      <c r="KRF11" s="133"/>
      <c r="KRG11" s="133"/>
      <c r="KRH11" s="133"/>
      <c r="KRI11" s="133"/>
      <c r="KRJ11" s="133"/>
      <c r="KRK11" s="133"/>
      <c r="KRL11" s="133"/>
      <c r="KRM11" s="133"/>
      <c r="KRN11" s="133"/>
      <c r="KRO11" s="133"/>
      <c r="KRP11" s="133"/>
      <c r="KRQ11" s="133"/>
      <c r="KRR11" s="133"/>
      <c r="KRS11" s="133"/>
      <c r="KRT11" s="133"/>
      <c r="KRU11" s="133"/>
      <c r="KRV11" s="133"/>
      <c r="KRW11" s="133"/>
      <c r="KRX11" s="133"/>
      <c r="KRY11" s="133"/>
      <c r="KRZ11" s="133"/>
      <c r="KSA11" s="133"/>
      <c r="KSB11" s="133"/>
      <c r="KSC11" s="133"/>
      <c r="KSD11" s="133"/>
      <c r="KSE11" s="133"/>
      <c r="KSF11" s="133"/>
      <c r="KSG11" s="133"/>
      <c r="KSH11" s="133"/>
      <c r="KSI11" s="133"/>
      <c r="KSJ11" s="133"/>
      <c r="KSK11" s="133"/>
      <c r="KSL11" s="133"/>
      <c r="KSM11" s="133"/>
      <c r="KSN11" s="133"/>
      <c r="KSO11" s="133"/>
      <c r="KSP11" s="133"/>
      <c r="KSQ11" s="133"/>
      <c r="KSR11" s="133"/>
      <c r="KSS11" s="133"/>
      <c r="KST11" s="133"/>
      <c r="KSU11" s="133"/>
      <c r="KSV11" s="133"/>
      <c r="KSW11" s="133"/>
      <c r="KSX11" s="133"/>
      <c r="KSY11" s="133"/>
      <c r="KSZ11" s="133"/>
      <c r="KTA11" s="133"/>
      <c r="KTB11" s="133"/>
      <c r="KTC11" s="133"/>
      <c r="KTD11" s="133"/>
      <c r="KTE11" s="133"/>
      <c r="KTF11" s="133"/>
      <c r="KTG11" s="133"/>
      <c r="KTH11" s="133"/>
      <c r="KTI11" s="133"/>
      <c r="KTJ11" s="133"/>
      <c r="KTK11" s="133"/>
      <c r="KTL11" s="133"/>
      <c r="KTM11" s="133"/>
      <c r="KTN11" s="133"/>
      <c r="KTO11" s="133"/>
      <c r="KTP11" s="133"/>
      <c r="KTQ11" s="133"/>
      <c r="KTR11" s="133"/>
      <c r="KTS11" s="133"/>
      <c r="KTT11" s="133"/>
      <c r="KTU11" s="133"/>
      <c r="KTV11" s="133"/>
      <c r="KTW11" s="133"/>
      <c r="KTX11" s="133"/>
      <c r="KTY11" s="133"/>
      <c r="KTZ11" s="133"/>
      <c r="KUA11" s="133"/>
      <c r="KUB11" s="133"/>
      <c r="KUC11" s="133"/>
      <c r="KUD11" s="133"/>
      <c r="KUE11" s="133"/>
      <c r="KUF11" s="133"/>
      <c r="KUG11" s="133"/>
      <c r="KUH11" s="133"/>
      <c r="KUI11" s="133"/>
      <c r="KUJ11" s="133"/>
      <c r="KUK11" s="133"/>
      <c r="KUL11" s="133"/>
      <c r="KUM11" s="133"/>
      <c r="KUN11" s="133"/>
      <c r="KUO11" s="133"/>
      <c r="KUP11" s="133"/>
      <c r="KUQ11" s="133"/>
      <c r="KUR11" s="133"/>
      <c r="KUS11" s="133"/>
      <c r="KUT11" s="133"/>
      <c r="KUU11" s="133"/>
      <c r="KUV11" s="133"/>
      <c r="KUW11" s="133"/>
      <c r="KUX11" s="133"/>
      <c r="KUY11" s="133"/>
      <c r="KUZ11" s="133"/>
      <c r="KVA11" s="133"/>
      <c r="KVB11" s="133"/>
      <c r="KVC11" s="133"/>
      <c r="KVD11" s="133"/>
      <c r="KVE11" s="133"/>
      <c r="KVF11" s="133"/>
      <c r="KVG11" s="133"/>
      <c r="KVH11" s="133"/>
      <c r="KVI11" s="133"/>
      <c r="KVJ11" s="133"/>
      <c r="KVK11" s="133"/>
      <c r="KVL11" s="133"/>
      <c r="KVM11" s="133"/>
      <c r="KVN11" s="133"/>
      <c r="KVO11" s="133"/>
      <c r="KVP11" s="133"/>
      <c r="KVQ11" s="133"/>
      <c r="KVR11" s="133"/>
      <c r="KVS11" s="133"/>
      <c r="KVT11" s="133"/>
      <c r="KVU11" s="133"/>
      <c r="KVV11" s="133"/>
      <c r="KVW11" s="133"/>
      <c r="KVX11" s="133"/>
      <c r="KVY11" s="133"/>
      <c r="KVZ11" s="133"/>
      <c r="KWA11" s="133"/>
      <c r="KWB11" s="133"/>
      <c r="KWC11" s="133"/>
      <c r="KWD11" s="133"/>
      <c r="KWE11" s="133"/>
      <c r="KWF11" s="133"/>
      <c r="KWG11" s="133"/>
      <c r="KWH11" s="133"/>
      <c r="KWI11" s="133"/>
      <c r="KWJ11" s="133"/>
      <c r="KWK11" s="133"/>
      <c r="KWL11" s="133"/>
      <c r="KWM11" s="133"/>
      <c r="KWN11" s="133"/>
      <c r="KWO11" s="133"/>
      <c r="KWP11" s="133"/>
      <c r="KWQ11" s="133"/>
      <c r="KWR11" s="133"/>
      <c r="KWS11" s="133"/>
      <c r="KWT11" s="133"/>
      <c r="KWU11" s="133"/>
      <c r="KWV11" s="133"/>
      <c r="KWW11" s="133"/>
      <c r="KWX11" s="133"/>
      <c r="KWY11" s="133"/>
      <c r="KWZ11" s="133"/>
      <c r="KXA11" s="133"/>
      <c r="KXB11" s="133"/>
      <c r="KXC11" s="133"/>
      <c r="KXD11" s="133"/>
      <c r="KXE11" s="133"/>
      <c r="KXF11" s="133"/>
      <c r="KXG11" s="133"/>
      <c r="KXH11" s="133"/>
      <c r="KXI11" s="133"/>
      <c r="KXJ11" s="133"/>
      <c r="KXK11" s="133"/>
      <c r="KXL11" s="133"/>
      <c r="KXM11" s="133"/>
      <c r="KXN11" s="133"/>
      <c r="KXO11" s="133"/>
      <c r="KXP11" s="133"/>
      <c r="KXQ11" s="133"/>
      <c r="KXR11" s="133"/>
      <c r="KXS11" s="133"/>
      <c r="KXT11" s="133"/>
      <c r="KXU11" s="133"/>
      <c r="KXV11" s="133"/>
      <c r="KXW11" s="133"/>
      <c r="KXX11" s="133"/>
      <c r="KXY11" s="133"/>
      <c r="KXZ11" s="133"/>
      <c r="KYA11" s="133"/>
      <c r="KYB11" s="133"/>
      <c r="KYC11" s="133"/>
      <c r="KYD11" s="133"/>
      <c r="KYE11" s="133"/>
      <c r="KYF11" s="133"/>
      <c r="KYG11" s="133"/>
      <c r="KYH11" s="133"/>
      <c r="KYI11" s="133"/>
      <c r="KYJ11" s="133"/>
      <c r="KYK11" s="133"/>
      <c r="KYL11" s="133"/>
      <c r="KYM11" s="133"/>
      <c r="KYN11" s="133"/>
      <c r="KYO11" s="133"/>
      <c r="KYP11" s="133"/>
      <c r="KYQ11" s="133"/>
      <c r="KYR11" s="133"/>
      <c r="KYS11" s="133"/>
      <c r="KYT11" s="133"/>
      <c r="KYU11" s="133"/>
      <c r="KYV11" s="133"/>
      <c r="KYW11" s="133"/>
      <c r="KYX11" s="133"/>
      <c r="KYY11" s="133"/>
      <c r="KYZ11" s="133"/>
      <c r="KZA11" s="133"/>
      <c r="KZB11" s="133"/>
      <c r="KZC11" s="133"/>
      <c r="KZD11" s="133"/>
      <c r="KZE11" s="133"/>
      <c r="KZF11" s="133"/>
      <c r="KZG11" s="133"/>
      <c r="KZH11" s="133"/>
      <c r="KZI11" s="133"/>
      <c r="KZJ11" s="133"/>
      <c r="KZK11" s="133"/>
      <c r="KZL11" s="133"/>
      <c r="KZM11" s="133"/>
      <c r="KZN11" s="133"/>
      <c r="KZO11" s="133"/>
      <c r="KZP11" s="133"/>
      <c r="KZQ11" s="133"/>
      <c r="KZR11" s="133"/>
      <c r="KZS11" s="133"/>
      <c r="KZT11" s="133"/>
      <c r="KZU11" s="133"/>
      <c r="KZV11" s="133"/>
      <c r="KZW11" s="133"/>
      <c r="KZX11" s="133"/>
      <c r="KZY11" s="133"/>
      <c r="KZZ11" s="133"/>
      <c r="LAA11" s="133"/>
      <c r="LAB11" s="133"/>
      <c r="LAC11" s="133"/>
      <c r="LAD11" s="133"/>
      <c r="LAE11" s="133"/>
      <c r="LAF11" s="133"/>
      <c r="LAG11" s="133"/>
      <c r="LAH11" s="133"/>
      <c r="LAI11" s="133"/>
      <c r="LAJ11" s="133"/>
      <c r="LAK11" s="133"/>
      <c r="LAL11" s="133"/>
      <c r="LAM11" s="133"/>
      <c r="LAN11" s="133"/>
      <c r="LAO11" s="133"/>
      <c r="LAP11" s="133"/>
      <c r="LAQ11" s="133"/>
      <c r="LAR11" s="133"/>
      <c r="LAS11" s="133"/>
      <c r="LAT11" s="133"/>
      <c r="LAU11" s="133"/>
      <c r="LAV11" s="133"/>
      <c r="LAW11" s="133"/>
      <c r="LAX11" s="133"/>
      <c r="LAY11" s="133"/>
      <c r="LAZ11" s="133"/>
      <c r="LBA11" s="133"/>
      <c r="LBB11" s="133"/>
      <c r="LBC11" s="133"/>
      <c r="LBD11" s="133"/>
      <c r="LBE11" s="133"/>
      <c r="LBF11" s="133"/>
      <c r="LBG11" s="133"/>
      <c r="LBH11" s="133"/>
      <c r="LBI11" s="133"/>
      <c r="LBJ11" s="133"/>
      <c r="LBK11" s="133"/>
      <c r="LBL11" s="133"/>
      <c r="LBM11" s="133"/>
      <c r="LBN11" s="133"/>
      <c r="LBO11" s="133"/>
      <c r="LBP11" s="133"/>
      <c r="LBQ11" s="133"/>
      <c r="LBR11" s="133"/>
      <c r="LBS11" s="133"/>
      <c r="LBT11" s="133"/>
      <c r="LBU11" s="133"/>
      <c r="LBV11" s="133"/>
      <c r="LBW11" s="133"/>
      <c r="LBX11" s="133"/>
      <c r="LBY11" s="133"/>
      <c r="LBZ11" s="133"/>
      <c r="LCA11" s="133"/>
      <c r="LCB11" s="133"/>
      <c r="LCC11" s="133"/>
      <c r="LCD11" s="133"/>
      <c r="LCE11" s="133"/>
      <c r="LCF11" s="133"/>
      <c r="LCG11" s="133"/>
      <c r="LCH11" s="133"/>
      <c r="LCI11" s="133"/>
      <c r="LCJ11" s="133"/>
      <c r="LCK11" s="133"/>
      <c r="LCL11" s="133"/>
      <c r="LCM11" s="133"/>
      <c r="LCN11" s="133"/>
      <c r="LCO11" s="133"/>
      <c r="LCP11" s="133"/>
      <c r="LCQ11" s="133"/>
      <c r="LCR11" s="133"/>
      <c r="LCS11" s="133"/>
      <c r="LCT11" s="133"/>
      <c r="LCU11" s="133"/>
      <c r="LCV11" s="133"/>
      <c r="LCW11" s="133"/>
      <c r="LCX11" s="133"/>
      <c r="LCY11" s="133"/>
      <c r="LCZ11" s="133"/>
      <c r="LDA11" s="133"/>
      <c r="LDB11" s="133"/>
      <c r="LDC11" s="133"/>
      <c r="LDD11" s="133"/>
      <c r="LDE11" s="133"/>
      <c r="LDF11" s="133"/>
      <c r="LDG11" s="133"/>
      <c r="LDH11" s="133"/>
      <c r="LDI11" s="133"/>
      <c r="LDJ11" s="133"/>
      <c r="LDK11" s="133"/>
      <c r="LDL11" s="133"/>
      <c r="LDM11" s="133"/>
      <c r="LDN11" s="133"/>
      <c r="LDO11" s="133"/>
      <c r="LDP11" s="133"/>
      <c r="LDQ11" s="133"/>
      <c r="LDR11" s="133"/>
      <c r="LDS11" s="133"/>
      <c r="LDT11" s="133"/>
      <c r="LDU11" s="133"/>
      <c r="LDV11" s="133"/>
      <c r="LDW11" s="133"/>
      <c r="LDX11" s="133"/>
      <c r="LDY11" s="133"/>
      <c r="LDZ11" s="133"/>
      <c r="LEA11" s="133"/>
      <c r="LEB11" s="133"/>
      <c r="LEC11" s="133"/>
      <c r="LED11" s="133"/>
      <c r="LEE11" s="133"/>
      <c r="LEF11" s="133"/>
      <c r="LEG11" s="133"/>
      <c r="LEH11" s="133"/>
      <c r="LEI11" s="133"/>
      <c r="LEJ11" s="133"/>
      <c r="LEK11" s="133"/>
      <c r="LEL11" s="133"/>
      <c r="LEM11" s="133"/>
      <c r="LEN11" s="133"/>
      <c r="LEO11" s="133"/>
      <c r="LEP11" s="133"/>
      <c r="LEQ11" s="133"/>
      <c r="LER11" s="133"/>
      <c r="LES11" s="133"/>
      <c r="LET11" s="133"/>
      <c r="LEU11" s="133"/>
      <c r="LEV11" s="133"/>
      <c r="LEW11" s="133"/>
      <c r="LEX11" s="133"/>
      <c r="LEY11" s="133"/>
      <c r="LEZ11" s="133"/>
      <c r="LFA11" s="133"/>
      <c r="LFB11" s="133"/>
      <c r="LFC11" s="133"/>
      <c r="LFD11" s="133"/>
      <c r="LFE11" s="133"/>
      <c r="LFF11" s="133"/>
      <c r="LFG11" s="133"/>
      <c r="LFH11" s="133"/>
      <c r="LFI11" s="133"/>
      <c r="LFJ11" s="133"/>
      <c r="LFK11" s="133"/>
      <c r="LFL11" s="133"/>
      <c r="LFM11" s="133"/>
      <c r="LFN11" s="133"/>
      <c r="LFO11" s="133"/>
      <c r="LFP11" s="133"/>
      <c r="LFQ11" s="133"/>
      <c r="LFR11" s="133"/>
      <c r="LFS11" s="133"/>
      <c r="LFT11" s="133"/>
      <c r="LFU11" s="133"/>
      <c r="LFV11" s="133"/>
      <c r="LFW11" s="133"/>
      <c r="LFX11" s="133"/>
      <c r="LFY11" s="133"/>
      <c r="LFZ11" s="133"/>
      <c r="LGA11" s="133"/>
      <c r="LGB11" s="133"/>
      <c r="LGC11" s="133"/>
      <c r="LGD11" s="133"/>
      <c r="LGE11" s="133"/>
      <c r="LGF11" s="133"/>
      <c r="LGG11" s="133"/>
      <c r="LGH11" s="133"/>
      <c r="LGI11" s="133"/>
      <c r="LGJ11" s="133"/>
      <c r="LGK11" s="133"/>
      <c r="LGL11" s="133"/>
      <c r="LGM11" s="133"/>
      <c r="LGN11" s="133"/>
      <c r="LGO11" s="133"/>
      <c r="LGP11" s="133"/>
      <c r="LGQ11" s="133"/>
      <c r="LGR11" s="133"/>
      <c r="LGS11" s="133"/>
      <c r="LGT11" s="133"/>
      <c r="LGU11" s="133"/>
      <c r="LGV11" s="133"/>
      <c r="LGW11" s="133"/>
      <c r="LGX11" s="133"/>
      <c r="LGY11" s="133"/>
      <c r="LGZ11" s="133"/>
      <c r="LHA11" s="133"/>
      <c r="LHB11" s="133"/>
      <c r="LHC11" s="133"/>
      <c r="LHD11" s="133"/>
      <c r="LHE11" s="133"/>
      <c r="LHF11" s="133"/>
      <c r="LHG11" s="133"/>
      <c r="LHH11" s="133"/>
      <c r="LHI11" s="133"/>
      <c r="LHJ11" s="133"/>
      <c r="LHK11" s="133"/>
      <c r="LHL11" s="133"/>
      <c r="LHM11" s="133"/>
      <c r="LHN11" s="133"/>
      <c r="LHO11" s="133"/>
      <c r="LHP11" s="133"/>
      <c r="LHQ11" s="133"/>
      <c r="LHR11" s="133"/>
      <c r="LHS11" s="133"/>
      <c r="LHT11" s="133"/>
      <c r="LHU11" s="133"/>
      <c r="LHV11" s="133"/>
      <c r="LHW11" s="133"/>
      <c r="LHX11" s="133"/>
      <c r="LHY11" s="133"/>
      <c r="LHZ11" s="133"/>
      <c r="LIA11" s="133"/>
      <c r="LIB11" s="133"/>
      <c r="LIC11" s="133"/>
      <c r="LID11" s="133"/>
      <c r="LIE11" s="133"/>
      <c r="LIF11" s="133"/>
      <c r="LIG11" s="133"/>
      <c r="LIH11" s="133"/>
      <c r="LII11" s="133"/>
      <c r="LIJ11" s="133"/>
      <c r="LIK11" s="133"/>
      <c r="LIL11" s="133"/>
      <c r="LIM11" s="133"/>
      <c r="LIN11" s="133"/>
      <c r="LIO11" s="133"/>
      <c r="LIP11" s="133"/>
      <c r="LIQ11" s="133"/>
      <c r="LIR11" s="133"/>
      <c r="LIS11" s="133"/>
      <c r="LIT11" s="133"/>
      <c r="LIU11" s="133"/>
      <c r="LIV11" s="133"/>
      <c r="LIW11" s="133"/>
      <c r="LIX11" s="133"/>
      <c r="LIY11" s="133"/>
      <c r="LIZ11" s="133"/>
      <c r="LJA11" s="133"/>
      <c r="LJB11" s="133"/>
      <c r="LJC11" s="133"/>
      <c r="LJD11" s="133"/>
      <c r="LJE11" s="133"/>
      <c r="LJF11" s="133"/>
      <c r="LJG11" s="133"/>
      <c r="LJH11" s="133"/>
      <c r="LJI11" s="133"/>
      <c r="LJJ11" s="133"/>
      <c r="LJK11" s="133"/>
      <c r="LJL11" s="133"/>
      <c r="LJM11" s="133"/>
      <c r="LJN11" s="133"/>
      <c r="LJO11" s="133"/>
      <c r="LJP11" s="133"/>
      <c r="LJQ11" s="133"/>
      <c r="LJR11" s="133"/>
      <c r="LJS11" s="133"/>
      <c r="LJT11" s="133"/>
      <c r="LJU11" s="133"/>
      <c r="LJV11" s="133"/>
      <c r="LJW11" s="133"/>
      <c r="LJX11" s="133"/>
      <c r="LJY11" s="133"/>
      <c r="LJZ11" s="133"/>
      <c r="LKA11" s="133"/>
      <c r="LKB11" s="133"/>
      <c r="LKC11" s="133"/>
      <c r="LKD11" s="133"/>
      <c r="LKE11" s="133"/>
      <c r="LKF11" s="133"/>
      <c r="LKG11" s="133"/>
      <c r="LKH11" s="133"/>
      <c r="LKI11" s="133"/>
      <c r="LKJ11" s="133"/>
      <c r="LKK11" s="133"/>
      <c r="LKL11" s="133"/>
      <c r="LKM11" s="133"/>
      <c r="LKN11" s="133"/>
      <c r="LKO11" s="133"/>
      <c r="LKP11" s="133"/>
      <c r="LKQ11" s="133"/>
      <c r="LKR11" s="133"/>
      <c r="LKS11" s="133"/>
      <c r="LKT11" s="133"/>
      <c r="LKU11" s="133"/>
      <c r="LKV11" s="133"/>
      <c r="LKW11" s="133"/>
      <c r="LKX11" s="133"/>
      <c r="LKY11" s="133"/>
      <c r="LKZ11" s="133"/>
      <c r="LLA11" s="133"/>
      <c r="LLB11" s="133"/>
      <c r="LLC11" s="133"/>
      <c r="LLD11" s="133"/>
      <c r="LLE11" s="133"/>
      <c r="LLF11" s="133"/>
      <c r="LLG11" s="133"/>
      <c r="LLH11" s="133"/>
      <c r="LLI11" s="133"/>
      <c r="LLJ11" s="133"/>
      <c r="LLK11" s="133"/>
      <c r="LLL11" s="133"/>
      <c r="LLM11" s="133"/>
      <c r="LLN11" s="133"/>
      <c r="LLO11" s="133"/>
      <c r="LLP11" s="133"/>
      <c r="LLQ11" s="133"/>
      <c r="LLR11" s="133"/>
      <c r="LLS11" s="133"/>
      <c r="LLT11" s="133"/>
      <c r="LLU11" s="133"/>
      <c r="LLV11" s="133"/>
      <c r="LLW11" s="133"/>
      <c r="LLX11" s="133"/>
      <c r="LLY11" s="133"/>
      <c r="LLZ11" s="133"/>
      <c r="LMA11" s="133"/>
      <c r="LMB11" s="133"/>
      <c r="LMC11" s="133"/>
      <c r="LMD11" s="133"/>
      <c r="LME11" s="133"/>
      <c r="LMF11" s="133"/>
      <c r="LMG11" s="133"/>
      <c r="LMH11" s="133"/>
      <c r="LMI11" s="133"/>
      <c r="LMJ11" s="133"/>
      <c r="LMK11" s="133"/>
      <c r="LML11" s="133"/>
      <c r="LMM11" s="133"/>
      <c r="LMN11" s="133"/>
      <c r="LMO11" s="133"/>
      <c r="LMP11" s="133"/>
      <c r="LMQ11" s="133"/>
      <c r="LMR11" s="133"/>
      <c r="LMS11" s="133"/>
      <c r="LMT11" s="133"/>
      <c r="LMU11" s="133"/>
      <c r="LMV11" s="133"/>
      <c r="LMW11" s="133"/>
      <c r="LMX11" s="133"/>
      <c r="LMY11" s="133"/>
      <c r="LMZ11" s="133"/>
      <c r="LNA11" s="133"/>
      <c r="LNB11" s="133"/>
      <c r="LNC11" s="133"/>
      <c r="LND11" s="133"/>
      <c r="LNE11" s="133"/>
      <c r="LNF11" s="133"/>
      <c r="LNG11" s="133"/>
      <c r="LNH11" s="133"/>
      <c r="LNI11" s="133"/>
      <c r="LNJ11" s="133"/>
      <c r="LNK11" s="133"/>
      <c r="LNL11" s="133"/>
      <c r="LNM11" s="133"/>
      <c r="LNN11" s="133"/>
      <c r="LNO11" s="133"/>
      <c r="LNP11" s="133"/>
      <c r="LNQ11" s="133"/>
      <c r="LNR11" s="133"/>
      <c r="LNS11" s="133"/>
      <c r="LNT11" s="133"/>
      <c r="LNU11" s="133"/>
      <c r="LNV11" s="133"/>
      <c r="LNW11" s="133"/>
      <c r="LNX11" s="133"/>
      <c r="LNY11" s="133"/>
      <c r="LNZ11" s="133"/>
      <c r="LOA11" s="133"/>
      <c r="LOB11" s="133"/>
      <c r="LOC11" s="133"/>
      <c r="LOD11" s="133"/>
      <c r="LOE11" s="133"/>
      <c r="LOF11" s="133"/>
      <c r="LOG11" s="133"/>
      <c r="LOH11" s="133"/>
      <c r="LOI11" s="133"/>
      <c r="LOJ11" s="133"/>
      <c r="LOK11" s="133"/>
      <c r="LOL11" s="133"/>
      <c r="LOM11" s="133"/>
      <c r="LON11" s="133"/>
      <c r="LOO11" s="133"/>
      <c r="LOP11" s="133"/>
      <c r="LOQ11" s="133"/>
      <c r="LOR11" s="133"/>
      <c r="LOS11" s="133"/>
      <c r="LOT11" s="133"/>
      <c r="LOU11" s="133"/>
      <c r="LOV11" s="133"/>
      <c r="LOW11" s="133"/>
      <c r="LOX11" s="133"/>
      <c r="LOY11" s="133"/>
      <c r="LOZ11" s="133"/>
      <c r="LPA11" s="133"/>
      <c r="LPB11" s="133"/>
      <c r="LPC11" s="133"/>
      <c r="LPD11" s="133"/>
      <c r="LPE11" s="133"/>
      <c r="LPF11" s="133"/>
      <c r="LPG11" s="133"/>
      <c r="LPH11" s="133"/>
      <c r="LPI11" s="133"/>
      <c r="LPJ11" s="133"/>
      <c r="LPK11" s="133"/>
      <c r="LPL11" s="133"/>
      <c r="LPM11" s="133"/>
      <c r="LPN11" s="133"/>
      <c r="LPO11" s="133"/>
      <c r="LPP11" s="133"/>
      <c r="LPQ11" s="133"/>
      <c r="LPR11" s="133"/>
      <c r="LPS11" s="133"/>
      <c r="LPT11" s="133"/>
      <c r="LPU11" s="133"/>
      <c r="LPV11" s="133"/>
      <c r="LPW11" s="133"/>
      <c r="LPX11" s="133"/>
      <c r="LPY11" s="133"/>
      <c r="LPZ11" s="133"/>
      <c r="LQA11" s="133"/>
      <c r="LQB11" s="133"/>
      <c r="LQC11" s="133"/>
      <c r="LQD11" s="133"/>
      <c r="LQE11" s="133"/>
      <c r="LQF11" s="133"/>
      <c r="LQG11" s="133"/>
      <c r="LQH11" s="133"/>
      <c r="LQI11" s="133"/>
      <c r="LQJ11" s="133"/>
      <c r="LQK11" s="133"/>
      <c r="LQL11" s="133"/>
      <c r="LQM11" s="133"/>
      <c r="LQN11" s="133"/>
      <c r="LQO11" s="133"/>
      <c r="LQP11" s="133"/>
      <c r="LQQ11" s="133"/>
      <c r="LQR11" s="133"/>
      <c r="LQS11" s="133"/>
      <c r="LQT11" s="133"/>
      <c r="LQU11" s="133"/>
      <c r="LQV11" s="133"/>
      <c r="LQW11" s="133"/>
      <c r="LQX11" s="133"/>
      <c r="LQY11" s="133"/>
      <c r="LQZ11" s="133"/>
      <c r="LRA11" s="133"/>
      <c r="LRB11" s="133"/>
      <c r="LRC11" s="133"/>
      <c r="LRD11" s="133"/>
      <c r="LRE11" s="133"/>
      <c r="LRF11" s="133"/>
      <c r="LRG11" s="133"/>
      <c r="LRH11" s="133"/>
      <c r="LRI11" s="133"/>
      <c r="LRJ11" s="133"/>
      <c r="LRK11" s="133"/>
      <c r="LRL11" s="133"/>
      <c r="LRM11" s="133"/>
      <c r="LRN11" s="133"/>
      <c r="LRO11" s="133"/>
      <c r="LRP11" s="133"/>
      <c r="LRQ11" s="133"/>
      <c r="LRR11" s="133"/>
      <c r="LRS11" s="133"/>
      <c r="LRT11" s="133"/>
      <c r="LRU11" s="133"/>
      <c r="LRV11" s="133"/>
      <c r="LRW11" s="133"/>
      <c r="LRX11" s="133"/>
      <c r="LRY11" s="133"/>
      <c r="LRZ11" s="133"/>
      <c r="LSA11" s="133"/>
      <c r="LSB11" s="133"/>
      <c r="LSC11" s="133"/>
      <c r="LSD11" s="133"/>
      <c r="LSE11" s="133"/>
      <c r="LSF11" s="133"/>
      <c r="LSG11" s="133"/>
      <c r="LSH11" s="133"/>
      <c r="LSI11" s="133"/>
      <c r="LSJ11" s="133"/>
      <c r="LSK11" s="133"/>
      <c r="LSL11" s="133"/>
      <c r="LSM11" s="133"/>
      <c r="LSN11" s="133"/>
      <c r="LSO11" s="133"/>
      <c r="LSP11" s="133"/>
      <c r="LSQ11" s="133"/>
      <c r="LSR11" s="133"/>
      <c r="LSS11" s="133"/>
      <c r="LST11" s="133"/>
      <c r="LSU11" s="133"/>
      <c r="LSV11" s="133"/>
      <c r="LSW11" s="133"/>
      <c r="LSX11" s="133"/>
      <c r="LSY11" s="133"/>
      <c r="LSZ11" s="133"/>
      <c r="LTA11" s="133"/>
      <c r="LTB11" s="133"/>
      <c r="LTC11" s="133"/>
      <c r="LTD11" s="133"/>
      <c r="LTE11" s="133"/>
      <c r="LTF11" s="133"/>
      <c r="LTG11" s="133"/>
      <c r="LTH11" s="133"/>
      <c r="LTI11" s="133"/>
      <c r="LTJ11" s="133"/>
      <c r="LTK11" s="133"/>
      <c r="LTL11" s="133"/>
      <c r="LTM11" s="133"/>
      <c r="LTN11" s="133"/>
      <c r="LTO11" s="133"/>
      <c r="LTP11" s="133"/>
      <c r="LTQ11" s="133"/>
      <c r="LTR11" s="133"/>
      <c r="LTS11" s="133"/>
      <c r="LTT11" s="133"/>
      <c r="LTU11" s="133"/>
      <c r="LTV11" s="133"/>
      <c r="LTW11" s="133"/>
      <c r="LTX11" s="133"/>
      <c r="LTY11" s="133"/>
      <c r="LTZ11" s="133"/>
      <c r="LUA11" s="133"/>
      <c r="LUB11" s="133"/>
      <c r="LUC11" s="133"/>
      <c r="LUD11" s="133"/>
      <c r="LUE11" s="133"/>
      <c r="LUF11" s="133"/>
      <c r="LUG11" s="133"/>
      <c r="LUH11" s="133"/>
      <c r="LUI11" s="133"/>
      <c r="LUJ11" s="133"/>
      <c r="LUK11" s="133"/>
      <c r="LUL11" s="133"/>
      <c r="LUM11" s="133"/>
      <c r="LUN11" s="133"/>
      <c r="LUO11" s="133"/>
      <c r="LUP11" s="133"/>
      <c r="LUQ11" s="133"/>
      <c r="LUR11" s="133"/>
      <c r="LUS11" s="133"/>
      <c r="LUT11" s="133"/>
      <c r="LUU11" s="133"/>
      <c r="LUV11" s="133"/>
      <c r="LUW11" s="133"/>
      <c r="LUX11" s="133"/>
      <c r="LUY11" s="133"/>
      <c r="LUZ11" s="133"/>
      <c r="LVA11" s="133"/>
      <c r="LVB11" s="133"/>
      <c r="LVC11" s="133"/>
      <c r="LVD11" s="133"/>
      <c r="LVE11" s="133"/>
      <c r="LVF11" s="133"/>
      <c r="LVG11" s="133"/>
      <c r="LVH11" s="133"/>
      <c r="LVI11" s="133"/>
      <c r="LVJ11" s="133"/>
      <c r="LVK11" s="133"/>
      <c r="LVL11" s="133"/>
      <c r="LVM11" s="133"/>
      <c r="LVN11" s="133"/>
      <c r="LVO11" s="133"/>
      <c r="LVP11" s="133"/>
      <c r="LVQ11" s="133"/>
      <c r="LVR11" s="133"/>
      <c r="LVS11" s="133"/>
      <c r="LVT11" s="133"/>
      <c r="LVU11" s="133"/>
      <c r="LVV11" s="133"/>
      <c r="LVW11" s="133"/>
      <c r="LVX11" s="133"/>
      <c r="LVY11" s="133"/>
      <c r="LVZ11" s="133"/>
      <c r="LWA11" s="133"/>
      <c r="LWB11" s="133"/>
      <c r="LWC11" s="133"/>
      <c r="LWD11" s="133"/>
      <c r="LWE11" s="133"/>
      <c r="LWF11" s="133"/>
      <c r="LWG11" s="133"/>
      <c r="LWH11" s="133"/>
      <c r="LWI11" s="133"/>
      <c r="LWJ11" s="133"/>
      <c r="LWK11" s="133"/>
      <c r="LWL11" s="133"/>
      <c r="LWM11" s="133"/>
      <c r="LWN11" s="133"/>
      <c r="LWO11" s="133"/>
      <c r="LWP11" s="133"/>
      <c r="LWQ11" s="133"/>
      <c r="LWR11" s="133"/>
      <c r="LWS11" s="133"/>
      <c r="LWT11" s="133"/>
      <c r="LWU11" s="133"/>
      <c r="LWV11" s="133"/>
      <c r="LWW11" s="133"/>
      <c r="LWX11" s="133"/>
      <c r="LWY11" s="133"/>
      <c r="LWZ11" s="133"/>
      <c r="LXA11" s="133"/>
      <c r="LXB11" s="133"/>
      <c r="LXC11" s="133"/>
      <c r="LXD11" s="133"/>
      <c r="LXE11" s="133"/>
      <c r="LXF11" s="133"/>
      <c r="LXG11" s="133"/>
      <c r="LXH11" s="133"/>
      <c r="LXI11" s="133"/>
      <c r="LXJ11" s="133"/>
      <c r="LXK11" s="133"/>
      <c r="LXL11" s="133"/>
      <c r="LXM11" s="133"/>
      <c r="LXN11" s="133"/>
      <c r="LXO11" s="133"/>
      <c r="LXP11" s="133"/>
      <c r="LXQ11" s="133"/>
      <c r="LXR11" s="133"/>
      <c r="LXS11" s="133"/>
      <c r="LXT11" s="133"/>
      <c r="LXU11" s="133"/>
      <c r="LXV11" s="133"/>
      <c r="LXW11" s="133"/>
      <c r="LXX11" s="133"/>
      <c r="LXY11" s="133"/>
      <c r="LXZ11" s="133"/>
      <c r="LYA11" s="133"/>
      <c r="LYB11" s="133"/>
      <c r="LYC11" s="133"/>
      <c r="LYD11" s="133"/>
      <c r="LYE11" s="133"/>
      <c r="LYF11" s="133"/>
      <c r="LYG11" s="133"/>
      <c r="LYH11" s="133"/>
      <c r="LYI11" s="133"/>
      <c r="LYJ11" s="133"/>
      <c r="LYK11" s="133"/>
      <c r="LYL11" s="133"/>
      <c r="LYM11" s="133"/>
      <c r="LYN11" s="133"/>
      <c r="LYO11" s="133"/>
      <c r="LYP11" s="133"/>
      <c r="LYQ11" s="133"/>
      <c r="LYR11" s="133"/>
      <c r="LYS11" s="133"/>
      <c r="LYT11" s="133"/>
      <c r="LYU11" s="133"/>
      <c r="LYV11" s="133"/>
      <c r="LYW11" s="133"/>
      <c r="LYX11" s="133"/>
      <c r="LYY11" s="133"/>
      <c r="LYZ11" s="133"/>
      <c r="LZA11" s="133"/>
      <c r="LZB11" s="133"/>
      <c r="LZC11" s="133"/>
      <c r="LZD11" s="133"/>
      <c r="LZE11" s="133"/>
      <c r="LZF11" s="133"/>
      <c r="LZG11" s="133"/>
      <c r="LZH11" s="133"/>
      <c r="LZI11" s="133"/>
      <c r="LZJ11" s="133"/>
      <c r="LZK11" s="133"/>
      <c r="LZL11" s="133"/>
      <c r="LZM11" s="133"/>
      <c r="LZN11" s="133"/>
      <c r="LZO11" s="133"/>
      <c r="LZP11" s="133"/>
      <c r="LZQ11" s="133"/>
      <c r="LZR11" s="133"/>
      <c r="LZS11" s="133"/>
      <c r="LZT11" s="133"/>
      <c r="LZU11" s="133"/>
      <c r="LZV11" s="133"/>
      <c r="LZW11" s="133"/>
      <c r="LZX11" s="133"/>
      <c r="LZY11" s="133"/>
      <c r="LZZ11" s="133"/>
      <c r="MAA11" s="133"/>
      <c r="MAB11" s="133"/>
      <c r="MAC11" s="133"/>
      <c r="MAD11" s="133"/>
      <c r="MAE11" s="133"/>
      <c r="MAF11" s="133"/>
      <c r="MAG11" s="133"/>
      <c r="MAH11" s="133"/>
      <c r="MAI11" s="133"/>
      <c r="MAJ11" s="133"/>
      <c r="MAK11" s="133"/>
      <c r="MAL11" s="133"/>
      <c r="MAM11" s="133"/>
      <c r="MAN11" s="133"/>
      <c r="MAO11" s="133"/>
      <c r="MAP11" s="133"/>
      <c r="MAQ11" s="133"/>
      <c r="MAR11" s="133"/>
      <c r="MAS11" s="133"/>
      <c r="MAT11" s="133"/>
      <c r="MAU11" s="133"/>
      <c r="MAV11" s="133"/>
      <c r="MAW11" s="133"/>
      <c r="MAX11" s="133"/>
      <c r="MAY11" s="133"/>
      <c r="MAZ11" s="133"/>
      <c r="MBA11" s="133"/>
      <c r="MBB11" s="133"/>
      <c r="MBC11" s="133"/>
      <c r="MBD11" s="133"/>
      <c r="MBE11" s="133"/>
      <c r="MBF11" s="133"/>
      <c r="MBG11" s="133"/>
      <c r="MBH11" s="133"/>
      <c r="MBI11" s="133"/>
      <c r="MBJ11" s="133"/>
      <c r="MBK11" s="133"/>
      <c r="MBL11" s="133"/>
      <c r="MBM11" s="133"/>
      <c r="MBN11" s="133"/>
      <c r="MBO11" s="133"/>
      <c r="MBP11" s="133"/>
      <c r="MBQ11" s="133"/>
      <c r="MBR11" s="133"/>
      <c r="MBS11" s="133"/>
      <c r="MBT11" s="133"/>
      <c r="MBU11" s="133"/>
      <c r="MBV11" s="133"/>
      <c r="MBW11" s="133"/>
      <c r="MBX11" s="133"/>
      <c r="MBY11" s="133"/>
      <c r="MBZ11" s="133"/>
      <c r="MCA11" s="133"/>
      <c r="MCB11" s="133"/>
      <c r="MCC11" s="133"/>
      <c r="MCD11" s="133"/>
      <c r="MCE11" s="133"/>
      <c r="MCF11" s="133"/>
      <c r="MCG11" s="133"/>
      <c r="MCH11" s="133"/>
      <c r="MCI11" s="133"/>
      <c r="MCJ11" s="133"/>
      <c r="MCK11" s="133"/>
      <c r="MCL11" s="133"/>
      <c r="MCM11" s="133"/>
      <c r="MCN11" s="133"/>
      <c r="MCO11" s="133"/>
      <c r="MCP11" s="133"/>
      <c r="MCQ11" s="133"/>
      <c r="MCR11" s="133"/>
      <c r="MCS11" s="133"/>
      <c r="MCT11" s="133"/>
      <c r="MCU11" s="133"/>
      <c r="MCV11" s="133"/>
      <c r="MCW11" s="133"/>
      <c r="MCX11" s="133"/>
      <c r="MCY11" s="133"/>
      <c r="MCZ11" s="133"/>
      <c r="MDA11" s="133"/>
      <c r="MDB11" s="133"/>
      <c r="MDC11" s="133"/>
      <c r="MDD11" s="133"/>
      <c r="MDE11" s="133"/>
      <c r="MDF11" s="133"/>
      <c r="MDG11" s="133"/>
      <c r="MDH11" s="133"/>
      <c r="MDI11" s="133"/>
      <c r="MDJ11" s="133"/>
      <c r="MDK11" s="133"/>
      <c r="MDL11" s="133"/>
      <c r="MDM11" s="133"/>
      <c r="MDN11" s="133"/>
      <c r="MDO11" s="133"/>
      <c r="MDP11" s="133"/>
      <c r="MDQ11" s="133"/>
      <c r="MDR11" s="133"/>
      <c r="MDS11" s="133"/>
      <c r="MDT11" s="133"/>
      <c r="MDU11" s="133"/>
      <c r="MDV11" s="133"/>
      <c r="MDW11" s="133"/>
      <c r="MDX11" s="133"/>
      <c r="MDY11" s="133"/>
      <c r="MDZ11" s="133"/>
      <c r="MEA11" s="133"/>
      <c r="MEB11" s="133"/>
      <c r="MEC11" s="133"/>
      <c r="MED11" s="133"/>
      <c r="MEE11" s="133"/>
      <c r="MEF11" s="133"/>
      <c r="MEG11" s="133"/>
      <c r="MEH11" s="133"/>
      <c r="MEI11" s="133"/>
      <c r="MEJ11" s="133"/>
      <c r="MEK11" s="133"/>
      <c r="MEL11" s="133"/>
      <c r="MEM11" s="133"/>
      <c r="MEN11" s="133"/>
      <c r="MEO11" s="133"/>
      <c r="MEP11" s="133"/>
      <c r="MEQ11" s="133"/>
      <c r="MER11" s="133"/>
      <c r="MES11" s="133"/>
      <c r="MET11" s="133"/>
      <c r="MEU11" s="133"/>
      <c r="MEV11" s="133"/>
      <c r="MEW11" s="133"/>
      <c r="MEX11" s="133"/>
      <c r="MEY11" s="133"/>
      <c r="MEZ11" s="133"/>
      <c r="MFA11" s="133"/>
      <c r="MFB11" s="133"/>
      <c r="MFC11" s="133"/>
      <c r="MFD11" s="133"/>
      <c r="MFE11" s="133"/>
      <c r="MFF11" s="133"/>
      <c r="MFG11" s="133"/>
      <c r="MFH11" s="133"/>
      <c r="MFI11" s="133"/>
      <c r="MFJ11" s="133"/>
      <c r="MFK11" s="133"/>
      <c r="MFL11" s="133"/>
      <c r="MFM11" s="133"/>
      <c r="MFN11" s="133"/>
      <c r="MFO11" s="133"/>
      <c r="MFP11" s="133"/>
      <c r="MFQ11" s="133"/>
      <c r="MFR11" s="133"/>
      <c r="MFS11" s="133"/>
      <c r="MFT11" s="133"/>
      <c r="MFU11" s="133"/>
      <c r="MFV11" s="133"/>
      <c r="MFW11" s="133"/>
      <c r="MFX11" s="133"/>
      <c r="MFY11" s="133"/>
      <c r="MFZ11" s="133"/>
      <c r="MGA11" s="133"/>
      <c r="MGB11" s="133"/>
      <c r="MGC11" s="133"/>
      <c r="MGD11" s="133"/>
      <c r="MGE11" s="133"/>
      <c r="MGF11" s="133"/>
      <c r="MGG11" s="133"/>
      <c r="MGH11" s="133"/>
      <c r="MGI11" s="133"/>
      <c r="MGJ11" s="133"/>
      <c r="MGK11" s="133"/>
      <c r="MGL11" s="133"/>
      <c r="MGM11" s="133"/>
      <c r="MGN11" s="133"/>
      <c r="MGO11" s="133"/>
      <c r="MGP11" s="133"/>
      <c r="MGQ11" s="133"/>
      <c r="MGR11" s="133"/>
      <c r="MGS11" s="133"/>
      <c r="MGT11" s="133"/>
      <c r="MGU11" s="133"/>
      <c r="MGV11" s="133"/>
      <c r="MGW11" s="133"/>
      <c r="MGX11" s="133"/>
      <c r="MGY11" s="133"/>
      <c r="MGZ11" s="133"/>
      <c r="MHA11" s="133"/>
      <c r="MHB11" s="133"/>
      <c r="MHC11" s="133"/>
      <c r="MHD11" s="133"/>
      <c r="MHE11" s="133"/>
      <c r="MHF11" s="133"/>
      <c r="MHG11" s="133"/>
      <c r="MHH11" s="133"/>
      <c r="MHI11" s="133"/>
      <c r="MHJ11" s="133"/>
      <c r="MHK11" s="133"/>
      <c r="MHL11" s="133"/>
      <c r="MHM11" s="133"/>
      <c r="MHN11" s="133"/>
      <c r="MHO11" s="133"/>
      <c r="MHP11" s="133"/>
      <c r="MHQ11" s="133"/>
      <c r="MHR11" s="133"/>
      <c r="MHS11" s="133"/>
      <c r="MHT11" s="133"/>
      <c r="MHU11" s="133"/>
      <c r="MHV11" s="133"/>
      <c r="MHW11" s="133"/>
      <c r="MHX11" s="133"/>
      <c r="MHY11" s="133"/>
      <c r="MHZ11" s="133"/>
      <c r="MIA11" s="133"/>
      <c r="MIB11" s="133"/>
      <c r="MIC11" s="133"/>
      <c r="MID11" s="133"/>
      <c r="MIE11" s="133"/>
      <c r="MIF11" s="133"/>
      <c r="MIG11" s="133"/>
      <c r="MIH11" s="133"/>
      <c r="MII11" s="133"/>
      <c r="MIJ11" s="133"/>
      <c r="MIK11" s="133"/>
      <c r="MIL11" s="133"/>
      <c r="MIM11" s="133"/>
      <c r="MIN11" s="133"/>
      <c r="MIO11" s="133"/>
      <c r="MIP11" s="133"/>
      <c r="MIQ11" s="133"/>
      <c r="MIR11" s="133"/>
      <c r="MIS11" s="133"/>
      <c r="MIT11" s="133"/>
      <c r="MIU11" s="133"/>
      <c r="MIV11" s="133"/>
      <c r="MIW11" s="133"/>
      <c r="MIX11" s="133"/>
      <c r="MIY11" s="133"/>
      <c r="MIZ11" s="133"/>
      <c r="MJA11" s="133"/>
      <c r="MJB11" s="133"/>
      <c r="MJC11" s="133"/>
      <c r="MJD11" s="133"/>
      <c r="MJE11" s="133"/>
      <c r="MJF11" s="133"/>
      <c r="MJG11" s="133"/>
      <c r="MJH11" s="133"/>
      <c r="MJI11" s="133"/>
      <c r="MJJ11" s="133"/>
      <c r="MJK11" s="133"/>
      <c r="MJL11" s="133"/>
      <c r="MJM11" s="133"/>
      <c r="MJN11" s="133"/>
      <c r="MJO11" s="133"/>
      <c r="MJP11" s="133"/>
      <c r="MJQ11" s="133"/>
      <c r="MJR11" s="133"/>
      <c r="MJS11" s="133"/>
      <c r="MJT11" s="133"/>
      <c r="MJU11" s="133"/>
      <c r="MJV11" s="133"/>
      <c r="MJW11" s="133"/>
      <c r="MJX11" s="133"/>
      <c r="MJY11" s="133"/>
      <c r="MJZ11" s="133"/>
      <c r="MKA11" s="133"/>
      <c r="MKB11" s="133"/>
      <c r="MKC11" s="133"/>
      <c r="MKD11" s="133"/>
      <c r="MKE11" s="133"/>
      <c r="MKF11" s="133"/>
      <c r="MKG11" s="133"/>
      <c r="MKH11" s="133"/>
      <c r="MKI11" s="133"/>
      <c r="MKJ11" s="133"/>
      <c r="MKK11" s="133"/>
      <c r="MKL11" s="133"/>
      <c r="MKM11" s="133"/>
      <c r="MKN11" s="133"/>
      <c r="MKO11" s="133"/>
      <c r="MKP11" s="133"/>
      <c r="MKQ11" s="133"/>
      <c r="MKR11" s="133"/>
      <c r="MKS11" s="133"/>
      <c r="MKT11" s="133"/>
      <c r="MKU11" s="133"/>
      <c r="MKV11" s="133"/>
      <c r="MKW11" s="133"/>
      <c r="MKX11" s="133"/>
      <c r="MKY11" s="133"/>
      <c r="MKZ11" s="133"/>
      <c r="MLA11" s="133"/>
      <c r="MLB11" s="133"/>
      <c r="MLC11" s="133"/>
      <c r="MLD11" s="133"/>
      <c r="MLE11" s="133"/>
      <c r="MLF11" s="133"/>
      <c r="MLG11" s="133"/>
      <c r="MLH11" s="133"/>
      <c r="MLI11" s="133"/>
      <c r="MLJ11" s="133"/>
      <c r="MLK11" s="133"/>
      <c r="MLL11" s="133"/>
      <c r="MLM11" s="133"/>
      <c r="MLN11" s="133"/>
      <c r="MLO11" s="133"/>
      <c r="MLP11" s="133"/>
      <c r="MLQ11" s="133"/>
      <c r="MLR11" s="133"/>
      <c r="MLS11" s="133"/>
      <c r="MLT11" s="133"/>
      <c r="MLU11" s="133"/>
      <c r="MLV11" s="133"/>
      <c r="MLW11" s="133"/>
      <c r="MLX11" s="133"/>
      <c r="MLY11" s="133"/>
      <c r="MLZ11" s="133"/>
      <c r="MMA11" s="133"/>
      <c r="MMB11" s="133"/>
      <c r="MMC11" s="133"/>
      <c r="MMD11" s="133"/>
      <c r="MME11" s="133"/>
      <c r="MMF11" s="133"/>
      <c r="MMG11" s="133"/>
      <c r="MMH11" s="133"/>
      <c r="MMI11" s="133"/>
      <c r="MMJ11" s="133"/>
      <c r="MMK11" s="133"/>
      <c r="MML11" s="133"/>
      <c r="MMM11" s="133"/>
      <c r="MMN11" s="133"/>
      <c r="MMO11" s="133"/>
      <c r="MMP11" s="133"/>
      <c r="MMQ11" s="133"/>
      <c r="MMR11" s="133"/>
      <c r="MMS11" s="133"/>
      <c r="MMT11" s="133"/>
      <c r="MMU11" s="133"/>
      <c r="MMV11" s="133"/>
      <c r="MMW11" s="133"/>
      <c r="MMX11" s="133"/>
      <c r="MMY11" s="133"/>
      <c r="MMZ11" s="133"/>
      <c r="MNA11" s="133"/>
      <c r="MNB11" s="133"/>
      <c r="MNC11" s="133"/>
      <c r="MND11" s="133"/>
      <c r="MNE11" s="133"/>
      <c r="MNF11" s="133"/>
      <c r="MNG11" s="133"/>
      <c r="MNH11" s="133"/>
      <c r="MNI11" s="133"/>
      <c r="MNJ11" s="133"/>
      <c r="MNK11" s="133"/>
      <c r="MNL11" s="133"/>
      <c r="MNM11" s="133"/>
      <c r="MNN11" s="133"/>
      <c r="MNO11" s="133"/>
      <c r="MNP11" s="133"/>
      <c r="MNQ11" s="133"/>
      <c r="MNR11" s="133"/>
      <c r="MNS11" s="133"/>
      <c r="MNT11" s="133"/>
      <c r="MNU11" s="133"/>
      <c r="MNV11" s="133"/>
      <c r="MNW11" s="133"/>
      <c r="MNX11" s="133"/>
      <c r="MNY11" s="133"/>
      <c r="MNZ11" s="133"/>
      <c r="MOA11" s="133"/>
      <c r="MOB11" s="133"/>
      <c r="MOC11" s="133"/>
      <c r="MOD11" s="133"/>
      <c r="MOE11" s="133"/>
      <c r="MOF11" s="133"/>
      <c r="MOG11" s="133"/>
      <c r="MOH11" s="133"/>
      <c r="MOI11" s="133"/>
      <c r="MOJ11" s="133"/>
      <c r="MOK11" s="133"/>
      <c r="MOL11" s="133"/>
      <c r="MOM11" s="133"/>
      <c r="MON11" s="133"/>
      <c r="MOO11" s="133"/>
      <c r="MOP11" s="133"/>
      <c r="MOQ11" s="133"/>
      <c r="MOR11" s="133"/>
      <c r="MOS11" s="133"/>
      <c r="MOT11" s="133"/>
      <c r="MOU11" s="133"/>
      <c r="MOV11" s="133"/>
      <c r="MOW11" s="133"/>
      <c r="MOX11" s="133"/>
      <c r="MOY11" s="133"/>
      <c r="MOZ11" s="133"/>
      <c r="MPA11" s="133"/>
      <c r="MPB11" s="133"/>
      <c r="MPC11" s="133"/>
      <c r="MPD11" s="133"/>
      <c r="MPE11" s="133"/>
      <c r="MPF11" s="133"/>
      <c r="MPG11" s="133"/>
      <c r="MPH11" s="133"/>
      <c r="MPI11" s="133"/>
      <c r="MPJ11" s="133"/>
      <c r="MPK11" s="133"/>
      <c r="MPL11" s="133"/>
      <c r="MPM11" s="133"/>
      <c r="MPN11" s="133"/>
      <c r="MPO11" s="133"/>
      <c r="MPP11" s="133"/>
      <c r="MPQ11" s="133"/>
      <c r="MPR11" s="133"/>
      <c r="MPS11" s="133"/>
      <c r="MPT11" s="133"/>
      <c r="MPU11" s="133"/>
      <c r="MPV11" s="133"/>
      <c r="MPW11" s="133"/>
      <c r="MPX11" s="133"/>
      <c r="MPY11" s="133"/>
      <c r="MPZ11" s="133"/>
      <c r="MQA11" s="133"/>
      <c r="MQB11" s="133"/>
      <c r="MQC11" s="133"/>
      <c r="MQD11" s="133"/>
      <c r="MQE11" s="133"/>
      <c r="MQF11" s="133"/>
      <c r="MQG11" s="133"/>
      <c r="MQH11" s="133"/>
      <c r="MQI11" s="133"/>
      <c r="MQJ11" s="133"/>
      <c r="MQK11" s="133"/>
      <c r="MQL11" s="133"/>
      <c r="MQM11" s="133"/>
      <c r="MQN11" s="133"/>
      <c r="MQO11" s="133"/>
      <c r="MQP11" s="133"/>
      <c r="MQQ11" s="133"/>
      <c r="MQR11" s="133"/>
      <c r="MQS11" s="133"/>
      <c r="MQT11" s="133"/>
      <c r="MQU11" s="133"/>
      <c r="MQV11" s="133"/>
      <c r="MQW11" s="133"/>
      <c r="MQX11" s="133"/>
      <c r="MQY11" s="133"/>
      <c r="MQZ11" s="133"/>
      <c r="MRA11" s="133"/>
      <c r="MRB11" s="133"/>
      <c r="MRC11" s="133"/>
      <c r="MRD11" s="133"/>
      <c r="MRE11" s="133"/>
      <c r="MRF11" s="133"/>
      <c r="MRG11" s="133"/>
      <c r="MRH11" s="133"/>
      <c r="MRI11" s="133"/>
      <c r="MRJ11" s="133"/>
      <c r="MRK11" s="133"/>
      <c r="MRL11" s="133"/>
      <c r="MRM11" s="133"/>
      <c r="MRN11" s="133"/>
      <c r="MRO11" s="133"/>
      <c r="MRP11" s="133"/>
      <c r="MRQ11" s="133"/>
      <c r="MRR11" s="133"/>
      <c r="MRS11" s="133"/>
      <c r="MRT11" s="133"/>
      <c r="MRU11" s="133"/>
      <c r="MRV11" s="133"/>
      <c r="MRW11" s="133"/>
      <c r="MRX11" s="133"/>
      <c r="MRY11" s="133"/>
      <c r="MRZ11" s="133"/>
      <c r="MSA11" s="133"/>
      <c r="MSB11" s="133"/>
      <c r="MSC11" s="133"/>
      <c r="MSD11" s="133"/>
      <c r="MSE11" s="133"/>
      <c r="MSF11" s="133"/>
      <c r="MSG11" s="133"/>
      <c r="MSH11" s="133"/>
      <c r="MSI11" s="133"/>
      <c r="MSJ11" s="133"/>
      <c r="MSK11" s="133"/>
      <c r="MSL11" s="133"/>
      <c r="MSM11" s="133"/>
      <c r="MSN11" s="133"/>
      <c r="MSO11" s="133"/>
      <c r="MSP11" s="133"/>
      <c r="MSQ11" s="133"/>
      <c r="MSR11" s="133"/>
      <c r="MSS11" s="133"/>
      <c r="MST11" s="133"/>
      <c r="MSU11" s="133"/>
      <c r="MSV11" s="133"/>
      <c r="MSW11" s="133"/>
      <c r="MSX11" s="133"/>
      <c r="MSY11" s="133"/>
      <c r="MSZ11" s="133"/>
      <c r="MTA11" s="133"/>
      <c r="MTB11" s="133"/>
      <c r="MTC11" s="133"/>
      <c r="MTD11" s="133"/>
      <c r="MTE11" s="133"/>
      <c r="MTF11" s="133"/>
      <c r="MTG11" s="133"/>
      <c r="MTH11" s="133"/>
      <c r="MTI11" s="133"/>
      <c r="MTJ11" s="133"/>
      <c r="MTK11" s="133"/>
      <c r="MTL11" s="133"/>
      <c r="MTM11" s="133"/>
      <c r="MTN11" s="133"/>
      <c r="MTO11" s="133"/>
      <c r="MTP11" s="133"/>
      <c r="MTQ11" s="133"/>
      <c r="MTR11" s="133"/>
      <c r="MTS11" s="133"/>
      <c r="MTT11" s="133"/>
      <c r="MTU11" s="133"/>
      <c r="MTV11" s="133"/>
      <c r="MTW11" s="133"/>
      <c r="MTX11" s="133"/>
      <c r="MTY11" s="133"/>
      <c r="MTZ11" s="133"/>
      <c r="MUA11" s="133"/>
      <c r="MUB11" s="133"/>
      <c r="MUC11" s="133"/>
      <c r="MUD11" s="133"/>
      <c r="MUE11" s="133"/>
      <c r="MUF11" s="133"/>
      <c r="MUG11" s="133"/>
      <c r="MUH11" s="133"/>
      <c r="MUI11" s="133"/>
      <c r="MUJ11" s="133"/>
      <c r="MUK11" s="133"/>
      <c r="MUL11" s="133"/>
      <c r="MUM11" s="133"/>
      <c r="MUN11" s="133"/>
      <c r="MUO11" s="133"/>
      <c r="MUP11" s="133"/>
      <c r="MUQ11" s="133"/>
      <c r="MUR11" s="133"/>
      <c r="MUS11" s="133"/>
      <c r="MUT11" s="133"/>
      <c r="MUU11" s="133"/>
      <c r="MUV11" s="133"/>
      <c r="MUW11" s="133"/>
      <c r="MUX11" s="133"/>
      <c r="MUY11" s="133"/>
      <c r="MUZ11" s="133"/>
      <c r="MVA11" s="133"/>
      <c r="MVB11" s="133"/>
      <c r="MVC11" s="133"/>
      <c r="MVD11" s="133"/>
      <c r="MVE11" s="133"/>
      <c r="MVF11" s="133"/>
      <c r="MVG11" s="133"/>
      <c r="MVH11" s="133"/>
      <c r="MVI11" s="133"/>
      <c r="MVJ11" s="133"/>
      <c r="MVK11" s="133"/>
      <c r="MVL11" s="133"/>
      <c r="MVM11" s="133"/>
      <c r="MVN11" s="133"/>
      <c r="MVO11" s="133"/>
      <c r="MVP11" s="133"/>
      <c r="MVQ11" s="133"/>
      <c r="MVR11" s="133"/>
      <c r="MVS11" s="133"/>
      <c r="MVT11" s="133"/>
      <c r="MVU11" s="133"/>
      <c r="MVV11" s="133"/>
      <c r="MVW11" s="133"/>
      <c r="MVX11" s="133"/>
      <c r="MVY11" s="133"/>
      <c r="MVZ11" s="133"/>
      <c r="MWA11" s="133"/>
      <c r="MWB11" s="133"/>
      <c r="MWC11" s="133"/>
      <c r="MWD11" s="133"/>
      <c r="MWE11" s="133"/>
      <c r="MWF11" s="133"/>
      <c r="MWG11" s="133"/>
      <c r="MWH11" s="133"/>
      <c r="MWI11" s="133"/>
      <c r="MWJ11" s="133"/>
      <c r="MWK11" s="133"/>
      <c r="MWL11" s="133"/>
      <c r="MWM11" s="133"/>
      <c r="MWN11" s="133"/>
      <c r="MWO11" s="133"/>
      <c r="MWP11" s="133"/>
      <c r="MWQ11" s="133"/>
      <c r="MWR11" s="133"/>
      <c r="MWS11" s="133"/>
      <c r="MWT11" s="133"/>
      <c r="MWU11" s="133"/>
      <c r="MWV11" s="133"/>
      <c r="MWW11" s="133"/>
      <c r="MWX11" s="133"/>
      <c r="MWY11" s="133"/>
      <c r="MWZ11" s="133"/>
      <c r="MXA11" s="133"/>
      <c r="MXB11" s="133"/>
      <c r="MXC11" s="133"/>
      <c r="MXD11" s="133"/>
      <c r="MXE11" s="133"/>
      <c r="MXF11" s="133"/>
      <c r="MXG11" s="133"/>
      <c r="MXH11" s="133"/>
      <c r="MXI11" s="133"/>
      <c r="MXJ11" s="133"/>
      <c r="MXK11" s="133"/>
      <c r="MXL11" s="133"/>
      <c r="MXM11" s="133"/>
      <c r="MXN11" s="133"/>
      <c r="MXO11" s="133"/>
      <c r="MXP11" s="133"/>
      <c r="MXQ11" s="133"/>
      <c r="MXR11" s="133"/>
      <c r="MXS11" s="133"/>
      <c r="MXT11" s="133"/>
      <c r="MXU11" s="133"/>
      <c r="MXV11" s="133"/>
      <c r="MXW11" s="133"/>
      <c r="MXX11" s="133"/>
      <c r="MXY11" s="133"/>
      <c r="MXZ11" s="133"/>
      <c r="MYA11" s="133"/>
      <c r="MYB11" s="133"/>
      <c r="MYC11" s="133"/>
      <c r="MYD11" s="133"/>
      <c r="MYE11" s="133"/>
      <c r="MYF11" s="133"/>
      <c r="MYG11" s="133"/>
      <c r="MYH11" s="133"/>
      <c r="MYI11" s="133"/>
      <c r="MYJ11" s="133"/>
      <c r="MYK11" s="133"/>
      <c r="MYL11" s="133"/>
      <c r="MYM11" s="133"/>
      <c r="MYN11" s="133"/>
      <c r="MYO11" s="133"/>
      <c r="MYP11" s="133"/>
      <c r="MYQ11" s="133"/>
      <c r="MYR11" s="133"/>
      <c r="MYS11" s="133"/>
      <c r="MYT11" s="133"/>
      <c r="MYU11" s="133"/>
      <c r="MYV11" s="133"/>
      <c r="MYW11" s="133"/>
      <c r="MYX11" s="133"/>
      <c r="MYY11" s="133"/>
      <c r="MYZ11" s="133"/>
      <c r="MZA11" s="133"/>
      <c r="MZB11" s="133"/>
      <c r="MZC11" s="133"/>
      <c r="MZD11" s="133"/>
      <c r="MZE11" s="133"/>
      <c r="MZF11" s="133"/>
      <c r="MZG11" s="133"/>
      <c r="MZH11" s="133"/>
      <c r="MZI11" s="133"/>
      <c r="MZJ11" s="133"/>
      <c r="MZK11" s="133"/>
      <c r="MZL11" s="133"/>
      <c r="MZM11" s="133"/>
      <c r="MZN11" s="133"/>
      <c r="MZO11" s="133"/>
      <c r="MZP11" s="133"/>
      <c r="MZQ11" s="133"/>
      <c r="MZR11" s="133"/>
      <c r="MZS11" s="133"/>
      <c r="MZT11" s="133"/>
      <c r="MZU11" s="133"/>
      <c r="MZV11" s="133"/>
      <c r="MZW11" s="133"/>
      <c r="MZX11" s="133"/>
      <c r="MZY11" s="133"/>
      <c r="MZZ11" s="133"/>
      <c r="NAA11" s="133"/>
      <c r="NAB11" s="133"/>
      <c r="NAC11" s="133"/>
      <c r="NAD11" s="133"/>
      <c r="NAE11" s="133"/>
      <c r="NAF11" s="133"/>
      <c r="NAG11" s="133"/>
      <c r="NAH11" s="133"/>
      <c r="NAI11" s="133"/>
      <c r="NAJ11" s="133"/>
      <c r="NAK11" s="133"/>
      <c r="NAL11" s="133"/>
      <c r="NAM11" s="133"/>
      <c r="NAN11" s="133"/>
      <c r="NAO11" s="133"/>
      <c r="NAP11" s="133"/>
      <c r="NAQ11" s="133"/>
      <c r="NAR11" s="133"/>
      <c r="NAS11" s="133"/>
      <c r="NAT11" s="133"/>
      <c r="NAU11" s="133"/>
      <c r="NAV11" s="133"/>
      <c r="NAW11" s="133"/>
      <c r="NAX11" s="133"/>
      <c r="NAY11" s="133"/>
      <c r="NAZ11" s="133"/>
      <c r="NBA11" s="133"/>
      <c r="NBB11" s="133"/>
      <c r="NBC11" s="133"/>
      <c r="NBD11" s="133"/>
      <c r="NBE11" s="133"/>
      <c r="NBF11" s="133"/>
      <c r="NBG11" s="133"/>
      <c r="NBH11" s="133"/>
      <c r="NBI11" s="133"/>
      <c r="NBJ11" s="133"/>
      <c r="NBK11" s="133"/>
      <c r="NBL11" s="133"/>
      <c r="NBM11" s="133"/>
      <c r="NBN11" s="133"/>
      <c r="NBO11" s="133"/>
      <c r="NBP11" s="133"/>
      <c r="NBQ11" s="133"/>
      <c r="NBR11" s="133"/>
      <c r="NBS11" s="133"/>
      <c r="NBT11" s="133"/>
      <c r="NBU11" s="133"/>
      <c r="NBV11" s="133"/>
      <c r="NBW11" s="133"/>
      <c r="NBX11" s="133"/>
      <c r="NBY11" s="133"/>
      <c r="NBZ11" s="133"/>
      <c r="NCA11" s="133"/>
      <c r="NCB11" s="133"/>
      <c r="NCC11" s="133"/>
      <c r="NCD11" s="133"/>
      <c r="NCE11" s="133"/>
      <c r="NCF11" s="133"/>
      <c r="NCG11" s="133"/>
      <c r="NCH11" s="133"/>
      <c r="NCI11" s="133"/>
      <c r="NCJ11" s="133"/>
      <c r="NCK11" s="133"/>
      <c r="NCL11" s="133"/>
      <c r="NCM11" s="133"/>
      <c r="NCN11" s="133"/>
      <c r="NCO11" s="133"/>
      <c r="NCP11" s="133"/>
      <c r="NCQ11" s="133"/>
      <c r="NCR11" s="133"/>
      <c r="NCS11" s="133"/>
      <c r="NCT11" s="133"/>
      <c r="NCU11" s="133"/>
      <c r="NCV11" s="133"/>
      <c r="NCW11" s="133"/>
      <c r="NCX11" s="133"/>
      <c r="NCY11" s="133"/>
      <c r="NCZ11" s="133"/>
      <c r="NDA11" s="133"/>
      <c r="NDB11" s="133"/>
      <c r="NDC11" s="133"/>
      <c r="NDD11" s="133"/>
      <c r="NDE11" s="133"/>
      <c r="NDF11" s="133"/>
      <c r="NDG11" s="133"/>
      <c r="NDH11" s="133"/>
      <c r="NDI11" s="133"/>
      <c r="NDJ11" s="133"/>
      <c r="NDK11" s="133"/>
      <c r="NDL11" s="133"/>
      <c r="NDM11" s="133"/>
      <c r="NDN11" s="133"/>
      <c r="NDO11" s="133"/>
      <c r="NDP11" s="133"/>
      <c r="NDQ11" s="133"/>
      <c r="NDR11" s="133"/>
      <c r="NDS11" s="133"/>
      <c r="NDT11" s="133"/>
      <c r="NDU11" s="133"/>
      <c r="NDV11" s="133"/>
      <c r="NDW11" s="133"/>
      <c r="NDX11" s="133"/>
      <c r="NDY11" s="133"/>
      <c r="NDZ11" s="133"/>
      <c r="NEA11" s="133"/>
      <c r="NEB11" s="133"/>
      <c r="NEC11" s="133"/>
      <c r="NED11" s="133"/>
      <c r="NEE11" s="133"/>
      <c r="NEF11" s="133"/>
      <c r="NEG11" s="133"/>
      <c r="NEH11" s="133"/>
      <c r="NEI11" s="133"/>
      <c r="NEJ11" s="133"/>
      <c r="NEK11" s="133"/>
      <c r="NEL11" s="133"/>
      <c r="NEM11" s="133"/>
      <c r="NEN11" s="133"/>
      <c r="NEO11" s="133"/>
      <c r="NEP11" s="133"/>
      <c r="NEQ11" s="133"/>
      <c r="NER11" s="133"/>
      <c r="NES11" s="133"/>
      <c r="NET11" s="133"/>
      <c r="NEU11" s="133"/>
      <c r="NEV11" s="133"/>
      <c r="NEW11" s="133"/>
      <c r="NEX11" s="133"/>
      <c r="NEY11" s="133"/>
      <c r="NEZ11" s="133"/>
      <c r="NFA11" s="133"/>
      <c r="NFB11" s="133"/>
      <c r="NFC11" s="133"/>
      <c r="NFD11" s="133"/>
      <c r="NFE11" s="133"/>
      <c r="NFF11" s="133"/>
      <c r="NFG11" s="133"/>
      <c r="NFH11" s="133"/>
      <c r="NFI11" s="133"/>
      <c r="NFJ11" s="133"/>
      <c r="NFK11" s="133"/>
      <c r="NFL11" s="133"/>
      <c r="NFM11" s="133"/>
      <c r="NFN11" s="133"/>
      <c r="NFO11" s="133"/>
      <c r="NFP11" s="133"/>
      <c r="NFQ11" s="133"/>
      <c r="NFR11" s="133"/>
      <c r="NFS11" s="133"/>
      <c r="NFT11" s="133"/>
      <c r="NFU11" s="133"/>
      <c r="NFV11" s="133"/>
      <c r="NFW11" s="133"/>
      <c r="NFX11" s="133"/>
      <c r="NFY11" s="133"/>
      <c r="NFZ11" s="133"/>
      <c r="NGA11" s="133"/>
      <c r="NGB11" s="133"/>
      <c r="NGC11" s="133"/>
      <c r="NGD11" s="133"/>
      <c r="NGE11" s="133"/>
      <c r="NGF11" s="133"/>
      <c r="NGG11" s="133"/>
      <c r="NGH11" s="133"/>
      <c r="NGI11" s="133"/>
      <c r="NGJ11" s="133"/>
      <c r="NGK11" s="133"/>
      <c r="NGL11" s="133"/>
      <c r="NGM11" s="133"/>
      <c r="NGN11" s="133"/>
      <c r="NGO11" s="133"/>
      <c r="NGP11" s="133"/>
      <c r="NGQ11" s="133"/>
      <c r="NGR11" s="133"/>
      <c r="NGS11" s="133"/>
      <c r="NGT11" s="133"/>
      <c r="NGU11" s="133"/>
      <c r="NGV11" s="133"/>
      <c r="NGW11" s="133"/>
      <c r="NGX11" s="133"/>
      <c r="NGY11" s="133"/>
      <c r="NGZ11" s="133"/>
      <c r="NHA11" s="133"/>
      <c r="NHB11" s="133"/>
      <c r="NHC11" s="133"/>
      <c r="NHD11" s="133"/>
      <c r="NHE11" s="133"/>
      <c r="NHF11" s="133"/>
      <c r="NHG11" s="133"/>
      <c r="NHH11" s="133"/>
      <c r="NHI11" s="133"/>
      <c r="NHJ11" s="133"/>
      <c r="NHK11" s="133"/>
      <c r="NHL11" s="133"/>
      <c r="NHM11" s="133"/>
      <c r="NHN11" s="133"/>
      <c r="NHO11" s="133"/>
      <c r="NHP11" s="133"/>
      <c r="NHQ11" s="133"/>
      <c r="NHR11" s="133"/>
      <c r="NHS11" s="133"/>
      <c r="NHT11" s="133"/>
      <c r="NHU11" s="133"/>
      <c r="NHV11" s="133"/>
      <c r="NHW11" s="133"/>
      <c r="NHX11" s="133"/>
      <c r="NHY11" s="133"/>
      <c r="NHZ11" s="133"/>
      <c r="NIA11" s="133"/>
      <c r="NIB11" s="133"/>
      <c r="NIC11" s="133"/>
      <c r="NID11" s="133"/>
      <c r="NIE11" s="133"/>
      <c r="NIF11" s="133"/>
      <c r="NIG11" s="133"/>
      <c r="NIH11" s="133"/>
      <c r="NII11" s="133"/>
      <c r="NIJ11" s="133"/>
      <c r="NIK11" s="133"/>
      <c r="NIL11" s="133"/>
      <c r="NIM11" s="133"/>
      <c r="NIN11" s="133"/>
      <c r="NIO11" s="133"/>
      <c r="NIP11" s="133"/>
      <c r="NIQ11" s="133"/>
      <c r="NIR11" s="133"/>
      <c r="NIS11" s="133"/>
      <c r="NIT11" s="133"/>
      <c r="NIU11" s="133"/>
      <c r="NIV11" s="133"/>
      <c r="NIW11" s="133"/>
      <c r="NIX11" s="133"/>
      <c r="NIY11" s="133"/>
      <c r="NIZ11" s="133"/>
      <c r="NJA11" s="133"/>
      <c r="NJB11" s="133"/>
      <c r="NJC11" s="133"/>
      <c r="NJD11" s="133"/>
      <c r="NJE11" s="133"/>
      <c r="NJF11" s="133"/>
      <c r="NJG11" s="133"/>
      <c r="NJH11" s="133"/>
      <c r="NJI11" s="133"/>
      <c r="NJJ11" s="133"/>
      <c r="NJK11" s="133"/>
      <c r="NJL11" s="133"/>
      <c r="NJM11" s="133"/>
      <c r="NJN11" s="133"/>
      <c r="NJO11" s="133"/>
      <c r="NJP11" s="133"/>
      <c r="NJQ11" s="133"/>
      <c r="NJR11" s="133"/>
      <c r="NJS11" s="133"/>
      <c r="NJT11" s="133"/>
      <c r="NJU11" s="133"/>
      <c r="NJV11" s="133"/>
      <c r="NJW11" s="133"/>
      <c r="NJX11" s="133"/>
      <c r="NJY11" s="133"/>
      <c r="NJZ11" s="133"/>
      <c r="NKA11" s="133"/>
      <c r="NKB11" s="133"/>
      <c r="NKC11" s="133"/>
      <c r="NKD11" s="133"/>
      <c r="NKE11" s="133"/>
      <c r="NKF11" s="133"/>
      <c r="NKG11" s="133"/>
      <c r="NKH11" s="133"/>
      <c r="NKI11" s="133"/>
      <c r="NKJ11" s="133"/>
      <c r="NKK11" s="133"/>
      <c r="NKL11" s="133"/>
      <c r="NKM11" s="133"/>
      <c r="NKN11" s="133"/>
      <c r="NKO11" s="133"/>
      <c r="NKP11" s="133"/>
      <c r="NKQ11" s="133"/>
      <c r="NKR11" s="133"/>
      <c r="NKS11" s="133"/>
      <c r="NKT11" s="133"/>
      <c r="NKU11" s="133"/>
      <c r="NKV11" s="133"/>
      <c r="NKW11" s="133"/>
      <c r="NKX11" s="133"/>
      <c r="NKY11" s="133"/>
      <c r="NKZ11" s="133"/>
      <c r="NLA11" s="133"/>
      <c r="NLB11" s="133"/>
      <c r="NLC11" s="133"/>
      <c r="NLD11" s="133"/>
      <c r="NLE11" s="133"/>
      <c r="NLF11" s="133"/>
      <c r="NLG11" s="133"/>
      <c r="NLH11" s="133"/>
      <c r="NLI11" s="133"/>
      <c r="NLJ11" s="133"/>
      <c r="NLK11" s="133"/>
      <c r="NLL11" s="133"/>
      <c r="NLM11" s="133"/>
      <c r="NLN11" s="133"/>
      <c r="NLO11" s="133"/>
      <c r="NLP11" s="133"/>
      <c r="NLQ11" s="133"/>
      <c r="NLR11" s="133"/>
      <c r="NLS11" s="133"/>
      <c r="NLT11" s="133"/>
      <c r="NLU11" s="133"/>
      <c r="NLV11" s="133"/>
      <c r="NLW11" s="133"/>
      <c r="NLX11" s="133"/>
      <c r="NLY11" s="133"/>
      <c r="NLZ11" s="133"/>
      <c r="NMA11" s="133"/>
      <c r="NMB11" s="133"/>
      <c r="NMC11" s="133"/>
      <c r="NMD11" s="133"/>
      <c r="NME11" s="133"/>
      <c r="NMF11" s="133"/>
      <c r="NMG11" s="133"/>
      <c r="NMH11" s="133"/>
      <c r="NMI11" s="133"/>
      <c r="NMJ11" s="133"/>
      <c r="NMK11" s="133"/>
      <c r="NML11" s="133"/>
      <c r="NMM11" s="133"/>
      <c r="NMN11" s="133"/>
      <c r="NMO11" s="133"/>
      <c r="NMP11" s="133"/>
      <c r="NMQ11" s="133"/>
      <c r="NMR11" s="133"/>
      <c r="NMS11" s="133"/>
      <c r="NMT11" s="133"/>
      <c r="NMU11" s="133"/>
      <c r="NMV11" s="133"/>
      <c r="NMW11" s="133"/>
      <c r="NMX11" s="133"/>
      <c r="NMY11" s="133"/>
      <c r="NMZ11" s="133"/>
      <c r="NNA11" s="133"/>
      <c r="NNB11" s="133"/>
      <c r="NNC11" s="133"/>
      <c r="NND11" s="133"/>
      <c r="NNE11" s="133"/>
      <c r="NNF11" s="133"/>
      <c r="NNG11" s="133"/>
      <c r="NNH11" s="133"/>
      <c r="NNI11" s="133"/>
      <c r="NNJ11" s="133"/>
      <c r="NNK11" s="133"/>
      <c r="NNL11" s="133"/>
      <c r="NNM11" s="133"/>
      <c r="NNN11" s="133"/>
      <c r="NNO11" s="133"/>
      <c r="NNP11" s="133"/>
      <c r="NNQ11" s="133"/>
      <c r="NNR11" s="133"/>
      <c r="NNS11" s="133"/>
      <c r="NNT11" s="133"/>
      <c r="NNU11" s="133"/>
      <c r="NNV11" s="133"/>
      <c r="NNW11" s="133"/>
      <c r="NNX11" s="133"/>
      <c r="NNY11" s="133"/>
      <c r="NNZ11" s="133"/>
      <c r="NOA11" s="133"/>
      <c r="NOB11" s="133"/>
      <c r="NOC11" s="133"/>
      <c r="NOD11" s="133"/>
      <c r="NOE11" s="133"/>
      <c r="NOF11" s="133"/>
      <c r="NOG11" s="133"/>
      <c r="NOH11" s="133"/>
      <c r="NOI11" s="133"/>
      <c r="NOJ11" s="133"/>
      <c r="NOK11" s="133"/>
      <c r="NOL11" s="133"/>
      <c r="NOM11" s="133"/>
      <c r="NON11" s="133"/>
      <c r="NOO11" s="133"/>
      <c r="NOP11" s="133"/>
      <c r="NOQ11" s="133"/>
      <c r="NOR11" s="133"/>
      <c r="NOS11" s="133"/>
      <c r="NOT11" s="133"/>
      <c r="NOU11" s="133"/>
      <c r="NOV11" s="133"/>
      <c r="NOW11" s="133"/>
      <c r="NOX11" s="133"/>
      <c r="NOY11" s="133"/>
      <c r="NOZ11" s="133"/>
      <c r="NPA11" s="133"/>
      <c r="NPB11" s="133"/>
      <c r="NPC11" s="133"/>
      <c r="NPD11" s="133"/>
      <c r="NPE11" s="133"/>
      <c r="NPF11" s="133"/>
      <c r="NPG11" s="133"/>
      <c r="NPH11" s="133"/>
      <c r="NPI11" s="133"/>
      <c r="NPJ11" s="133"/>
      <c r="NPK11" s="133"/>
      <c r="NPL11" s="133"/>
      <c r="NPM11" s="133"/>
      <c r="NPN11" s="133"/>
      <c r="NPO11" s="133"/>
      <c r="NPP11" s="133"/>
      <c r="NPQ11" s="133"/>
      <c r="NPR11" s="133"/>
      <c r="NPS11" s="133"/>
      <c r="NPT11" s="133"/>
      <c r="NPU11" s="133"/>
      <c r="NPV11" s="133"/>
      <c r="NPW11" s="133"/>
      <c r="NPX11" s="133"/>
      <c r="NPY11" s="133"/>
      <c r="NPZ11" s="133"/>
      <c r="NQA11" s="133"/>
      <c r="NQB11" s="133"/>
      <c r="NQC11" s="133"/>
      <c r="NQD11" s="133"/>
      <c r="NQE11" s="133"/>
      <c r="NQF11" s="133"/>
      <c r="NQG11" s="133"/>
      <c r="NQH11" s="133"/>
      <c r="NQI11" s="133"/>
      <c r="NQJ11" s="133"/>
      <c r="NQK11" s="133"/>
      <c r="NQL11" s="133"/>
      <c r="NQM11" s="133"/>
      <c r="NQN11" s="133"/>
      <c r="NQO11" s="133"/>
      <c r="NQP11" s="133"/>
      <c r="NQQ11" s="133"/>
      <c r="NQR11" s="133"/>
      <c r="NQS11" s="133"/>
      <c r="NQT11" s="133"/>
      <c r="NQU11" s="133"/>
      <c r="NQV11" s="133"/>
      <c r="NQW11" s="133"/>
      <c r="NQX11" s="133"/>
      <c r="NQY11" s="133"/>
      <c r="NQZ11" s="133"/>
      <c r="NRA11" s="133"/>
      <c r="NRB11" s="133"/>
      <c r="NRC11" s="133"/>
      <c r="NRD11" s="133"/>
      <c r="NRE11" s="133"/>
      <c r="NRF11" s="133"/>
      <c r="NRG11" s="133"/>
      <c r="NRH11" s="133"/>
      <c r="NRI11" s="133"/>
      <c r="NRJ11" s="133"/>
      <c r="NRK11" s="133"/>
      <c r="NRL11" s="133"/>
      <c r="NRM11" s="133"/>
      <c r="NRN11" s="133"/>
      <c r="NRO11" s="133"/>
      <c r="NRP11" s="133"/>
      <c r="NRQ11" s="133"/>
      <c r="NRR11" s="133"/>
      <c r="NRS11" s="133"/>
      <c r="NRT11" s="133"/>
      <c r="NRU11" s="133"/>
      <c r="NRV11" s="133"/>
      <c r="NRW11" s="133"/>
      <c r="NRX11" s="133"/>
      <c r="NRY11" s="133"/>
      <c r="NRZ11" s="133"/>
      <c r="NSA11" s="133"/>
      <c r="NSB11" s="133"/>
      <c r="NSC11" s="133"/>
      <c r="NSD11" s="133"/>
      <c r="NSE11" s="133"/>
      <c r="NSF11" s="133"/>
      <c r="NSG11" s="133"/>
      <c r="NSH11" s="133"/>
      <c r="NSI11" s="133"/>
      <c r="NSJ11" s="133"/>
      <c r="NSK11" s="133"/>
      <c r="NSL11" s="133"/>
      <c r="NSM11" s="133"/>
      <c r="NSN11" s="133"/>
      <c r="NSO11" s="133"/>
      <c r="NSP11" s="133"/>
      <c r="NSQ11" s="133"/>
      <c r="NSR11" s="133"/>
      <c r="NSS11" s="133"/>
      <c r="NST11" s="133"/>
      <c r="NSU11" s="133"/>
      <c r="NSV11" s="133"/>
      <c r="NSW11" s="133"/>
      <c r="NSX11" s="133"/>
      <c r="NSY11" s="133"/>
      <c r="NSZ11" s="133"/>
      <c r="NTA11" s="133"/>
      <c r="NTB11" s="133"/>
      <c r="NTC11" s="133"/>
      <c r="NTD11" s="133"/>
      <c r="NTE11" s="133"/>
      <c r="NTF11" s="133"/>
      <c r="NTG11" s="133"/>
      <c r="NTH11" s="133"/>
      <c r="NTI11" s="133"/>
      <c r="NTJ11" s="133"/>
      <c r="NTK11" s="133"/>
      <c r="NTL11" s="133"/>
      <c r="NTM11" s="133"/>
      <c r="NTN11" s="133"/>
      <c r="NTO11" s="133"/>
      <c r="NTP11" s="133"/>
      <c r="NTQ11" s="133"/>
      <c r="NTR11" s="133"/>
      <c r="NTS11" s="133"/>
      <c r="NTT11" s="133"/>
      <c r="NTU11" s="133"/>
      <c r="NTV11" s="133"/>
      <c r="NTW11" s="133"/>
      <c r="NTX11" s="133"/>
      <c r="NTY11" s="133"/>
      <c r="NTZ11" s="133"/>
      <c r="NUA11" s="133"/>
      <c r="NUB11" s="133"/>
      <c r="NUC11" s="133"/>
      <c r="NUD11" s="133"/>
      <c r="NUE11" s="133"/>
      <c r="NUF11" s="133"/>
      <c r="NUG11" s="133"/>
      <c r="NUH11" s="133"/>
      <c r="NUI11" s="133"/>
      <c r="NUJ11" s="133"/>
      <c r="NUK11" s="133"/>
      <c r="NUL11" s="133"/>
      <c r="NUM11" s="133"/>
      <c r="NUN11" s="133"/>
      <c r="NUO11" s="133"/>
      <c r="NUP11" s="133"/>
      <c r="NUQ11" s="133"/>
      <c r="NUR11" s="133"/>
      <c r="NUS11" s="133"/>
      <c r="NUT11" s="133"/>
      <c r="NUU11" s="133"/>
      <c r="NUV11" s="133"/>
      <c r="NUW11" s="133"/>
      <c r="NUX11" s="133"/>
      <c r="NUY11" s="133"/>
      <c r="NUZ11" s="133"/>
      <c r="NVA11" s="133"/>
      <c r="NVB11" s="133"/>
      <c r="NVC11" s="133"/>
      <c r="NVD11" s="133"/>
      <c r="NVE11" s="133"/>
      <c r="NVF11" s="133"/>
      <c r="NVG11" s="133"/>
      <c r="NVH11" s="133"/>
      <c r="NVI11" s="133"/>
      <c r="NVJ11" s="133"/>
      <c r="NVK11" s="133"/>
      <c r="NVL11" s="133"/>
      <c r="NVM11" s="133"/>
      <c r="NVN11" s="133"/>
      <c r="NVO11" s="133"/>
      <c r="NVP11" s="133"/>
      <c r="NVQ11" s="133"/>
      <c r="NVR11" s="133"/>
      <c r="NVS11" s="133"/>
      <c r="NVT11" s="133"/>
      <c r="NVU11" s="133"/>
      <c r="NVV11" s="133"/>
      <c r="NVW11" s="133"/>
      <c r="NVX11" s="133"/>
      <c r="NVY11" s="133"/>
      <c r="NVZ11" s="133"/>
      <c r="NWA11" s="133"/>
      <c r="NWB11" s="133"/>
      <c r="NWC11" s="133"/>
      <c r="NWD11" s="133"/>
      <c r="NWE11" s="133"/>
      <c r="NWF11" s="133"/>
      <c r="NWG11" s="133"/>
      <c r="NWH11" s="133"/>
      <c r="NWI11" s="133"/>
      <c r="NWJ11" s="133"/>
      <c r="NWK11" s="133"/>
      <c r="NWL11" s="133"/>
      <c r="NWM11" s="133"/>
      <c r="NWN11" s="133"/>
      <c r="NWO11" s="133"/>
      <c r="NWP11" s="133"/>
      <c r="NWQ11" s="133"/>
      <c r="NWR11" s="133"/>
      <c r="NWS11" s="133"/>
      <c r="NWT11" s="133"/>
      <c r="NWU11" s="133"/>
      <c r="NWV11" s="133"/>
      <c r="NWW11" s="133"/>
      <c r="NWX11" s="133"/>
      <c r="NWY11" s="133"/>
      <c r="NWZ11" s="133"/>
      <c r="NXA11" s="133"/>
      <c r="NXB11" s="133"/>
      <c r="NXC11" s="133"/>
      <c r="NXD11" s="133"/>
      <c r="NXE11" s="133"/>
      <c r="NXF11" s="133"/>
      <c r="NXG11" s="133"/>
      <c r="NXH11" s="133"/>
      <c r="NXI11" s="133"/>
      <c r="NXJ11" s="133"/>
      <c r="NXK11" s="133"/>
      <c r="NXL11" s="133"/>
      <c r="NXM11" s="133"/>
      <c r="NXN11" s="133"/>
      <c r="NXO11" s="133"/>
      <c r="NXP11" s="133"/>
      <c r="NXQ11" s="133"/>
      <c r="NXR11" s="133"/>
      <c r="NXS11" s="133"/>
      <c r="NXT11" s="133"/>
      <c r="NXU11" s="133"/>
      <c r="NXV11" s="133"/>
      <c r="NXW11" s="133"/>
      <c r="NXX11" s="133"/>
      <c r="NXY11" s="133"/>
      <c r="NXZ11" s="133"/>
      <c r="NYA11" s="133"/>
      <c r="NYB11" s="133"/>
      <c r="NYC11" s="133"/>
      <c r="NYD11" s="133"/>
      <c r="NYE11" s="133"/>
      <c r="NYF11" s="133"/>
      <c r="NYG11" s="133"/>
      <c r="NYH11" s="133"/>
      <c r="NYI11" s="133"/>
      <c r="NYJ11" s="133"/>
      <c r="NYK11" s="133"/>
      <c r="NYL11" s="133"/>
      <c r="NYM11" s="133"/>
      <c r="NYN11" s="133"/>
      <c r="NYO11" s="133"/>
      <c r="NYP11" s="133"/>
      <c r="NYQ11" s="133"/>
      <c r="NYR11" s="133"/>
      <c r="NYS11" s="133"/>
      <c r="NYT11" s="133"/>
      <c r="NYU11" s="133"/>
      <c r="NYV11" s="133"/>
      <c r="NYW11" s="133"/>
      <c r="NYX11" s="133"/>
      <c r="NYY11" s="133"/>
      <c r="NYZ11" s="133"/>
      <c r="NZA11" s="133"/>
      <c r="NZB11" s="133"/>
      <c r="NZC11" s="133"/>
      <c r="NZD11" s="133"/>
      <c r="NZE11" s="133"/>
      <c r="NZF11" s="133"/>
      <c r="NZG11" s="133"/>
      <c r="NZH11" s="133"/>
      <c r="NZI11" s="133"/>
      <c r="NZJ11" s="133"/>
      <c r="NZK11" s="133"/>
      <c r="NZL11" s="133"/>
      <c r="NZM11" s="133"/>
      <c r="NZN11" s="133"/>
      <c r="NZO11" s="133"/>
      <c r="NZP11" s="133"/>
      <c r="NZQ11" s="133"/>
      <c r="NZR11" s="133"/>
      <c r="NZS11" s="133"/>
      <c r="NZT11" s="133"/>
      <c r="NZU11" s="133"/>
      <c r="NZV11" s="133"/>
      <c r="NZW11" s="133"/>
      <c r="NZX11" s="133"/>
      <c r="NZY11" s="133"/>
      <c r="NZZ11" s="133"/>
      <c r="OAA11" s="133"/>
      <c r="OAB11" s="133"/>
      <c r="OAC11" s="133"/>
      <c r="OAD11" s="133"/>
      <c r="OAE11" s="133"/>
      <c r="OAF11" s="133"/>
      <c r="OAG11" s="133"/>
      <c r="OAH11" s="133"/>
      <c r="OAI11" s="133"/>
      <c r="OAJ11" s="133"/>
      <c r="OAK11" s="133"/>
      <c r="OAL11" s="133"/>
      <c r="OAM11" s="133"/>
      <c r="OAN11" s="133"/>
      <c r="OAO11" s="133"/>
      <c r="OAP11" s="133"/>
      <c r="OAQ11" s="133"/>
      <c r="OAR11" s="133"/>
      <c r="OAS11" s="133"/>
      <c r="OAT11" s="133"/>
      <c r="OAU11" s="133"/>
      <c r="OAV11" s="133"/>
      <c r="OAW11" s="133"/>
      <c r="OAX11" s="133"/>
      <c r="OAY11" s="133"/>
      <c r="OAZ11" s="133"/>
      <c r="OBA11" s="133"/>
      <c r="OBB11" s="133"/>
      <c r="OBC11" s="133"/>
      <c r="OBD11" s="133"/>
      <c r="OBE11" s="133"/>
      <c r="OBF11" s="133"/>
      <c r="OBG11" s="133"/>
      <c r="OBH11" s="133"/>
      <c r="OBI11" s="133"/>
      <c r="OBJ11" s="133"/>
      <c r="OBK11" s="133"/>
      <c r="OBL11" s="133"/>
      <c r="OBM11" s="133"/>
      <c r="OBN11" s="133"/>
      <c r="OBO11" s="133"/>
      <c r="OBP11" s="133"/>
      <c r="OBQ11" s="133"/>
      <c r="OBR11" s="133"/>
      <c r="OBS11" s="133"/>
      <c r="OBT11" s="133"/>
      <c r="OBU11" s="133"/>
      <c r="OBV11" s="133"/>
      <c r="OBW11" s="133"/>
      <c r="OBX11" s="133"/>
      <c r="OBY11" s="133"/>
      <c r="OBZ11" s="133"/>
      <c r="OCA11" s="133"/>
      <c r="OCB11" s="133"/>
      <c r="OCC11" s="133"/>
      <c r="OCD11" s="133"/>
      <c r="OCE11" s="133"/>
      <c r="OCF11" s="133"/>
      <c r="OCG11" s="133"/>
      <c r="OCH11" s="133"/>
      <c r="OCI11" s="133"/>
      <c r="OCJ11" s="133"/>
      <c r="OCK11" s="133"/>
      <c r="OCL11" s="133"/>
      <c r="OCM11" s="133"/>
      <c r="OCN11" s="133"/>
      <c r="OCO11" s="133"/>
      <c r="OCP11" s="133"/>
      <c r="OCQ11" s="133"/>
      <c r="OCR11" s="133"/>
      <c r="OCS11" s="133"/>
      <c r="OCT11" s="133"/>
      <c r="OCU11" s="133"/>
      <c r="OCV11" s="133"/>
      <c r="OCW11" s="133"/>
      <c r="OCX11" s="133"/>
      <c r="OCY11" s="133"/>
      <c r="OCZ11" s="133"/>
      <c r="ODA11" s="133"/>
      <c r="ODB11" s="133"/>
      <c r="ODC11" s="133"/>
      <c r="ODD11" s="133"/>
      <c r="ODE11" s="133"/>
      <c r="ODF11" s="133"/>
      <c r="ODG11" s="133"/>
      <c r="ODH11" s="133"/>
      <c r="ODI11" s="133"/>
      <c r="ODJ11" s="133"/>
      <c r="ODK11" s="133"/>
      <c r="ODL11" s="133"/>
      <c r="ODM11" s="133"/>
      <c r="ODN11" s="133"/>
      <c r="ODO11" s="133"/>
      <c r="ODP11" s="133"/>
      <c r="ODQ11" s="133"/>
      <c r="ODR11" s="133"/>
      <c r="ODS11" s="133"/>
      <c r="ODT11" s="133"/>
      <c r="ODU11" s="133"/>
      <c r="ODV11" s="133"/>
      <c r="ODW11" s="133"/>
      <c r="ODX11" s="133"/>
      <c r="ODY11" s="133"/>
      <c r="ODZ11" s="133"/>
      <c r="OEA11" s="133"/>
      <c r="OEB11" s="133"/>
      <c r="OEC11" s="133"/>
      <c r="OED11" s="133"/>
      <c r="OEE11" s="133"/>
      <c r="OEF11" s="133"/>
      <c r="OEG11" s="133"/>
      <c r="OEH11" s="133"/>
      <c r="OEI11" s="133"/>
      <c r="OEJ11" s="133"/>
      <c r="OEK11" s="133"/>
      <c r="OEL11" s="133"/>
      <c r="OEM11" s="133"/>
      <c r="OEN11" s="133"/>
      <c r="OEO11" s="133"/>
      <c r="OEP11" s="133"/>
      <c r="OEQ11" s="133"/>
      <c r="OER11" s="133"/>
      <c r="OES11" s="133"/>
      <c r="OET11" s="133"/>
      <c r="OEU11" s="133"/>
      <c r="OEV11" s="133"/>
      <c r="OEW11" s="133"/>
      <c r="OEX11" s="133"/>
      <c r="OEY11" s="133"/>
      <c r="OEZ11" s="133"/>
      <c r="OFA11" s="133"/>
      <c r="OFB11" s="133"/>
      <c r="OFC11" s="133"/>
      <c r="OFD11" s="133"/>
      <c r="OFE11" s="133"/>
      <c r="OFF11" s="133"/>
      <c r="OFG11" s="133"/>
      <c r="OFH11" s="133"/>
      <c r="OFI11" s="133"/>
      <c r="OFJ11" s="133"/>
      <c r="OFK11" s="133"/>
      <c r="OFL11" s="133"/>
      <c r="OFM11" s="133"/>
      <c r="OFN11" s="133"/>
      <c r="OFO11" s="133"/>
      <c r="OFP11" s="133"/>
      <c r="OFQ11" s="133"/>
      <c r="OFR11" s="133"/>
      <c r="OFS11" s="133"/>
      <c r="OFT11" s="133"/>
      <c r="OFU11" s="133"/>
      <c r="OFV11" s="133"/>
      <c r="OFW11" s="133"/>
      <c r="OFX11" s="133"/>
      <c r="OFY11" s="133"/>
      <c r="OFZ11" s="133"/>
      <c r="OGA11" s="133"/>
      <c r="OGB11" s="133"/>
      <c r="OGC11" s="133"/>
      <c r="OGD11" s="133"/>
      <c r="OGE11" s="133"/>
      <c r="OGF11" s="133"/>
      <c r="OGG11" s="133"/>
      <c r="OGH11" s="133"/>
      <c r="OGI11" s="133"/>
      <c r="OGJ11" s="133"/>
      <c r="OGK11" s="133"/>
      <c r="OGL11" s="133"/>
      <c r="OGM11" s="133"/>
      <c r="OGN11" s="133"/>
      <c r="OGO11" s="133"/>
      <c r="OGP11" s="133"/>
      <c r="OGQ11" s="133"/>
      <c r="OGR11" s="133"/>
      <c r="OGS11" s="133"/>
      <c r="OGT11" s="133"/>
      <c r="OGU11" s="133"/>
      <c r="OGV11" s="133"/>
      <c r="OGW11" s="133"/>
      <c r="OGX11" s="133"/>
      <c r="OGY11" s="133"/>
      <c r="OGZ11" s="133"/>
      <c r="OHA11" s="133"/>
      <c r="OHB11" s="133"/>
      <c r="OHC11" s="133"/>
      <c r="OHD11" s="133"/>
      <c r="OHE11" s="133"/>
      <c r="OHF11" s="133"/>
      <c r="OHG11" s="133"/>
      <c r="OHH11" s="133"/>
      <c r="OHI11" s="133"/>
      <c r="OHJ11" s="133"/>
      <c r="OHK11" s="133"/>
      <c r="OHL11" s="133"/>
      <c r="OHM11" s="133"/>
      <c r="OHN11" s="133"/>
      <c r="OHO11" s="133"/>
      <c r="OHP11" s="133"/>
      <c r="OHQ11" s="133"/>
      <c r="OHR11" s="133"/>
      <c r="OHS11" s="133"/>
      <c r="OHT11" s="133"/>
      <c r="OHU11" s="133"/>
      <c r="OHV11" s="133"/>
      <c r="OHW11" s="133"/>
      <c r="OHX11" s="133"/>
      <c r="OHY11" s="133"/>
      <c r="OHZ11" s="133"/>
      <c r="OIA11" s="133"/>
      <c r="OIB11" s="133"/>
      <c r="OIC11" s="133"/>
      <c r="OID11" s="133"/>
      <c r="OIE11" s="133"/>
      <c r="OIF11" s="133"/>
      <c r="OIG11" s="133"/>
      <c r="OIH11" s="133"/>
      <c r="OII11" s="133"/>
      <c r="OIJ11" s="133"/>
      <c r="OIK11" s="133"/>
      <c r="OIL11" s="133"/>
      <c r="OIM11" s="133"/>
      <c r="OIN11" s="133"/>
      <c r="OIO11" s="133"/>
      <c r="OIP11" s="133"/>
      <c r="OIQ11" s="133"/>
      <c r="OIR11" s="133"/>
      <c r="OIS11" s="133"/>
      <c r="OIT11" s="133"/>
      <c r="OIU11" s="133"/>
      <c r="OIV11" s="133"/>
      <c r="OIW11" s="133"/>
      <c r="OIX11" s="133"/>
      <c r="OIY11" s="133"/>
      <c r="OIZ11" s="133"/>
      <c r="OJA11" s="133"/>
      <c r="OJB11" s="133"/>
      <c r="OJC11" s="133"/>
      <c r="OJD11" s="133"/>
      <c r="OJE11" s="133"/>
      <c r="OJF11" s="133"/>
      <c r="OJG11" s="133"/>
      <c r="OJH11" s="133"/>
      <c r="OJI11" s="133"/>
      <c r="OJJ11" s="133"/>
      <c r="OJK11" s="133"/>
      <c r="OJL11" s="133"/>
      <c r="OJM11" s="133"/>
      <c r="OJN11" s="133"/>
      <c r="OJO11" s="133"/>
      <c r="OJP11" s="133"/>
      <c r="OJQ11" s="133"/>
      <c r="OJR11" s="133"/>
      <c r="OJS11" s="133"/>
      <c r="OJT11" s="133"/>
      <c r="OJU11" s="133"/>
      <c r="OJV11" s="133"/>
      <c r="OJW11" s="133"/>
      <c r="OJX11" s="133"/>
      <c r="OJY11" s="133"/>
      <c r="OJZ11" s="133"/>
      <c r="OKA11" s="133"/>
      <c r="OKB11" s="133"/>
      <c r="OKC11" s="133"/>
      <c r="OKD11" s="133"/>
      <c r="OKE11" s="133"/>
      <c r="OKF11" s="133"/>
      <c r="OKG11" s="133"/>
      <c r="OKH11" s="133"/>
      <c r="OKI11" s="133"/>
      <c r="OKJ11" s="133"/>
      <c r="OKK11" s="133"/>
      <c r="OKL11" s="133"/>
      <c r="OKM11" s="133"/>
      <c r="OKN11" s="133"/>
      <c r="OKO11" s="133"/>
      <c r="OKP11" s="133"/>
      <c r="OKQ11" s="133"/>
      <c r="OKR11" s="133"/>
      <c r="OKS11" s="133"/>
      <c r="OKT11" s="133"/>
      <c r="OKU11" s="133"/>
      <c r="OKV11" s="133"/>
      <c r="OKW11" s="133"/>
      <c r="OKX11" s="133"/>
      <c r="OKY11" s="133"/>
      <c r="OKZ11" s="133"/>
      <c r="OLA11" s="133"/>
      <c r="OLB11" s="133"/>
      <c r="OLC11" s="133"/>
      <c r="OLD11" s="133"/>
      <c r="OLE11" s="133"/>
      <c r="OLF11" s="133"/>
      <c r="OLG11" s="133"/>
      <c r="OLH11" s="133"/>
      <c r="OLI11" s="133"/>
      <c r="OLJ11" s="133"/>
      <c r="OLK11" s="133"/>
      <c r="OLL11" s="133"/>
      <c r="OLM11" s="133"/>
      <c r="OLN11" s="133"/>
      <c r="OLO11" s="133"/>
      <c r="OLP11" s="133"/>
      <c r="OLQ11" s="133"/>
      <c r="OLR11" s="133"/>
      <c r="OLS11" s="133"/>
      <c r="OLT11" s="133"/>
      <c r="OLU11" s="133"/>
      <c r="OLV11" s="133"/>
      <c r="OLW11" s="133"/>
      <c r="OLX11" s="133"/>
      <c r="OLY11" s="133"/>
      <c r="OLZ11" s="133"/>
      <c r="OMA11" s="133"/>
      <c r="OMB11" s="133"/>
      <c r="OMC11" s="133"/>
      <c r="OMD11" s="133"/>
      <c r="OME11" s="133"/>
      <c r="OMF11" s="133"/>
      <c r="OMG11" s="133"/>
      <c r="OMH11" s="133"/>
      <c r="OMI11" s="133"/>
      <c r="OMJ11" s="133"/>
      <c r="OMK11" s="133"/>
      <c r="OML11" s="133"/>
      <c r="OMM11" s="133"/>
      <c r="OMN11" s="133"/>
      <c r="OMO11" s="133"/>
      <c r="OMP11" s="133"/>
      <c r="OMQ11" s="133"/>
      <c r="OMR11" s="133"/>
      <c r="OMS11" s="133"/>
      <c r="OMT11" s="133"/>
      <c r="OMU11" s="133"/>
      <c r="OMV11" s="133"/>
      <c r="OMW11" s="133"/>
      <c r="OMX11" s="133"/>
      <c r="OMY11" s="133"/>
      <c r="OMZ11" s="133"/>
      <c r="ONA11" s="133"/>
      <c r="ONB11" s="133"/>
      <c r="ONC11" s="133"/>
      <c r="OND11" s="133"/>
      <c r="ONE11" s="133"/>
      <c r="ONF11" s="133"/>
      <c r="ONG11" s="133"/>
      <c r="ONH11" s="133"/>
      <c r="ONI11" s="133"/>
      <c r="ONJ11" s="133"/>
      <c r="ONK11" s="133"/>
      <c r="ONL11" s="133"/>
      <c r="ONM11" s="133"/>
      <c r="ONN11" s="133"/>
      <c r="ONO11" s="133"/>
      <c r="ONP11" s="133"/>
      <c r="ONQ11" s="133"/>
      <c r="ONR11" s="133"/>
      <c r="ONS11" s="133"/>
      <c r="ONT11" s="133"/>
      <c r="ONU11" s="133"/>
      <c r="ONV11" s="133"/>
      <c r="ONW11" s="133"/>
      <c r="ONX11" s="133"/>
      <c r="ONY11" s="133"/>
      <c r="ONZ11" s="133"/>
      <c r="OOA11" s="133"/>
      <c r="OOB11" s="133"/>
      <c r="OOC11" s="133"/>
      <c r="OOD11" s="133"/>
      <c r="OOE11" s="133"/>
      <c r="OOF11" s="133"/>
      <c r="OOG11" s="133"/>
      <c r="OOH11" s="133"/>
      <c r="OOI11" s="133"/>
      <c r="OOJ11" s="133"/>
      <c r="OOK11" s="133"/>
      <c r="OOL11" s="133"/>
      <c r="OOM11" s="133"/>
      <c r="OON11" s="133"/>
      <c r="OOO11" s="133"/>
      <c r="OOP11" s="133"/>
      <c r="OOQ11" s="133"/>
      <c r="OOR11" s="133"/>
      <c r="OOS11" s="133"/>
      <c r="OOT11" s="133"/>
      <c r="OOU11" s="133"/>
      <c r="OOV11" s="133"/>
      <c r="OOW11" s="133"/>
      <c r="OOX11" s="133"/>
      <c r="OOY11" s="133"/>
      <c r="OOZ11" s="133"/>
      <c r="OPA11" s="133"/>
      <c r="OPB11" s="133"/>
      <c r="OPC11" s="133"/>
      <c r="OPD11" s="133"/>
      <c r="OPE11" s="133"/>
      <c r="OPF11" s="133"/>
      <c r="OPG11" s="133"/>
      <c r="OPH11" s="133"/>
      <c r="OPI11" s="133"/>
      <c r="OPJ11" s="133"/>
      <c r="OPK11" s="133"/>
      <c r="OPL11" s="133"/>
      <c r="OPM11" s="133"/>
      <c r="OPN11" s="133"/>
      <c r="OPO11" s="133"/>
      <c r="OPP11" s="133"/>
      <c r="OPQ11" s="133"/>
      <c r="OPR11" s="133"/>
      <c r="OPS11" s="133"/>
      <c r="OPT11" s="133"/>
      <c r="OPU11" s="133"/>
      <c r="OPV11" s="133"/>
      <c r="OPW11" s="133"/>
      <c r="OPX11" s="133"/>
      <c r="OPY11" s="133"/>
      <c r="OPZ11" s="133"/>
      <c r="OQA11" s="133"/>
      <c r="OQB11" s="133"/>
      <c r="OQC11" s="133"/>
      <c r="OQD11" s="133"/>
      <c r="OQE11" s="133"/>
      <c r="OQF11" s="133"/>
      <c r="OQG11" s="133"/>
      <c r="OQH11" s="133"/>
      <c r="OQI11" s="133"/>
      <c r="OQJ11" s="133"/>
      <c r="OQK11" s="133"/>
      <c r="OQL11" s="133"/>
      <c r="OQM11" s="133"/>
      <c r="OQN11" s="133"/>
      <c r="OQO11" s="133"/>
      <c r="OQP11" s="133"/>
      <c r="OQQ11" s="133"/>
      <c r="OQR11" s="133"/>
      <c r="OQS11" s="133"/>
      <c r="OQT11" s="133"/>
      <c r="OQU11" s="133"/>
      <c r="OQV11" s="133"/>
      <c r="OQW11" s="133"/>
      <c r="OQX11" s="133"/>
      <c r="OQY11" s="133"/>
      <c r="OQZ11" s="133"/>
      <c r="ORA11" s="133"/>
      <c r="ORB11" s="133"/>
      <c r="ORC11" s="133"/>
      <c r="ORD11" s="133"/>
      <c r="ORE11" s="133"/>
      <c r="ORF11" s="133"/>
      <c r="ORG11" s="133"/>
      <c r="ORH11" s="133"/>
      <c r="ORI11" s="133"/>
      <c r="ORJ11" s="133"/>
      <c r="ORK11" s="133"/>
      <c r="ORL11" s="133"/>
      <c r="ORM11" s="133"/>
      <c r="ORN11" s="133"/>
      <c r="ORO11" s="133"/>
      <c r="ORP11" s="133"/>
      <c r="ORQ11" s="133"/>
      <c r="ORR11" s="133"/>
      <c r="ORS11" s="133"/>
      <c r="ORT11" s="133"/>
      <c r="ORU11" s="133"/>
      <c r="ORV11" s="133"/>
      <c r="ORW11" s="133"/>
      <c r="ORX11" s="133"/>
      <c r="ORY11" s="133"/>
      <c r="ORZ11" s="133"/>
      <c r="OSA11" s="133"/>
      <c r="OSB11" s="133"/>
      <c r="OSC11" s="133"/>
      <c r="OSD11" s="133"/>
      <c r="OSE11" s="133"/>
      <c r="OSF11" s="133"/>
      <c r="OSG11" s="133"/>
      <c r="OSH11" s="133"/>
      <c r="OSI11" s="133"/>
      <c r="OSJ11" s="133"/>
      <c r="OSK11" s="133"/>
      <c r="OSL11" s="133"/>
      <c r="OSM11" s="133"/>
      <c r="OSN11" s="133"/>
      <c r="OSO11" s="133"/>
      <c r="OSP11" s="133"/>
      <c r="OSQ11" s="133"/>
      <c r="OSR11" s="133"/>
      <c r="OSS11" s="133"/>
      <c r="OST11" s="133"/>
      <c r="OSU11" s="133"/>
      <c r="OSV11" s="133"/>
      <c r="OSW11" s="133"/>
      <c r="OSX11" s="133"/>
      <c r="OSY11" s="133"/>
      <c r="OSZ11" s="133"/>
      <c r="OTA11" s="133"/>
      <c r="OTB11" s="133"/>
      <c r="OTC11" s="133"/>
      <c r="OTD11" s="133"/>
      <c r="OTE11" s="133"/>
      <c r="OTF11" s="133"/>
      <c r="OTG11" s="133"/>
      <c r="OTH11" s="133"/>
      <c r="OTI11" s="133"/>
      <c r="OTJ11" s="133"/>
      <c r="OTK11" s="133"/>
      <c r="OTL11" s="133"/>
      <c r="OTM11" s="133"/>
      <c r="OTN11" s="133"/>
      <c r="OTO11" s="133"/>
      <c r="OTP11" s="133"/>
      <c r="OTQ11" s="133"/>
      <c r="OTR11" s="133"/>
      <c r="OTS11" s="133"/>
      <c r="OTT11" s="133"/>
      <c r="OTU11" s="133"/>
      <c r="OTV11" s="133"/>
      <c r="OTW11" s="133"/>
      <c r="OTX11" s="133"/>
      <c r="OTY11" s="133"/>
      <c r="OTZ11" s="133"/>
      <c r="OUA11" s="133"/>
      <c r="OUB11" s="133"/>
      <c r="OUC11" s="133"/>
      <c r="OUD11" s="133"/>
      <c r="OUE11" s="133"/>
      <c r="OUF11" s="133"/>
      <c r="OUG11" s="133"/>
      <c r="OUH11" s="133"/>
      <c r="OUI11" s="133"/>
      <c r="OUJ11" s="133"/>
      <c r="OUK11" s="133"/>
      <c r="OUL11" s="133"/>
      <c r="OUM11" s="133"/>
      <c r="OUN11" s="133"/>
      <c r="OUO11" s="133"/>
      <c r="OUP11" s="133"/>
      <c r="OUQ11" s="133"/>
      <c r="OUR11" s="133"/>
      <c r="OUS11" s="133"/>
      <c r="OUT11" s="133"/>
      <c r="OUU11" s="133"/>
      <c r="OUV11" s="133"/>
      <c r="OUW11" s="133"/>
      <c r="OUX11" s="133"/>
      <c r="OUY11" s="133"/>
      <c r="OUZ11" s="133"/>
      <c r="OVA11" s="133"/>
      <c r="OVB11" s="133"/>
      <c r="OVC11" s="133"/>
      <c r="OVD11" s="133"/>
      <c r="OVE11" s="133"/>
      <c r="OVF11" s="133"/>
      <c r="OVG11" s="133"/>
      <c r="OVH11" s="133"/>
      <c r="OVI11" s="133"/>
      <c r="OVJ11" s="133"/>
      <c r="OVK11" s="133"/>
      <c r="OVL11" s="133"/>
      <c r="OVM11" s="133"/>
      <c r="OVN11" s="133"/>
      <c r="OVO11" s="133"/>
      <c r="OVP11" s="133"/>
      <c r="OVQ11" s="133"/>
      <c r="OVR11" s="133"/>
      <c r="OVS11" s="133"/>
      <c r="OVT11" s="133"/>
      <c r="OVU11" s="133"/>
      <c r="OVV11" s="133"/>
      <c r="OVW11" s="133"/>
      <c r="OVX11" s="133"/>
      <c r="OVY11" s="133"/>
      <c r="OVZ11" s="133"/>
      <c r="OWA11" s="133"/>
      <c r="OWB11" s="133"/>
      <c r="OWC11" s="133"/>
      <c r="OWD11" s="133"/>
      <c r="OWE11" s="133"/>
      <c r="OWF11" s="133"/>
      <c r="OWG11" s="133"/>
      <c r="OWH11" s="133"/>
      <c r="OWI11" s="133"/>
      <c r="OWJ11" s="133"/>
      <c r="OWK11" s="133"/>
      <c r="OWL11" s="133"/>
      <c r="OWM11" s="133"/>
      <c r="OWN11" s="133"/>
      <c r="OWO11" s="133"/>
      <c r="OWP11" s="133"/>
      <c r="OWQ11" s="133"/>
      <c r="OWR11" s="133"/>
      <c r="OWS11" s="133"/>
      <c r="OWT11" s="133"/>
      <c r="OWU11" s="133"/>
      <c r="OWV11" s="133"/>
      <c r="OWW11" s="133"/>
      <c r="OWX11" s="133"/>
      <c r="OWY11" s="133"/>
      <c r="OWZ11" s="133"/>
      <c r="OXA11" s="133"/>
      <c r="OXB11" s="133"/>
      <c r="OXC11" s="133"/>
      <c r="OXD11" s="133"/>
      <c r="OXE11" s="133"/>
      <c r="OXF11" s="133"/>
      <c r="OXG11" s="133"/>
      <c r="OXH11" s="133"/>
      <c r="OXI11" s="133"/>
      <c r="OXJ11" s="133"/>
      <c r="OXK11" s="133"/>
      <c r="OXL11" s="133"/>
      <c r="OXM11" s="133"/>
      <c r="OXN11" s="133"/>
      <c r="OXO11" s="133"/>
      <c r="OXP11" s="133"/>
      <c r="OXQ11" s="133"/>
      <c r="OXR11" s="133"/>
      <c r="OXS11" s="133"/>
      <c r="OXT11" s="133"/>
      <c r="OXU11" s="133"/>
      <c r="OXV11" s="133"/>
      <c r="OXW11" s="133"/>
      <c r="OXX11" s="133"/>
      <c r="OXY11" s="133"/>
      <c r="OXZ11" s="133"/>
      <c r="OYA11" s="133"/>
      <c r="OYB11" s="133"/>
      <c r="OYC11" s="133"/>
      <c r="OYD11" s="133"/>
      <c r="OYE11" s="133"/>
      <c r="OYF11" s="133"/>
      <c r="OYG11" s="133"/>
      <c r="OYH11" s="133"/>
      <c r="OYI11" s="133"/>
      <c r="OYJ11" s="133"/>
      <c r="OYK11" s="133"/>
      <c r="OYL11" s="133"/>
      <c r="OYM11" s="133"/>
      <c r="OYN11" s="133"/>
      <c r="OYO11" s="133"/>
      <c r="OYP11" s="133"/>
      <c r="OYQ11" s="133"/>
      <c r="OYR11" s="133"/>
      <c r="OYS11" s="133"/>
      <c r="OYT11" s="133"/>
      <c r="OYU11" s="133"/>
      <c r="OYV11" s="133"/>
      <c r="OYW11" s="133"/>
      <c r="OYX11" s="133"/>
      <c r="OYY11" s="133"/>
      <c r="OYZ11" s="133"/>
      <c r="OZA11" s="133"/>
      <c r="OZB11" s="133"/>
      <c r="OZC11" s="133"/>
      <c r="OZD11" s="133"/>
      <c r="OZE11" s="133"/>
      <c r="OZF11" s="133"/>
      <c r="OZG11" s="133"/>
      <c r="OZH11" s="133"/>
      <c r="OZI11" s="133"/>
      <c r="OZJ11" s="133"/>
      <c r="OZK11" s="133"/>
      <c r="OZL11" s="133"/>
      <c r="OZM11" s="133"/>
      <c r="OZN11" s="133"/>
      <c r="OZO11" s="133"/>
      <c r="OZP11" s="133"/>
      <c r="OZQ11" s="133"/>
      <c r="OZR11" s="133"/>
      <c r="OZS11" s="133"/>
      <c r="OZT11" s="133"/>
      <c r="OZU11" s="133"/>
      <c r="OZV11" s="133"/>
      <c r="OZW11" s="133"/>
      <c r="OZX11" s="133"/>
      <c r="OZY11" s="133"/>
      <c r="OZZ11" s="133"/>
      <c r="PAA11" s="133"/>
      <c r="PAB11" s="133"/>
      <c r="PAC11" s="133"/>
      <c r="PAD11" s="133"/>
      <c r="PAE11" s="133"/>
      <c r="PAF11" s="133"/>
      <c r="PAG11" s="133"/>
      <c r="PAH11" s="133"/>
      <c r="PAI11" s="133"/>
      <c r="PAJ11" s="133"/>
      <c r="PAK11" s="133"/>
      <c r="PAL11" s="133"/>
      <c r="PAM11" s="133"/>
      <c r="PAN11" s="133"/>
      <c r="PAO11" s="133"/>
      <c r="PAP11" s="133"/>
      <c r="PAQ11" s="133"/>
      <c r="PAR11" s="133"/>
      <c r="PAS11" s="133"/>
      <c r="PAT11" s="133"/>
      <c r="PAU11" s="133"/>
      <c r="PAV11" s="133"/>
      <c r="PAW11" s="133"/>
      <c r="PAX11" s="133"/>
      <c r="PAY11" s="133"/>
      <c r="PAZ11" s="133"/>
      <c r="PBA11" s="133"/>
      <c r="PBB11" s="133"/>
      <c r="PBC11" s="133"/>
      <c r="PBD11" s="133"/>
      <c r="PBE11" s="133"/>
      <c r="PBF11" s="133"/>
      <c r="PBG11" s="133"/>
      <c r="PBH11" s="133"/>
      <c r="PBI11" s="133"/>
      <c r="PBJ11" s="133"/>
      <c r="PBK11" s="133"/>
      <c r="PBL11" s="133"/>
      <c r="PBM11" s="133"/>
      <c r="PBN11" s="133"/>
      <c r="PBO11" s="133"/>
      <c r="PBP11" s="133"/>
      <c r="PBQ11" s="133"/>
      <c r="PBR11" s="133"/>
      <c r="PBS11" s="133"/>
      <c r="PBT11" s="133"/>
      <c r="PBU11" s="133"/>
      <c r="PBV11" s="133"/>
      <c r="PBW11" s="133"/>
      <c r="PBX11" s="133"/>
      <c r="PBY11" s="133"/>
      <c r="PBZ11" s="133"/>
      <c r="PCA11" s="133"/>
      <c r="PCB11" s="133"/>
      <c r="PCC11" s="133"/>
      <c r="PCD11" s="133"/>
      <c r="PCE11" s="133"/>
      <c r="PCF11" s="133"/>
      <c r="PCG11" s="133"/>
      <c r="PCH11" s="133"/>
      <c r="PCI11" s="133"/>
      <c r="PCJ11" s="133"/>
      <c r="PCK11" s="133"/>
      <c r="PCL11" s="133"/>
      <c r="PCM11" s="133"/>
      <c r="PCN11" s="133"/>
      <c r="PCO11" s="133"/>
      <c r="PCP11" s="133"/>
      <c r="PCQ11" s="133"/>
      <c r="PCR11" s="133"/>
      <c r="PCS11" s="133"/>
      <c r="PCT11" s="133"/>
      <c r="PCU11" s="133"/>
      <c r="PCV11" s="133"/>
      <c r="PCW11" s="133"/>
      <c r="PCX11" s="133"/>
      <c r="PCY11" s="133"/>
      <c r="PCZ11" s="133"/>
      <c r="PDA11" s="133"/>
      <c r="PDB11" s="133"/>
      <c r="PDC11" s="133"/>
      <c r="PDD11" s="133"/>
      <c r="PDE11" s="133"/>
      <c r="PDF11" s="133"/>
      <c r="PDG11" s="133"/>
      <c r="PDH11" s="133"/>
      <c r="PDI11" s="133"/>
      <c r="PDJ11" s="133"/>
      <c r="PDK11" s="133"/>
      <c r="PDL11" s="133"/>
      <c r="PDM11" s="133"/>
      <c r="PDN11" s="133"/>
      <c r="PDO11" s="133"/>
      <c r="PDP11" s="133"/>
      <c r="PDQ11" s="133"/>
      <c r="PDR11" s="133"/>
      <c r="PDS11" s="133"/>
      <c r="PDT11" s="133"/>
      <c r="PDU11" s="133"/>
      <c r="PDV11" s="133"/>
      <c r="PDW11" s="133"/>
      <c r="PDX11" s="133"/>
      <c r="PDY11" s="133"/>
      <c r="PDZ11" s="133"/>
      <c r="PEA11" s="133"/>
      <c r="PEB11" s="133"/>
      <c r="PEC11" s="133"/>
      <c r="PED11" s="133"/>
      <c r="PEE11" s="133"/>
      <c r="PEF11" s="133"/>
      <c r="PEG11" s="133"/>
      <c r="PEH11" s="133"/>
      <c r="PEI11" s="133"/>
      <c r="PEJ11" s="133"/>
      <c r="PEK11" s="133"/>
      <c r="PEL11" s="133"/>
      <c r="PEM11" s="133"/>
      <c r="PEN11" s="133"/>
      <c r="PEO11" s="133"/>
      <c r="PEP11" s="133"/>
      <c r="PEQ11" s="133"/>
      <c r="PER11" s="133"/>
      <c r="PES11" s="133"/>
      <c r="PET11" s="133"/>
      <c r="PEU11" s="133"/>
      <c r="PEV11" s="133"/>
      <c r="PEW11" s="133"/>
      <c r="PEX11" s="133"/>
      <c r="PEY11" s="133"/>
      <c r="PEZ11" s="133"/>
      <c r="PFA11" s="133"/>
      <c r="PFB11" s="133"/>
      <c r="PFC11" s="133"/>
      <c r="PFD11" s="133"/>
      <c r="PFE11" s="133"/>
      <c r="PFF11" s="133"/>
      <c r="PFG11" s="133"/>
      <c r="PFH11" s="133"/>
      <c r="PFI11" s="133"/>
      <c r="PFJ11" s="133"/>
      <c r="PFK11" s="133"/>
      <c r="PFL11" s="133"/>
      <c r="PFM11" s="133"/>
      <c r="PFN11" s="133"/>
      <c r="PFO11" s="133"/>
      <c r="PFP11" s="133"/>
      <c r="PFQ11" s="133"/>
      <c r="PFR11" s="133"/>
      <c r="PFS11" s="133"/>
      <c r="PFT11" s="133"/>
      <c r="PFU11" s="133"/>
      <c r="PFV11" s="133"/>
      <c r="PFW11" s="133"/>
      <c r="PFX11" s="133"/>
      <c r="PFY11" s="133"/>
      <c r="PFZ11" s="133"/>
      <c r="PGA11" s="133"/>
      <c r="PGB11" s="133"/>
      <c r="PGC11" s="133"/>
      <c r="PGD11" s="133"/>
      <c r="PGE11" s="133"/>
      <c r="PGF11" s="133"/>
      <c r="PGG11" s="133"/>
      <c r="PGH11" s="133"/>
      <c r="PGI11" s="133"/>
      <c r="PGJ11" s="133"/>
      <c r="PGK11" s="133"/>
      <c r="PGL11" s="133"/>
      <c r="PGM11" s="133"/>
      <c r="PGN11" s="133"/>
      <c r="PGO11" s="133"/>
      <c r="PGP11" s="133"/>
      <c r="PGQ11" s="133"/>
      <c r="PGR11" s="133"/>
      <c r="PGS11" s="133"/>
      <c r="PGT11" s="133"/>
      <c r="PGU11" s="133"/>
      <c r="PGV11" s="133"/>
      <c r="PGW11" s="133"/>
      <c r="PGX11" s="133"/>
      <c r="PGY11" s="133"/>
      <c r="PGZ11" s="133"/>
      <c r="PHA11" s="133"/>
      <c r="PHB11" s="133"/>
      <c r="PHC11" s="133"/>
      <c r="PHD11" s="133"/>
      <c r="PHE11" s="133"/>
      <c r="PHF11" s="133"/>
      <c r="PHG11" s="133"/>
      <c r="PHH11" s="133"/>
      <c r="PHI11" s="133"/>
      <c r="PHJ11" s="133"/>
      <c r="PHK11" s="133"/>
      <c r="PHL11" s="133"/>
      <c r="PHM11" s="133"/>
      <c r="PHN11" s="133"/>
      <c r="PHO11" s="133"/>
      <c r="PHP11" s="133"/>
      <c r="PHQ11" s="133"/>
      <c r="PHR11" s="133"/>
      <c r="PHS11" s="133"/>
      <c r="PHT11" s="133"/>
      <c r="PHU11" s="133"/>
      <c r="PHV11" s="133"/>
      <c r="PHW11" s="133"/>
      <c r="PHX11" s="133"/>
      <c r="PHY11" s="133"/>
      <c r="PHZ11" s="133"/>
      <c r="PIA11" s="133"/>
      <c r="PIB11" s="133"/>
      <c r="PIC11" s="133"/>
      <c r="PID11" s="133"/>
      <c r="PIE11" s="133"/>
      <c r="PIF11" s="133"/>
      <c r="PIG11" s="133"/>
      <c r="PIH11" s="133"/>
      <c r="PII11" s="133"/>
      <c r="PIJ11" s="133"/>
      <c r="PIK11" s="133"/>
      <c r="PIL11" s="133"/>
      <c r="PIM11" s="133"/>
      <c r="PIN11" s="133"/>
      <c r="PIO11" s="133"/>
      <c r="PIP11" s="133"/>
      <c r="PIQ11" s="133"/>
      <c r="PIR11" s="133"/>
      <c r="PIS11" s="133"/>
      <c r="PIT11" s="133"/>
      <c r="PIU11" s="133"/>
      <c r="PIV11" s="133"/>
      <c r="PIW11" s="133"/>
      <c r="PIX11" s="133"/>
      <c r="PIY11" s="133"/>
      <c r="PIZ11" s="133"/>
      <c r="PJA11" s="133"/>
      <c r="PJB11" s="133"/>
      <c r="PJC11" s="133"/>
      <c r="PJD11" s="133"/>
      <c r="PJE11" s="133"/>
      <c r="PJF11" s="133"/>
      <c r="PJG11" s="133"/>
      <c r="PJH11" s="133"/>
      <c r="PJI11" s="133"/>
      <c r="PJJ11" s="133"/>
      <c r="PJK11" s="133"/>
      <c r="PJL11" s="133"/>
      <c r="PJM11" s="133"/>
      <c r="PJN11" s="133"/>
      <c r="PJO11" s="133"/>
      <c r="PJP11" s="133"/>
      <c r="PJQ11" s="133"/>
      <c r="PJR11" s="133"/>
      <c r="PJS11" s="133"/>
      <c r="PJT11" s="133"/>
      <c r="PJU11" s="133"/>
      <c r="PJV11" s="133"/>
      <c r="PJW11" s="133"/>
      <c r="PJX11" s="133"/>
      <c r="PJY11" s="133"/>
      <c r="PJZ11" s="133"/>
      <c r="PKA11" s="133"/>
      <c r="PKB11" s="133"/>
      <c r="PKC11" s="133"/>
      <c r="PKD11" s="133"/>
      <c r="PKE11" s="133"/>
      <c r="PKF11" s="133"/>
      <c r="PKG11" s="133"/>
      <c r="PKH11" s="133"/>
      <c r="PKI11" s="133"/>
      <c r="PKJ11" s="133"/>
      <c r="PKK11" s="133"/>
      <c r="PKL11" s="133"/>
      <c r="PKM11" s="133"/>
      <c r="PKN11" s="133"/>
      <c r="PKO11" s="133"/>
      <c r="PKP11" s="133"/>
      <c r="PKQ11" s="133"/>
      <c r="PKR11" s="133"/>
      <c r="PKS11" s="133"/>
      <c r="PKT11" s="133"/>
      <c r="PKU11" s="133"/>
      <c r="PKV11" s="133"/>
      <c r="PKW11" s="133"/>
      <c r="PKX11" s="133"/>
      <c r="PKY11" s="133"/>
      <c r="PKZ11" s="133"/>
      <c r="PLA11" s="133"/>
      <c r="PLB11" s="133"/>
      <c r="PLC11" s="133"/>
      <c r="PLD11" s="133"/>
      <c r="PLE11" s="133"/>
      <c r="PLF11" s="133"/>
      <c r="PLG11" s="133"/>
      <c r="PLH11" s="133"/>
      <c r="PLI11" s="133"/>
      <c r="PLJ11" s="133"/>
      <c r="PLK11" s="133"/>
      <c r="PLL11" s="133"/>
      <c r="PLM11" s="133"/>
      <c r="PLN11" s="133"/>
      <c r="PLO11" s="133"/>
      <c r="PLP11" s="133"/>
      <c r="PLQ11" s="133"/>
      <c r="PLR11" s="133"/>
      <c r="PLS11" s="133"/>
      <c r="PLT11" s="133"/>
      <c r="PLU11" s="133"/>
      <c r="PLV11" s="133"/>
      <c r="PLW11" s="133"/>
      <c r="PLX11" s="133"/>
      <c r="PLY11" s="133"/>
      <c r="PLZ11" s="133"/>
      <c r="PMA11" s="133"/>
      <c r="PMB11" s="133"/>
      <c r="PMC11" s="133"/>
      <c r="PMD11" s="133"/>
      <c r="PME11" s="133"/>
      <c r="PMF11" s="133"/>
      <c r="PMG11" s="133"/>
      <c r="PMH11" s="133"/>
      <c r="PMI11" s="133"/>
      <c r="PMJ11" s="133"/>
      <c r="PMK11" s="133"/>
      <c r="PML11" s="133"/>
      <c r="PMM11" s="133"/>
      <c r="PMN11" s="133"/>
      <c r="PMO11" s="133"/>
      <c r="PMP11" s="133"/>
      <c r="PMQ11" s="133"/>
      <c r="PMR11" s="133"/>
      <c r="PMS11" s="133"/>
      <c r="PMT11" s="133"/>
      <c r="PMU11" s="133"/>
      <c r="PMV11" s="133"/>
      <c r="PMW11" s="133"/>
      <c r="PMX11" s="133"/>
      <c r="PMY11" s="133"/>
      <c r="PMZ11" s="133"/>
      <c r="PNA11" s="133"/>
      <c r="PNB11" s="133"/>
      <c r="PNC11" s="133"/>
      <c r="PND11" s="133"/>
      <c r="PNE11" s="133"/>
      <c r="PNF11" s="133"/>
      <c r="PNG11" s="133"/>
      <c r="PNH11" s="133"/>
      <c r="PNI11" s="133"/>
      <c r="PNJ11" s="133"/>
      <c r="PNK11" s="133"/>
      <c r="PNL11" s="133"/>
      <c r="PNM11" s="133"/>
      <c r="PNN11" s="133"/>
      <c r="PNO11" s="133"/>
      <c r="PNP11" s="133"/>
      <c r="PNQ11" s="133"/>
      <c r="PNR11" s="133"/>
      <c r="PNS11" s="133"/>
      <c r="PNT11" s="133"/>
      <c r="PNU11" s="133"/>
      <c r="PNV11" s="133"/>
      <c r="PNW11" s="133"/>
      <c r="PNX11" s="133"/>
      <c r="PNY11" s="133"/>
      <c r="PNZ11" s="133"/>
      <c r="POA11" s="133"/>
      <c r="POB11" s="133"/>
      <c r="POC11" s="133"/>
      <c r="POD11" s="133"/>
      <c r="POE11" s="133"/>
      <c r="POF11" s="133"/>
      <c r="POG11" s="133"/>
      <c r="POH11" s="133"/>
      <c r="POI11" s="133"/>
      <c r="POJ11" s="133"/>
      <c r="POK11" s="133"/>
      <c r="POL11" s="133"/>
      <c r="POM11" s="133"/>
      <c r="PON11" s="133"/>
      <c r="POO11" s="133"/>
      <c r="POP11" s="133"/>
      <c r="POQ11" s="133"/>
      <c r="POR11" s="133"/>
      <c r="POS11" s="133"/>
      <c r="POT11" s="133"/>
      <c r="POU11" s="133"/>
      <c r="POV11" s="133"/>
      <c r="POW11" s="133"/>
      <c r="POX11" s="133"/>
      <c r="POY11" s="133"/>
      <c r="POZ11" s="133"/>
      <c r="PPA11" s="133"/>
      <c r="PPB11" s="133"/>
      <c r="PPC11" s="133"/>
      <c r="PPD11" s="133"/>
      <c r="PPE11" s="133"/>
      <c r="PPF11" s="133"/>
      <c r="PPG11" s="133"/>
      <c r="PPH11" s="133"/>
      <c r="PPI11" s="133"/>
      <c r="PPJ11" s="133"/>
      <c r="PPK11" s="133"/>
      <c r="PPL11" s="133"/>
      <c r="PPM11" s="133"/>
      <c r="PPN11" s="133"/>
      <c r="PPO11" s="133"/>
      <c r="PPP11" s="133"/>
      <c r="PPQ11" s="133"/>
      <c r="PPR11" s="133"/>
      <c r="PPS11" s="133"/>
      <c r="PPT11" s="133"/>
      <c r="PPU11" s="133"/>
      <c r="PPV11" s="133"/>
      <c r="PPW11" s="133"/>
      <c r="PPX11" s="133"/>
      <c r="PPY11" s="133"/>
      <c r="PPZ11" s="133"/>
      <c r="PQA11" s="133"/>
      <c r="PQB11" s="133"/>
      <c r="PQC11" s="133"/>
      <c r="PQD11" s="133"/>
      <c r="PQE11" s="133"/>
      <c r="PQF11" s="133"/>
      <c r="PQG11" s="133"/>
      <c r="PQH11" s="133"/>
      <c r="PQI11" s="133"/>
      <c r="PQJ11" s="133"/>
      <c r="PQK11" s="133"/>
      <c r="PQL11" s="133"/>
      <c r="PQM11" s="133"/>
      <c r="PQN11" s="133"/>
      <c r="PQO11" s="133"/>
      <c r="PQP11" s="133"/>
      <c r="PQQ11" s="133"/>
      <c r="PQR11" s="133"/>
      <c r="PQS11" s="133"/>
      <c r="PQT11" s="133"/>
      <c r="PQU11" s="133"/>
      <c r="PQV11" s="133"/>
      <c r="PQW11" s="133"/>
      <c r="PQX11" s="133"/>
      <c r="PQY11" s="133"/>
      <c r="PQZ11" s="133"/>
      <c r="PRA11" s="133"/>
      <c r="PRB11" s="133"/>
      <c r="PRC11" s="133"/>
      <c r="PRD11" s="133"/>
      <c r="PRE11" s="133"/>
      <c r="PRF11" s="133"/>
      <c r="PRG11" s="133"/>
      <c r="PRH11" s="133"/>
      <c r="PRI11" s="133"/>
      <c r="PRJ11" s="133"/>
      <c r="PRK11" s="133"/>
      <c r="PRL11" s="133"/>
      <c r="PRM11" s="133"/>
      <c r="PRN11" s="133"/>
      <c r="PRO11" s="133"/>
      <c r="PRP11" s="133"/>
      <c r="PRQ11" s="133"/>
      <c r="PRR11" s="133"/>
      <c r="PRS11" s="133"/>
      <c r="PRT11" s="133"/>
      <c r="PRU11" s="133"/>
      <c r="PRV11" s="133"/>
      <c r="PRW11" s="133"/>
      <c r="PRX11" s="133"/>
      <c r="PRY11" s="133"/>
      <c r="PRZ11" s="133"/>
      <c r="PSA11" s="133"/>
      <c r="PSB11" s="133"/>
      <c r="PSC11" s="133"/>
      <c r="PSD11" s="133"/>
      <c r="PSE11" s="133"/>
      <c r="PSF11" s="133"/>
      <c r="PSG11" s="133"/>
      <c r="PSH11" s="133"/>
      <c r="PSI11" s="133"/>
      <c r="PSJ11" s="133"/>
      <c r="PSK11" s="133"/>
      <c r="PSL11" s="133"/>
      <c r="PSM11" s="133"/>
      <c r="PSN11" s="133"/>
      <c r="PSO11" s="133"/>
      <c r="PSP11" s="133"/>
      <c r="PSQ11" s="133"/>
      <c r="PSR11" s="133"/>
      <c r="PSS11" s="133"/>
      <c r="PST11" s="133"/>
      <c r="PSU11" s="133"/>
      <c r="PSV11" s="133"/>
      <c r="PSW11" s="133"/>
      <c r="PSX11" s="133"/>
      <c r="PSY11" s="133"/>
      <c r="PSZ11" s="133"/>
      <c r="PTA11" s="133"/>
      <c r="PTB11" s="133"/>
      <c r="PTC11" s="133"/>
      <c r="PTD11" s="133"/>
      <c r="PTE11" s="133"/>
      <c r="PTF11" s="133"/>
      <c r="PTG11" s="133"/>
      <c r="PTH11" s="133"/>
      <c r="PTI11" s="133"/>
      <c r="PTJ11" s="133"/>
      <c r="PTK11" s="133"/>
      <c r="PTL11" s="133"/>
      <c r="PTM11" s="133"/>
      <c r="PTN11" s="133"/>
      <c r="PTO11" s="133"/>
      <c r="PTP11" s="133"/>
      <c r="PTQ11" s="133"/>
      <c r="PTR11" s="133"/>
      <c r="PTS11" s="133"/>
      <c r="PTT11" s="133"/>
      <c r="PTU11" s="133"/>
      <c r="PTV11" s="133"/>
      <c r="PTW11" s="133"/>
      <c r="PTX11" s="133"/>
      <c r="PTY11" s="133"/>
      <c r="PTZ11" s="133"/>
      <c r="PUA11" s="133"/>
      <c r="PUB11" s="133"/>
      <c r="PUC11" s="133"/>
      <c r="PUD11" s="133"/>
      <c r="PUE11" s="133"/>
      <c r="PUF11" s="133"/>
      <c r="PUG11" s="133"/>
      <c r="PUH11" s="133"/>
      <c r="PUI11" s="133"/>
      <c r="PUJ11" s="133"/>
      <c r="PUK11" s="133"/>
      <c r="PUL11" s="133"/>
      <c r="PUM11" s="133"/>
      <c r="PUN11" s="133"/>
      <c r="PUO11" s="133"/>
      <c r="PUP11" s="133"/>
      <c r="PUQ11" s="133"/>
      <c r="PUR11" s="133"/>
      <c r="PUS11" s="133"/>
      <c r="PUT11" s="133"/>
      <c r="PUU11" s="133"/>
      <c r="PUV11" s="133"/>
      <c r="PUW11" s="133"/>
      <c r="PUX11" s="133"/>
      <c r="PUY11" s="133"/>
      <c r="PUZ11" s="133"/>
      <c r="PVA11" s="133"/>
      <c r="PVB11" s="133"/>
      <c r="PVC11" s="133"/>
      <c r="PVD11" s="133"/>
      <c r="PVE11" s="133"/>
      <c r="PVF11" s="133"/>
      <c r="PVG11" s="133"/>
      <c r="PVH11" s="133"/>
      <c r="PVI11" s="133"/>
      <c r="PVJ11" s="133"/>
      <c r="PVK11" s="133"/>
      <c r="PVL11" s="133"/>
      <c r="PVM11" s="133"/>
      <c r="PVN11" s="133"/>
      <c r="PVO11" s="133"/>
      <c r="PVP11" s="133"/>
      <c r="PVQ11" s="133"/>
      <c r="PVR11" s="133"/>
      <c r="PVS11" s="133"/>
      <c r="PVT11" s="133"/>
      <c r="PVU11" s="133"/>
      <c r="PVV11" s="133"/>
      <c r="PVW11" s="133"/>
      <c r="PVX11" s="133"/>
      <c r="PVY11" s="133"/>
      <c r="PVZ11" s="133"/>
      <c r="PWA11" s="133"/>
      <c r="PWB11" s="133"/>
      <c r="PWC11" s="133"/>
      <c r="PWD11" s="133"/>
      <c r="PWE11" s="133"/>
      <c r="PWF11" s="133"/>
      <c r="PWG11" s="133"/>
      <c r="PWH11" s="133"/>
      <c r="PWI11" s="133"/>
      <c r="PWJ11" s="133"/>
      <c r="PWK11" s="133"/>
      <c r="PWL11" s="133"/>
      <c r="PWM11" s="133"/>
      <c r="PWN11" s="133"/>
      <c r="PWO11" s="133"/>
      <c r="PWP11" s="133"/>
      <c r="PWQ11" s="133"/>
      <c r="PWR11" s="133"/>
      <c r="PWS11" s="133"/>
      <c r="PWT11" s="133"/>
      <c r="PWU11" s="133"/>
      <c r="PWV11" s="133"/>
      <c r="PWW11" s="133"/>
      <c r="PWX11" s="133"/>
      <c r="PWY11" s="133"/>
      <c r="PWZ11" s="133"/>
      <c r="PXA11" s="133"/>
      <c r="PXB11" s="133"/>
      <c r="PXC11" s="133"/>
      <c r="PXD11" s="133"/>
      <c r="PXE11" s="133"/>
      <c r="PXF11" s="133"/>
      <c r="PXG11" s="133"/>
      <c r="PXH11" s="133"/>
      <c r="PXI11" s="133"/>
      <c r="PXJ11" s="133"/>
      <c r="PXK11" s="133"/>
      <c r="PXL11" s="133"/>
      <c r="PXM11" s="133"/>
      <c r="PXN11" s="133"/>
      <c r="PXO11" s="133"/>
      <c r="PXP11" s="133"/>
      <c r="PXQ11" s="133"/>
      <c r="PXR11" s="133"/>
      <c r="PXS11" s="133"/>
      <c r="PXT11" s="133"/>
      <c r="PXU11" s="133"/>
      <c r="PXV11" s="133"/>
      <c r="PXW11" s="133"/>
      <c r="PXX11" s="133"/>
      <c r="PXY11" s="133"/>
      <c r="PXZ11" s="133"/>
      <c r="PYA11" s="133"/>
      <c r="PYB11" s="133"/>
      <c r="PYC11" s="133"/>
      <c r="PYD11" s="133"/>
      <c r="PYE11" s="133"/>
      <c r="PYF11" s="133"/>
      <c r="PYG11" s="133"/>
      <c r="PYH11" s="133"/>
      <c r="PYI11" s="133"/>
      <c r="PYJ11" s="133"/>
      <c r="PYK11" s="133"/>
      <c r="PYL11" s="133"/>
      <c r="PYM11" s="133"/>
      <c r="PYN11" s="133"/>
      <c r="PYO11" s="133"/>
      <c r="PYP11" s="133"/>
      <c r="PYQ11" s="133"/>
      <c r="PYR11" s="133"/>
      <c r="PYS11" s="133"/>
      <c r="PYT11" s="133"/>
      <c r="PYU11" s="133"/>
      <c r="PYV11" s="133"/>
      <c r="PYW11" s="133"/>
      <c r="PYX11" s="133"/>
      <c r="PYY11" s="133"/>
      <c r="PYZ11" s="133"/>
      <c r="PZA11" s="133"/>
      <c r="PZB11" s="133"/>
      <c r="PZC11" s="133"/>
      <c r="PZD11" s="133"/>
      <c r="PZE11" s="133"/>
      <c r="PZF11" s="133"/>
      <c r="PZG11" s="133"/>
      <c r="PZH11" s="133"/>
      <c r="PZI11" s="133"/>
      <c r="PZJ11" s="133"/>
      <c r="PZK11" s="133"/>
      <c r="PZL11" s="133"/>
      <c r="PZM11" s="133"/>
      <c r="PZN11" s="133"/>
      <c r="PZO11" s="133"/>
      <c r="PZP11" s="133"/>
      <c r="PZQ11" s="133"/>
      <c r="PZR11" s="133"/>
      <c r="PZS11" s="133"/>
      <c r="PZT11" s="133"/>
      <c r="PZU11" s="133"/>
      <c r="PZV11" s="133"/>
      <c r="PZW11" s="133"/>
      <c r="PZX11" s="133"/>
      <c r="PZY11" s="133"/>
      <c r="PZZ11" s="133"/>
      <c r="QAA11" s="133"/>
      <c r="QAB11" s="133"/>
      <c r="QAC11" s="133"/>
      <c r="QAD11" s="133"/>
      <c r="QAE11" s="133"/>
      <c r="QAF11" s="133"/>
      <c r="QAG11" s="133"/>
      <c r="QAH11" s="133"/>
      <c r="QAI11" s="133"/>
      <c r="QAJ11" s="133"/>
      <c r="QAK11" s="133"/>
      <c r="QAL11" s="133"/>
      <c r="QAM11" s="133"/>
      <c r="QAN11" s="133"/>
      <c r="QAO11" s="133"/>
      <c r="QAP11" s="133"/>
      <c r="QAQ11" s="133"/>
      <c r="QAR11" s="133"/>
      <c r="QAS11" s="133"/>
      <c r="QAT11" s="133"/>
      <c r="QAU11" s="133"/>
      <c r="QAV11" s="133"/>
      <c r="QAW11" s="133"/>
      <c r="QAX11" s="133"/>
      <c r="QAY11" s="133"/>
      <c r="QAZ11" s="133"/>
      <c r="QBA11" s="133"/>
      <c r="QBB11" s="133"/>
      <c r="QBC11" s="133"/>
      <c r="QBD11" s="133"/>
      <c r="QBE11" s="133"/>
      <c r="QBF11" s="133"/>
      <c r="QBG11" s="133"/>
      <c r="QBH11" s="133"/>
      <c r="QBI11" s="133"/>
      <c r="QBJ11" s="133"/>
      <c r="QBK11" s="133"/>
      <c r="QBL11" s="133"/>
      <c r="QBM11" s="133"/>
      <c r="QBN11" s="133"/>
      <c r="QBO11" s="133"/>
      <c r="QBP11" s="133"/>
      <c r="QBQ11" s="133"/>
      <c r="QBR11" s="133"/>
      <c r="QBS11" s="133"/>
      <c r="QBT11" s="133"/>
      <c r="QBU11" s="133"/>
      <c r="QBV11" s="133"/>
      <c r="QBW11" s="133"/>
      <c r="QBX11" s="133"/>
      <c r="QBY11" s="133"/>
      <c r="QBZ11" s="133"/>
      <c r="QCA11" s="133"/>
      <c r="QCB11" s="133"/>
      <c r="QCC11" s="133"/>
      <c r="QCD11" s="133"/>
      <c r="QCE11" s="133"/>
      <c r="QCF11" s="133"/>
      <c r="QCG11" s="133"/>
      <c r="QCH11" s="133"/>
      <c r="QCI11" s="133"/>
      <c r="QCJ11" s="133"/>
      <c r="QCK11" s="133"/>
      <c r="QCL11" s="133"/>
      <c r="QCM11" s="133"/>
      <c r="QCN11" s="133"/>
      <c r="QCO11" s="133"/>
      <c r="QCP11" s="133"/>
      <c r="QCQ11" s="133"/>
      <c r="QCR11" s="133"/>
      <c r="QCS11" s="133"/>
      <c r="QCT11" s="133"/>
      <c r="QCU11" s="133"/>
      <c r="QCV11" s="133"/>
      <c r="QCW11" s="133"/>
      <c r="QCX11" s="133"/>
      <c r="QCY11" s="133"/>
      <c r="QCZ11" s="133"/>
      <c r="QDA11" s="133"/>
      <c r="QDB11" s="133"/>
      <c r="QDC11" s="133"/>
      <c r="QDD11" s="133"/>
      <c r="QDE11" s="133"/>
      <c r="QDF11" s="133"/>
      <c r="QDG11" s="133"/>
      <c r="QDH11" s="133"/>
      <c r="QDI11" s="133"/>
      <c r="QDJ11" s="133"/>
      <c r="QDK11" s="133"/>
      <c r="QDL11" s="133"/>
      <c r="QDM11" s="133"/>
      <c r="QDN11" s="133"/>
      <c r="QDO11" s="133"/>
      <c r="QDP11" s="133"/>
      <c r="QDQ11" s="133"/>
      <c r="QDR11" s="133"/>
      <c r="QDS11" s="133"/>
      <c r="QDT11" s="133"/>
      <c r="QDU11" s="133"/>
      <c r="QDV11" s="133"/>
      <c r="QDW11" s="133"/>
      <c r="QDX11" s="133"/>
      <c r="QDY11" s="133"/>
      <c r="QDZ11" s="133"/>
      <c r="QEA11" s="133"/>
      <c r="QEB11" s="133"/>
      <c r="QEC11" s="133"/>
      <c r="QED11" s="133"/>
      <c r="QEE11" s="133"/>
      <c r="QEF11" s="133"/>
      <c r="QEG11" s="133"/>
      <c r="QEH11" s="133"/>
      <c r="QEI11" s="133"/>
      <c r="QEJ11" s="133"/>
      <c r="QEK11" s="133"/>
      <c r="QEL11" s="133"/>
      <c r="QEM11" s="133"/>
      <c r="QEN11" s="133"/>
      <c r="QEO11" s="133"/>
      <c r="QEP11" s="133"/>
      <c r="QEQ11" s="133"/>
      <c r="QER11" s="133"/>
      <c r="QES11" s="133"/>
      <c r="QET11" s="133"/>
      <c r="QEU11" s="133"/>
      <c r="QEV11" s="133"/>
      <c r="QEW11" s="133"/>
      <c r="QEX11" s="133"/>
      <c r="QEY11" s="133"/>
      <c r="QEZ11" s="133"/>
      <c r="QFA11" s="133"/>
      <c r="QFB11" s="133"/>
      <c r="QFC11" s="133"/>
      <c r="QFD11" s="133"/>
      <c r="QFE11" s="133"/>
      <c r="QFF11" s="133"/>
      <c r="QFG11" s="133"/>
      <c r="QFH11" s="133"/>
      <c r="QFI11" s="133"/>
      <c r="QFJ11" s="133"/>
      <c r="QFK11" s="133"/>
      <c r="QFL11" s="133"/>
      <c r="QFM11" s="133"/>
      <c r="QFN11" s="133"/>
      <c r="QFO11" s="133"/>
      <c r="QFP11" s="133"/>
      <c r="QFQ11" s="133"/>
      <c r="QFR11" s="133"/>
      <c r="QFS11" s="133"/>
      <c r="QFT11" s="133"/>
      <c r="QFU11" s="133"/>
      <c r="QFV11" s="133"/>
      <c r="QFW11" s="133"/>
      <c r="QFX11" s="133"/>
      <c r="QFY11" s="133"/>
      <c r="QFZ11" s="133"/>
      <c r="QGA11" s="133"/>
      <c r="QGB11" s="133"/>
      <c r="QGC11" s="133"/>
      <c r="QGD11" s="133"/>
      <c r="QGE11" s="133"/>
      <c r="QGF11" s="133"/>
      <c r="QGG11" s="133"/>
      <c r="QGH11" s="133"/>
      <c r="QGI11" s="133"/>
      <c r="QGJ11" s="133"/>
      <c r="QGK11" s="133"/>
      <c r="QGL11" s="133"/>
      <c r="QGM11" s="133"/>
      <c r="QGN11" s="133"/>
      <c r="QGO11" s="133"/>
      <c r="QGP11" s="133"/>
      <c r="QGQ11" s="133"/>
      <c r="QGR11" s="133"/>
      <c r="QGS11" s="133"/>
      <c r="QGT11" s="133"/>
      <c r="QGU11" s="133"/>
      <c r="QGV11" s="133"/>
      <c r="QGW11" s="133"/>
      <c r="QGX11" s="133"/>
      <c r="QGY11" s="133"/>
      <c r="QGZ11" s="133"/>
      <c r="QHA11" s="133"/>
      <c r="QHB11" s="133"/>
      <c r="QHC11" s="133"/>
      <c r="QHD11" s="133"/>
      <c r="QHE11" s="133"/>
      <c r="QHF11" s="133"/>
      <c r="QHG11" s="133"/>
      <c r="QHH11" s="133"/>
      <c r="QHI11" s="133"/>
      <c r="QHJ11" s="133"/>
      <c r="QHK11" s="133"/>
      <c r="QHL11" s="133"/>
      <c r="QHM11" s="133"/>
      <c r="QHN11" s="133"/>
      <c r="QHO11" s="133"/>
      <c r="QHP11" s="133"/>
      <c r="QHQ11" s="133"/>
      <c r="QHR11" s="133"/>
      <c r="QHS11" s="133"/>
      <c r="QHT11" s="133"/>
      <c r="QHU11" s="133"/>
      <c r="QHV11" s="133"/>
      <c r="QHW11" s="133"/>
      <c r="QHX11" s="133"/>
      <c r="QHY11" s="133"/>
      <c r="QHZ11" s="133"/>
      <c r="QIA11" s="133"/>
      <c r="QIB11" s="133"/>
      <c r="QIC11" s="133"/>
      <c r="QID11" s="133"/>
      <c r="QIE11" s="133"/>
      <c r="QIF11" s="133"/>
      <c r="QIG11" s="133"/>
      <c r="QIH11" s="133"/>
      <c r="QII11" s="133"/>
      <c r="QIJ11" s="133"/>
      <c r="QIK11" s="133"/>
      <c r="QIL11" s="133"/>
      <c r="QIM11" s="133"/>
      <c r="QIN11" s="133"/>
      <c r="QIO11" s="133"/>
      <c r="QIP11" s="133"/>
      <c r="QIQ11" s="133"/>
      <c r="QIR11" s="133"/>
      <c r="QIS11" s="133"/>
      <c r="QIT11" s="133"/>
      <c r="QIU11" s="133"/>
      <c r="QIV11" s="133"/>
      <c r="QIW11" s="133"/>
      <c r="QIX11" s="133"/>
      <c r="QIY11" s="133"/>
      <c r="QIZ11" s="133"/>
      <c r="QJA11" s="133"/>
      <c r="QJB11" s="133"/>
      <c r="QJC11" s="133"/>
      <c r="QJD11" s="133"/>
      <c r="QJE11" s="133"/>
      <c r="QJF11" s="133"/>
      <c r="QJG11" s="133"/>
      <c r="QJH11" s="133"/>
      <c r="QJI11" s="133"/>
      <c r="QJJ11" s="133"/>
      <c r="QJK11" s="133"/>
      <c r="QJL11" s="133"/>
      <c r="QJM11" s="133"/>
      <c r="QJN11" s="133"/>
      <c r="QJO11" s="133"/>
      <c r="QJP11" s="133"/>
      <c r="QJQ11" s="133"/>
      <c r="QJR11" s="133"/>
      <c r="QJS11" s="133"/>
      <c r="QJT11" s="133"/>
      <c r="QJU11" s="133"/>
      <c r="QJV11" s="133"/>
      <c r="QJW11" s="133"/>
      <c r="QJX11" s="133"/>
      <c r="QJY11" s="133"/>
      <c r="QJZ11" s="133"/>
      <c r="QKA11" s="133"/>
      <c r="QKB11" s="133"/>
      <c r="QKC11" s="133"/>
      <c r="QKD11" s="133"/>
      <c r="QKE11" s="133"/>
      <c r="QKF11" s="133"/>
      <c r="QKG11" s="133"/>
      <c r="QKH11" s="133"/>
      <c r="QKI11" s="133"/>
      <c r="QKJ11" s="133"/>
      <c r="QKK11" s="133"/>
      <c r="QKL11" s="133"/>
      <c r="QKM11" s="133"/>
      <c r="QKN11" s="133"/>
      <c r="QKO11" s="133"/>
      <c r="QKP11" s="133"/>
      <c r="QKQ11" s="133"/>
      <c r="QKR11" s="133"/>
      <c r="QKS11" s="133"/>
      <c r="QKT11" s="133"/>
      <c r="QKU11" s="133"/>
      <c r="QKV11" s="133"/>
      <c r="QKW11" s="133"/>
      <c r="QKX11" s="133"/>
      <c r="QKY11" s="133"/>
      <c r="QKZ11" s="133"/>
      <c r="QLA11" s="133"/>
      <c r="QLB11" s="133"/>
      <c r="QLC11" s="133"/>
      <c r="QLD11" s="133"/>
      <c r="QLE11" s="133"/>
      <c r="QLF11" s="133"/>
      <c r="QLG11" s="133"/>
      <c r="QLH11" s="133"/>
      <c r="QLI11" s="133"/>
      <c r="QLJ11" s="133"/>
      <c r="QLK11" s="133"/>
      <c r="QLL11" s="133"/>
      <c r="QLM11" s="133"/>
      <c r="QLN11" s="133"/>
      <c r="QLO11" s="133"/>
      <c r="QLP11" s="133"/>
      <c r="QLQ11" s="133"/>
      <c r="QLR11" s="133"/>
      <c r="QLS11" s="133"/>
      <c r="QLT11" s="133"/>
      <c r="QLU11" s="133"/>
      <c r="QLV11" s="133"/>
      <c r="QLW11" s="133"/>
      <c r="QLX11" s="133"/>
      <c r="QLY11" s="133"/>
      <c r="QLZ11" s="133"/>
      <c r="QMA11" s="133"/>
      <c r="QMB11" s="133"/>
      <c r="QMC11" s="133"/>
      <c r="QMD11" s="133"/>
      <c r="QME11" s="133"/>
      <c r="QMF11" s="133"/>
      <c r="QMG11" s="133"/>
      <c r="QMH11" s="133"/>
      <c r="QMI11" s="133"/>
      <c r="QMJ11" s="133"/>
      <c r="QMK11" s="133"/>
      <c r="QML11" s="133"/>
      <c r="QMM11" s="133"/>
      <c r="QMN11" s="133"/>
      <c r="QMO11" s="133"/>
      <c r="QMP11" s="133"/>
      <c r="QMQ11" s="133"/>
      <c r="QMR11" s="133"/>
      <c r="QMS11" s="133"/>
      <c r="QMT11" s="133"/>
      <c r="QMU11" s="133"/>
      <c r="QMV11" s="133"/>
      <c r="QMW11" s="133"/>
      <c r="QMX11" s="133"/>
      <c r="QMY11" s="133"/>
      <c r="QMZ11" s="133"/>
      <c r="QNA11" s="133"/>
      <c r="QNB11" s="133"/>
      <c r="QNC11" s="133"/>
      <c r="QND11" s="133"/>
      <c r="QNE11" s="133"/>
      <c r="QNF11" s="133"/>
      <c r="QNG11" s="133"/>
      <c r="QNH11" s="133"/>
      <c r="QNI11" s="133"/>
      <c r="QNJ11" s="133"/>
      <c r="QNK11" s="133"/>
      <c r="QNL11" s="133"/>
      <c r="QNM11" s="133"/>
      <c r="QNN11" s="133"/>
      <c r="QNO11" s="133"/>
      <c r="QNP11" s="133"/>
      <c r="QNQ11" s="133"/>
      <c r="QNR11" s="133"/>
      <c r="QNS11" s="133"/>
      <c r="QNT11" s="133"/>
      <c r="QNU11" s="133"/>
      <c r="QNV11" s="133"/>
      <c r="QNW11" s="133"/>
      <c r="QNX11" s="133"/>
      <c r="QNY11" s="133"/>
      <c r="QNZ11" s="133"/>
      <c r="QOA11" s="133"/>
      <c r="QOB11" s="133"/>
      <c r="QOC11" s="133"/>
      <c r="QOD11" s="133"/>
      <c r="QOE11" s="133"/>
      <c r="QOF11" s="133"/>
      <c r="QOG11" s="133"/>
      <c r="QOH11" s="133"/>
      <c r="QOI11" s="133"/>
      <c r="QOJ11" s="133"/>
      <c r="QOK11" s="133"/>
      <c r="QOL11" s="133"/>
      <c r="QOM11" s="133"/>
      <c r="QON11" s="133"/>
      <c r="QOO11" s="133"/>
      <c r="QOP11" s="133"/>
      <c r="QOQ11" s="133"/>
      <c r="QOR11" s="133"/>
      <c r="QOS11" s="133"/>
      <c r="QOT11" s="133"/>
      <c r="QOU11" s="133"/>
      <c r="QOV11" s="133"/>
      <c r="QOW11" s="133"/>
      <c r="QOX11" s="133"/>
      <c r="QOY11" s="133"/>
      <c r="QOZ11" s="133"/>
      <c r="QPA11" s="133"/>
      <c r="QPB11" s="133"/>
      <c r="QPC11" s="133"/>
      <c r="QPD11" s="133"/>
      <c r="QPE11" s="133"/>
      <c r="QPF11" s="133"/>
      <c r="QPG11" s="133"/>
      <c r="QPH11" s="133"/>
      <c r="QPI11" s="133"/>
      <c r="QPJ11" s="133"/>
      <c r="QPK11" s="133"/>
      <c r="QPL11" s="133"/>
      <c r="QPM11" s="133"/>
      <c r="QPN11" s="133"/>
      <c r="QPO11" s="133"/>
      <c r="QPP11" s="133"/>
      <c r="QPQ11" s="133"/>
      <c r="QPR11" s="133"/>
      <c r="QPS11" s="133"/>
      <c r="QPT11" s="133"/>
      <c r="QPU11" s="133"/>
      <c r="QPV11" s="133"/>
      <c r="QPW11" s="133"/>
      <c r="QPX11" s="133"/>
      <c r="QPY11" s="133"/>
      <c r="QPZ11" s="133"/>
      <c r="QQA11" s="133"/>
      <c r="QQB11" s="133"/>
      <c r="QQC11" s="133"/>
      <c r="QQD11" s="133"/>
      <c r="QQE11" s="133"/>
      <c r="QQF11" s="133"/>
      <c r="QQG11" s="133"/>
      <c r="QQH11" s="133"/>
      <c r="QQI11" s="133"/>
      <c r="QQJ11" s="133"/>
      <c r="QQK11" s="133"/>
      <c r="QQL11" s="133"/>
      <c r="QQM11" s="133"/>
      <c r="QQN11" s="133"/>
      <c r="QQO11" s="133"/>
      <c r="QQP11" s="133"/>
      <c r="QQQ11" s="133"/>
      <c r="QQR11" s="133"/>
      <c r="QQS11" s="133"/>
      <c r="QQT11" s="133"/>
      <c r="QQU11" s="133"/>
      <c r="QQV11" s="133"/>
      <c r="QQW11" s="133"/>
      <c r="QQX11" s="133"/>
      <c r="QQY11" s="133"/>
      <c r="QQZ11" s="133"/>
      <c r="QRA11" s="133"/>
      <c r="QRB11" s="133"/>
      <c r="QRC11" s="133"/>
      <c r="QRD11" s="133"/>
      <c r="QRE11" s="133"/>
      <c r="QRF11" s="133"/>
      <c r="QRG11" s="133"/>
      <c r="QRH11" s="133"/>
      <c r="QRI11" s="133"/>
      <c r="QRJ11" s="133"/>
      <c r="QRK11" s="133"/>
      <c r="QRL11" s="133"/>
      <c r="QRM11" s="133"/>
      <c r="QRN11" s="133"/>
      <c r="QRO11" s="133"/>
      <c r="QRP11" s="133"/>
      <c r="QRQ11" s="133"/>
      <c r="QRR11" s="133"/>
      <c r="QRS11" s="133"/>
      <c r="QRT11" s="133"/>
      <c r="QRU11" s="133"/>
      <c r="QRV11" s="133"/>
      <c r="QRW11" s="133"/>
      <c r="QRX11" s="133"/>
      <c r="QRY11" s="133"/>
      <c r="QRZ11" s="133"/>
      <c r="QSA11" s="133"/>
      <c r="QSB11" s="133"/>
      <c r="QSC11" s="133"/>
      <c r="QSD11" s="133"/>
      <c r="QSE11" s="133"/>
      <c r="QSF11" s="133"/>
      <c r="QSG11" s="133"/>
      <c r="QSH11" s="133"/>
      <c r="QSI11" s="133"/>
      <c r="QSJ11" s="133"/>
      <c r="QSK11" s="133"/>
      <c r="QSL11" s="133"/>
      <c r="QSM11" s="133"/>
      <c r="QSN11" s="133"/>
      <c r="QSO11" s="133"/>
      <c r="QSP11" s="133"/>
      <c r="QSQ11" s="133"/>
      <c r="QSR11" s="133"/>
      <c r="QSS11" s="133"/>
      <c r="QST11" s="133"/>
      <c r="QSU11" s="133"/>
      <c r="QSV11" s="133"/>
      <c r="QSW11" s="133"/>
      <c r="QSX11" s="133"/>
      <c r="QSY11" s="133"/>
      <c r="QSZ11" s="133"/>
      <c r="QTA11" s="133"/>
      <c r="QTB11" s="133"/>
      <c r="QTC11" s="133"/>
      <c r="QTD11" s="133"/>
      <c r="QTE11" s="133"/>
      <c r="QTF11" s="133"/>
      <c r="QTG11" s="133"/>
      <c r="QTH11" s="133"/>
      <c r="QTI11" s="133"/>
      <c r="QTJ11" s="133"/>
      <c r="QTK11" s="133"/>
      <c r="QTL11" s="133"/>
      <c r="QTM11" s="133"/>
      <c r="QTN11" s="133"/>
      <c r="QTO11" s="133"/>
      <c r="QTP11" s="133"/>
      <c r="QTQ11" s="133"/>
      <c r="QTR11" s="133"/>
      <c r="QTS11" s="133"/>
      <c r="QTT11" s="133"/>
      <c r="QTU11" s="133"/>
      <c r="QTV11" s="133"/>
      <c r="QTW11" s="133"/>
      <c r="QTX11" s="133"/>
      <c r="QTY11" s="133"/>
      <c r="QTZ11" s="133"/>
      <c r="QUA11" s="133"/>
      <c r="QUB11" s="133"/>
      <c r="QUC11" s="133"/>
      <c r="QUD11" s="133"/>
      <c r="QUE11" s="133"/>
      <c r="QUF11" s="133"/>
      <c r="QUG11" s="133"/>
      <c r="QUH11" s="133"/>
      <c r="QUI11" s="133"/>
      <c r="QUJ11" s="133"/>
      <c r="QUK11" s="133"/>
      <c r="QUL11" s="133"/>
      <c r="QUM11" s="133"/>
      <c r="QUN11" s="133"/>
      <c r="QUO11" s="133"/>
      <c r="QUP11" s="133"/>
      <c r="QUQ11" s="133"/>
      <c r="QUR11" s="133"/>
      <c r="QUS11" s="133"/>
      <c r="QUT11" s="133"/>
      <c r="QUU11" s="133"/>
      <c r="QUV11" s="133"/>
      <c r="QUW11" s="133"/>
      <c r="QUX11" s="133"/>
      <c r="QUY11" s="133"/>
      <c r="QUZ11" s="133"/>
      <c r="QVA11" s="133"/>
      <c r="QVB11" s="133"/>
      <c r="QVC11" s="133"/>
      <c r="QVD11" s="133"/>
      <c r="QVE11" s="133"/>
      <c r="QVF11" s="133"/>
      <c r="QVG11" s="133"/>
      <c r="QVH11" s="133"/>
      <c r="QVI11" s="133"/>
      <c r="QVJ11" s="133"/>
      <c r="QVK11" s="133"/>
      <c r="QVL11" s="133"/>
      <c r="QVM11" s="133"/>
      <c r="QVN11" s="133"/>
      <c r="QVO11" s="133"/>
      <c r="QVP11" s="133"/>
      <c r="QVQ11" s="133"/>
      <c r="QVR11" s="133"/>
      <c r="QVS11" s="133"/>
      <c r="QVT11" s="133"/>
      <c r="QVU11" s="133"/>
      <c r="QVV11" s="133"/>
      <c r="QVW11" s="133"/>
      <c r="QVX11" s="133"/>
      <c r="QVY11" s="133"/>
      <c r="QVZ11" s="133"/>
      <c r="QWA11" s="133"/>
      <c r="QWB11" s="133"/>
      <c r="QWC11" s="133"/>
      <c r="QWD11" s="133"/>
      <c r="QWE11" s="133"/>
      <c r="QWF11" s="133"/>
      <c r="QWG11" s="133"/>
      <c r="QWH11" s="133"/>
      <c r="QWI11" s="133"/>
      <c r="QWJ11" s="133"/>
      <c r="QWK11" s="133"/>
      <c r="QWL11" s="133"/>
      <c r="QWM11" s="133"/>
      <c r="QWN11" s="133"/>
      <c r="QWO11" s="133"/>
      <c r="QWP11" s="133"/>
      <c r="QWQ11" s="133"/>
      <c r="QWR11" s="133"/>
      <c r="QWS11" s="133"/>
      <c r="QWT11" s="133"/>
      <c r="QWU11" s="133"/>
      <c r="QWV11" s="133"/>
      <c r="QWW11" s="133"/>
      <c r="QWX11" s="133"/>
      <c r="QWY11" s="133"/>
      <c r="QWZ11" s="133"/>
      <c r="QXA11" s="133"/>
      <c r="QXB11" s="133"/>
      <c r="QXC11" s="133"/>
      <c r="QXD11" s="133"/>
      <c r="QXE11" s="133"/>
      <c r="QXF11" s="133"/>
      <c r="QXG11" s="133"/>
      <c r="QXH11" s="133"/>
      <c r="QXI11" s="133"/>
      <c r="QXJ11" s="133"/>
      <c r="QXK11" s="133"/>
      <c r="QXL11" s="133"/>
      <c r="QXM11" s="133"/>
      <c r="QXN11" s="133"/>
      <c r="QXO11" s="133"/>
      <c r="QXP11" s="133"/>
      <c r="QXQ11" s="133"/>
      <c r="QXR11" s="133"/>
      <c r="QXS11" s="133"/>
      <c r="QXT11" s="133"/>
      <c r="QXU11" s="133"/>
      <c r="QXV11" s="133"/>
      <c r="QXW11" s="133"/>
      <c r="QXX11" s="133"/>
      <c r="QXY11" s="133"/>
      <c r="QXZ11" s="133"/>
      <c r="QYA11" s="133"/>
      <c r="QYB11" s="133"/>
      <c r="QYC11" s="133"/>
      <c r="QYD11" s="133"/>
      <c r="QYE11" s="133"/>
      <c r="QYF11" s="133"/>
      <c r="QYG11" s="133"/>
      <c r="QYH11" s="133"/>
      <c r="QYI11" s="133"/>
      <c r="QYJ11" s="133"/>
      <c r="QYK11" s="133"/>
      <c r="QYL11" s="133"/>
      <c r="QYM11" s="133"/>
      <c r="QYN11" s="133"/>
      <c r="QYO11" s="133"/>
      <c r="QYP11" s="133"/>
      <c r="QYQ11" s="133"/>
      <c r="QYR11" s="133"/>
      <c r="QYS11" s="133"/>
      <c r="QYT11" s="133"/>
      <c r="QYU11" s="133"/>
      <c r="QYV11" s="133"/>
      <c r="QYW11" s="133"/>
      <c r="QYX11" s="133"/>
      <c r="QYY11" s="133"/>
      <c r="QYZ11" s="133"/>
      <c r="QZA11" s="133"/>
      <c r="QZB11" s="133"/>
      <c r="QZC11" s="133"/>
      <c r="QZD11" s="133"/>
      <c r="QZE11" s="133"/>
      <c r="QZF11" s="133"/>
      <c r="QZG11" s="133"/>
      <c r="QZH11" s="133"/>
      <c r="QZI11" s="133"/>
      <c r="QZJ11" s="133"/>
      <c r="QZK11" s="133"/>
      <c r="QZL11" s="133"/>
      <c r="QZM11" s="133"/>
      <c r="QZN11" s="133"/>
      <c r="QZO11" s="133"/>
      <c r="QZP11" s="133"/>
      <c r="QZQ11" s="133"/>
      <c r="QZR11" s="133"/>
      <c r="QZS11" s="133"/>
      <c r="QZT11" s="133"/>
      <c r="QZU11" s="133"/>
      <c r="QZV11" s="133"/>
      <c r="QZW11" s="133"/>
      <c r="QZX11" s="133"/>
      <c r="QZY11" s="133"/>
      <c r="QZZ11" s="133"/>
      <c r="RAA11" s="133"/>
      <c r="RAB11" s="133"/>
      <c r="RAC11" s="133"/>
      <c r="RAD11" s="133"/>
      <c r="RAE11" s="133"/>
      <c r="RAF11" s="133"/>
      <c r="RAG11" s="133"/>
      <c r="RAH11" s="133"/>
      <c r="RAI11" s="133"/>
      <c r="RAJ11" s="133"/>
      <c r="RAK11" s="133"/>
      <c r="RAL11" s="133"/>
      <c r="RAM11" s="133"/>
      <c r="RAN11" s="133"/>
      <c r="RAO11" s="133"/>
      <c r="RAP11" s="133"/>
      <c r="RAQ11" s="133"/>
      <c r="RAR11" s="133"/>
      <c r="RAS11" s="133"/>
      <c r="RAT11" s="133"/>
      <c r="RAU11" s="133"/>
      <c r="RAV11" s="133"/>
      <c r="RAW11" s="133"/>
      <c r="RAX11" s="133"/>
      <c r="RAY11" s="133"/>
      <c r="RAZ11" s="133"/>
      <c r="RBA11" s="133"/>
      <c r="RBB11" s="133"/>
      <c r="RBC11" s="133"/>
      <c r="RBD11" s="133"/>
      <c r="RBE11" s="133"/>
      <c r="RBF11" s="133"/>
      <c r="RBG11" s="133"/>
      <c r="RBH11" s="133"/>
      <c r="RBI11" s="133"/>
      <c r="RBJ11" s="133"/>
      <c r="RBK11" s="133"/>
      <c r="RBL11" s="133"/>
      <c r="RBM11" s="133"/>
      <c r="RBN11" s="133"/>
      <c r="RBO11" s="133"/>
      <c r="RBP11" s="133"/>
      <c r="RBQ11" s="133"/>
      <c r="RBR11" s="133"/>
      <c r="RBS11" s="133"/>
      <c r="RBT11" s="133"/>
      <c r="RBU11" s="133"/>
      <c r="RBV11" s="133"/>
      <c r="RBW11" s="133"/>
      <c r="RBX11" s="133"/>
      <c r="RBY11" s="133"/>
      <c r="RBZ11" s="133"/>
      <c r="RCA11" s="133"/>
      <c r="RCB11" s="133"/>
      <c r="RCC11" s="133"/>
      <c r="RCD11" s="133"/>
      <c r="RCE11" s="133"/>
      <c r="RCF11" s="133"/>
      <c r="RCG11" s="133"/>
      <c r="RCH11" s="133"/>
      <c r="RCI11" s="133"/>
      <c r="RCJ11" s="133"/>
      <c r="RCK11" s="133"/>
      <c r="RCL11" s="133"/>
      <c r="RCM11" s="133"/>
      <c r="RCN11" s="133"/>
      <c r="RCO11" s="133"/>
      <c r="RCP11" s="133"/>
      <c r="RCQ11" s="133"/>
      <c r="RCR11" s="133"/>
      <c r="RCS11" s="133"/>
      <c r="RCT11" s="133"/>
      <c r="RCU11" s="133"/>
      <c r="RCV11" s="133"/>
      <c r="RCW11" s="133"/>
      <c r="RCX11" s="133"/>
      <c r="RCY11" s="133"/>
      <c r="RCZ11" s="133"/>
      <c r="RDA11" s="133"/>
      <c r="RDB11" s="133"/>
      <c r="RDC11" s="133"/>
      <c r="RDD11" s="133"/>
      <c r="RDE11" s="133"/>
      <c r="RDF11" s="133"/>
      <c r="RDG11" s="133"/>
      <c r="RDH11" s="133"/>
      <c r="RDI11" s="133"/>
      <c r="RDJ11" s="133"/>
      <c r="RDK11" s="133"/>
      <c r="RDL11" s="133"/>
      <c r="RDM11" s="133"/>
      <c r="RDN11" s="133"/>
      <c r="RDO11" s="133"/>
      <c r="RDP11" s="133"/>
      <c r="RDQ11" s="133"/>
      <c r="RDR11" s="133"/>
      <c r="RDS11" s="133"/>
      <c r="RDT11" s="133"/>
      <c r="RDU11" s="133"/>
      <c r="RDV11" s="133"/>
      <c r="RDW11" s="133"/>
      <c r="RDX11" s="133"/>
      <c r="RDY11" s="133"/>
      <c r="RDZ11" s="133"/>
      <c r="REA11" s="133"/>
      <c r="REB11" s="133"/>
      <c r="REC11" s="133"/>
      <c r="RED11" s="133"/>
      <c r="REE11" s="133"/>
      <c r="REF11" s="133"/>
      <c r="REG11" s="133"/>
      <c r="REH11" s="133"/>
      <c r="REI11" s="133"/>
      <c r="REJ11" s="133"/>
      <c r="REK11" s="133"/>
      <c r="REL11" s="133"/>
      <c r="REM11" s="133"/>
      <c r="REN11" s="133"/>
      <c r="REO11" s="133"/>
      <c r="REP11" s="133"/>
      <c r="REQ11" s="133"/>
      <c r="RER11" s="133"/>
      <c r="RES11" s="133"/>
      <c r="RET11" s="133"/>
      <c r="REU11" s="133"/>
      <c r="REV11" s="133"/>
      <c r="REW11" s="133"/>
      <c r="REX11" s="133"/>
      <c r="REY11" s="133"/>
      <c r="REZ11" s="133"/>
      <c r="RFA11" s="133"/>
      <c r="RFB11" s="133"/>
      <c r="RFC11" s="133"/>
      <c r="RFD11" s="133"/>
      <c r="RFE11" s="133"/>
      <c r="RFF11" s="133"/>
      <c r="RFG11" s="133"/>
      <c r="RFH11" s="133"/>
      <c r="RFI11" s="133"/>
      <c r="RFJ11" s="133"/>
      <c r="RFK11" s="133"/>
      <c r="RFL11" s="133"/>
      <c r="RFM11" s="133"/>
      <c r="RFN11" s="133"/>
      <c r="RFO11" s="133"/>
      <c r="RFP11" s="133"/>
      <c r="RFQ11" s="133"/>
      <c r="RFR11" s="133"/>
      <c r="RFS11" s="133"/>
      <c r="RFT11" s="133"/>
      <c r="RFU11" s="133"/>
      <c r="RFV11" s="133"/>
      <c r="RFW11" s="133"/>
      <c r="RFX11" s="133"/>
      <c r="RFY11" s="133"/>
      <c r="RFZ11" s="133"/>
      <c r="RGA11" s="133"/>
      <c r="RGB11" s="133"/>
      <c r="RGC11" s="133"/>
      <c r="RGD11" s="133"/>
      <c r="RGE11" s="133"/>
      <c r="RGF11" s="133"/>
      <c r="RGG11" s="133"/>
      <c r="RGH11" s="133"/>
      <c r="RGI11" s="133"/>
      <c r="RGJ11" s="133"/>
      <c r="RGK11" s="133"/>
      <c r="RGL11" s="133"/>
      <c r="RGM11" s="133"/>
      <c r="RGN11" s="133"/>
      <c r="RGO11" s="133"/>
      <c r="RGP11" s="133"/>
      <c r="RGQ11" s="133"/>
      <c r="RGR11" s="133"/>
      <c r="RGS11" s="133"/>
      <c r="RGT11" s="133"/>
      <c r="RGU11" s="133"/>
      <c r="RGV11" s="133"/>
      <c r="RGW11" s="133"/>
      <c r="RGX11" s="133"/>
      <c r="RGY11" s="133"/>
      <c r="RGZ11" s="133"/>
      <c r="RHA11" s="133"/>
      <c r="RHB11" s="133"/>
      <c r="RHC11" s="133"/>
      <c r="RHD11" s="133"/>
      <c r="RHE11" s="133"/>
      <c r="RHF11" s="133"/>
      <c r="RHG11" s="133"/>
      <c r="RHH11" s="133"/>
      <c r="RHI11" s="133"/>
      <c r="RHJ11" s="133"/>
      <c r="RHK11" s="133"/>
      <c r="RHL11" s="133"/>
      <c r="RHM11" s="133"/>
      <c r="RHN11" s="133"/>
      <c r="RHO11" s="133"/>
      <c r="RHP11" s="133"/>
      <c r="RHQ11" s="133"/>
      <c r="RHR11" s="133"/>
      <c r="RHS11" s="133"/>
      <c r="RHT11" s="133"/>
      <c r="RHU11" s="133"/>
      <c r="RHV11" s="133"/>
      <c r="RHW11" s="133"/>
      <c r="RHX11" s="133"/>
      <c r="RHY11" s="133"/>
      <c r="RHZ11" s="133"/>
      <c r="RIA11" s="133"/>
      <c r="RIB11" s="133"/>
      <c r="RIC11" s="133"/>
      <c r="RID11" s="133"/>
      <c r="RIE11" s="133"/>
      <c r="RIF11" s="133"/>
      <c r="RIG11" s="133"/>
      <c r="RIH11" s="133"/>
      <c r="RII11" s="133"/>
      <c r="RIJ11" s="133"/>
      <c r="RIK11" s="133"/>
      <c r="RIL11" s="133"/>
      <c r="RIM11" s="133"/>
      <c r="RIN11" s="133"/>
      <c r="RIO11" s="133"/>
      <c r="RIP11" s="133"/>
      <c r="RIQ11" s="133"/>
      <c r="RIR11" s="133"/>
      <c r="RIS11" s="133"/>
      <c r="RIT11" s="133"/>
      <c r="RIU11" s="133"/>
      <c r="RIV11" s="133"/>
      <c r="RIW11" s="133"/>
      <c r="RIX11" s="133"/>
      <c r="RIY11" s="133"/>
      <c r="RIZ11" s="133"/>
      <c r="RJA11" s="133"/>
      <c r="RJB11" s="133"/>
      <c r="RJC11" s="133"/>
      <c r="RJD11" s="133"/>
      <c r="RJE11" s="133"/>
      <c r="RJF11" s="133"/>
      <c r="RJG11" s="133"/>
      <c r="RJH11" s="133"/>
      <c r="RJI11" s="133"/>
      <c r="RJJ11" s="133"/>
      <c r="RJK11" s="133"/>
      <c r="RJL11" s="133"/>
      <c r="RJM11" s="133"/>
      <c r="RJN11" s="133"/>
      <c r="RJO11" s="133"/>
      <c r="RJP11" s="133"/>
      <c r="RJQ11" s="133"/>
      <c r="RJR11" s="133"/>
      <c r="RJS11" s="133"/>
      <c r="RJT11" s="133"/>
      <c r="RJU11" s="133"/>
      <c r="RJV11" s="133"/>
      <c r="RJW11" s="133"/>
      <c r="RJX11" s="133"/>
      <c r="RJY11" s="133"/>
      <c r="RJZ11" s="133"/>
      <c r="RKA11" s="133"/>
      <c r="RKB11" s="133"/>
      <c r="RKC11" s="133"/>
      <c r="RKD11" s="133"/>
      <c r="RKE11" s="133"/>
      <c r="RKF11" s="133"/>
      <c r="RKG11" s="133"/>
      <c r="RKH11" s="133"/>
      <c r="RKI11" s="133"/>
      <c r="RKJ11" s="133"/>
      <c r="RKK11" s="133"/>
      <c r="RKL11" s="133"/>
      <c r="RKM11" s="133"/>
      <c r="RKN11" s="133"/>
      <c r="RKO11" s="133"/>
      <c r="RKP11" s="133"/>
      <c r="RKQ11" s="133"/>
      <c r="RKR11" s="133"/>
      <c r="RKS11" s="133"/>
      <c r="RKT11" s="133"/>
      <c r="RKU11" s="133"/>
      <c r="RKV11" s="133"/>
      <c r="RKW11" s="133"/>
      <c r="RKX11" s="133"/>
      <c r="RKY11" s="133"/>
      <c r="RKZ11" s="133"/>
      <c r="RLA11" s="133"/>
      <c r="RLB11" s="133"/>
      <c r="RLC11" s="133"/>
      <c r="RLD11" s="133"/>
      <c r="RLE11" s="133"/>
      <c r="RLF11" s="133"/>
      <c r="RLG11" s="133"/>
      <c r="RLH11" s="133"/>
      <c r="RLI11" s="133"/>
      <c r="RLJ11" s="133"/>
      <c r="RLK11" s="133"/>
      <c r="RLL11" s="133"/>
      <c r="RLM11" s="133"/>
      <c r="RLN11" s="133"/>
      <c r="RLO11" s="133"/>
      <c r="RLP11" s="133"/>
      <c r="RLQ11" s="133"/>
      <c r="RLR11" s="133"/>
      <c r="RLS11" s="133"/>
      <c r="RLT11" s="133"/>
      <c r="RLU11" s="133"/>
      <c r="RLV11" s="133"/>
      <c r="RLW11" s="133"/>
      <c r="RLX11" s="133"/>
      <c r="RLY11" s="133"/>
      <c r="RLZ11" s="133"/>
      <c r="RMA11" s="133"/>
      <c r="RMB11" s="133"/>
      <c r="RMC11" s="133"/>
      <c r="RMD11" s="133"/>
      <c r="RME11" s="133"/>
      <c r="RMF11" s="133"/>
      <c r="RMG11" s="133"/>
      <c r="RMH11" s="133"/>
      <c r="RMI11" s="133"/>
      <c r="RMJ11" s="133"/>
      <c r="RMK11" s="133"/>
      <c r="RML11" s="133"/>
      <c r="RMM11" s="133"/>
      <c r="RMN11" s="133"/>
      <c r="RMO11" s="133"/>
      <c r="RMP11" s="133"/>
      <c r="RMQ11" s="133"/>
      <c r="RMR11" s="133"/>
      <c r="RMS11" s="133"/>
      <c r="RMT11" s="133"/>
      <c r="RMU11" s="133"/>
      <c r="RMV11" s="133"/>
      <c r="RMW11" s="133"/>
      <c r="RMX11" s="133"/>
      <c r="RMY11" s="133"/>
      <c r="RMZ11" s="133"/>
      <c r="RNA11" s="133"/>
      <c r="RNB11" s="133"/>
      <c r="RNC11" s="133"/>
      <c r="RND11" s="133"/>
      <c r="RNE11" s="133"/>
      <c r="RNF11" s="133"/>
      <c r="RNG11" s="133"/>
      <c r="RNH11" s="133"/>
      <c r="RNI11" s="133"/>
      <c r="RNJ11" s="133"/>
      <c r="RNK11" s="133"/>
      <c r="RNL11" s="133"/>
      <c r="RNM11" s="133"/>
      <c r="RNN11" s="133"/>
      <c r="RNO11" s="133"/>
      <c r="RNP11" s="133"/>
      <c r="RNQ11" s="133"/>
      <c r="RNR11" s="133"/>
      <c r="RNS11" s="133"/>
      <c r="RNT11" s="133"/>
      <c r="RNU11" s="133"/>
      <c r="RNV11" s="133"/>
      <c r="RNW11" s="133"/>
      <c r="RNX11" s="133"/>
      <c r="RNY11" s="133"/>
      <c r="RNZ11" s="133"/>
      <c r="ROA11" s="133"/>
      <c r="ROB11" s="133"/>
      <c r="ROC11" s="133"/>
      <c r="ROD11" s="133"/>
      <c r="ROE11" s="133"/>
      <c r="ROF11" s="133"/>
      <c r="ROG11" s="133"/>
      <c r="ROH11" s="133"/>
      <c r="ROI11" s="133"/>
      <c r="ROJ11" s="133"/>
      <c r="ROK11" s="133"/>
      <c r="ROL11" s="133"/>
      <c r="ROM11" s="133"/>
      <c r="RON11" s="133"/>
      <c r="ROO11" s="133"/>
      <c r="ROP11" s="133"/>
      <c r="ROQ11" s="133"/>
      <c r="ROR11" s="133"/>
      <c r="ROS11" s="133"/>
      <c r="ROT11" s="133"/>
      <c r="ROU11" s="133"/>
      <c r="ROV11" s="133"/>
      <c r="ROW11" s="133"/>
      <c r="ROX11" s="133"/>
      <c r="ROY11" s="133"/>
      <c r="ROZ11" s="133"/>
      <c r="RPA11" s="133"/>
      <c r="RPB11" s="133"/>
      <c r="RPC11" s="133"/>
      <c r="RPD11" s="133"/>
      <c r="RPE11" s="133"/>
      <c r="RPF11" s="133"/>
      <c r="RPG11" s="133"/>
      <c r="RPH11" s="133"/>
      <c r="RPI11" s="133"/>
      <c r="RPJ11" s="133"/>
      <c r="RPK11" s="133"/>
      <c r="RPL11" s="133"/>
      <c r="RPM11" s="133"/>
      <c r="RPN11" s="133"/>
      <c r="RPO11" s="133"/>
      <c r="RPP11" s="133"/>
      <c r="RPQ11" s="133"/>
      <c r="RPR11" s="133"/>
      <c r="RPS11" s="133"/>
      <c r="RPT11" s="133"/>
      <c r="RPU11" s="133"/>
      <c r="RPV11" s="133"/>
      <c r="RPW11" s="133"/>
      <c r="RPX11" s="133"/>
      <c r="RPY11" s="133"/>
      <c r="RPZ11" s="133"/>
      <c r="RQA11" s="133"/>
      <c r="RQB11" s="133"/>
      <c r="RQC11" s="133"/>
      <c r="RQD11" s="133"/>
      <c r="RQE11" s="133"/>
      <c r="RQF11" s="133"/>
      <c r="RQG11" s="133"/>
      <c r="RQH11" s="133"/>
      <c r="RQI11" s="133"/>
      <c r="RQJ11" s="133"/>
      <c r="RQK11" s="133"/>
      <c r="RQL11" s="133"/>
      <c r="RQM11" s="133"/>
      <c r="RQN11" s="133"/>
      <c r="RQO11" s="133"/>
      <c r="RQP11" s="133"/>
      <c r="RQQ11" s="133"/>
      <c r="RQR11" s="133"/>
      <c r="RQS11" s="133"/>
      <c r="RQT11" s="133"/>
      <c r="RQU11" s="133"/>
      <c r="RQV11" s="133"/>
      <c r="RQW11" s="133"/>
      <c r="RQX11" s="133"/>
      <c r="RQY11" s="133"/>
      <c r="RQZ11" s="133"/>
      <c r="RRA11" s="133"/>
      <c r="RRB11" s="133"/>
      <c r="RRC11" s="133"/>
      <c r="RRD11" s="133"/>
      <c r="RRE11" s="133"/>
      <c r="RRF11" s="133"/>
      <c r="RRG11" s="133"/>
      <c r="RRH11" s="133"/>
      <c r="RRI11" s="133"/>
      <c r="RRJ11" s="133"/>
      <c r="RRK11" s="133"/>
      <c r="RRL11" s="133"/>
      <c r="RRM11" s="133"/>
      <c r="RRN11" s="133"/>
      <c r="RRO11" s="133"/>
      <c r="RRP11" s="133"/>
      <c r="RRQ11" s="133"/>
      <c r="RRR11" s="133"/>
      <c r="RRS11" s="133"/>
      <c r="RRT11" s="133"/>
      <c r="RRU11" s="133"/>
      <c r="RRV11" s="133"/>
      <c r="RRW11" s="133"/>
      <c r="RRX11" s="133"/>
      <c r="RRY11" s="133"/>
      <c r="RRZ11" s="133"/>
      <c r="RSA11" s="133"/>
      <c r="RSB11" s="133"/>
      <c r="RSC11" s="133"/>
      <c r="RSD11" s="133"/>
      <c r="RSE11" s="133"/>
      <c r="RSF11" s="133"/>
      <c r="RSG11" s="133"/>
      <c r="RSH11" s="133"/>
      <c r="RSI11" s="133"/>
      <c r="RSJ11" s="133"/>
      <c r="RSK11" s="133"/>
      <c r="RSL11" s="133"/>
      <c r="RSM11" s="133"/>
      <c r="RSN11" s="133"/>
      <c r="RSO11" s="133"/>
      <c r="RSP11" s="133"/>
      <c r="RSQ11" s="133"/>
      <c r="RSR11" s="133"/>
      <c r="RSS11" s="133"/>
      <c r="RST11" s="133"/>
      <c r="RSU11" s="133"/>
      <c r="RSV11" s="133"/>
      <c r="RSW11" s="133"/>
      <c r="RSX11" s="133"/>
      <c r="RSY11" s="133"/>
      <c r="RSZ11" s="133"/>
      <c r="RTA11" s="133"/>
      <c r="RTB11" s="133"/>
      <c r="RTC11" s="133"/>
      <c r="RTD11" s="133"/>
      <c r="RTE11" s="133"/>
      <c r="RTF11" s="133"/>
      <c r="RTG11" s="133"/>
      <c r="RTH11" s="133"/>
      <c r="RTI11" s="133"/>
      <c r="RTJ11" s="133"/>
      <c r="RTK11" s="133"/>
      <c r="RTL11" s="133"/>
      <c r="RTM11" s="133"/>
      <c r="RTN11" s="133"/>
      <c r="RTO11" s="133"/>
      <c r="RTP11" s="133"/>
      <c r="RTQ11" s="133"/>
      <c r="RTR11" s="133"/>
      <c r="RTS11" s="133"/>
      <c r="RTT11" s="133"/>
      <c r="RTU11" s="133"/>
      <c r="RTV11" s="133"/>
      <c r="RTW11" s="133"/>
      <c r="RTX11" s="133"/>
      <c r="RTY11" s="133"/>
      <c r="RTZ11" s="133"/>
      <c r="RUA11" s="133"/>
      <c r="RUB11" s="133"/>
      <c r="RUC11" s="133"/>
      <c r="RUD11" s="133"/>
      <c r="RUE11" s="133"/>
      <c r="RUF11" s="133"/>
      <c r="RUG11" s="133"/>
      <c r="RUH11" s="133"/>
      <c r="RUI11" s="133"/>
      <c r="RUJ11" s="133"/>
      <c r="RUK11" s="133"/>
      <c r="RUL11" s="133"/>
      <c r="RUM11" s="133"/>
      <c r="RUN11" s="133"/>
      <c r="RUO11" s="133"/>
      <c r="RUP11" s="133"/>
      <c r="RUQ11" s="133"/>
      <c r="RUR11" s="133"/>
      <c r="RUS11" s="133"/>
      <c r="RUT11" s="133"/>
      <c r="RUU11" s="133"/>
      <c r="RUV11" s="133"/>
      <c r="RUW11" s="133"/>
      <c r="RUX11" s="133"/>
      <c r="RUY11" s="133"/>
      <c r="RUZ11" s="133"/>
      <c r="RVA11" s="133"/>
      <c r="RVB11" s="133"/>
      <c r="RVC11" s="133"/>
      <c r="RVD11" s="133"/>
      <c r="RVE11" s="133"/>
      <c r="RVF11" s="133"/>
      <c r="RVG11" s="133"/>
      <c r="RVH11" s="133"/>
      <c r="RVI11" s="133"/>
      <c r="RVJ11" s="133"/>
      <c r="RVK11" s="133"/>
      <c r="RVL11" s="133"/>
      <c r="RVM11" s="133"/>
      <c r="RVN11" s="133"/>
      <c r="RVO11" s="133"/>
      <c r="RVP11" s="133"/>
      <c r="RVQ11" s="133"/>
      <c r="RVR11" s="133"/>
      <c r="RVS11" s="133"/>
      <c r="RVT11" s="133"/>
      <c r="RVU11" s="133"/>
      <c r="RVV11" s="133"/>
      <c r="RVW11" s="133"/>
      <c r="RVX11" s="133"/>
      <c r="RVY11" s="133"/>
      <c r="RVZ11" s="133"/>
      <c r="RWA11" s="133"/>
      <c r="RWB11" s="133"/>
      <c r="RWC11" s="133"/>
      <c r="RWD11" s="133"/>
      <c r="RWE11" s="133"/>
      <c r="RWF11" s="133"/>
      <c r="RWG11" s="133"/>
      <c r="RWH11" s="133"/>
      <c r="RWI11" s="133"/>
      <c r="RWJ11" s="133"/>
      <c r="RWK11" s="133"/>
      <c r="RWL11" s="133"/>
      <c r="RWM11" s="133"/>
      <c r="RWN11" s="133"/>
      <c r="RWO11" s="133"/>
      <c r="RWP11" s="133"/>
      <c r="RWQ11" s="133"/>
      <c r="RWR11" s="133"/>
      <c r="RWS11" s="133"/>
      <c r="RWT11" s="133"/>
      <c r="RWU11" s="133"/>
      <c r="RWV11" s="133"/>
      <c r="RWW11" s="133"/>
      <c r="RWX11" s="133"/>
      <c r="RWY11" s="133"/>
      <c r="RWZ11" s="133"/>
      <c r="RXA11" s="133"/>
      <c r="RXB11" s="133"/>
      <c r="RXC11" s="133"/>
      <c r="RXD11" s="133"/>
      <c r="RXE11" s="133"/>
      <c r="RXF11" s="133"/>
      <c r="RXG11" s="133"/>
      <c r="RXH11" s="133"/>
      <c r="RXI11" s="133"/>
      <c r="RXJ11" s="133"/>
      <c r="RXK11" s="133"/>
      <c r="RXL11" s="133"/>
      <c r="RXM11" s="133"/>
      <c r="RXN11" s="133"/>
      <c r="RXO11" s="133"/>
      <c r="RXP11" s="133"/>
      <c r="RXQ11" s="133"/>
      <c r="RXR11" s="133"/>
      <c r="RXS11" s="133"/>
      <c r="RXT11" s="133"/>
      <c r="RXU11" s="133"/>
      <c r="RXV11" s="133"/>
      <c r="RXW11" s="133"/>
      <c r="RXX11" s="133"/>
      <c r="RXY11" s="133"/>
      <c r="RXZ11" s="133"/>
      <c r="RYA11" s="133"/>
      <c r="RYB11" s="133"/>
      <c r="RYC11" s="133"/>
      <c r="RYD11" s="133"/>
      <c r="RYE11" s="133"/>
      <c r="RYF11" s="133"/>
      <c r="RYG11" s="133"/>
      <c r="RYH11" s="133"/>
      <c r="RYI11" s="133"/>
      <c r="RYJ11" s="133"/>
      <c r="RYK11" s="133"/>
      <c r="RYL11" s="133"/>
      <c r="RYM11" s="133"/>
      <c r="RYN11" s="133"/>
      <c r="RYO11" s="133"/>
      <c r="RYP11" s="133"/>
      <c r="RYQ11" s="133"/>
      <c r="RYR11" s="133"/>
      <c r="RYS11" s="133"/>
      <c r="RYT11" s="133"/>
      <c r="RYU11" s="133"/>
      <c r="RYV11" s="133"/>
      <c r="RYW11" s="133"/>
      <c r="RYX11" s="133"/>
      <c r="RYY11" s="133"/>
      <c r="RYZ11" s="133"/>
      <c r="RZA11" s="133"/>
      <c r="RZB11" s="133"/>
      <c r="RZC11" s="133"/>
      <c r="RZD11" s="133"/>
      <c r="RZE11" s="133"/>
      <c r="RZF11" s="133"/>
      <c r="RZG11" s="133"/>
      <c r="RZH11" s="133"/>
      <c r="RZI11" s="133"/>
      <c r="RZJ11" s="133"/>
      <c r="RZK11" s="133"/>
      <c r="RZL11" s="133"/>
      <c r="RZM11" s="133"/>
      <c r="RZN11" s="133"/>
      <c r="RZO11" s="133"/>
      <c r="RZP11" s="133"/>
      <c r="RZQ11" s="133"/>
      <c r="RZR11" s="133"/>
      <c r="RZS11" s="133"/>
      <c r="RZT11" s="133"/>
      <c r="RZU11" s="133"/>
      <c r="RZV11" s="133"/>
      <c r="RZW11" s="133"/>
      <c r="RZX11" s="133"/>
      <c r="RZY11" s="133"/>
      <c r="RZZ11" s="133"/>
      <c r="SAA11" s="133"/>
      <c r="SAB11" s="133"/>
      <c r="SAC11" s="133"/>
      <c r="SAD11" s="133"/>
      <c r="SAE11" s="133"/>
      <c r="SAF11" s="133"/>
      <c r="SAG11" s="133"/>
      <c r="SAH11" s="133"/>
      <c r="SAI11" s="133"/>
      <c r="SAJ11" s="133"/>
      <c r="SAK11" s="133"/>
      <c r="SAL11" s="133"/>
      <c r="SAM11" s="133"/>
      <c r="SAN11" s="133"/>
      <c r="SAO11" s="133"/>
      <c r="SAP11" s="133"/>
      <c r="SAQ11" s="133"/>
      <c r="SAR11" s="133"/>
      <c r="SAS11" s="133"/>
      <c r="SAT11" s="133"/>
      <c r="SAU11" s="133"/>
      <c r="SAV11" s="133"/>
      <c r="SAW11" s="133"/>
      <c r="SAX11" s="133"/>
      <c r="SAY11" s="133"/>
      <c r="SAZ11" s="133"/>
      <c r="SBA11" s="133"/>
      <c r="SBB11" s="133"/>
      <c r="SBC11" s="133"/>
      <c r="SBD11" s="133"/>
      <c r="SBE11" s="133"/>
      <c r="SBF11" s="133"/>
      <c r="SBG11" s="133"/>
      <c r="SBH11" s="133"/>
      <c r="SBI11" s="133"/>
      <c r="SBJ11" s="133"/>
      <c r="SBK11" s="133"/>
      <c r="SBL11" s="133"/>
      <c r="SBM11" s="133"/>
      <c r="SBN11" s="133"/>
      <c r="SBO11" s="133"/>
      <c r="SBP11" s="133"/>
      <c r="SBQ11" s="133"/>
      <c r="SBR11" s="133"/>
      <c r="SBS11" s="133"/>
      <c r="SBT11" s="133"/>
      <c r="SBU11" s="133"/>
      <c r="SBV11" s="133"/>
      <c r="SBW11" s="133"/>
      <c r="SBX11" s="133"/>
      <c r="SBY11" s="133"/>
      <c r="SBZ11" s="133"/>
      <c r="SCA11" s="133"/>
      <c r="SCB11" s="133"/>
      <c r="SCC11" s="133"/>
      <c r="SCD11" s="133"/>
      <c r="SCE11" s="133"/>
      <c r="SCF11" s="133"/>
      <c r="SCG11" s="133"/>
      <c r="SCH11" s="133"/>
      <c r="SCI11" s="133"/>
      <c r="SCJ11" s="133"/>
      <c r="SCK11" s="133"/>
      <c r="SCL11" s="133"/>
      <c r="SCM11" s="133"/>
      <c r="SCN11" s="133"/>
      <c r="SCO11" s="133"/>
      <c r="SCP11" s="133"/>
      <c r="SCQ11" s="133"/>
      <c r="SCR11" s="133"/>
      <c r="SCS11" s="133"/>
      <c r="SCT11" s="133"/>
      <c r="SCU11" s="133"/>
      <c r="SCV11" s="133"/>
      <c r="SCW11" s="133"/>
      <c r="SCX11" s="133"/>
      <c r="SCY11" s="133"/>
      <c r="SCZ11" s="133"/>
      <c r="SDA11" s="133"/>
      <c r="SDB11" s="133"/>
      <c r="SDC11" s="133"/>
      <c r="SDD11" s="133"/>
      <c r="SDE11" s="133"/>
      <c r="SDF11" s="133"/>
      <c r="SDG11" s="133"/>
      <c r="SDH11" s="133"/>
      <c r="SDI11" s="133"/>
      <c r="SDJ11" s="133"/>
      <c r="SDK11" s="133"/>
      <c r="SDL11" s="133"/>
      <c r="SDM11" s="133"/>
      <c r="SDN11" s="133"/>
      <c r="SDO11" s="133"/>
      <c r="SDP11" s="133"/>
      <c r="SDQ11" s="133"/>
      <c r="SDR11" s="133"/>
      <c r="SDS11" s="133"/>
      <c r="SDT11" s="133"/>
      <c r="SDU11" s="133"/>
      <c r="SDV11" s="133"/>
      <c r="SDW11" s="133"/>
      <c r="SDX11" s="133"/>
      <c r="SDY11" s="133"/>
      <c r="SDZ11" s="133"/>
      <c r="SEA11" s="133"/>
      <c r="SEB11" s="133"/>
      <c r="SEC11" s="133"/>
      <c r="SED11" s="133"/>
      <c r="SEE11" s="133"/>
      <c r="SEF11" s="133"/>
      <c r="SEG11" s="133"/>
      <c r="SEH11" s="133"/>
      <c r="SEI11" s="133"/>
      <c r="SEJ11" s="133"/>
      <c r="SEK11" s="133"/>
      <c r="SEL11" s="133"/>
      <c r="SEM11" s="133"/>
      <c r="SEN11" s="133"/>
      <c r="SEO11" s="133"/>
      <c r="SEP11" s="133"/>
      <c r="SEQ11" s="133"/>
      <c r="SER11" s="133"/>
      <c r="SES11" s="133"/>
      <c r="SET11" s="133"/>
      <c r="SEU11" s="133"/>
      <c r="SEV11" s="133"/>
      <c r="SEW11" s="133"/>
      <c r="SEX11" s="133"/>
      <c r="SEY11" s="133"/>
      <c r="SEZ11" s="133"/>
      <c r="SFA11" s="133"/>
      <c r="SFB11" s="133"/>
      <c r="SFC11" s="133"/>
      <c r="SFD11" s="133"/>
      <c r="SFE11" s="133"/>
      <c r="SFF11" s="133"/>
      <c r="SFG11" s="133"/>
      <c r="SFH11" s="133"/>
      <c r="SFI11" s="133"/>
      <c r="SFJ11" s="133"/>
      <c r="SFK11" s="133"/>
      <c r="SFL11" s="133"/>
      <c r="SFM11" s="133"/>
      <c r="SFN11" s="133"/>
      <c r="SFO11" s="133"/>
      <c r="SFP11" s="133"/>
      <c r="SFQ11" s="133"/>
      <c r="SFR11" s="133"/>
      <c r="SFS11" s="133"/>
      <c r="SFT11" s="133"/>
      <c r="SFU11" s="133"/>
      <c r="SFV11" s="133"/>
      <c r="SFW11" s="133"/>
      <c r="SFX11" s="133"/>
      <c r="SFY11" s="133"/>
      <c r="SFZ11" s="133"/>
      <c r="SGA11" s="133"/>
      <c r="SGB11" s="133"/>
      <c r="SGC11" s="133"/>
      <c r="SGD11" s="133"/>
      <c r="SGE11" s="133"/>
      <c r="SGF11" s="133"/>
      <c r="SGG11" s="133"/>
      <c r="SGH11" s="133"/>
      <c r="SGI11" s="133"/>
      <c r="SGJ11" s="133"/>
      <c r="SGK11" s="133"/>
      <c r="SGL11" s="133"/>
      <c r="SGM11" s="133"/>
      <c r="SGN11" s="133"/>
      <c r="SGO11" s="133"/>
      <c r="SGP11" s="133"/>
      <c r="SGQ11" s="133"/>
      <c r="SGR11" s="133"/>
      <c r="SGS11" s="133"/>
      <c r="SGT11" s="133"/>
      <c r="SGU11" s="133"/>
      <c r="SGV11" s="133"/>
      <c r="SGW11" s="133"/>
      <c r="SGX11" s="133"/>
      <c r="SGY11" s="133"/>
      <c r="SGZ11" s="133"/>
      <c r="SHA11" s="133"/>
      <c r="SHB11" s="133"/>
      <c r="SHC11" s="133"/>
      <c r="SHD11" s="133"/>
      <c r="SHE11" s="133"/>
      <c r="SHF11" s="133"/>
      <c r="SHG11" s="133"/>
      <c r="SHH11" s="133"/>
      <c r="SHI11" s="133"/>
      <c r="SHJ11" s="133"/>
      <c r="SHK11" s="133"/>
      <c r="SHL11" s="133"/>
      <c r="SHM11" s="133"/>
      <c r="SHN11" s="133"/>
      <c r="SHO11" s="133"/>
      <c r="SHP11" s="133"/>
      <c r="SHQ11" s="133"/>
      <c r="SHR11" s="133"/>
      <c r="SHS11" s="133"/>
      <c r="SHT11" s="133"/>
      <c r="SHU11" s="133"/>
      <c r="SHV11" s="133"/>
      <c r="SHW11" s="133"/>
      <c r="SHX11" s="133"/>
      <c r="SHY11" s="133"/>
      <c r="SHZ11" s="133"/>
      <c r="SIA11" s="133"/>
      <c r="SIB11" s="133"/>
      <c r="SIC11" s="133"/>
      <c r="SID11" s="133"/>
      <c r="SIE11" s="133"/>
      <c r="SIF11" s="133"/>
      <c r="SIG11" s="133"/>
      <c r="SIH11" s="133"/>
      <c r="SII11" s="133"/>
      <c r="SIJ11" s="133"/>
      <c r="SIK11" s="133"/>
      <c r="SIL11" s="133"/>
      <c r="SIM11" s="133"/>
      <c r="SIN11" s="133"/>
      <c r="SIO11" s="133"/>
      <c r="SIP11" s="133"/>
      <c r="SIQ11" s="133"/>
      <c r="SIR11" s="133"/>
      <c r="SIS11" s="133"/>
      <c r="SIT11" s="133"/>
      <c r="SIU11" s="133"/>
      <c r="SIV11" s="133"/>
      <c r="SIW11" s="133"/>
      <c r="SIX11" s="133"/>
      <c r="SIY11" s="133"/>
      <c r="SIZ11" s="133"/>
      <c r="SJA11" s="133"/>
      <c r="SJB11" s="133"/>
      <c r="SJC11" s="133"/>
      <c r="SJD11" s="133"/>
      <c r="SJE11" s="133"/>
      <c r="SJF11" s="133"/>
      <c r="SJG11" s="133"/>
      <c r="SJH11" s="133"/>
      <c r="SJI11" s="133"/>
      <c r="SJJ11" s="133"/>
      <c r="SJK11" s="133"/>
      <c r="SJL11" s="133"/>
      <c r="SJM11" s="133"/>
      <c r="SJN11" s="133"/>
      <c r="SJO11" s="133"/>
      <c r="SJP11" s="133"/>
      <c r="SJQ11" s="133"/>
      <c r="SJR11" s="133"/>
      <c r="SJS11" s="133"/>
      <c r="SJT11" s="133"/>
      <c r="SJU11" s="133"/>
      <c r="SJV11" s="133"/>
      <c r="SJW11" s="133"/>
      <c r="SJX11" s="133"/>
      <c r="SJY11" s="133"/>
      <c r="SJZ11" s="133"/>
      <c r="SKA11" s="133"/>
      <c r="SKB11" s="133"/>
      <c r="SKC11" s="133"/>
      <c r="SKD11" s="133"/>
      <c r="SKE11" s="133"/>
      <c r="SKF11" s="133"/>
      <c r="SKG11" s="133"/>
      <c r="SKH11" s="133"/>
      <c r="SKI11" s="133"/>
      <c r="SKJ11" s="133"/>
      <c r="SKK11" s="133"/>
      <c r="SKL11" s="133"/>
      <c r="SKM11" s="133"/>
      <c r="SKN11" s="133"/>
      <c r="SKO11" s="133"/>
      <c r="SKP11" s="133"/>
      <c r="SKQ11" s="133"/>
      <c r="SKR11" s="133"/>
      <c r="SKS11" s="133"/>
      <c r="SKT11" s="133"/>
      <c r="SKU11" s="133"/>
      <c r="SKV11" s="133"/>
      <c r="SKW11" s="133"/>
      <c r="SKX11" s="133"/>
      <c r="SKY11" s="133"/>
      <c r="SKZ11" s="133"/>
      <c r="SLA11" s="133"/>
      <c r="SLB11" s="133"/>
      <c r="SLC11" s="133"/>
      <c r="SLD11" s="133"/>
      <c r="SLE11" s="133"/>
      <c r="SLF11" s="133"/>
      <c r="SLG11" s="133"/>
      <c r="SLH11" s="133"/>
      <c r="SLI11" s="133"/>
      <c r="SLJ11" s="133"/>
      <c r="SLK11" s="133"/>
      <c r="SLL11" s="133"/>
      <c r="SLM11" s="133"/>
      <c r="SLN11" s="133"/>
      <c r="SLO11" s="133"/>
      <c r="SLP11" s="133"/>
      <c r="SLQ11" s="133"/>
      <c r="SLR11" s="133"/>
      <c r="SLS11" s="133"/>
      <c r="SLT11" s="133"/>
      <c r="SLU11" s="133"/>
      <c r="SLV11" s="133"/>
      <c r="SLW11" s="133"/>
      <c r="SLX11" s="133"/>
      <c r="SLY11" s="133"/>
      <c r="SLZ11" s="133"/>
      <c r="SMA11" s="133"/>
      <c r="SMB11" s="133"/>
      <c r="SMC11" s="133"/>
      <c r="SMD11" s="133"/>
      <c r="SME11" s="133"/>
      <c r="SMF11" s="133"/>
      <c r="SMG11" s="133"/>
      <c r="SMH11" s="133"/>
      <c r="SMI11" s="133"/>
      <c r="SMJ11" s="133"/>
      <c r="SMK11" s="133"/>
      <c r="SML11" s="133"/>
      <c r="SMM11" s="133"/>
      <c r="SMN11" s="133"/>
      <c r="SMO11" s="133"/>
      <c r="SMP11" s="133"/>
      <c r="SMQ11" s="133"/>
      <c r="SMR11" s="133"/>
      <c r="SMS11" s="133"/>
      <c r="SMT11" s="133"/>
      <c r="SMU11" s="133"/>
      <c r="SMV11" s="133"/>
      <c r="SMW11" s="133"/>
      <c r="SMX11" s="133"/>
      <c r="SMY11" s="133"/>
      <c r="SMZ11" s="133"/>
      <c r="SNA11" s="133"/>
      <c r="SNB11" s="133"/>
      <c r="SNC11" s="133"/>
      <c r="SND11" s="133"/>
      <c r="SNE11" s="133"/>
      <c r="SNF11" s="133"/>
      <c r="SNG11" s="133"/>
      <c r="SNH11" s="133"/>
      <c r="SNI11" s="133"/>
      <c r="SNJ11" s="133"/>
      <c r="SNK11" s="133"/>
      <c r="SNL11" s="133"/>
      <c r="SNM11" s="133"/>
      <c r="SNN11" s="133"/>
      <c r="SNO11" s="133"/>
      <c r="SNP11" s="133"/>
      <c r="SNQ11" s="133"/>
      <c r="SNR11" s="133"/>
      <c r="SNS11" s="133"/>
      <c r="SNT11" s="133"/>
      <c r="SNU11" s="133"/>
      <c r="SNV11" s="133"/>
      <c r="SNW11" s="133"/>
      <c r="SNX11" s="133"/>
      <c r="SNY11" s="133"/>
      <c r="SNZ11" s="133"/>
      <c r="SOA11" s="133"/>
      <c r="SOB11" s="133"/>
      <c r="SOC11" s="133"/>
      <c r="SOD11" s="133"/>
      <c r="SOE11" s="133"/>
      <c r="SOF11" s="133"/>
      <c r="SOG11" s="133"/>
      <c r="SOH11" s="133"/>
      <c r="SOI11" s="133"/>
      <c r="SOJ11" s="133"/>
      <c r="SOK11" s="133"/>
      <c r="SOL11" s="133"/>
      <c r="SOM11" s="133"/>
      <c r="SON11" s="133"/>
      <c r="SOO11" s="133"/>
      <c r="SOP11" s="133"/>
      <c r="SOQ11" s="133"/>
      <c r="SOR11" s="133"/>
      <c r="SOS11" s="133"/>
      <c r="SOT11" s="133"/>
      <c r="SOU11" s="133"/>
      <c r="SOV11" s="133"/>
      <c r="SOW11" s="133"/>
      <c r="SOX11" s="133"/>
      <c r="SOY11" s="133"/>
      <c r="SOZ11" s="133"/>
      <c r="SPA11" s="133"/>
      <c r="SPB11" s="133"/>
      <c r="SPC11" s="133"/>
      <c r="SPD11" s="133"/>
      <c r="SPE11" s="133"/>
      <c r="SPF11" s="133"/>
      <c r="SPG11" s="133"/>
      <c r="SPH11" s="133"/>
      <c r="SPI11" s="133"/>
      <c r="SPJ11" s="133"/>
      <c r="SPK11" s="133"/>
      <c r="SPL11" s="133"/>
      <c r="SPM11" s="133"/>
      <c r="SPN11" s="133"/>
      <c r="SPO11" s="133"/>
      <c r="SPP11" s="133"/>
      <c r="SPQ11" s="133"/>
      <c r="SPR11" s="133"/>
      <c r="SPS11" s="133"/>
      <c r="SPT11" s="133"/>
      <c r="SPU11" s="133"/>
      <c r="SPV11" s="133"/>
      <c r="SPW11" s="133"/>
      <c r="SPX11" s="133"/>
      <c r="SPY11" s="133"/>
      <c r="SPZ11" s="133"/>
      <c r="SQA11" s="133"/>
      <c r="SQB11" s="133"/>
      <c r="SQC11" s="133"/>
      <c r="SQD11" s="133"/>
      <c r="SQE11" s="133"/>
      <c r="SQF11" s="133"/>
      <c r="SQG11" s="133"/>
      <c r="SQH11" s="133"/>
      <c r="SQI11" s="133"/>
      <c r="SQJ11" s="133"/>
      <c r="SQK11" s="133"/>
      <c r="SQL11" s="133"/>
      <c r="SQM11" s="133"/>
      <c r="SQN11" s="133"/>
      <c r="SQO11" s="133"/>
      <c r="SQP11" s="133"/>
      <c r="SQQ11" s="133"/>
      <c r="SQR11" s="133"/>
      <c r="SQS11" s="133"/>
      <c r="SQT11" s="133"/>
      <c r="SQU11" s="133"/>
      <c r="SQV11" s="133"/>
      <c r="SQW11" s="133"/>
      <c r="SQX11" s="133"/>
      <c r="SQY11" s="133"/>
      <c r="SQZ11" s="133"/>
      <c r="SRA11" s="133"/>
      <c r="SRB11" s="133"/>
      <c r="SRC11" s="133"/>
      <c r="SRD11" s="133"/>
      <c r="SRE11" s="133"/>
      <c r="SRF11" s="133"/>
      <c r="SRG11" s="133"/>
      <c r="SRH11" s="133"/>
      <c r="SRI11" s="133"/>
      <c r="SRJ11" s="133"/>
      <c r="SRK11" s="133"/>
      <c r="SRL11" s="133"/>
      <c r="SRM11" s="133"/>
      <c r="SRN11" s="133"/>
      <c r="SRO11" s="133"/>
      <c r="SRP11" s="133"/>
      <c r="SRQ11" s="133"/>
      <c r="SRR11" s="133"/>
      <c r="SRS11" s="133"/>
      <c r="SRT11" s="133"/>
      <c r="SRU11" s="133"/>
      <c r="SRV11" s="133"/>
      <c r="SRW11" s="133"/>
      <c r="SRX11" s="133"/>
      <c r="SRY11" s="133"/>
      <c r="SRZ11" s="133"/>
      <c r="SSA11" s="133"/>
      <c r="SSB11" s="133"/>
      <c r="SSC11" s="133"/>
      <c r="SSD11" s="133"/>
      <c r="SSE11" s="133"/>
      <c r="SSF11" s="133"/>
      <c r="SSG11" s="133"/>
      <c r="SSH11" s="133"/>
      <c r="SSI11" s="133"/>
      <c r="SSJ11" s="133"/>
      <c r="SSK11" s="133"/>
      <c r="SSL11" s="133"/>
      <c r="SSM11" s="133"/>
      <c r="SSN11" s="133"/>
      <c r="SSO11" s="133"/>
      <c r="SSP11" s="133"/>
      <c r="SSQ11" s="133"/>
      <c r="SSR11" s="133"/>
      <c r="SSS11" s="133"/>
      <c r="SST11" s="133"/>
      <c r="SSU11" s="133"/>
      <c r="SSV11" s="133"/>
      <c r="SSW11" s="133"/>
      <c r="SSX11" s="133"/>
      <c r="SSY11" s="133"/>
      <c r="SSZ11" s="133"/>
      <c r="STA11" s="133"/>
      <c r="STB11" s="133"/>
      <c r="STC11" s="133"/>
      <c r="STD11" s="133"/>
      <c r="STE11" s="133"/>
      <c r="STF11" s="133"/>
      <c r="STG11" s="133"/>
      <c r="STH11" s="133"/>
      <c r="STI11" s="133"/>
      <c r="STJ11" s="133"/>
      <c r="STK11" s="133"/>
      <c r="STL11" s="133"/>
      <c r="STM11" s="133"/>
      <c r="STN11" s="133"/>
      <c r="STO11" s="133"/>
      <c r="STP11" s="133"/>
      <c r="STQ11" s="133"/>
      <c r="STR11" s="133"/>
      <c r="STS11" s="133"/>
      <c r="STT11" s="133"/>
      <c r="STU11" s="133"/>
      <c r="STV11" s="133"/>
      <c r="STW11" s="133"/>
      <c r="STX11" s="133"/>
      <c r="STY11" s="133"/>
      <c r="STZ11" s="133"/>
      <c r="SUA11" s="133"/>
      <c r="SUB11" s="133"/>
      <c r="SUC11" s="133"/>
      <c r="SUD11" s="133"/>
      <c r="SUE11" s="133"/>
      <c r="SUF11" s="133"/>
      <c r="SUG11" s="133"/>
      <c r="SUH11" s="133"/>
      <c r="SUI11" s="133"/>
      <c r="SUJ11" s="133"/>
      <c r="SUK11" s="133"/>
      <c r="SUL11" s="133"/>
      <c r="SUM11" s="133"/>
      <c r="SUN11" s="133"/>
      <c r="SUO11" s="133"/>
      <c r="SUP11" s="133"/>
      <c r="SUQ11" s="133"/>
      <c r="SUR11" s="133"/>
      <c r="SUS11" s="133"/>
      <c r="SUT11" s="133"/>
      <c r="SUU11" s="133"/>
      <c r="SUV11" s="133"/>
      <c r="SUW11" s="133"/>
      <c r="SUX11" s="133"/>
      <c r="SUY11" s="133"/>
      <c r="SUZ11" s="133"/>
      <c r="SVA11" s="133"/>
      <c r="SVB11" s="133"/>
      <c r="SVC11" s="133"/>
      <c r="SVD11" s="133"/>
      <c r="SVE11" s="133"/>
      <c r="SVF11" s="133"/>
      <c r="SVG11" s="133"/>
      <c r="SVH11" s="133"/>
      <c r="SVI11" s="133"/>
      <c r="SVJ11" s="133"/>
      <c r="SVK11" s="133"/>
      <c r="SVL11" s="133"/>
      <c r="SVM11" s="133"/>
      <c r="SVN11" s="133"/>
      <c r="SVO11" s="133"/>
      <c r="SVP11" s="133"/>
      <c r="SVQ11" s="133"/>
      <c r="SVR11" s="133"/>
      <c r="SVS11" s="133"/>
      <c r="SVT11" s="133"/>
      <c r="SVU11" s="133"/>
      <c r="SVV11" s="133"/>
      <c r="SVW11" s="133"/>
      <c r="SVX11" s="133"/>
      <c r="SVY11" s="133"/>
      <c r="SVZ11" s="133"/>
      <c r="SWA11" s="133"/>
      <c r="SWB11" s="133"/>
      <c r="SWC11" s="133"/>
      <c r="SWD11" s="133"/>
      <c r="SWE11" s="133"/>
      <c r="SWF11" s="133"/>
      <c r="SWG11" s="133"/>
      <c r="SWH11" s="133"/>
      <c r="SWI11" s="133"/>
      <c r="SWJ11" s="133"/>
      <c r="SWK11" s="133"/>
      <c r="SWL11" s="133"/>
      <c r="SWM11" s="133"/>
      <c r="SWN11" s="133"/>
      <c r="SWO11" s="133"/>
      <c r="SWP11" s="133"/>
      <c r="SWQ11" s="133"/>
      <c r="SWR11" s="133"/>
      <c r="SWS11" s="133"/>
      <c r="SWT11" s="133"/>
      <c r="SWU11" s="133"/>
      <c r="SWV11" s="133"/>
      <c r="SWW11" s="133"/>
      <c r="SWX11" s="133"/>
      <c r="SWY11" s="133"/>
      <c r="SWZ11" s="133"/>
      <c r="SXA11" s="133"/>
      <c r="SXB11" s="133"/>
      <c r="SXC11" s="133"/>
      <c r="SXD11" s="133"/>
      <c r="SXE11" s="133"/>
      <c r="SXF11" s="133"/>
      <c r="SXG11" s="133"/>
      <c r="SXH11" s="133"/>
      <c r="SXI11" s="133"/>
      <c r="SXJ11" s="133"/>
      <c r="SXK11" s="133"/>
      <c r="SXL11" s="133"/>
      <c r="SXM11" s="133"/>
      <c r="SXN11" s="133"/>
      <c r="SXO11" s="133"/>
      <c r="SXP11" s="133"/>
      <c r="SXQ11" s="133"/>
      <c r="SXR11" s="133"/>
      <c r="SXS11" s="133"/>
      <c r="SXT11" s="133"/>
      <c r="SXU11" s="133"/>
      <c r="SXV11" s="133"/>
      <c r="SXW11" s="133"/>
      <c r="SXX11" s="133"/>
      <c r="SXY11" s="133"/>
      <c r="SXZ11" s="133"/>
      <c r="SYA11" s="133"/>
      <c r="SYB11" s="133"/>
      <c r="SYC11" s="133"/>
      <c r="SYD11" s="133"/>
      <c r="SYE11" s="133"/>
      <c r="SYF11" s="133"/>
      <c r="SYG11" s="133"/>
      <c r="SYH11" s="133"/>
      <c r="SYI11" s="133"/>
      <c r="SYJ11" s="133"/>
      <c r="SYK11" s="133"/>
      <c r="SYL11" s="133"/>
      <c r="SYM11" s="133"/>
      <c r="SYN11" s="133"/>
      <c r="SYO11" s="133"/>
      <c r="SYP11" s="133"/>
      <c r="SYQ11" s="133"/>
      <c r="SYR11" s="133"/>
      <c r="SYS11" s="133"/>
      <c r="SYT11" s="133"/>
      <c r="SYU11" s="133"/>
      <c r="SYV11" s="133"/>
      <c r="SYW11" s="133"/>
      <c r="SYX11" s="133"/>
      <c r="SYY11" s="133"/>
      <c r="SYZ11" s="133"/>
      <c r="SZA11" s="133"/>
      <c r="SZB11" s="133"/>
      <c r="SZC11" s="133"/>
      <c r="SZD11" s="133"/>
      <c r="SZE11" s="133"/>
      <c r="SZF11" s="133"/>
      <c r="SZG11" s="133"/>
      <c r="SZH11" s="133"/>
      <c r="SZI11" s="133"/>
      <c r="SZJ11" s="133"/>
      <c r="SZK11" s="133"/>
      <c r="SZL11" s="133"/>
      <c r="SZM11" s="133"/>
      <c r="SZN11" s="133"/>
      <c r="SZO11" s="133"/>
      <c r="SZP11" s="133"/>
      <c r="SZQ11" s="133"/>
      <c r="SZR11" s="133"/>
      <c r="SZS11" s="133"/>
      <c r="SZT11" s="133"/>
      <c r="SZU11" s="133"/>
      <c r="SZV11" s="133"/>
      <c r="SZW11" s="133"/>
      <c r="SZX11" s="133"/>
      <c r="SZY11" s="133"/>
      <c r="SZZ11" s="133"/>
      <c r="TAA11" s="133"/>
      <c r="TAB11" s="133"/>
      <c r="TAC11" s="133"/>
      <c r="TAD11" s="133"/>
      <c r="TAE11" s="133"/>
      <c r="TAF11" s="133"/>
      <c r="TAG11" s="133"/>
      <c r="TAH11" s="133"/>
      <c r="TAI11" s="133"/>
      <c r="TAJ11" s="133"/>
      <c r="TAK11" s="133"/>
      <c r="TAL11" s="133"/>
      <c r="TAM11" s="133"/>
      <c r="TAN11" s="133"/>
      <c r="TAO11" s="133"/>
      <c r="TAP11" s="133"/>
      <c r="TAQ11" s="133"/>
      <c r="TAR11" s="133"/>
      <c r="TAS11" s="133"/>
      <c r="TAT11" s="133"/>
      <c r="TAU11" s="133"/>
      <c r="TAV11" s="133"/>
      <c r="TAW11" s="133"/>
      <c r="TAX11" s="133"/>
      <c r="TAY11" s="133"/>
      <c r="TAZ11" s="133"/>
      <c r="TBA11" s="133"/>
      <c r="TBB11" s="133"/>
      <c r="TBC11" s="133"/>
      <c r="TBD11" s="133"/>
      <c r="TBE11" s="133"/>
      <c r="TBF11" s="133"/>
      <c r="TBG11" s="133"/>
      <c r="TBH11" s="133"/>
      <c r="TBI11" s="133"/>
      <c r="TBJ11" s="133"/>
      <c r="TBK11" s="133"/>
      <c r="TBL11" s="133"/>
      <c r="TBM11" s="133"/>
      <c r="TBN11" s="133"/>
      <c r="TBO11" s="133"/>
      <c r="TBP11" s="133"/>
      <c r="TBQ11" s="133"/>
      <c r="TBR11" s="133"/>
      <c r="TBS11" s="133"/>
      <c r="TBT11" s="133"/>
      <c r="TBU11" s="133"/>
      <c r="TBV11" s="133"/>
      <c r="TBW11" s="133"/>
      <c r="TBX11" s="133"/>
      <c r="TBY11" s="133"/>
      <c r="TBZ11" s="133"/>
      <c r="TCA11" s="133"/>
      <c r="TCB11" s="133"/>
      <c r="TCC11" s="133"/>
      <c r="TCD11" s="133"/>
      <c r="TCE11" s="133"/>
      <c r="TCF11" s="133"/>
      <c r="TCG11" s="133"/>
      <c r="TCH11" s="133"/>
      <c r="TCI11" s="133"/>
      <c r="TCJ11" s="133"/>
      <c r="TCK11" s="133"/>
      <c r="TCL11" s="133"/>
      <c r="TCM11" s="133"/>
      <c r="TCN11" s="133"/>
      <c r="TCO11" s="133"/>
      <c r="TCP11" s="133"/>
      <c r="TCQ11" s="133"/>
      <c r="TCR11" s="133"/>
      <c r="TCS11" s="133"/>
      <c r="TCT11" s="133"/>
      <c r="TCU11" s="133"/>
      <c r="TCV11" s="133"/>
      <c r="TCW11" s="133"/>
      <c r="TCX11" s="133"/>
      <c r="TCY11" s="133"/>
      <c r="TCZ11" s="133"/>
      <c r="TDA11" s="133"/>
      <c r="TDB11" s="133"/>
      <c r="TDC11" s="133"/>
      <c r="TDD11" s="133"/>
      <c r="TDE11" s="133"/>
      <c r="TDF11" s="133"/>
      <c r="TDG11" s="133"/>
      <c r="TDH11" s="133"/>
      <c r="TDI11" s="133"/>
      <c r="TDJ11" s="133"/>
      <c r="TDK11" s="133"/>
      <c r="TDL11" s="133"/>
      <c r="TDM11" s="133"/>
      <c r="TDN11" s="133"/>
      <c r="TDO11" s="133"/>
      <c r="TDP11" s="133"/>
      <c r="TDQ11" s="133"/>
      <c r="TDR11" s="133"/>
      <c r="TDS11" s="133"/>
      <c r="TDT11" s="133"/>
      <c r="TDU11" s="133"/>
      <c r="TDV11" s="133"/>
      <c r="TDW11" s="133"/>
      <c r="TDX11" s="133"/>
      <c r="TDY11" s="133"/>
      <c r="TDZ11" s="133"/>
      <c r="TEA11" s="133"/>
      <c r="TEB11" s="133"/>
      <c r="TEC11" s="133"/>
      <c r="TED11" s="133"/>
      <c r="TEE11" s="133"/>
      <c r="TEF11" s="133"/>
      <c r="TEG11" s="133"/>
      <c r="TEH11" s="133"/>
      <c r="TEI11" s="133"/>
      <c r="TEJ11" s="133"/>
      <c r="TEK11" s="133"/>
      <c r="TEL11" s="133"/>
      <c r="TEM11" s="133"/>
      <c r="TEN11" s="133"/>
      <c r="TEO11" s="133"/>
      <c r="TEP11" s="133"/>
      <c r="TEQ11" s="133"/>
      <c r="TER11" s="133"/>
      <c r="TES11" s="133"/>
      <c r="TET11" s="133"/>
      <c r="TEU11" s="133"/>
      <c r="TEV11" s="133"/>
      <c r="TEW11" s="133"/>
      <c r="TEX11" s="133"/>
      <c r="TEY11" s="133"/>
      <c r="TEZ11" s="133"/>
      <c r="TFA11" s="133"/>
      <c r="TFB11" s="133"/>
      <c r="TFC11" s="133"/>
      <c r="TFD11" s="133"/>
      <c r="TFE11" s="133"/>
      <c r="TFF11" s="133"/>
      <c r="TFG11" s="133"/>
      <c r="TFH11" s="133"/>
      <c r="TFI11" s="133"/>
      <c r="TFJ11" s="133"/>
      <c r="TFK11" s="133"/>
      <c r="TFL11" s="133"/>
      <c r="TFM11" s="133"/>
      <c r="TFN11" s="133"/>
      <c r="TFO11" s="133"/>
      <c r="TFP11" s="133"/>
      <c r="TFQ11" s="133"/>
      <c r="TFR11" s="133"/>
      <c r="TFS11" s="133"/>
      <c r="TFT11" s="133"/>
      <c r="TFU11" s="133"/>
      <c r="TFV11" s="133"/>
      <c r="TFW11" s="133"/>
      <c r="TFX11" s="133"/>
      <c r="TFY11" s="133"/>
      <c r="TFZ11" s="133"/>
      <c r="TGA11" s="133"/>
      <c r="TGB11" s="133"/>
      <c r="TGC11" s="133"/>
      <c r="TGD11" s="133"/>
      <c r="TGE11" s="133"/>
      <c r="TGF11" s="133"/>
      <c r="TGG11" s="133"/>
      <c r="TGH11" s="133"/>
      <c r="TGI11" s="133"/>
      <c r="TGJ11" s="133"/>
      <c r="TGK11" s="133"/>
      <c r="TGL11" s="133"/>
      <c r="TGM11" s="133"/>
      <c r="TGN11" s="133"/>
      <c r="TGO11" s="133"/>
      <c r="TGP11" s="133"/>
      <c r="TGQ11" s="133"/>
      <c r="TGR11" s="133"/>
      <c r="TGS11" s="133"/>
      <c r="TGT11" s="133"/>
      <c r="TGU11" s="133"/>
      <c r="TGV11" s="133"/>
      <c r="TGW11" s="133"/>
      <c r="TGX11" s="133"/>
      <c r="TGY11" s="133"/>
      <c r="TGZ11" s="133"/>
      <c r="THA11" s="133"/>
      <c r="THB11" s="133"/>
      <c r="THC11" s="133"/>
      <c r="THD11" s="133"/>
      <c r="THE11" s="133"/>
      <c r="THF11" s="133"/>
      <c r="THG11" s="133"/>
      <c r="THH11" s="133"/>
      <c r="THI11" s="133"/>
      <c r="THJ11" s="133"/>
      <c r="THK11" s="133"/>
      <c r="THL11" s="133"/>
      <c r="THM11" s="133"/>
      <c r="THN11" s="133"/>
      <c r="THO11" s="133"/>
      <c r="THP11" s="133"/>
      <c r="THQ11" s="133"/>
      <c r="THR11" s="133"/>
      <c r="THS11" s="133"/>
      <c r="THT11" s="133"/>
      <c r="THU11" s="133"/>
      <c r="THV11" s="133"/>
      <c r="THW11" s="133"/>
      <c r="THX11" s="133"/>
      <c r="THY11" s="133"/>
      <c r="THZ11" s="133"/>
      <c r="TIA11" s="133"/>
      <c r="TIB11" s="133"/>
      <c r="TIC11" s="133"/>
      <c r="TID11" s="133"/>
      <c r="TIE11" s="133"/>
      <c r="TIF11" s="133"/>
      <c r="TIG11" s="133"/>
      <c r="TIH11" s="133"/>
      <c r="TII11" s="133"/>
      <c r="TIJ11" s="133"/>
      <c r="TIK11" s="133"/>
      <c r="TIL11" s="133"/>
      <c r="TIM11" s="133"/>
      <c r="TIN11" s="133"/>
      <c r="TIO11" s="133"/>
      <c r="TIP11" s="133"/>
      <c r="TIQ11" s="133"/>
      <c r="TIR11" s="133"/>
      <c r="TIS11" s="133"/>
      <c r="TIT11" s="133"/>
      <c r="TIU11" s="133"/>
      <c r="TIV11" s="133"/>
      <c r="TIW11" s="133"/>
      <c r="TIX11" s="133"/>
      <c r="TIY11" s="133"/>
      <c r="TIZ11" s="133"/>
      <c r="TJA11" s="133"/>
      <c r="TJB11" s="133"/>
      <c r="TJC11" s="133"/>
      <c r="TJD11" s="133"/>
      <c r="TJE11" s="133"/>
      <c r="TJF11" s="133"/>
      <c r="TJG11" s="133"/>
      <c r="TJH11" s="133"/>
      <c r="TJI11" s="133"/>
      <c r="TJJ11" s="133"/>
      <c r="TJK11" s="133"/>
      <c r="TJL11" s="133"/>
      <c r="TJM11" s="133"/>
      <c r="TJN11" s="133"/>
      <c r="TJO11" s="133"/>
      <c r="TJP11" s="133"/>
      <c r="TJQ11" s="133"/>
      <c r="TJR11" s="133"/>
      <c r="TJS11" s="133"/>
      <c r="TJT11" s="133"/>
      <c r="TJU11" s="133"/>
      <c r="TJV11" s="133"/>
      <c r="TJW11" s="133"/>
      <c r="TJX11" s="133"/>
      <c r="TJY11" s="133"/>
      <c r="TJZ11" s="133"/>
      <c r="TKA11" s="133"/>
      <c r="TKB11" s="133"/>
      <c r="TKC11" s="133"/>
      <c r="TKD11" s="133"/>
      <c r="TKE11" s="133"/>
      <c r="TKF11" s="133"/>
      <c r="TKG11" s="133"/>
      <c r="TKH11" s="133"/>
      <c r="TKI11" s="133"/>
      <c r="TKJ11" s="133"/>
      <c r="TKK11" s="133"/>
      <c r="TKL11" s="133"/>
      <c r="TKM11" s="133"/>
      <c r="TKN11" s="133"/>
      <c r="TKO11" s="133"/>
      <c r="TKP11" s="133"/>
      <c r="TKQ11" s="133"/>
      <c r="TKR11" s="133"/>
      <c r="TKS11" s="133"/>
      <c r="TKT11" s="133"/>
      <c r="TKU11" s="133"/>
      <c r="TKV11" s="133"/>
      <c r="TKW11" s="133"/>
      <c r="TKX11" s="133"/>
      <c r="TKY11" s="133"/>
      <c r="TKZ11" s="133"/>
      <c r="TLA11" s="133"/>
      <c r="TLB11" s="133"/>
      <c r="TLC11" s="133"/>
      <c r="TLD11" s="133"/>
      <c r="TLE11" s="133"/>
      <c r="TLF11" s="133"/>
      <c r="TLG11" s="133"/>
      <c r="TLH11" s="133"/>
      <c r="TLI11" s="133"/>
      <c r="TLJ11" s="133"/>
      <c r="TLK11" s="133"/>
      <c r="TLL11" s="133"/>
      <c r="TLM11" s="133"/>
      <c r="TLN11" s="133"/>
      <c r="TLO11" s="133"/>
      <c r="TLP11" s="133"/>
      <c r="TLQ11" s="133"/>
      <c r="TLR11" s="133"/>
      <c r="TLS11" s="133"/>
      <c r="TLT11" s="133"/>
      <c r="TLU11" s="133"/>
      <c r="TLV11" s="133"/>
      <c r="TLW11" s="133"/>
      <c r="TLX11" s="133"/>
      <c r="TLY11" s="133"/>
      <c r="TLZ11" s="133"/>
      <c r="TMA11" s="133"/>
      <c r="TMB11" s="133"/>
      <c r="TMC11" s="133"/>
      <c r="TMD11" s="133"/>
      <c r="TME11" s="133"/>
      <c r="TMF11" s="133"/>
      <c r="TMG11" s="133"/>
      <c r="TMH11" s="133"/>
      <c r="TMI11" s="133"/>
      <c r="TMJ11" s="133"/>
      <c r="TMK11" s="133"/>
      <c r="TML11" s="133"/>
      <c r="TMM11" s="133"/>
      <c r="TMN11" s="133"/>
      <c r="TMO11" s="133"/>
      <c r="TMP11" s="133"/>
      <c r="TMQ11" s="133"/>
      <c r="TMR11" s="133"/>
      <c r="TMS11" s="133"/>
      <c r="TMT11" s="133"/>
      <c r="TMU11" s="133"/>
      <c r="TMV11" s="133"/>
      <c r="TMW11" s="133"/>
      <c r="TMX11" s="133"/>
      <c r="TMY11" s="133"/>
      <c r="TMZ11" s="133"/>
      <c r="TNA11" s="133"/>
      <c r="TNB11" s="133"/>
      <c r="TNC11" s="133"/>
      <c r="TND11" s="133"/>
      <c r="TNE11" s="133"/>
      <c r="TNF11" s="133"/>
      <c r="TNG11" s="133"/>
      <c r="TNH11" s="133"/>
      <c r="TNI11" s="133"/>
      <c r="TNJ11" s="133"/>
      <c r="TNK11" s="133"/>
      <c r="TNL11" s="133"/>
      <c r="TNM11" s="133"/>
      <c r="TNN11" s="133"/>
      <c r="TNO11" s="133"/>
      <c r="TNP11" s="133"/>
      <c r="TNQ11" s="133"/>
      <c r="TNR11" s="133"/>
      <c r="TNS11" s="133"/>
      <c r="TNT11" s="133"/>
      <c r="TNU11" s="133"/>
      <c r="TNV11" s="133"/>
      <c r="TNW11" s="133"/>
      <c r="TNX11" s="133"/>
      <c r="TNY11" s="133"/>
      <c r="TNZ11" s="133"/>
      <c r="TOA11" s="133"/>
      <c r="TOB11" s="133"/>
      <c r="TOC11" s="133"/>
      <c r="TOD11" s="133"/>
      <c r="TOE11" s="133"/>
      <c r="TOF11" s="133"/>
      <c r="TOG11" s="133"/>
      <c r="TOH11" s="133"/>
      <c r="TOI11" s="133"/>
      <c r="TOJ11" s="133"/>
      <c r="TOK11" s="133"/>
      <c r="TOL11" s="133"/>
      <c r="TOM11" s="133"/>
      <c r="TON11" s="133"/>
      <c r="TOO11" s="133"/>
      <c r="TOP11" s="133"/>
      <c r="TOQ11" s="133"/>
      <c r="TOR11" s="133"/>
      <c r="TOS11" s="133"/>
      <c r="TOT11" s="133"/>
      <c r="TOU11" s="133"/>
      <c r="TOV11" s="133"/>
      <c r="TOW11" s="133"/>
      <c r="TOX11" s="133"/>
      <c r="TOY11" s="133"/>
      <c r="TOZ11" s="133"/>
      <c r="TPA11" s="133"/>
      <c r="TPB11" s="133"/>
      <c r="TPC11" s="133"/>
      <c r="TPD11" s="133"/>
      <c r="TPE11" s="133"/>
      <c r="TPF11" s="133"/>
      <c r="TPG11" s="133"/>
      <c r="TPH11" s="133"/>
      <c r="TPI11" s="133"/>
      <c r="TPJ11" s="133"/>
      <c r="TPK11" s="133"/>
      <c r="TPL11" s="133"/>
      <c r="TPM11" s="133"/>
      <c r="TPN11" s="133"/>
      <c r="TPO11" s="133"/>
      <c r="TPP11" s="133"/>
      <c r="TPQ11" s="133"/>
      <c r="TPR11" s="133"/>
      <c r="TPS11" s="133"/>
      <c r="TPT11" s="133"/>
      <c r="TPU11" s="133"/>
      <c r="TPV11" s="133"/>
      <c r="TPW11" s="133"/>
      <c r="TPX11" s="133"/>
      <c r="TPY11" s="133"/>
      <c r="TPZ11" s="133"/>
      <c r="TQA11" s="133"/>
      <c r="TQB11" s="133"/>
      <c r="TQC11" s="133"/>
      <c r="TQD11" s="133"/>
      <c r="TQE11" s="133"/>
      <c r="TQF11" s="133"/>
      <c r="TQG11" s="133"/>
      <c r="TQH11" s="133"/>
      <c r="TQI11" s="133"/>
      <c r="TQJ11" s="133"/>
      <c r="TQK11" s="133"/>
      <c r="TQL11" s="133"/>
      <c r="TQM11" s="133"/>
      <c r="TQN11" s="133"/>
      <c r="TQO11" s="133"/>
      <c r="TQP11" s="133"/>
      <c r="TQQ11" s="133"/>
      <c r="TQR11" s="133"/>
      <c r="TQS11" s="133"/>
      <c r="TQT11" s="133"/>
      <c r="TQU11" s="133"/>
      <c r="TQV11" s="133"/>
      <c r="TQW11" s="133"/>
      <c r="TQX11" s="133"/>
      <c r="TQY11" s="133"/>
      <c r="TQZ11" s="133"/>
      <c r="TRA11" s="133"/>
      <c r="TRB11" s="133"/>
      <c r="TRC11" s="133"/>
      <c r="TRD11" s="133"/>
      <c r="TRE11" s="133"/>
      <c r="TRF11" s="133"/>
      <c r="TRG11" s="133"/>
      <c r="TRH11" s="133"/>
      <c r="TRI11" s="133"/>
      <c r="TRJ11" s="133"/>
      <c r="TRK11" s="133"/>
      <c r="TRL11" s="133"/>
      <c r="TRM11" s="133"/>
      <c r="TRN11" s="133"/>
      <c r="TRO11" s="133"/>
      <c r="TRP11" s="133"/>
      <c r="TRQ11" s="133"/>
      <c r="TRR11" s="133"/>
      <c r="TRS11" s="133"/>
      <c r="TRT11" s="133"/>
      <c r="TRU11" s="133"/>
      <c r="TRV11" s="133"/>
      <c r="TRW11" s="133"/>
      <c r="TRX11" s="133"/>
      <c r="TRY11" s="133"/>
      <c r="TRZ11" s="133"/>
      <c r="TSA11" s="133"/>
      <c r="TSB11" s="133"/>
      <c r="TSC11" s="133"/>
      <c r="TSD11" s="133"/>
      <c r="TSE11" s="133"/>
      <c r="TSF11" s="133"/>
      <c r="TSG11" s="133"/>
      <c r="TSH11" s="133"/>
      <c r="TSI11" s="133"/>
      <c r="TSJ11" s="133"/>
      <c r="TSK11" s="133"/>
      <c r="TSL11" s="133"/>
      <c r="TSM11" s="133"/>
      <c r="TSN11" s="133"/>
      <c r="TSO11" s="133"/>
      <c r="TSP11" s="133"/>
      <c r="TSQ11" s="133"/>
      <c r="TSR11" s="133"/>
      <c r="TSS11" s="133"/>
      <c r="TST11" s="133"/>
      <c r="TSU11" s="133"/>
      <c r="TSV11" s="133"/>
      <c r="TSW11" s="133"/>
      <c r="TSX11" s="133"/>
      <c r="TSY11" s="133"/>
      <c r="TSZ11" s="133"/>
      <c r="TTA11" s="133"/>
      <c r="TTB11" s="133"/>
      <c r="TTC11" s="133"/>
      <c r="TTD11" s="133"/>
      <c r="TTE11" s="133"/>
      <c r="TTF11" s="133"/>
      <c r="TTG11" s="133"/>
      <c r="TTH11" s="133"/>
      <c r="TTI11" s="133"/>
      <c r="TTJ11" s="133"/>
      <c r="TTK11" s="133"/>
      <c r="TTL11" s="133"/>
      <c r="TTM11" s="133"/>
      <c r="TTN11" s="133"/>
      <c r="TTO11" s="133"/>
      <c r="TTP11" s="133"/>
      <c r="TTQ11" s="133"/>
      <c r="TTR11" s="133"/>
      <c r="TTS11" s="133"/>
      <c r="TTT11" s="133"/>
      <c r="TTU11" s="133"/>
      <c r="TTV11" s="133"/>
      <c r="TTW11" s="133"/>
      <c r="TTX11" s="133"/>
      <c r="TTY11" s="133"/>
      <c r="TTZ11" s="133"/>
      <c r="TUA11" s="133"/>
      <c r="TUB11" s="133"/>
      <c r="TUC11" s="133"/>
      <c r="TUD11" s="133"/>
      <c r="TUE11" s="133"/>
      <c r="TUF11" s="133"/>
      <c r="TUG11" s="133"/>
      <c r="TUH11" s="133"/>
      <c r="TUI11" s="133"/>
      <c r="TUJ11" s="133"/>
      <c r="TUK11" s="133"/>
      <c r="TUL11" s="133"/>
      <c r="TUM11" s="133"/>
      <c r="TUN11" s="133"/>
      <c r="TUO11" s="133"/>
      <c r="TUP11" s="133"/>
      <c r="TUQ11" s="133"/>
      <c r="TUR11" s="133"/>
      <c r="TUS11" s="133"/>
      <c r="TUT11" s="133"/>
      <c r="TUU11" s="133"/>
      <c r="TUV11" s="133"/>
      <c r="TUW11" s="133"/>
      <c r="TUX11" s="133"/>
      <c r="TUY11" s="133"/>
      <c r="TUZ11" s="133"/>
      <c r="TVA11" s="133"/>
      <c r="TVB11" s="133"/>
      <c r="TVC11" s="133"/>
      <c r="TVD11" s="133"/>
      <c r="TVE11" s="133"/>
      <c r="TVF11" s="133"/>
      <c r="TVG11" s="133"/>
      <c r="TVH11" s="133"/>
      <c r="TVI11" s="133"/>
      <c r="TVJ11" s="133"/>
      <c r="TVK11" s="133"/>
      <c r="TVL11" s="133"/>
      <c r="TVM11" s="133"/>
      <c r="TVN11" s="133"/>
      <c r="TVO11" s="133"/>
      <c r="TVP11" s="133"/>
      <c r="TVQ11" s="133"/>
      <c r="TVR11" s="133"/>
      <c r="TVS11" s="133"/>
      <c r="TVT11" s="133"/>
      <c r="TVU11" s="133"/>
      <c r="TVV11" s="133"/>
      <c r="TVW11" s="133"/>
      <c r="TVX11" s="133"/>
      <c r="TVY11" s="133"/>
      <c r="TVZ11" s="133"/>
      <c r="TWA11" s="133"/>
      <c r="TWB11" s="133"/>
      <c r="TWC11" s="133"/>
      <c r="TWD11" s="133"/>
      <c r="TWE11" s="133"/>
      <c r="TWF11" s="133"/>
      <c r="TWG11" s="133"/>
      <c r="TWH11" s="133"/>
      <c r="TWI11" s="133"/>
      <c r="TWJ11" s="133"/>
      <c r="TWK11" s="133"/>
      <c r="TWL11" s="133"/>
      <c r="TWM11" s="133"/>
      <c r="TWN11" s="133"/>
      <c r="TWO11" s="133"/>
      <c r="TWP11" s="133"/>
      <c r="TWQ11" s="133"/>
      <c r="TWR11" s="133"/>
      <c r="TWS11" s="133"/>
      <c r="TWT11" s="133"/>
      <c r="TWU11" s="133"/>
      <c r="TWV11" s="133"/>
      <c r="TWW11" s="133"/>
      <c r="TWX11" s="133"/>
      <c r="TWY11" s="133"/>
      <c r="TWZ11" s="133"/>
      <c r="TXA11" s="133"/>
      <c r="TXB11" s="133"/>
      <c r="TXC11" s="133"/>
      <c r="TXD11" s="133"/>
      <c r="TXE11" s="133"/>
      <c r="TXF11" s="133"/>
      <c r="TXG11" s="133"/>
      <c r="TXH11" s="133"/>
      <c r="TXI11" s="133"/>
      <c r="TXJ11" s="133"/>
      <c r="TXK11" s="133"/>
      <c r="TXL11" s="133"/>
      <c r="TXM11" s="133"/>
      <c r="TXN11" s="133"/>
      <c r="TXO11" s="133"/>
      <c r="TXP11" s="133"/>
      <c r="TXQ11" s="133"/>
      <c r="TXR11" s="133"/>
      <c r="TXS11" s="133"/>
      <c r="TXT11" s="133"/>
      <c r="TXU11" s="133"/>
      <c r="TXV11" s="133"/>
      <c r="TXW11" s="133"/>
      <c r="TXX11" s="133"/>
      <c r="TXY11" s="133"/>
      <c r="TXZ11" s="133"/>
      <c r="TYA11" s="133"/>
      <c r="TYB11" s="133"/>
      <c r="TYC11" s="133"/>
      <c r="TYD11" s="133"/>
      <c r="TYE11" s="133"/>
      <c r="TYF11" s="133"/>
      <c r="TYG11" s="133"/>
      <c r="TYH11" s="133"/>
      <c r="TYI11" s="133"/>
      <c r="TYJ11" s="133"/>
      <c r="TYK11" s="133"/>
      <c r="TYL11" s="133"/>
      <c r="TYM11" s="133"/>
      <c r="TYN11" s="133"/>
      <c r="TYO11" s="133"/>
      <c r="TYP11" s="133"/>
      <c r="TYQ11" s="133"/>
      <c r="TYR11" s="133"/>
      <c r="TYS11" s="133"/>
      <c r="TYT11" s="133"/>
      <c r="TYU11" s="133"/>
      <c r="TYV11" s="133"/>
      <c r="TYW11" s="133"/>
      <c r="TYX11" s="133"/>
      <c r="TYY11" s="133"/>
      <c r="TYZ11" s="133"/>
      <c r="TZA11" s="133"/>
      <c r="TZB11" s="133"/>
      <c r="TZC11" s="133"/>
      <c r="TZD11" s="133"/>
      <c r="TZE11" s="133"/>
      <c r="TZF11" s="133"/>
      <c r="TZG11" s="133"/>
      <c r="TZH11" s="133"/>
      <c r="TZI11" s="133"/>
      <c r="TZJ11" s="133"/>
      <c r="TZK11" s="133"/>
      <c r="TZL11" s="133"/>
      <c r="TZM11" s="133"/>
      <c r="TZN11" s="133"/>
      <c r="TZO11" s="133"/>
      <c r="TZP11" s="133"/>
      <c r="TZQ11" s="133"/>
      <c r="TZR11" s="133"/>
      <c r="TZS11" s="133"/>
      <c r="TZT11" s="133"/>
      <c r="TZU11" s="133"/>
      <c r="TZV11" s="133"/>
      <c r="TZW11" s="133"/>
      <c r="TZX11" s="133"/>
      <c r="TZY11" s="133"/>
      <c r="TZZ11" s="133"/>
      <c r="UAA11" s="133"/>
      <c r="UAB11" s="133"/>
      <c r="UAC11" s="133"/>
      <c r="UAD11" s="133"/>
      <c r="UAE11" s="133"/>
      <c r="UAF11" s="133"/>
      <c r="UAG11" s="133"/>
      <c r="UAH11" s="133"/>
      <c r="UAI11" s="133"/>
      <c r="UAJ11" s="133"/>
      <c r="UAK11" s="133"/>
      <c r="UAL11" s="133"/>
      <c r="UAM11" s="133"/>
      <c r="UAN11" s="133"/>
      <c r="UAO11" s="133"/>
      <c r="UAP11" s="133"/>
      <c r="UAQ11" s="133"/>
      <c r="UAR11" s="133"/>
      <c r="UAS11" s="133"/>
      <c r="UAT11" s="133"/>
      <c r="UAU11" s="133"/>
      <c r="UAV11" s="133"/>
      <c r="UAW11" s="133"/>
      <c r="UAX11" s="133"/>
      <c r="UAY11" s="133"/>
      <c r="UAZ11" s="133"/>
      <c r="UBA11" s="133"/>
      <c r="UBB11" s="133"/>
      <c r="UBC11" s="133"/>
      <c r="UBD11" s="133"/>
      <c r="UBE11" s="133"/>
      <c r="UBF11" s="133"/>
      <c r="UBG11" s="133"/>
      <c r="UBH11" s="133"/>
      <c r="UBI11" s="133"/>
      <c r="UBJ11" s="133"/>
      <c r="UBK11" s="133"/>
      <c r="UBL11" s="133"/>
      <c r="UBM11" s="133"/>
      <c r="UBN11" s="133"/>
      <c r="UBO11" s="133"/>
      <c r="UBP11" s="133"/>
      <c r="UBQ11" s="133"/>
      <c r="UBR11" s="133"/>
      <c r="UBS11" s="133"/>
      <c r="UBT11" s="133"/>
      <c r="UBU11" s="133"/>
      <c r="UBV11" s="133"/>
      <c r="UBW11" s="133"/>
      <c r="UBX11" s="133"/>
      <c r="UBY11" s="133"/>
      <c r="UBZ11" s="133"/>
      <c r="UCA11" s="133"/>
      <c r="UCB11" s="133"/>
      <c r="UCC11" s="133"/>
      <c r="UCD11" s="133"/>
      <c r="UCE11" s="133"/>
      <c r="UCF11" s="133"/>
      <c r="UCG11" s="133"/>
      <c r="UCH11" s="133"/>
      <c r="UCI11" s="133"/>
      <c r="UCJ11" s="133"/>
      <c r="UCK11" s="133"/>
      <c r="UCL11" s="133"/>
      <c r="UCM11" s="133"/>
      <c r="UCN11" s="133"/>
      <c r="UCO11" s="133"/>
      <c r="UCP11" s="133"/>
      <c r="UCQ11" s="133"/>
      <c r="UCR11" s="133"/>
      <c r="UCS11" s="133"/>
      <c r="UCT11" s="133"/>
      <c r="UCU11" s="133"/>
      <c r="UCV11" s="133"/>
      <c r="UCW11" s="133"/>
      <c r="UCX11" s="133"/>
      <c r="UCY11" s="133"/>
      <c r="UCZ11" s="133"/>
      <c r="UDA11" s="133"/>
      <c r="UDB11" s="133"/>
      <c r="UDC11" s="133"/>
      <c r="UDD11" s="133"/>
      <c r="UDE11" s="133"/>
      <c r="UDF11" s="133"/>
      <c r="UDG11" s="133"/>
      <c r="UDH11" s="133"/>
      <c r="UDI11" s="133"/>
      <c r="UDJ11" s="133"/>
      <c r="UDK11" s="133"/>
      <c r="UDL11" s="133"/>
      <c r="UDM11" s="133"/>
      <c r="UDN11" s="133"/>
      <c r="UDO11" s="133"/>
      <c r="UDP11" s="133"/>
      <c r="UDQ11" s="133"/>
      <c r="UDR11" s="133"/>
      <c r="UDS11" s="133"/>
      <c r="UDT11" s="133"/>
      <c r="UDU11" s="133"/>
      <c r="UDV11" s="133"/>
      <c r="UDW11" s="133"/>
      <c r="UDX11" s="133"/>
      <c r="UDY11" s="133"/>
      <c r="UDZ11" s="133"/>
      <c r="UEA11" s="133"/>
      <c r="UEB11" s="133"/>
      <c r="UEC11" s="133"/>
      <c r="UED11" s="133"/>
      <c r="UEE11" s="133"/>
      <c r="UEF11" s="133"/>
      <c r="UEG11" s="133"/>
      <c r="UEH11" s="133"/>
      <c r="UEI11" s="133"/>
      <c r="UEJ11" s="133"/>
      <c r="UEK11" s="133"/>
      <c r="UEL11" s="133"/>
      <c r="UEM11" s="133"/>
      <c r="UEN11" s="133"/>
      <c r="UEO11" s="133"/>
      <c r="UEP11" s="133"/>
      <c r="UEQ11" s="133"/>
      <c r="UER11" s="133"/>
      <c r="UES11" s="133"/>
      <c r="UET11" s="133"/>
      <c r="UEU11" s="133"/>
      <c r="UEV11" s="133"/>
      <c r="UEW11" s="133"/>
      <c r="UEX11" s="133"/>
      <c r="UEY11" s="133"/>
      <c r="UEZ11" s="133"/>
      <c r="UFA11" s="133"/>
      <c r="UFB11" s="133"/>
      <c r="UFC11" s="133"/>
      <c r="UFD11" s="133"/>
      <c r="UFE11" s="133"/>
      <c r="UFF11" s="133"/>
      <c r="UFG11" s="133"/>
      <c r="UFH11" s="133"/>
      <c r="UFI11" s="133"/>
      <c r="UFJ11" s="133"/>
      <c r="UFK11" s="133"/>
      <c r="UFL11" s="133"/>
      <c r="UFM11" s="133"/>
      <c r="UFN11" s="133"/>
      <c r="UFO11" s="133"/>
      <c r="UFP11" s="133"/>
      <c r="UFQ11" s="133"/>
      <c r="UFR11" s="133"/>
      <c r="UFS11" s="133"/>
      <c r="UFT11" s="133"/>
      <c r="UFU11" s="133"/>
      <c r="UFV11" s="133"/>
      <c r="UFW11" s="133"/>
      <c r="UFX11" s="133"/>
      <c r="UFY11" s="133"/>
      <c r="UFZ11" s="133"/>
      <c r="UGA11" s="133"/>
      <c r="UGB11" s="133"/>
      <c r="UGC11" s="133"/>
      <c r="UGD11" s="133"/>
      <c r="UGE11" s="133"/>
      <c r="UGF11" s="133"/>
      <c r="UGG11" s="133"/>
      <c r="UGH11" s="133"/>
      <c r="UGI11" s="133"/>
      <c r="UGJ11" s="133"/>
      <c r="UGK11" s="133"/>
      <c r="UGL11" s="133"/>
      <c r="UGM11" s="133"/>
      <c r="UGN11" s="133"/>
      <c r="UGO11" s="133"/>
      <c r="UGP11" s="133"/>
      <c r="UGQ11" s="133"/>
      <c r="UGR11" s="133"/>
      <c r="UGS11" s="133"/>
      <c r="UGT11" s="133"/>
      <c r="UGU11" s="133"/>
      <c r="UGV11" s="133"/>
      <c r="UGW11" s="133"/>
      <c r="UGX11" s="133"/>
      <c r="UGY11" s="133"/>
      <c r="UGZ11" s="133"/>
      <c r="UHA11" s="133"/>
      <c r="UHB11" s="133"/>
      <c r="UHC11" s="133"/>
      <c r="UHD11" s="133"/>
      <c r="UHE11" s="133"/>
      <c r="UHF11" s="133"/>
      <c r="UHG11" s="133"/>
      <c r="UHH11" s="133"/>
      <c r="UHI11" s="133"/>
      <c r="UHJ11" s="133"/>
      <c r="UHK11" s="133"/>
      <c r="UHL11" s="133"/>
      <c r="UHM11" s="133"/>
      <c r="UHN11" s="133"/>
      <c r="UHO11" s="133"/>
      <c r="UHP11" s="133"/>
      <c r="UHQ11" s="133"/>
      <c r="UHR11" s="133"/>
      <c r="UHS11" s="133"/>
      <c r="UHT11" s="133"/>
      <c r="UHU11" s="133"/>
      <c r="UHV11" s="133"/>
      <c r="UHW11" s="133"/>
      <c r="UHX11" s="133"/>
      <c r="UHY11" s="133"/>
      <c r="UHZ11" s="133"/>
      <c r="UIA11" s="133"/>
      <c r="UIB11" s="133"/>
      <c r="UIC11" s="133"/>
      <c r="UID11" s="133"/>
      <c r="UIE11" s="133"/>
      <c r="UIF11" s="133"/>
      <c r="UIG11" s="133"/>
      <c r="UIH11" s="133"/>
      <c r="UII11" s="133"/>
      <c r="UIJ11" s="133"/>
      <c r="UIK11" s="133"/>
      <c r="UIL11" s="133"/>
      <c r="UIM11" s="133"/>
      <c r="UIN11" s="133"/>
      <c r="UIO11" s="133"/>
      <c r="UIP11" s="133"/>
      <c r="UIQ11" s="133"/>
      <c r="UIR11" s="133"/>
      <c r="UIS11" s="133"/>
      <c r="UIT11" s="133"/>
      <c r="UIU11" s="133"/>
      <c r="UIV11" s="133"/>
      <c r="UIW11" s="133"/>
      <c r="UIX11" s="133"/>
      <c r="UIY11" s="133"/>
      <c r="UIZ11" s="133"/>
      <c r="UJA11" s="133"/>
      <c r="UJB11" s="133"/>
      <c r="UJC11" s="133"/>
      <c r="UJD11" s="133"/>
      <c r="UJE11" s="133"/>
      <c r="UJF11" s="133"/>
      <c r="UJG11" s="133"/>
      <c r="UJH11" s="133"/>
      <c r="UJI11" s="133"/>
      <c r="UJJ11" s="133"/>
      <c r="UJK11" s="133"/>
      <c r="UJL11" s="133"/>
      <c r="UJM11" s="133"/>
      <c r="UJN11" s="133"/>
      <c r="UJO11" s="133"/>
      <c r="UJP11" s="133"/>
      <c r="UJQ11" s="133"/>
      <c r="UJR11" s="133"/>
      <c r="UJS11" s="133"/>
      <c r="UJT11" s="133"/>
      <c r="UJU11" s="133"/>
      <c r="UJV11" s="133"/>
      <c r="UJW11" s="133"/>
      <c r="UJX11" s="133"/>
      <c r="UJY11" s="133"/>
      <c r="UJZ11" s="133"/>
      <c r="UKA11" s="133"/>
      <c r="UKB11" s="133"/>
      <c r="UKC11" s="133"/>
      <c r="UKD11" s="133"/>
      <c r="UKE11" s="133"/>
      <c r="UKF11" s="133"/>
      <c r="UKG11" s="133"/>
      <c r="UKH11" s="133"/>
      <c r="UKI11" s="133"/>
      <c r="UKJ11" s="133"/>
      <c r="UKK11" s="133"/>
      <c r="UKL11" s="133"/>
      <c r="UKM11" s="133"/>
      <c r="UKN11" s="133"/>
      <c r="UKO11" s="133"/>
      <c r="UKP11" s="133"/>
      <c r="UKQ11" s="133"/>
      <c r="UKR11" s="133"/>
      <c r="UKS11" s="133"/>
      <c r="UKT11" s="133"/>
      <c r="UKU11" s="133"/>
      <c r="UKV11" s="133"/>
      <c r="UKW11" s="133"/>
      <c r="UKX11" s="133"/>
      <c r="UKY11" s="133"/>
      <c r="UKZ11" s="133"/>
      <c r="ULA11" s="133"/>
      <c r="ULB11" s="133"/>
      <c r="ULC11" s="133"/>
      <c r="ULD11" s="133"/>
      <c r="ULE11" s="133"/>
      <c r="ULF11" s="133"/>
      <c r="ULG11" s="133"/>
      <c r="ULH11" s="133"/>
      <c r="ULI11" s="133"/>
      <c r="ULJ11" s="133"/>
      <c r="ULK11" s="133"/>
      <c r="ULL11" s="133"/>
      <c r="ULM11" s="133"/>
      <c r="ULN11" s="133"/>
      <c r="ULO11" s="133"/>
      <c r="ULP11" s="133"/>
      <c r="ULQ11" s="133"/>
      <c r="ULR11" s="133"/>
      <c r="ULS11" s="133"/>
      <c r="ULT11" s="133"/>
      <c r="ULU11" s="133"/>
      <c r="ULV11" s="133"/>
      <c r="ULW11" s="133"/>
      <c r="ULX11" s="133"/>
      <c r="ULY11" s="133"/>
      <c r="ULZ11" s="133"/>
      <c r="UMA11" s="133"/>
      <c r="UMB11" s="133"/>
      <c r="UMC11" s="133"/>
      <c r="UMD11" s="133"/>
      <c r="UME11" s="133"/>
      <c r="UMF11" s="133"/>
      <c r="UMG11" s="133"/>
      <c r="UMH11" s="133"/>
      <c r="UMI11" s="133"/>
      <c r="UMJ11" s="133"/>
      <c r="UMK11" s="133"/>
      <c r="UML11" s="133"/>
      <c r="UMM11" s="133"/>
      <c r="UMN11" s="133"/>
      <c r="UMO11" s="133"/>
      <c r="UMP11" s="133"/>
      <c r="UMQ11" s="133"/>
      <c r="UMR11" s="133"/>
      <c r="UMS11" s="133"/>
      <c r="UMT11" s="133"/>
      <c r="UMU11" s="133"/>
      <c r="UMV11" s="133"/>
      <c r="UMW11" s="133"/>
      <c r="UMX11" s="133"/>
      <c r="UMY11" s="133"/>
      <c r="UMZ11" s="133"/>
      <c r="UNA11" s="133"/>
      <c r="UNB11" s="133"/>
      <c r="UNC11" s="133"/>
      <c r="UND11" s="133"/>
      <c r="UNE11" s="133"/>
      <c r="UNF11" s="133"/>
      <c r="UNG11" s="133"/>
      <c r="UNH11" s="133"/>
      <c r="UNI11" s="133"/>
      <c r="UNJ11" s="133"/>
      <c r="UNK11" s="133"/>
      <c r="UNL11" s="133"/>
      <c r="UNM11" s="133"/>
      <c r="UNN11" s="133"/>
      <c r="UNO11" s="133"/>
      <c r="UNP11" s="133"/>
      <c r="UNQ11" s="133"/>
      <c r="UNR11" s="133"/>
      <c r="UNS11" s="133"/>
      <c r="UNT11" s="133"/>
      <c r="UNU11" s="133"/>
      <c r="UNV11" s="133"/>
      <c r="UNW11" s="133"/>
      <c r="UNX11" s="133"/>
      <c r="UNY11" s="133"/>
      <c r="UNZ11" s="133"/>
      <c r="UOA11" s="133"/>
      <c r="UOB11" s="133"/>
      <c r="UOC11" s="133"/>
      <c r="UOD11" s="133"/>
      <c r="UOE11" s="133"/>
      <c r="UOF11" s="133"/>
      <c r="UOG11" s="133"/>
      <c r="UOH11" s="133"/>
      <c r="UOI11" s="133"/>
      <c r="UOJ11" s="133"/>
      <c r="UOK11" s="133"/>
      <c r="UOL11" s="133"/>
      <c r="UOM11" s="133"/>
      <c r="UON11" s="133"/>
      <c r="UOO11" s="133"/>
      <c r="UOP11" s="133"/>
      <c r="UOQ11" s="133"/>
      <c r="UOR11" s="133"/>
      <c r="UOS11" s="133"/>
      <c r="UOT11" s="133"/>
      <c r="UOU11" s="133"/>
      <c r="UOV11" s="133"/>
      <c r="UOW11" s="133"/>
      <c r="UOX11" s="133"/>
      <c r="UOY11" s="133"/>
      <c r="UOZ11" s="133"/>
      <c r="UPA11" s="133"/>
      <c r="UPB11" s="133"/>
      <c r="UPC11" s="133"/>
      <c r="UPD11" s="133"/>
      <c r="UPE11" s="133"/>
      <c r="UPF11" s="133"/>
      <c r="UPG11" s="133"/>
      <c r="UPH11" s="133"/>
      <c r="UPI11" s="133"/>
      <c r="UPJ11" s="133"/>
      <c r="UPK11" s="133"/>
      <c r="UPL11" s="133"/>
      <c r="UPM11" s="133"/>
      <c r="UPN11" s="133"/>
      <c r="UPO11" s="133"/>
      <c r="UPP11" s="133"/>
      <c r="UPQ11" s="133"/>
      <c r="UPR11" s="133"/>
      <c r="UPS11" s="133"/>
      <c r="UPT11" s="133"/>
      <c r="UPU11" s="133"/>
      <c r="UPV11" s="133"/>
      <c r="UPW11" s="133"/>
      <c r="UPX11" s="133"/>
      <c r="UPY11" s="133"/>
      <c r="UPZ11" s="133"/>
      <c r="UQA11" s="133"/>
      <c r="UQB11" s="133"/>
      <c r="UQC11" s="133"/>
      <c r="UQD11" s="133"/>
      <c r="UQE11" s="133"/>
      <c r="UQF11" s="133"/>
      <c r="UQG11" s="133"/>
      <c r="UQH11" s="133"/>
      <c r="UQI11" s="133"/>
      <c r="UQJ11" s="133"/>
      <c r="UQK11" s="133"/>
      <c r="UQL11" s="133"/>
      <c r="UQM11" s="133"/>
      <c r="UQN11" s="133"/>
      <c r="UQO11" s="133"/>
      <c r="UQP11" s="133"/>
      <c r="UQQ11" s="133"/>
      <c r="UQR11" s="133"/>
      <c r="UQS11" s="133"/>
      <c r="UQT11" s="133"/>
      <c r="UQU11" s="133"/>
      <c r="UQV11" s="133"/>
      <c r="UQW11" s="133"/>
      <c r="UQX11" s="133"/>
      <c r="UQY11" s="133"/>
      <c r="UQZ11" s="133"/>
      <c r="URA11" s="133"/>
      <c r="URB11" s="133"/>
      <c r="URC11" s="133"/>
      <c r="URD11" s="133"/>
      <c r="URE11" s="133"/>
      <c r="URF11" s="133"/>
      <c r="URG11" s="133"/>
      <c r="URH11" s="133"/>
      <c r="URI11" s="133"/>
      <c r="URJ11" s="133"/>
      <c r="URK11" s="133"/>
      <c r="URL11" s="133"/>
      <c r="URM11" s="133"/>
      <c r="URN11" s="133"/>
      <c r="URO11" s="133"/>
      <c r="URP11" s="133"/>
      <c r="URQ11" s="133"/>
      <c r="URR11" s="133"/>
      <c r="URS11" s="133"/>
      <c r="URT11" s="133"/>
      <c r="URU11" s="133"/>
      <c r="URV11" s="133"/>
      <c r="URW11" s="133"/>
      <c r="URX11" s="133"/>
      <c r="URY11" s="133"/>
      <c r="URZ11" s="133"/>
      <c r="USA11" s="133"/>
      <c r="USB11" s="133"/>
      <c r="USC11" s="133"/>
      <c r="USD11" s="133"/>
      <c r="USE11" s="133"/>
      <c r="USF11" s="133"/>
      <c r="USG11" s="133"/>
      <c r="USH11" s="133"/>
      <c r="USI11" s="133"/>
      <c r="USJ11" s="133"/>
      <c r="USK11" s="133"/>
      <c r="USL11" s="133"/>
      <c r="USM11" s="133"/>
      <c r="USN11" s="133"/>
      <c r="USO11" s="133"/>
      <c r="USP11" s="133"/>
      <c r="USQ11" s="133"/>
      <c r="USR11" s="133"/>
      <c r="USS11" s="133"/>
      <c r="UST11" s="133"/>
      <c r="USU11" s="133"/>
      <c r="USV11" s="133"/>
      <c r="USW11" s="133"/>
      <c r="USX11" s="133"/>
      <c r="USY11" s="133"/>
      <c r="USZ11" s="133"/>
      <c r="UTA11" s="133"/>
      <c r="UTB11" s="133"/>
      <c r="UTC11" s="133"/>
      <c r="UTD11" s="133"/>
      <c r="UTE11" s="133"/>
      <c r="UTF11" s="133"/>
      <c r="UTG11" s="133"/>
      <c r="UTH11" s="133"/>
      <c r="UTI11" s="133"/>
      <c r="UTJ11" s="133"/>
      <c r="UTK11" s="133"/>
      <c r="UTL11" s="133"/>
      <c r="UTM11" s="133"/>
      <c r="UTN11" s="133"/>
      <c r="UTO11" s="133"/>
      <c r="UTP11" s="133"/>
      <c r="UTQ11" s="133"/>
      <c r="UTR11" s="133"/>
      <c r="UTS11" s="133"/>
      <c r="UTT11" s="133"/>
      <c r="UTU11" s="133"/>
      <c r="UTV11" s="133"/>
      <c r="UTW11" s="133"/>
      <c r="UTX11" s="133"/>
      <c r="UTY11" s="133"/>
      <c r="UTZ11" s="133"/>
      <c r="UUA11" s="133"/>
      <c r="UUB11" s="133"/>
      <c r="UUC11" s="133"/>
      <c r="UUD11" s="133"/>
      <c r="UUE11" s="133"/>
      <c r="UUF11" s="133"/>
      <c r="UUG11" s="133"/>
      <c r="UUH11" s="133"/>
      <c r="UUI11" s="133"/>
      <c r="UUJ11" s="133"/>
      <c r="UUK11" s="133"/>
      <c r="UUL11" s="133"/>
      <c r="UUM11" s="133"/>
      <c r="UUN11" s="133"/>
      <c r="UUO11" s="133"/>
      <c r="UUP11" s="133"/>
      <c r="UUQ11" s="133"/>
      <c r="UUR11" s="133"/>
      <c r="UUS11" s="133"/>
      <c r="UUT11" s="133"/>
      <c r="UUU11" s="133"/>
      <c r="UUV11" s="133"/>
      <c r="UUW11" s="133"/>
      <c r="UUX11" s="133"/>
      <c r="UUY11" s="133"/>
      <c r="UUZ11" s="133"/>
      <c r="UVA11" s="133"/>
      <c r="UVB11" s="133"/>
      <c r="UVC11" s="133"/>
      <c r="UVD11" s="133"/>
      <c r="UVE11" s="133"/>
      <c r="UVF11" s="133"/>
      <c r="UVG11" s="133"/>
      <c r="UVH11" s="133"/>
      <c r="UVI11" s="133"/>
      <c r="UVJ11" s="133"/>
      <c r="UVK11" s="133"/>
      <c r="UVL11" s="133"/>
      <c r="UVM11" s="133"/>
      <c r="UVN11" s="133"/>
      <c r="UVO11" s="133"/>
      <c r="UVP11" s="133"/>
      <c r="UVQ11" s="133"/>
      <c r="UVR11" s="133"/>
      <c r="UVS11" s="133"/>
      <c r="UVT11" s="133"/>
      <c r="UVU11" s="133"/>
      <c r="UVV11" s="133"/>
      <c r="UVW11" s="133"/>
      <c r="UVX11" s="133"/>
      <c r="UVY11" s="133"/>
      <c r="UVZ11" s="133"/>
      <c r="UWA11" s="133"/>
      <c r="UWB11" s="133"/>
      <c r="UWC11" s="133"/>
      <c r="UWD11" s="133"/>
      <c r="UWE11" s="133"/>
      <c r="UWF11" s="133"/>
      <c r="UWG11" s="133"/>
      <c r="UWH11" s="133"/>
      <c r="UWI11" s="133"/>
      <c r="UWJ11" s="133"/>
      <c r="UWK11" s="133"/>
      <c r="UWL11" s="133"/>
      <c r="UWM11" s="133"/>
      <c r="UWN11" s="133"/>
      <c r="UWO11" s="133"/>
      <c r="UWP11" s="133"/>
      <c r="UWQ11" s="133"/>
      <c r="UWR11" s="133"/>
      <c r="UWS11" s="133"/>
      <c r="UWT11" s="133"/>
      <c r="UWU11" s="133"/>
      <c r="UWV11" s="133"/>
      <c r="UWW11" s="133"/>
      <c r="UWX11" s="133"/>
      <c r="UWY11" s="133"/>
      <c r="UWZ11" s="133"/>
      <c r="UXA11" s="133"/>
      <c r="UXB11" s="133"/>
      <c r="UXC11" s="133"/>
      <c r="UXD11" s="133"/>
      <c r="UXE11" s="133"/>
      <c r="UXF11" s="133"/>
      <c r="UXG11" s="133"/>
      <c r="UXH11" s="133"/>
      <c r="UXI11" s="133"/>
      <c r="UXJ11" s="133"/>
      <c r="UXK11" s="133"/>
      <c r="UXL11" s="133"/>
      <c r="UXM11" s="133"/>
      <c r="UXN11" s="133"/>
      <c r="UXO11" s="133"/>
      <c r="UXP11" s="133"/>
      <c r="UXQ11" s="133"/>
      <c r="UXR11" s="133"/>
      <c r="UXS11" s="133"/>
      <c r="UXT11" s="133"/>
      <c r="UXU11" s="133"/>
      <c r="UXV11" s="133"/>
      <c r="UXW11" s="133"/>
      <c r="UXX11" s="133"/>
      <c r="UXY11" s="133"/>
      <c r="UXZ11" s="133"/>
      <c r="UYA11" s="133"/>
      <c r="UYB11" s="133"/>
      <c r="UYC11" s="133"/>
      <c r="UYD11" s="133"/>
      <c r="UYE11" s="133"/>
      <c r="UYF11" s="133"/>
      <c r="UYG11" s="133"/>
      <c r="UYH11" s="133"/>
      <c r="UYI11" s="133"/>
      <c r="UYJ11" s="133"/>
      <c r="UYK11" s="133"/>
      <c r="UYL11" s="133"/>
      <c r="UYM11" s="133"/>
      <c r="UYN11" s="133"/>
      <c r="UYO11" s="133"/>
      <c r="UYP11" s="133"/>
      <c r="UYQ11" s="133"/>
      <c r="UYR11" s="133"/>
      <c r="UYS11" s="133"/>
      <c r="UYT11" s="133"/>
      <c r="UYU11" s="133"/>
      <c r="UYV11" s="133"/>
      <c r="UYW11" s="133"/>
      <c r="UYX11" s="133"/>
      <c r="UYY11" s="133"/>
      <c r="UYZ11" s="133"/>
      <c r="UZA11" s="133"/>
      <c r="UZB11" s="133"/>
      <c r="UZC11" s="133"/>
      <c r="UZD11" s="133"/>
      <c r="UZE11" s="133"/>
      <c r="UZF11" s="133"/>
      <c r="UZG11" s="133"/>
      <c r="UZH11" s="133"/>
      <c r="UZI11" s="133"/>
      <c r="UZJ11" s="133"/>
      <c r="UZK11" s="133"/>
      <c r="UZL11" s="133"/>
      <c r="UZM11" s="133"/>
      <c r="UZN11" s="133"/>
      <c r="UZO11" s="133"/>
      <c r="UZP11" s="133"/>
      <c r="UZQ11" s="133"/>
      <c r="UZR11" s="133"/>
      <c r="UZS11" s="133"/>
      <c r="UZT11" s="133"/>
      <c r="UZU11" s="133"/>
      <c r="UZV11" s="133"/>
      <c r="UZW11" s="133"/>
      <c r="UZX11" s="133"/>
      <c r="UZY11" s="133"/>
      <c r="UZZ11" s="133"/>
      <c r="VAA11" s="133"/>
      <c r="VAB11" s="133"/>
      <c r="VAC11" s="133"/>
      <c r="VAD11" s="133"/>
      <c r="VAE11" s="133"/>
      <c r="VAF11" s="133"/>
      <c r="VAG11" s="133"/>
      <c r="VAH11" s="133"/>
      <c r="VAI11" s="133"/>
      <c r="VAJ11" s="133"/>
      <c r="VAK11" s="133"/>
      <c r="VAL11" s="133"/>
      <c r="VAM11" s="133"/>
      <c r="VAN11" s="133"/>
      <c r="VAO11" s="133"/>
      <c r="VAP11" s="133"/>
      <c r="VAQ11" s="133"/>
      <c r="VAR11" s="133"/>
      <c r="VAS11" s="133"/>
      <c r="VAT11" s="133"/>
      <c r="VAU11" s="133"/>
      <c r="VAV11" s="133"/>
      <c r="VAW11" s="133"/>
      <c r="VAX11" s="133"/>
      <c r="VAY11" s="133"/>
      <c r="VAZ11" s="133"/>
      <c r="VBA11" s="133"/>
      <c r="VBB11" s="133"/>
      <c r="VBC11" s="133"/>
      <c r="VBD11" s="133"/>
      <c r="VBE11" s="133"/>
      <c r="VBF11" s="133"/>
      <c r="VBG11" s="133"/>
      <c r="VBH11" s="133"/>
      <c r="VBI11" s="133"/>
      <c r="VBJ11" s="133"/>
      <c r="VBK11" s="133"/>
      <c r="VBL11" s="133"/>
      <c r="VBM11" s="133"/>
      <c r="VBN11" s="133"/>
      <c r="VBO11" s="133"/>
      <c r="VBP11" s="133"/>
      <c r="VBQ11" s="133"/>
      <c r="VBR11" s="133"/>
      <c r="VBS11" s="133"/>
      <c r="VBT11" s="133"/>
      <c r="VBU11" s="133"/>
      <c r="VBV11" s="133"/>
      <c r="VBW11" s="133"/>
      <c r="VBX11" s="133"/>
      <c r="VBY11" s="133"/>
      <c r="VBZ11" s="133"/>
      <c r="VCA11" s="133"/>
      <c r="VCB11" s="133"/>
      <c r="VCC11" s="133"/>
      <c r="VCD11" s="133"/>
      <c r="VCE11" s="133"/>
      <c r="VCF11" s="133"/>
      <c r="VCG11" s="133"/>
      <c r="VCH11" s="133"/>
      <c r="VCI11" s="133"/>
      <c r="VCJ11" s="133"/>
      <c r="VCK11" s="133"/>
      <c r="VCL11" s="133"/>
      <c r="VCM11" s="133"/>
      <c r="VCN11" s="133"/>
      <c r="VCO11" s="133"/>
      <c r="VCP11" s="133"/>
      <c r="VCQ11" s="133"/>
      <c r="VCR11" s="133"/>
      <c r="VCS11" s="133"/>
      <c r="VCT11" s="133"/>
      <c r="VCU11" s="133"/>
      <c r="VCV11" s="133"/>
      <c r="VCW11" s="133"/>
      <c r="VCX11" s="133"/>
      <c r="VCY11" s="133"/>
      <c r="VCZ11" s="133"/>
      <c r="VDA11" s="133"/>
      <c r="VDB11" s="133"/>
      <c r="VDC11" s="133"/>
      <c r="VDD11" s="133"/>
      <c r="VDE11" s="133"/>
      <c r="VDF11" s="133"/>
      <c r="VDG11" s="133"/>
      <c r="VDH11" s="133"/>
      <c r="VDI11" s="133"/>
      <c r="VDJ11" s="133"/>
      <c r="VDK11" s="133"/>
      <c r="VDL11" s="133"/>
      <c r="VDM11" s="133"/>
      <c r="VDN11" s="133"/>
      <c r="VDO11" s="133"/>
      <c r="VDP11" s="133"/>
      <c r="VDQ11" s="133"/>
      <c r="VDR11" s="133"/>
      <c r="VDS11" s="133"/>
      <c r="VDT11" s="133"/>
      <c r="VDU11" s="133"/>
      <c r="VDV11" s="133"/>
      <c r="VDW11" s="133"/>
      <c r="VDX11" s="133"/>
      <c r="VDY11" s="133"/>
      <c r="VDZ11" s="133"/>
      <c r="VEA11" s="133"/>
      <c r="VEB11" s="133"/>
      <c r="VEC11" s="133"/>
      <c r="VED11" s="133"/>
      <c r="VEE11" s="133"/>
      <c r="VEF11" s="133"/>
      <c r="VEG11" s="133"/>
      <c r="VEH11" s="133"/>
      <c r="VEI11" s="133"/>
      <c r="VEJ11" s="133"/>
      <c r="VEK11" s="133"/>
      <c r="VEL11" s="133"/>
      <c r="VEM11" s="133"/>
      <c r="VEN11" s="133"/>
      <c r="VEO11" s="133"/>
      <c r="VEP11" s="133"/>
      <c r="VEQ11" s="133"/>
      <c r="VER11" s="133"/>
      <c r="VES11" s="133"/>
      <c r="VET11" s="133"/>
      <c r="VEU11" s="133"/>
      <c r="VEV11" s="133"/>
      <c r="VEW11" s="133"/>
      <c r="VEX11" s="133"/>
      <c r="VEY11" s="133"/>
      <c r="VEZ11" s="133"/>
      <c r="VFA11" s="133"/>
      <c r="VFB11" s="133"/>
      <c r="VFC11" s="133"/>
      <c r="VFD11" s="133"/>
      <c r="VFE11" s="133"/>
      <c r="VFF11" s="133"/>
      <c r="VFG11" s="133"/>
      <c r="VFH11" s="133"/>
      <c r="VFI11" s="133"/>
      <c r="VFJ11" s="133"/>
      <c r="VFK11" s="133"/>
      <c r="VFL11" s="133"/>
      <c r="VFM11" s="133"/>
      <c r="VFN11" s="133"/>
      <c r="VFO11" s="133"/>
      <c r="VFP11" s="133"/>
      <c r="VFQ11" s="133"/>
      <c r="VFR11" s="133"/>
      <c r="VFS11" s="133"/>
      <c r="VFT11" s="133"/>
      <c r="VFU11" s="133"/>
      <c r="VFV11" s="133"/>
      <c r="VFW11" s="133"/>
      <c r="VFX11" s="133"/>
      <c r="VFY11" s="133"/>
      <c r="VFZ11" s="133"/>
      <c r="VGA11" s="133"/>
      <c r="VGB11" s="133"/>
      <c r="VGC11" s="133"/>
      <c r="VGD11" s="133"/>
      <c r="VGE11" s="133"/>
      <c r="VGF11" s="133"/>
      <c r="VGG11" s="133"/>
      <c r="VGH11" s="133"/>
      <c r="VGI11" s="133"/>
      <c r="VGJ11" s="133"/>
      <c r="VGK11" s="133"/>
      <c r="VGL11" s="133"/>
      <c r="VGM11" s="133"/>
      <c r="VGN11" s="133"/>
      <c r="VGO11" s="133"/>
      <c r="VGP11" s="133"/>
      <c r="VGQ11" s="133"/>
      <c r="VGR11" s="133"/>
      <c r="VGS11" s="133"/>
      <c r="VGT11" s="133"/>
      <c r="VGU11" s="133"/>
      <c r="VGV11" s="133"/>
      <c r="VGW11" s="133"/>
      <c r="VGX11" s="133"/>
      <c r="VGY11" s="133"/>
      <c r="VGZ11" s="133"/>
      <c r="VHA11" s="133"/>
      <c r="VHB11" s="133"/>
      <c r="VHC11" s="133"/>
      <c r="VHD11" s="133"/>
      <c r="VHE11" s="133"/>
      <c r="VHF11" s="133"/>
      <c r="VHG11" s="133"/>
      <c r="VHH11" s="133"/>
      <c r="VHI11" s="133"/>
      <c r="VHJ11" s="133"/>
      <c r="VHK11" s="133"/>
      <c r="VHL11" s="133"/>
      <c r="VHM11" s="133"/>
      <c r="VHN11" s="133"/>
      <c r="VHO11" s="133"/>
      <c r="VHP11" s="133"/>
      <c r="VHQ11" s="133"/>
      <c r="VHR11" s="133"/>
      <c r="VHS11" s="133"/>
      <c r="VHT11" s="133"/>
      <c r="VHU11" s="133"/>
      <c r="VHV11" s="133"/>
      <c r="VHW11" s="133"/>
      <c r="VHX11" s="133"/>
      <c r="VHY11" s="133"/>
      <c r="VHZ11" s="133"/>
      <c r="VIA11" s="133"/>
      <c r="VIB11" s="133"/>
      <c r="VIC11" s="133"/>
      <c r="VID11" s="133"/>
      <c r="VIE11" s="133"/>
      <c r="VIF11" s="133"/>
      <c r="VIG11" s="133"/>
      <c r="VIH11" s="133"/>
      <c r="VII11" s="133"/>
      <c r="VIJ11" s="133"/>
      <c r="VIK11" s="133"/>
      <c r="VIL11" s="133"/>
      <c r="VIM11" s="133"/>
      <c r="VIN11" s="133"/>
      <c r="VIO11" s="133"/>
      <c r="VIP11" s="133"/>
      <c r="VIQ11" s="133"/>
      <c r="VIR11" s="133"/>
      <c r="VIS11" s="133"/>
      <c r="VIT11" s="133"/>
      <c r="VIU11" s="133"/>
      <c r="VIV11" s="133"/>
      <c r="VIW11" s="133"/>
      <c r="VIX11" s="133"/>
      <c r="VIY11" s="133"/>
      <c r="VIZ11" s="133"/>
      <c r="VJA11" s="133"/>
      <c r="VJB11" s="133"/>
      <c r="VJC11" s="133"/>
      <c r="VJD11" s="133"/>
      <c r="VJE11" s="133"/>
      <c r="VJF11" s="133"/>
      <c r="VJG11" s="133"/>
      <c r="VJH11" s="133"/>
      <c r="VJI11" s="133"/>
      <c r="VJJ11" s="133"/>
      <c r="VJK11" s="133"/>
      <c r="VJL11" s="133"/>
      <c r="VJM11" s="133"/>
      <c r="VJN11" s="133"/>
      <c r="VJO11" s="133"/>
      <c r="VJP11" s="133"/>
      <c r="VJQ11" s="133"/>
      <c r="VJR11" s="133"/>
      <c r="VJS11" s="133"/>
      <c r="VJT11" s="133"/>
      <c r="VJU11" s="133"/>
      <c r="VJV11" s="133"/>
      <c r="VJW11" s="133"/>
      <c r="VJX11" s="133"/>
      <c r="VJY11" s="133"/>
      <c r="VJZ11" s="133"/>
      <c r="VKA11" s="133"/>
      <c r="VKB11" s="133"/>
      <c r="VKC11" s="133"/>
      <c r="VKD11" s="133"/>
      <c r="VKE11" s="133"/>
      <c r="VKF11" s="133"/>
      <c r="VKG11" s="133"/>
      <c r="VKH11" s="133"/>
      <c r="VKI11" s="133"/>
      <c r="VKJ11" s="133"/>
      <c r="VKK11" s="133"/>
      <c r="VKL11" s="133"/>
      <c r="VKM11" s="133"/>
      <c r="VKN11" s="133"/>
      <c r="VKO11" s="133"/>
      <c r="VKP11" s="133"/>
      <c r="VKQ11" s="133"/>
      <c r="VKR11" s="133"/>
      <c r="VKS11" s="133"/>
      <c r="VKT11" s="133"/>
      <c r="VKU11" s="133"/>
      <c r="VKV11" s="133"/>
      <c r="VKW11" s="133"/>
      <c r="VKX11" s="133"/>
      <c r="VKY11" s="133"/>
      <c r="VKZ11" s="133"/>
      <c r="VLA11" s="133"/>
      <c r="VLB11" s="133"/>
      <c r="VLC11" s="133"/>
      <c r="VLD11" s="133"/>
      <c r="VLE11" s="133"/>
      <c r="VLF11" s="133"/>
      <c r="VLG11" s="133"/>
      <c r="VLH11" s="133"/>
      <c r="VLI11" s="133"/>
      <c r="VLJ11" s="133"/>
      <c r="VLK11" s="133"/>
      <c r="VLL11" s="133"/>
      <c r="VLM11" s="133"/>
      <c r="VLN11" s="133"/>
      <c r="VLO11" s="133"/>
      <c r="VLP11" s="133"/>
      <c r="VLQ11" s="133"/>
      <c r="VLR11" s="133"/>
      <c r="VLS11" s="133"/>
      <c r="VLT11" s="133"/>
      <c r="VLU11" s="133"/>
      <c r="VLV11" s="133"/>
      <c r="VLW11" s="133"/>
      <c r="VLX11" s="133"/>
      <c r="VLY11" s="133"/>
      <c r="VLZ11" s="133"/>
      <c r="VMA11" s="133"/>
      <c r="VMB11" s="133"/>
      <c r="VMC11" s="133"/>
      <c r="VMD11" s="133"/>
      <c r="VME11" s="133"/>
      <c r="VMF11" s="133"/>
      <c r="VMG11" s="133"/>
      <c r="VMH11" s="133"/>
      <c r="VMI11" s="133"/>
      <c r="VMJ11" s="133"/>
      <c r="VMK11" s="133"/>
      <c r="VML11" s="133"/>
      <c r="VMM11" s="133"/>
      <c r="VMN11" s="133"/>
      <c r="VMO11" s="133"/>
      <c r="VMP11" s="133"/>
      <c r="VMQ11" s="133"/>
      <c r="VMR11" s="133"/>
      <c r="VMS11" s="133"/>
      <c r="VMT11" s="133"/>
      <c r="VMU11" s="133"/>
      <c r="VMV11" s="133"/>
      <c r="VMW11" s="133"/>
      <c r="VMX11" s="133"/>
      <c r="VMY11" s="133"/>
      <c r="VMZ11" s="133"/>
      <c r="VNA11" s="133"/>
      <c r="VNB11" s="133"/>
      <c r="VNC11" s="133"/>
      <c r="VND11" s="133"/>
      <c r="VNE11" s="133"/>
      <c r="VNF11" s="133"/>
      <c r="VNG11" s="133"/>
      <c r="VNH11" s="133"/>
      <c r="VNI11" s="133"/>
      <c r="VNJ11" s="133"/>
      <c r="VNK11" s="133"/>
      <c r="VNL11" s="133"/>
      <c r="VNM11" s="133"/>
      <c r="VNN11" s="133"/>
      <c r="VNO11" s="133"/>
      <c r="VNP11" s="133"/>
      <c r="VNQ11" s="133"/>
      <c r="VNR11" s="133"/>
      <c r="VNS11" s="133"/>
      <c r="VNT11" s="133"/>
      <c r="VNU11" s="133"/>
      <c r="VNV11" s="133"/>
      <c r="VNW11" s="133"/>
      <c r="VNX11" s="133"/>
      <c r="VNY11" s="133"/>
      <c r="VNZ11" s="133"/>
      <c r="VOA11" s="133"/>
      <c r="VOB11" s="133"/>
      <c r="VOC11" s="133"/>
      <c r="VOD11" s="133"/>
      <c r="VOE11" s="133"/>
      <c r="VOF11" s="133"/>
      <c r="VOG11" s="133"/>
      <c r="VOH11" s="133"/>
      <c r="VOI11" s="133"/>
      <c r="VOJ11" s="133"/>
      <c r="VOK11" s="133"/>
      <c r="VOL11" s="133"/>
      <c r="VOM11" s="133"/>
      <c r="VON11" s="133"/>
      <c r="VOO11" s="133"/>
      <c r="VOP11" s="133"/>
      <c r="VOQ11" s="133"/>
      <c r="VOR11" s="133"/>
      <c r="VOS11" s="133"/>
      <c r="VOT11" s="133"/>
      <c r="VOU11" s="133"/>
      <c r="VOV11" s="133"/>
      <c r="VOW11" s="133"/>
      <c r="VOX11" s="133"/>
      <c r="VOY11" s="133"/>
      <c r="VOZ11" s="133"/>
      <c r="VPA11" s="133"/>
      <c r="VPB11" s="133"/>
      <c r="VPC11" s="133"/>
      <c r="VPD11" s="133"/>
      <c r="VPE11" s="133"/>
      <c r="VPF11" s="133"/>
      <c r="VPG11" s="133"/>
      <c r="VPH11" s="133"/>
      <c r="VPI11" s="133"/>
      <c r="VPJ11" s="133"/>
      <c r="VPK11" s="133"/>
      <c r="VPL11" s="133"/>
      <c r="VPM11" s="133"/>
      <c r="VPN11" s="133"/>
      <c r="VPO11" s="133"/>
      <c r="VPP11" s="133"/>
      <c r="VPQ11" s="133"/>
      <c r="VPR11" s="133"/>
      <c r="VPS11" s="133"/>
      <c r="VPT11" s="133"/>
      <c r="VPU11" s="133"/>
      <c r="VPV11" s="133"/>
      <c r="VPW11" s="133"/>
      <c r="VPX11" s="133"/>
      <c r="VPY11" s="133"/>
      <c r="VPZ11" s="133"/>
      <c r="VQA11" s="133"/>
      <c r="VQB11" s="133"/>
      <c r="VQC11" s="133"/>
      <c r="VQD11" s="133"/>
      <c r="VQE11" s="133"/>
      <c r="VQF11" s="133"/>
      <c r="VQG11" s="133"/>
      <c r="VQH11" s="133"/>
      <c r="VQI11" s="133"/>
      <c r="VQJ11" s="133"/>
      <c r="VQK11" s="133"/>
      <c r="VQL11" s="133"/>
      <c r="VQM11" s="133"/>
      <c r="VQN11" s="133"/>
      <c r="VQO11" s="133"/>
      <c r="VQP11" s="133"/>
      <c r="VQQ11" s="133"/>
      <c r="VQR11" s="133"/>
      <c r="VQS11" s="133"/>
      <c r="VQT11" s="133"/>
      <c r="VQU11" s="133"/>
      <c r="VQV11" s="133"/>
      <c r="VQW11" s="133"/>
      <c r="VQX11" s="133"/>
      <c r="VQY11" s="133"/>
      <c r="VQZ11" s="133"/>
      <c r="VRA11" s="133"/>
      <c r="VRB11" s="133"/>
      <c r="VRC11" s="133"/>
      <c r="VRD11" s="133"/>
      <c r="VRE11" s="133"/>
      <c r="VRF11" s="133"/>
      <c r="VRG11" s="133"/>
      <c r="VRH11" s="133"/>
      <c r="VRI11" s="133"/>
      <c r="VRJ11" s="133"/>
      <c r="VRK11" s="133"/>
      <c r="VRL11" s="133"/>
      <c r="VRM11" s="133"/>
      <c r="VRN11" s="133"/>
      <c r="VRO11" s="133"/>
      <c r="VRP11" s="133"/>
      <c r="VRQ11" s="133"/>
      <c r="VRR11" s="133"/>
      <c r="VRS11" s="133"/>
      <c r="VRT11" s="133"/>
      <c r="VRU11" s="133"/>
      <c r="VRV11" s="133"/>
      <c r="VRW11" s="133"/>
      <c r="VRX11" s="133"/>
      <c r="VRY11" s="133"/>
      <c r="VRZ11" s="133"/>
      <c r="VSA11" s="133"/>
      <c r="VSB11" s="133"/>
      <c r="VSC11" s="133"/>
      <c r="VSD11" s="133"/>
      <c r="VSE11" s="133"/>
      <c r="VSF11" s="133"/>
      <c r="VSG11" s="133"/>
      <c r="VSH11" s="133"/>
      <c r="VSI11" s="133"/>
      <c r="VSJ11" s="133"/>
      <c r="VSK11" s="133"/>
      <c r="VSL11" s="133"/>
      <c r="VSM11" s="133"/>
      <c r="VSN11" s="133"/>
      <c r="VSO11" s="133"/>
      <c r="VSP11" s="133"/>
      <c r="VSQ11" s="133"/>
      <c r="VSR11" s="133"/>
      <c r="VSS11" s="133"/>
      <c r="VST11" s="133"/>
      <c r="VSU11" s="133"/>
      <c r="VSV11" s="133"/>
      <c r="VSW11" s="133"/>
      <c r="VSX11" s="133"/>
      <c r="VSY11" s="133"/>
      <c r="VSZ11" s="133"/>
      <c r="VTA11" s="133"/>
      <c r="VTB11" s="133"/>
      <c r="VTC11" s="133"/>
      <c r="VTD11" s="133"/>
      <c r="VTE11" s="133"/>
      <c r="VTF11" s="133"/>
      <c r="VTG11" s="133"/>
      <c r="VTH11" s="133"/>
      <c r="VTI11" s="133"/>
      <c r="VTJ11" s="133"/>
      <c r="VTK11" s="133"/>
      <c r="VTL11" s="133"/>
      <c r="VTM11" s="133"/>
      <c r="VTN11" s="133"/>
      <c r="VTO11" s="133"/>
      <c r="VTP11" s="133"/>
      <c r="VTQ11" s="133"/>
      <c r="VTR11" s="133"/>
      <c r="VTS11" s="133"/>
      <c r="VTT11" s="133"/>
      <c r="VTU11" s="133"/>
      <c r="VTV11" s="133"/>
      <c r="VTW11" s="133"/>
      <c r="VTX11" s="133"/>
      <c r="VTY11" s="133"/>
      <c r="VTZ11" s="133"/>
      <c r="VUA11" s="133"/>
      <c r="VUB11" s="133"/>
      <c r="VUC11" s="133"/>
      <c r="VUD11" s="133"/>
      <c r="VUE11" s="133"/>
      <c r="VUF11" s="133"/>
      <c r="VUG11" s="133"/>
      <c r="VUH11" s="133"/>
      <c r="VUI11" s="133"/>
      <c r="VUJ11" s="133"/>
      <c r="VUK11" s="133"/>
      <c r="VUL11" s="133"/>
      <c r="VUM11" s="133"/>
      <c r="VUN11" s="133"/>
      <c r="VUO11" s="133"/>
      <c r="VUP11" s="133"/>
      <c r="VUQ11" s="133"/>
      <c r="VUR11" s="133"/>
      <c r="VUS11" s="133"/>
      <c r="VUT11" s="133"/>
      <c r="VUU11" s="133"/>
      <c r="VUV11" s="133"/>
      <c r="VUW11" s="133"/>
      <c r="VUX11" s="133"/>
      <c r="VUY11" s="133"/>
      <c r="VUZ11" s="133"/>
      <c r="VVA11" s="133"/>
      <c r="VVB11" s="133"/>
      <c r="VVC11" s="133"/>
      <c r="VVD11" s="133"/>
      <c r="VVE11" s="133"/>
      <c r="VVF11" s="133"/>
      <c r="VVG11" s="133"/>
      <c r="VVH11" s="133"/>
      <c r="VVI11" s="133"/>
      <c r="VVJ11" s="133"/>
      <c r="VVK11" s="133"/>
      <c r="VVL11" s="133"/>
      <c r="VVM11" s="133"/>
      <c r="VVN11" s="133"/>
      <c r="VVO11" s="133"/>
      <c r="VVP11" s="133"/>
      <c r="VVQ11" s="133"/>
      <c r="VVR11" s="133"/>
      <c r="VVS11" s="133"/>
      <c r="VVT11" s="133"/>
      <c r="VVU11" s="133"/>
      <c r="VVV11" s="133"/>
      <c r="VVW11" s="133"/>
      <c r="VVX11" s="133"/>
      <c r="VVY11" s="133"/>
      <c r="VVZ11" s="133"/>
      <c r="VWA11" s="133"/>
      <c r="VWB11" s="133"/>
      <c r="VWC11" s="133"/>
      <c r="VWD11" s="133"/>
      <c r="VWE11" s="133"/>
      <c r="VWF11" s="133"/>
      <c r="VWG11" s="133"/>
      <c r="VWH11" s="133"/>
      <c r="VWI11" s="133"/>
      <c r="VWJ11" s="133"/>
      <c r="VWK11" s="133"/>
      <c r="VWL11" s="133"/>
      <c r="VWM11" s="133"/>
      <c r="VWN11" s="133"/>
      <c r="VWO11" s="133"/>
      <c r="VWP11" s="133"/>
      <c r="VWQ11" s="133"/>
      <c r="VWR11" s="133"/>
      <c r="VWS11" s="133"/>
      <c r="VWT11" s="133"/>
      <c r="VWU11" s="133"/>
      <c r="VWV11" s="133"/>
      <c r="VWW11" s="133"/>
      <c r="VWX11" s="133"/>
      <c r="VWY11" s="133"/>
      <c r="VWZ11" s="133"/>
      <c r="VXA11" s="133"/>
      <c r="VXB11" s="133"/>
      <c r="VXC11" s="133"/>
      <c r="VXD11" s="133"/>
      <c r="VXE11" s="133"/>
      <c r="VXF11" s="133"/>
      <c r="VXG11" s="133"/>
      <c r="VXH11" s="133"/>
      <c r="VXI11" s="133"/>
      <c r="VXJ11" s="133"/>
      <c r="VXK11" s="133"/>
      <c r="VXL11" s="133"/>
      <c r="VXM11" s="133"/>
      <c r="VXN11" s="133"/>
      <c r="VXO11" s="133"/>
      <c r="VXP11" s="133"/>
      <c r="VXQ11" s="133"/>
      <c r="VXR11" s="133"/>
      <c r="VXS11" s="133"/>
      <c r="VXT11" s="133"/>
      <c r="VXU11" s="133"/>
      <c r="VXV11" s="133"/>
      <c r="VXW11" s="133"/>
      <c r="VXX11" s="133"/>
      <c r="VXY11" s="133"/>
      <c r="VXZ11" s="133"/>
      <c r="VYA11" s="133"/>
      <c r="VYB11" s="133"/>
      <c r="VYC11" s="133"/>
      <c r="VYD11" s="133"/>
      <c r="VYE11" s="133"/>
      <c r="VYF11" s="133"/>
      <c r="VYG11" s="133"/>
      <c r="VYH11" s="133"/>
      <c r="VYI11" s="133"/>
      <c r="VYJ11" s="133"/>
      <c r="VYK11" s="133"/>
      <c r="VYL11" s="133"/>
      <c r="VYM11" s="133"/>
      <c r="VYN11" s="133"/>
      <c r="VYO11" s="133"/>
      <c r="VYP11" s="133"/>
      <c r="VYQ11" s="133"/>
      <c r="VYR11" s="133"/>
      <c r="VYS11" s="133"/>
      <c r="VYT11" s="133"/>
      <c r="VYU11" s="133"/>
      <c r="VYV11" s="133"/>
      <c r="VYW11" s="133"/>
      <c r="VYX11" s="133"/>
      <c r="VYY11" s="133"/>
      <c r="VYZ11" s="133"/>
      <c r="VZA11" s="133"/>
      <c r="VZB11" s="133"/>
      <c r="VZC11" s="133"/>
      <c r="VZD11" s="133"/>
      <c r="VZE11" s="133"/>
      <c r="VZF11" s="133"/>
      <c r="VZG11" s="133"/>
      <c r="VZH11" s="133"/>
      <c r="VZI11" s="133"/>
      <c r="VZJ11" s="133"/>
      <c r="VZK11" s="133"/>
      <c r="VZL11" s="133"/>
      <c r="VZM11" s="133"/>
      <c r="VZN11" s="133"/>
      <c r="VZO11" s="133"/>
      <c r="VZP11" s="133"/>
      <c r="VZQ11" s="133"/>
      <c r="VZR11" s="133"/>
      <c r="VZS11" s="133"/>
      <c r="VZT11" s="133"/>
      <c r="VZU11" s="133"/>
      <c r="VZV11" s="133"/>
      <c r="VZW11" s="133"/>
      <c r="VZX11" s="133"/>
      <c r="VZY11" s="133"/>
      <c r="VZZ11" s="133"/>
      <c r="WAA11" s="133"/>
      <c r="WAB11" s="133"/>
      <c r="WAC11" s="133"/>
      <c r="WAD11" s="133"/>
      <c r="WAE11" s="133"/>
      <c r="WAF11" s="133"/>
      <c r="WAG11" s="133"/>
      <c r="WAH11" s="133"/>
      <c r="WAI11" s="133"/>
      <c r="WAJ11" s="133"/>
      <c r="WAK11" s="133"/>
      <c r="WAL11" s="133"/>
      <c r="WAM11" s="133"/>
      <c r="WAN11" s="133"/>
      <c r="WAO11" s="133"/>
      <c r="WAP11" s="133"/>
      <c r="WAQ11" s="133"/>
      <c r="WAR11" s="133"/>
      <c r="WAS11" s="133"/>
      <c r="WAT11" s="133"/>
      <c r="WAU11" s="133"/>
      <c r="WAV11" s="133"/>
      <c r="WAW11" s="133"/>
      <c r="WAX11" s="133"/>
      <c r="WAY11" s="133"/>
      <c r="WAZ11" s="133"/>
      <c r="WBA11" s="133"/>
      <c r="WBB11" s="133"/>
      <c r="WBC11" s="133"/>
      <c r="WBD11" s="133"/>
      <c r="WBE11" s="133"/>
      <c r="WBF11" s="133"/>
      <c r="WBG11" s="133"/>
      <c r="WBH11" s="133"/>
      <c r="WBI11" s="133"/>
      <c r="WBJ11" s="133"/>
      <c r="WBK11" s="133"/>
      <c r="WBL11" s="133"/>
      <c r="WBM11" s="133"/>
      <c r="WBN11" s="133"/>
      <c r="WBO11" s="133"/>
      <c r="WBP11" s="133"/>
      <c r="WBQ11" s="133"/>
      <c r="WBR11" s="133"/>
      <c r="WBS11" s="133"/>
      <c r="WBT11" s="133"/>
      <c r="WBU11" s="133"/>
      <c r="WBV11" s="133"/>
      <c r="WBW11" s="133"/>
      <c r="WBX11" s="133"/>
      <c r="WBY11" s="133"/>
      <c r="WBZ11" s="133"/>
      <c r="WCA11" s="133"/>
      <c r="WCB11" s="133"/>
      <c r="WCC11" s="133"/>
      <c r="WCD11" s="133"/>
      <c r="WCE11" s="133"/>
      <c r="WCF11" s="133"/>
      <c r="WCG11" s="133"/>
      <c r="WCH11" s="133"/>
      <c r="WCI11" s="133"/>
      <c r="WCJ11" s="133"/>
      <c r="WCK11" s="133"/>
      <c r="WCL11" s="133"/>
      <c r="WCM11" s="133"/>
      <c r="WCN11" s="133"/>
      <c r="WCO11" s="133"/>
      <c r="WCP11" s="133"/>
      <c r="WCQ11" s="133"/>
      <c r="WCR11" s="133"/>
      <c r="WCS11" s="133"/>
      <c r="WCT11" s="133"/>
      <c r="WCU11" s="133"/>
      <c r="WCV11" s="133"/>
      <c r="WCW11" s="133"/>
      <c r="WCX11" s="133"/>
      <c r="WCY11" s="133"/>
      <c r="WCZ11" s="133"/>
      <c r="WDA11" s="133"/>
      <c r="WDB11" s="133"/>
      <c r="WDC11" s="133"/>
      <c r="WDD11" s="133"/>
      <c r="WDE11" s="133"/>
      <c r="WDF11" s="133"/>
      <c r="WDG11" s="133"/>
      <c r="WDH11" s="133"/>
      <c r="WDI11" s="133"/>
      <c r="WDJ11" s="133"/>
      <c r="WDK11" s="133"/>
      <c r="WDL11" s="133"/>
      <c r="WDM11" s="133"/>
      <c r="WDN11" s="133"/>
      <c r="WDO11" s="133"/>
      <c r="WDP11" s="133"/>
      <c r="WDQ11" s="133"/>
      <c r="WDR11" s="133"/>
      <c r="WDS11" s="133"/>
      <c r="WDT11" s="133"/>
      <c r="WDU11" s="133"/>
      <c r="WDV11" s="133"/>
      <c r="WDW11" s="133"/>
      <c r="WDX11" s="133"/>
      <c r="WDY11" s="133"/>
      <c r="WDZ11" s="133"/>
      <c r="WEA11" s="133"/>
      <c r="WEB11" s="133"/>
      <c r="WEC11" s="133"/>
      <c r="WED11" s="133"/>
      <c r="WEE11" s="133"/>
      <c r="WEF11" s="133"/>
      <c r="WEG11" s="133"/>
      <c r="WEH11" s="133"/>
      <c r="WEI11" s="133"/>
      <c r="WEJ11" s="133"/>
      <c r="WEK11" s="133"/>
      <c r="WEL11" s="133"/>
      <c r="WEM11" s="133"/>
      <c r="WEN11" s="133"/>
      <c r="WEO11" s="133"/>
      <c r="WEP11" s="133"/>
      <c r="WEQ11" s="133"/>
      <c r="WER11" s="133"/>
      <c r="WES11" s="133"/>
      <c r="WET11" s="133"/>
      <c r="WEU11" s="133"/>
      <c r="WEV11" s="133"/>
      <c r="WEW11" s="133"/>
      <c r="WEX11" s="133"/>
      <c r="WEY11" s="133"/>
      <c r="WEZ11" s="133"/>
      <c r="WFA11" s="133"/>
      <c r="WFB11" s="133"/>
      <c r="WFC11" s="133"/>
      <c r="WFD11" s="133"/>
      <c r="WFE11" s="133"/>
      <c r="WFF11" s="133"/>
      <c r="WFG11" s="133"/>
      <c r="WFH11" s="133"/>
      <c r="WFI11" s="133"/>
      <c r="WFJ11" s="133"/>
      <c r="WFK11" s="133"/>
      <c r="WFL11" s="133"/>
      <c r="WFM11" s="133"/>
      <c r="WFN11" s="133"/>
      <c r="WFO11" s="133"/>
      <c r="WFP11" s="133"/>
      <c r="WFQ11" s="133"/>
      <c r="WFR11" s="133"/>
      <c r="WFS11" s="133"/>
      <c r="WFT11" s="133"/>
      <c r="WFU11" s="133"/>
      <c r="WFV11" s="133"/>
      <c r="WFW11" s="133"/>
      <c r="WFX11" s="133"/>
      <c r="WFY11" s="133"/>
      <c r="WFZ11" s="133"/>
      <c r="WGA11" s="133"/>
      <c r="WGB11" s="133"/>
      <c r="WGC11" s="133"/>
      <c r="WGD11" s="133"/>
      <c r="WGE11" s="133"/>
      <c r="WGF11" s="133"/>
      <c r="WGG11" s="133"/>
      <c r="WGH11" s="133"/>
      <c r="WGI11" s="133"/>
      <c r="WGJ11" s="133"/>
      <c r="WGK11" s="133"/>
      <c r="WGL11" s="133"/>
      <c r="WGM11" s="133"/>
      <c r="WGN11" s="133"/>
      <c r="WGO11" s="133"/>
      <c r="WGP11" s="133"/>
      <c r="WGQ11" s="133"/>
      <c r="WGR11" s="133"/>
      <c r="WGS11" s="133"/>
      <c r="WGT11" s="133"/>
      <c r="WGU11" s="133"/>
      <c r="WGV11" s="133"/>
      <c r="WGW11" s="133"/>
      <c r="WGX11" s="133"/>
      <c r="WGY11" s="133"/>
      <c r="WGZ11" s="133"/>
      <c r="WHA11" s="133"/>
      <c r="WHB11" s="133"/>
      <c r="WHC11" s="133"/>
      <c r="WHD11" s="133"/>
      <c r="WHE11" s="133"/>
      <c r="WHF11" s="133"/>
      <c r="WHG11" s="133"/>
      <c r="WHH11" s="133"/>
      <c r="WHI11" s="133"/>
      <c r="WHJ11" s="133"/>
      <c r="WHK11" s="133"/>
      <c r="WHL11" s="133"/>
      <c r="WHM11" s="133"/>
      <c r="WHN11" s="133"/>
      <c r="WHO11" s="133"/>
      <c r="WHP11" s="133"/>
      <c r="WHQ11" s="133"/>
      <c r="WHR11" s="133"/>
      <c r="WHS11" s="133"/>
      <c r="WHT11" s="133"/>
      <c r="WHU11" s="133"/>
      <c r="WHV11" s="133"/>
      <c r="WHW11" s="133"/>
      <c r="WHX11" s="133"/>
      <c r="WHY11" s="133"/>
      <c r="WHZ11" s="133"/>
      <c r="WIA11" s="133"/>
      <c r="WIB11" s="133"/>
      <c r="WIC11" s="133"/>
      <c r="WID11" s="133"/>
      <c r="WIE11" s="133"/>
      <c r="WIF11" s="133"/>
      <c r="WIG11" s="133"/>
      <c r="WIH11" s="133"/>
      <c r="WII11" s="133"/>
      <c r="WIJ11" s="133"/>
      <c r="WIK11" s="133"/>
      <c r="WIL11" s="133"/>
      <c r="WIM11" s="133"/>
      <c r="WIN11" s="133"/>
      <c r="WIO11" s="133"/>
      <c r="WIP11" s="133"/>
      <c r="WIQ11" s="133"/>
      <c r="WIR11" s="133"/>
      <c r="WIS11" s="133"/>
      <c r="WIT11" s="133"/>
      <c r="WIU11" s="133"/>
      <c r="WIV11" s="133"/>
      <c r="WIW11" s="133"/>
      <c r="WIX11" s="133"/>
      <c r="WIY11" s="133"/>
      <c r="WIZ11" s="133"/>
      <c r="WJA11" s="133"/>
      <c r="WJB11" s="133"/>
      <c r="WJC11" s="133"/>
      <c r="WJD11" s="133"/>
      <c r="WJE11" s="133"/>
      <c r="WJF11" s="133"/>
      <c r="WJG11" s="133"/>
      <c r="WJH11" s="133"/>
      <c r="WJI11" s="133"/>
      <c r="WJJ11" s="133"/>
      <c r="WJK11" s="133"/>
      <c r="WJL11" s="133"/>
      <c r="WJM11" s="133"/>
      <c r="WJN11" s="133"/>
      <c r="WJO11" s="133"/>
      <c r="WJP11" s="133"/>
      <c r="WJQ11" s="133"/>
      <c r="WJR11" s="133"/>
      <c r="WJS11" s="133"/>
      <c r="WJT11" s="133"/>
      <c r="WJU11" s="133"/>
      <c r="WJV11" s="133"/>
      <c r="WJW11" s="133"/>
      <c r="WJX11" s="133"/>
      <c r="WJY11" s="133"/>
      <c r="WJZ11" s="133"/>
      <c r="WKA11" s="133"/>
      <c r="WKB11" s="133"/>
      <c r="WKC11" s="133"/>
      <c r="WKD11" s="133"/>
      <c r="WKE11" s="133"/>
      <c r="WKF11" s="133"/>
      <c r="WKG11" s="133"/>
      <c r="WKH11" s="133"/>
      <c r="WKI11" s="133"/>
      <c r="WKJ11" s="133"/>
      <c r="WKK11" s="133"/>
      <c r="WKL11" s="133"/>
      <c r="WKM11" s="133"/>
      <c r="WKN11" s="133"/>
      <c r="WKO11" s="133"/>
      <c r="WKP11" s="133"/>
      <c r="WKQ11" s="133"/>
      <c r="WKR11" s="133"/>
      <c r="WKS11" s="133"/>
      <c r="WKT11" s="133"/>
      <c r="WKU11" s="133"/>
      <c r="WKV11" s="133"/>
      <c r="WKW11" s="133"/>
      <c r="WKX11" s="133"/>
      <c r="WKY11" s="133"/>
      <c r="WKZ11" s="133"/>
      <c r="WLA11" s="133"/>
      <c r="WLB11" s="133"/>
      <c r="WLC11" s="133"/>
      <c r="WLD11" s="133"/>
      <c r="WLE11" s="133"/>
      <c r="WLF11" s="133"/>
      <c r="WLG11" s="133"/>
      <c r="WLH11" s="133"/>
      <c r="WLI11" s="133"/>
      <c r="WLJ11" s="133"/>
      <c r="WLK11" s="133"/>
      <c r="WLL11" s="133"/>
      <c r="WLM11" s="133"/>
      <c r="WLN11" s="133"/>
      <c r="WLO11" s="133"/>
      <c r="WLP11" s="133"/>
      <c r="WLQ11" s="133"/>
      <c r="WLR11" s="133"/>
      <c r="WLS11" s="133"/>
      <c r="WLT11" s="133"/>
      <c r="WLU11" s="133"/>
      <c r="WLV11" s="133"/>
      <c r="WLW11" s="133"/>
      <c r="WLX11" s="133"/>
      <c r="WLY11" s="133"/>
      <c r="WLZ11" s="133"/>
      <c r="WMA11" s="133"/>
      <c r="WMB11" s="133"/>
      <c r="WMC11" s="133"/>
      <c r="WMD11" s="133"/>
      <c r="WME11" s="133"/>
      <c r="WMF11" s="133"/>
      <c r="WMG11" s="133"/>
      <c r="WMH11" s="133"/>
      <c r="WMI11" s="133"/>
      <c r="WMJ11" s="133"/>
      <c r="WMK11" s="133"/>
      <c r="WML11" s="133"/>
      <c r="WMM11" s="133"/>
      <c r="WMN11" s="133"/>
      <c r="WMO11" s="133"/>
      <c r="WMP11" s="133"/>
      <c r="WMQ11" s="133"/>
      <c r="WMR11" s="133"/>
      <c r="WMS11" s="133"/>
      <c r="WMT11" s="133"/>
      <c r="WMU11" s="133"/>
      <c r="WMV11" s="133"/>
      <c r="WMW11" s="133"/>
      <c r="WMX11" s="133"/>
      <c r="WMY11" s="133"/>
      <c r="WMZ11" s="133"/>
      <c r="WNA11" s="133"/>
      <c r="WNB11" s="133"/>
      <c r="WNC11" s="133"/>
      <c r="WND11" s="133"/>
      <c r="WNE11" s="133"/>
      <c r="WNF11" s="133"/>
      <c r="WNG11" s="133"/>
      <c r="WNH11" s="133"/>
      <c r="WNI11" s="133"/>
      <c r="WNJ11" s="133"/>
      <c r="WNK11" s="133"/>
      <c r="WNL11" s="133"/>
      <c r="WNM11" s="133"/>
      <c r="WNN11" s="133"/>
      <c r="WNO11" s="133"/>
      <c r="WNP11" s="133"/>
      <c r="WNQ11" s="133"/>
      <c r="WNR11" s="133"/>
      <c r="WNS11" s="133"/>
      <c r="WNT11" s="133"/>
      <c r="WNU11" s="133"/>
      <c r="WNV11" s="133"/>
      <c r="WNW11" s="133"/>
      <c r="WNX11" s="133"/>
      <c r="WNY11" s="133"/>
      <c r="WNZ11" s="133"/>
      <c r="WOA11" s="133"/>
      <c r="WOB11" s="133"/>
      <c r="WOC11" s="133"/>
      <c r="WOD11" s="133"/>
      <c r="WOE11" s="133"/>
      <c r="WOF11" s="133"/>
      <c r="WOG11" s="133"/>
      <c r="WOH11" s="133"/>
      <c r="WOI11" s="133"/>
      <c r="WOJ11" s="133"/>
      <c r="WOK11" s="133"/>
      <c r="WOL11" s="133"/>
      <c r="WOM11" s="133"/>
      <c r="WON11" s="133"/>
      <c r="WOO11" s="133"/>
      <c r="WOP11" s="133"/>
      <c r="WOQ11" s="133"/>
      <c r="WOR11" s="133"/>
      <c r="WOS11" s="133"/>
      <c r="WOT11" s="133"/>
      <c r="WOU11" s="133"/>
      <c r="WOV11" s="133"/>
      <c r="WOW11" s="133"/>
      <c r="WOX11" s="133"/>
      <c r="WOY11" s="133"/>
      <c r="WOZ11" s="133"/>
      <c r="WPA11" s="133"/>
      <c r="WPB11" s="133"/>
      <c r="WPC11" s="133"/>
      <c r="WPD11" s="133"/>
      <c r="WPE11" s="133"/>
      <c r="WPF11" s="133"/>
      <c r="WPG11" s="133"/>
      <c r="WPH11" s="133"/>
      <c r="WPI11" s="133"/>
      <c r="WPJ11" s="133"/>
      <c r="WPK11" s="133"/>
      <c r="WPL11" s="133"/>
      <c r="WPM11" s="133"/>
      <c r="WPN11" s="133"/>
      <c r="WPO11" s="133"/>
      <c r="WPP11" s="133"/>
      <c r="WPQ11" s="133"/>
      <c r="WPR11" s="133"/>
      <c r="WPS11" s="133"/>
      <c r="WPT11" s="133"/>
      <c r="WPU11" s="133"/>
      <c r="WPV11" s="133"/>
      <c r="WPW11" s="133"/>
      <c r="WPX11" s="133"/>
      <c r="WPY11" s="133"/>
      <c r="WPZ11" s="133"/>
      <c r="WQA11" s="133"/>
      <c r="WQB11" s="133"/>
      <c r="WQC11" s="133"/>
      <c r="WQD11" s="133"/>
      <c r="WQE11" s="133"/>
      <c r="WQF11" s="133"/>
      <c r="WQG11" s="133"/>
      <c r="WQH11" s="133"/>
      <c r="WQI11" s="133"/>
      <c r="WQJ11" s="133"/>
      <c r="WQK11" s="133"/>
      <c r="WQL11" s="133"/>
      <c r="WQM11" s="133"/>
      <c r="WQN11" s="133"/>
      <c r="WQO11" s="133"/>
      <c r="WQP11" s="133"/>
      <c r="WQQ11" s="133"/>
      <c r="WQR11" s="133"/>
      <c r="WQS11" s="133"/>
      <c r="WQT11" s="133"/>
      <c r="WQU11" s="133"/>
      <c r="WQV11" s="133"/>
      <c r="WQW11" s="133"/>
      <c r="WQX11" s="133"/>
      <c r="WQY11" s="133"/>
      <c r="WQZ11" s="133"/>
      <c r="WRA11" s="133"/>
      <c r="WRB11" s="133"/>
      <c r="WRC11" s="133"/>
      <c r="WRD11" s="133"/>
      <c r="WRE11" s="133"/>
      <c r="WRF11" s="133"/>
      <c r="WRG11" s="133"/>
      <c r="WRH11" s="133"/>
      <c r="WRI11" s="133"/>
      <c r="WRJ11" s="133"/>
      <c r="WRK11" s="133"/>
      <c r="WRL11" s="133"/>
      <c r="WRM11" s="133"/>
      <c r="WRN11" s="133"/>
      <c r="WRO11" s="133"/>
      <c r="WRP11" s="133"/>
      <c r="WRQ11" s="133"/>
      <c r="WRR11" s="133"/>
      <c r="WRS11" s="133"/>
      <c r="WRT11" s="133"/>
      <c r="WRU11" s="133"/>
      <c r="WRV11" s="133"/>
      <c r="WRW11" s="133"/>
      <c r="WRX11" s="133"/>
      <c r="WRY11" s="133"/>
      <c r="WRZ11" s="133"/>
      <c r="WSA11" s="133"/>
      <c r="WSB11" s="133"/>
      <c r="WSC11" s="133"/>
      <c r="WSD11" s="133"/>
      <c r="WSE11" s="133"/>
      <c r="WSF11" s="133"/>
      <c r="WSG11" s="133"/>
      <c r="WSH11" s="133"/>
      <c r="WSI11" s="133"/>
      <c r="WSJ11" s="133"/>
      <c r="WSK11" s="133"/>
      <c r="WSL11" s="133"/>
      <c r="WSM11" s="133"/>
      <c r="WSN11" s="133"/>
      <c r="WSO11" s="133"/>
      <c r="WSP11" s="133"/>
      <c r="WSQ11" s="133"/>
      <c r="WSR11" s="133"/>
      <c r="WSS11" s="133"/>
      <c r="WST11" s="133"/>
      <c r="WSU11" s="133"/>
      <c r="WSV11" s="133"/>
      <c r="WSW11" s="133"/>
      <c r="WSX11" s="133"/>
      <c r="WSY11" s="133"/>
      <c r="WSZ11" s="133"/>
      <c r="WTA11" s="133"/>
      <c r="WTB11" s="133"/>
      <c r="WTC11" s="133"/>
      <c r="WTD11" s="133"/>
      <c r="WTE11" s="133"/>
      <c r="WTF11" s="133"/>
      <c r="WTG11" s="133"/>
      <c r="WTH11" s="133"/>
      <c r="WTI11" s="133"/>
      <c r="WTJ11" s="133"/>
      <c r="WTK11" s="133"/>
      <c r="WTL11" s="133"/>
      <c r="WTM11" s="133"/>
      <c r="WTN11" s="133"/>
      <c r="WTO11" s="133"/>
      <c r="WTP11" s="133"/>
      <c r="WTQ11" s="133"/>
      <c r="WTR11" s="133"/>
      <c r="WTS11" s="133"/>
      <c r="WTT11" s="133"/>
      <c r="WTU11" s="133"/>
      <c r="WTV11" s="133"/>
      <c r="WTW11" s="133"/>
      <c r="WTX11" s="133"/>
      <c r="WTY11" s="133"/>
      <c r="WTZ11" s="133"/>
      <c r="WUA11" s="133"/>
      <c r="WUB11" s="133"/>
      <c r="WUC11" s="133"/>
      <c r="WUD11" s="133"/>
      <c r="WUE11" s="133"/>
      <c r="WUF11" s="133"/>
      <c r="WUG11" s="133"/>
      <c r="WUH11" s="133"/>
      <c r="WUI11" s="133"/>
      <c r="WUJ11" s="133"/>
      <c r="WUK11" s="133"/>
      <c r="WUL11" s="133"/>
      <c r="WUM11" s="133"/>
      <c r="WUN11" s="133"/>
      <c r="WUO11" s="133"/>
      <c r="WUP11" s="133"/>
      <c r="WUQ11" s="133"/>
      <c r="WUR11" s="133"/>
      <c r="WUS11" s="133"/>
      <c r="WUT11" s="133"/>
      <c r="WUU11" s="133"/>
      <c r="WUV11" s="133"/>
      <c r="WUW11" s="133"/>
      <c r="WUX11" s="133"/>
      <c r="WUY11" s="133"/>
      <c r="WUZ11" s="133"/>
      <c r="WVA11" s="133"/>
      <c r="WVB11" s="133"/>
      <c r="WVC11" s="133"/>
      <c r="WVD11" s="133"/>
      <c r="WVE11" s="133"/>
      <c r="WVF11" s="133"/>
      <c r="WVG11" s="133"/>
      <c r="WVH11" s="133"/>
      <c r="WVI11" s="133"/>
      <c r="WVJ11" s="133"/>
      <c r="WVK11" s="133"/>
      <c r="WVL11" s="133"/>
      <c r="WVM11" s="133"/>
      <c r="WVN11" s="133"/>
      <c r="WVO11" s="133"/>
      <c r="WVP11" s="133"/>
      <c r="WVQ11" s="133"/>
      <c r="WVR11" s="133"/>
      <c r="WVS11" s="133"/>
      <c r="WVT11" s="133"/>
      <c r="WVU11" s="133"/>
      <c r="WVV11" s="133"/>
      <c r="WVW11" s="133"/>
      <c r="WVX11" s="133"/>
      <c r="WVY11" s="133"/>
      <c r="WVZ11" s="133"/>
      <c r="WWA11" s="133"/>
      <c r="WWB11" s="133"/>
      <c r="WWC11" s="133"/>
      <c r="WWD11" s="133"/>
      <c r="WWE11" s="133"/>
      <c r="WWF11" s="133"/>
      <c r="WWG11" s="133"/>
      <c r="WWH11" s="133"/>
      <c r="WWI11" s="133"/>
      <c r="WWJ11" s="133"/>
      <c r="WWK11" s="133"/>
      <c r="WWL11" s="133"/>
      <c r="WWM11" s="133"/>
      <c r="WWN11" s="133"/>
      <c r="WWO11" s="133"/>
      <c r="WWP11" s="133"/>
      <c r="WWQ11" s="133"/>
      <c r="WWR11" s="133"/>
      <c r="WWS11" s="133"/>
      <c r="WWT11" s="133"/>
      <c r="WWU11" s="133"/>
      <c r="WWV11" s="133"/>
      <c r="WWW11" s="133"/>
      <c r="WWX11" s="133"/>
      <c r="WWY11" s="133"/>
      <c r="WWZ11" s="133"/>
      <c r="WXA11" s="133"/>
      <c r="WXB11" s="133"/>
      <c r="WXC11" s="133"/>
      <c r="WXD11" s="133"/>
      <c r="WXE11" s="133"/>
      <c r="WXF11" s="133"/>
      <c r="WXG11" s="133"/>
      <c r="WXH11" s="133"/>
      <c r="WXI11" s="133"/>
      <c r="WXJ11" s="133"/>
      <c r="WXK11" s="133"/>
      <c r="WXL11" s="133"/>
      <c r="WXM11" s="133"/>
      <c r="WXN11" s="133"/>
      <c r="WXO11" s="133"/>
      <c r="WXP11" s="133"/>
      <c r="WXQ11" s="133"/>
      <c r="WXR11" s="133"/>
      <c r="WXS11" s="133"/>
      <c r="WXT11" s="133"/>
      <c r="WXU11" s="133"/>
      <c r="WXV11" s="133"/>
      <c r="WXW11" s="133"/>
      <c r="WXX11" s="133"/>
      <c r="WXY11" s="133"/>
      <c r="WXZ11" s="133"/>
      <c r="WYA11" s="133"/>
      <c r="WYB11" s="133"/>
      <c r="WYC11" s="133"/>
      <c r="WYD11" s="133"/>
      <c r="WYE11" s="133"/>
      <c r="WYF11" s="133"/>
      <c r="WYG11" s="133"/>
      <c r="WYH11" s="133"/>
      <c r="WYI11" s="133"/>
      <c r="WYJ11" s="133"/>
      <c r="WYK11" s="133"/>
      <c r="WYL11" s="133"/>
      <c r="WYM11" s="133"/>
      <c r="WYN11" s="133"/>
      <c r="WYO11" s="133"/>
      <c r="WYP11" s="133"/>
      <c r="WYQ11" s="133"/>
      <c r="WYR11" s="133"/>
      <c r="WYS11" s="133"/>
      <c r="WYT11" s="133"/>
      <c r="WYU11" s="133"/>
      <c r="WYV11" s="133"/>
      <c r="WYW11" s="133"/>
      <c r="WYX11" s="133"/>
      <c r="WYY11" s="133"/>
      <c r="WYZ11" s="133"/>
      <c r="WZA11" s="133"/>
      <c r="WZB11" s="133"/>
      <c r="WZC11" s="133"/>
      <c r="WZD11" s="133"/>
      <c r="WZE11" s="133"/>
      <c r="WZF11" s="133"/>
      <c r="WZG11" s="133"/>
      <c r="WZH11" s="133"/>
      <c r="WZI11" s="133"/>
      <c r="WZJ11" s="133"/>
      <c r="WZK11" s="133"/>
      <c r="WZL11" s="133"/>
      <c r="WZM11" s="133"/>
      <c r="WZN11" s="133"/>
      <c r="WZO11" s="133"/>
      <c r="WZP11" s="133"/>
      <c r="WZQ11" s="133"/>
      <c r="WZR11" s="133"/>
      <c r="WZS11" s="133"/>
      <c r="WZT11" s="133"/>
      <c r="WZU11" s="133"/>
      <c r="WZV11" s="133"/>
      <c r="WZW11" s="133"/>
      <c r="WZX11" s="133"/>
      <c r="WZY11" s="133"/>
      <c r="WZZ11" s="133"/>
      <c r="XAA11" s="133"/>
      <c r="XAB11" s="133"/>
      <c r="XAC11" s="133"/>
      <c r="XAD11" s="133"/>
      <c r="XAE11" s="133"/>
      <c r="XAF11" s="133"/>
      <c r="XAG11" s="133"/>
      <c r="XAH11" s="133"/>
      <c r="XAI11" s="133"/>
      <c r="XAJ11" s="133"/>
      <c r="XAK11" s="133"/>
      <c r="XAL11" s="133"/>
      <c r="XAM11" s="133"/>
      <c r="XAN11" s="133"/>
      <c r="XAO11" s="133"/>
      <c r="XAP11" s="133"/>
      <c r="XAQ11" s="133"/>
      <c r="XAR11" s="133"/>
      <c r="XAS11" s="133"/>
      <c r="XAT11" s="133"/>
      <c r="XAU11" s="133"/>
      <c r="XAV11" s="133"/>
      <c r="XAW11" s="133"/>
      <c r="XAX11" s="133"/>
      <c r="XAY11" s="133"/>
      <c r="XAZ11" s="133"/>
      <c r="XBA11" s="133"/>
      <c r="XBB11" s="133"/>
      <c r="XBC11" s="133"/>
      <c r="XBD11" s="133"/>
      <c r="XBE11" s="133"/>
      <c r="XBF11" s="133"/>
      <c r="XBG11" s="133"/>
      <c r="XBH11" s="133"/>
      <c r="XBI11" s="133"/>
      <c r="XBJ11" s="133"/>
      <c r="XBK11" s="133"/>
      <c r="XBL11" s="133"/>
      <c r="XBM11" s="133"/>
      <c r="XBN11" s="133"/>
      <c r="XBO11" s="133"/>
      <c r="XBP11" s="133"/>
      <c r="XBQ11" s="133"/>
      <c r="XBR11" s="133"/>
      <c r="XBS11" s="133"/>
      <c r="XBT11" s="133"/>
      <c r="XBU11" s="133"/>
      <c r="XBV11" s="133"/>
      <c r="XBW11" s="133"/>
      <c r="XBX11" s="133"/>
      <c r="XBY11" s="133"/>
      <c r="XBZ11" s="133"/>
      <c r="XCA11" s="133"/>
      <c r="XCB11" s="133"/>
      <c r="XCC11" s="133"/>
      <c r="XCD11" s="133"/>
      <c r="XCE11" s="133"/>
      <c r="XCF11" s="133"/>
      <c r="XCG11" s="133"/>
      <c r="XCH11" s="133"/>
      <c r="XCI11" s="133"/>
      <c r="XCJ11" s="133"/>
      <c r="XCK11" s="133"/>
      <c r="XCL11" s="133"/>
      <c r="XCM11" s="133"/>
      <c r="XCN11" s="133"/>
      <c r="XCO11" s="133"/>
      <c r="XCP11" s="133"/>
      <c r="XCQ11" s="133"/>
      <c r="XCR11" s="133"/>
      <c r="XCS11" s="133"/>
      <c r="XCT11" s="133"/>
      <c r="XCU11" s="133"/>
      <c r="XCV11" s="133"/>
      <c r="XCW11" s="133"/>
      <c r="XCX11" s="133"/>
      <c r="XCY11" s="133"/>
      <c r="XCZ11" s="133"/>
      <c r="XDA11" s="133"/>
      <c r="XDB11" s="133"/>
      <c r="XDC11" s="133"/>
      <c r="XDD11" s="133"/>
      <c r="XDE11" s="133"/>
      <c r="XDF11" s="133"/>
      <c r="XDG11" s="133"/>
      <c r="XDH11" s="133"/>
      <c r="XDI11" s="133"/>
      <c r="XDJ11" s="133"/>
      <c r="XDK11" s="133"/>
      <c r="XDL11" s="133"/>
      <c r="XDM11" s="133"/>
      <c r="XDN11" s="133"/>
      <c r="XDO11" s="133"/>
      <c r="XDP11" s="133"/>
      <c r="XDQ11" s="133"/>
      <c r="XDR11" s="133"/>
      <c r="XDS11" s="133"/>
      <c r="XDT11" s="133"/>
      <c r="XDU11" s="133"/>
      <c r="XDV11" s="133"/>
      <c r="XDW11" s="133"/>
      <c r="XDX11" s="133"/>
      <c r="XDY11" s="133"/>
      <c r="XDZ11" s="133"/>
      <c r="XEA11" s="133"/>
      <c r="XEB11" s="133"/>
      <c r="XEC11" s="133"/>
      <c r="XED11" s="133"/>
      <c r="XEE11" s="133"/>
      <c r="XEF11" s="133"/>
      <c r="XEG11" s="133"/>
      <c r="XEH11" s="133"/>
      <c r="XEI11" s="133"/>
      <c r="XEJ11" s="133"/>
      <c r="XEK11" s="133"/>
      <c r="XEL11" s="133"/>
      <c r="XEM11" s="133"/>
      <c r="XEN11" s="133"/>
      <c r="XEO11" s="133"/>
      <c r="XEP11" s="133"/>
      <c r="XEQ11" s="133"/>
      <c r="XER11" s="133"/>
      <c r="XES11" s="133"/>
      <c r="XET11" s="133"/>
      <c r="XEU11" s="133"/>
      <c r="XEV11" s="133"/>
      <c r="XEW11" s="133"/>
      <c r="XEX11" s="133"/>
      <c r="XEY11" s="133"/>
    </row>
    <row r="12" spans="1:16379" s="94" customFormat="1" ht="15.75" customHeight="1" x14ac:dyDescent="0.25">
      <c r="A12" s="28"/>
      <c r="B12" s="28" t="s">
        <v>59</v>
      </c>
      <c r="C12" s="29"/>
      <c r="D12" s="74"/>
      <c r="E12" s="31" t="s">
        <v>371</v>
      </c>
      <c r="F12" s="64" t="s">
        <v>372</v>
      </c>
      <c r="G12" s="64" t="s">
        <v>372</v>
      </c>
      <c r="H12" s="31"/>
      <c r="I12" s="31">
        <f>LEN(F12)</f>
        <v>17</v>
      </c>
      <c r="J12" s="31" t="str">
        <f>IF(LEN(F12)&lt;=$J$1,F12,"")</f>
        <v>Ввод ускор. от АУ</v>
      </c>
      <c r="K12" s="28" t="s">
        <v>296</v>
      </c>
      <c r="L12" s="32" t="s">
        <v>72</v>
      </c>
      <c r="M12" s="29" t="s">
        <v>63</v>
      </c>
      <c r="N12" s="29" t="s">
        <v>64</v>
      </c>
      <c r="O12" s="29"/>
      <c r="P12" s="72"/>
      <c r="Q12" s="72"/>
      <c r="R12" s="29" t="s">
        <v>66</v>
      </c>
      <c r="S12" s="29" t="s">
        <v>66</v>
      </c>
      <c r="T12" s="29" t="s">
        <v>66</v>
      </c>
      <c r="U12" s="29" t="s">
        <v>66</v>
      </c>
      <c r="V12" s="29"/>
      <c r="W12" s="29"/>
      <c r="X12" s="29" t="s">
        <v>66</v>
      </c>
      <c r="Y12" s="29">
        <v>0</v>
      </c>
      <c r="Z12" s="33"/>
      <c r="AA12" s="63">
        <v>0</v>
      </c>
      <c r="AB12" s="63"/>
      <c r="AC12" s="63"/>
      <c r="AD12" s="63"/>
      <c r="AE12" s="63"/>
      <c r="AF12" s="63">
        <v>0</v>
      </c>
      <c r="AG12" s="63">
        <v>0</v>
      </c>
      <c r="AH12" s="63">
        <v>0</v>
      </c>
      <c r="AI12" s="75"/>
      <c r="AJ12" s="35"/>
      <c r="AK12" s="35"/>
      <c r="AL12" s="35"/>
      <c r="AM12" s="35"/>
      <c r="AN12" s="35"/>
      <c r="AO12" s="35"/>
      <c r="AP12" s="35"/>
      <c r="AQ12" s="35"/>
      <c r="AR12" s="63">
        <v>0</v>
      </c>
      <c r="AS12" s="63">
        <v>0</v>
      </c>
      <c r="AT12" s="63">
        <v>0</v>
      </c>
      <c r="AU12" s="63">
        <v>0</v>
      </c>
      <c r="AV12" s="63">
        <v>0</v>
      </c>
      <c r="AW12" s="63">
        <v>0</v>
      </c>
      <c r="AX12" s="63">
        <f>BIN2DEC(CONCATENATE(0,0,0,0,AT12,AU12,AV12,AW12))</f>
        <v>0</v>
      </c>
      <c r="AY12" s="63"/>
      <c r="AZ12" s="72"/>
      <c r="BA12" s="63"/>
      <c r="BB12" s="63"/>
      <c r="BC12" s="36"/>
      <c r="BD12" s="63"/>
      <c r="BE12" s="37"/>
      <c r="BF12" s="63"/>
      <c r="BG12" s="38" t="str">
        <f t="shared" si="3"/>
        <v>description: "Ввод ускор. от АУ", note: "Ввод ускорения от АУ", group: "measurement", minValue: null, maxValue: null, step: null, units: "null", defaultValue: null, eventRegistration: 0</v>
      </c>
      <c r="BH12" s="39"/>
    </row>
    <row r="13" spans="1:16379" s="94" customFormat="1" ht="15.75" customHeight="1" x14ac:dyDescent="0.25">
      <c r="A13" s="28"/>
      <c r="B13" s="28" t="s">
        <v>59</v>
      </c>
      <c r="C13" s="29"/>
      <c r="D13" s="30"/>
      <c r="E13" s="31" t="s">
        <v>70</v>
      </c>
      <c r="F13" s="64" t="s">
        <v>138</v>
      </c>
      <c r="G13" s="64" t="s">
        <v>138</v>
      </c>
      <c r="H13" s="31"/>
      <c r="I13" s="31">
        <f>LEN(F13)</f>
        <v>8</v>
      </c>
      <c r="J13" s="31" t="str">
        <f>IF(LEN(F13)&lt;=$J$1,F13,"")</f>
        <v>Сраб БНН</v>
      </c>
      <c r="K13" s="28" t="s">
        <v>71</v>
      </c>
      <c r="L13" s="32" t="s">
        <v>72</v>
      </c>
      <c r="M13" s="29" t="s">
        <v>63</v>
      </c>
      <c r="N13" s="29" t="s">
        <v>64</v>
      </c>
      <c r="O13" s="29"/>
      <c r="P13" s="72"/>
      <c r="Q13" s="72"/>
      <c r="R13" s="29" t="s">
        <v>66</v>
      </c>
      <c r="S13" s="29" t="s">
        <v>66</v>
      </c>
      <c r="T13" s="29" t="s">
        <v>66</v>
      </c>
      <c r="U13" s="29" t="s">
        <v>66</v>
      </c>
      <c r="V13" s="29"/>
      <c r="W13" s="29"/>
      <c r="X13" s="29" t="s">
        <v>66</v>
      </c>
      <c r="Y13" s="29">
        <v>0</v>
      </c>
      <c r="Z13" s="33"/>
      <c r="AA13" s="63">
        <v>0</v>
      </c>
      <c r="AB13" s="63"/>
      <c r="AC13" s="63"/>
      <c r="AD13" s="63"/>
      <c r="AE13" s="63"/>
      <c r="AF13" s="63">
        <v>0</v>
      </c>
      <c r="AG13" s="63">
        <v>0</v>
      </c>
      <c r="AH13" s="63">
        <v>0</v>
      </c>
      <c r="AI13" s="34"/>
      <c r="AJ13" s="35"/>
      <c r="AK13" s="35"/>
      <c r="AL13" s="35"/>
      <c r="AM13" s="35"/>
      <c r="AN13" s="35"/>
      <c r="AO13" s="35"/>
      <c r="AP13" s="35"/>
      <c r="AQ13" s="35"/>
      <c r="AR13" s="63">
        <v>0</v>
      </c>
      <c r="AS13" s="63">
        <v>0</v>
      </c>
      <c r="AT13" s="63">
        <v>0</v>
      </c>
      <c r="AU13" s="63">
        <v>0</v>
      </c>
      <c r="AV13" s="63">
        <v>0</v>
      </c>
      <c r="AW13" s="63">
        <v>0</v>
      </c>
      <c r="AX13" s="63">
        <f>BIN2DEC(CONCATENATE(0,0,0,0,AT13,AU13,AV13,AW13))</f>
        <v>0</v>
      </c>
      <c r="AY13" s="63"/>
      <c r="AZ13" s="72"/>
      <c r="BA13" s="63"/>
      <c r="BB13" s="63"/>
      <c r="BC13" s="36"/>
      <c r="BD13" s="63"/>
      <c r="BE13" s="37"/>
      <c r="BF13" s="63"/>
      <c r="BG13" s="38" t="str">
        <f t="shared" si="3"/>
        <v>description: "Сраб БНН", note: "Срабатывание БНН", group: "measurement", minValue: null, maxValue: null, step: null, units: "null", defaultValue: null, eventRegistration: 0</v>
      </c>
      <c r="BH13" s="40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41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41"/>
      <c r="JQ13" s="41"/>
      <c r="JR13" s="41"/>
      <c r="JS13" s="41"/>
      <c r="JT13" s="41"/>
      <c r="JU13" s="41"/>
      <c r="JV13" s="41"/>
      <c r="JW13" s="41"/>
      <c r="JX13" s="41"/>
      <c r="JY13" s="41"/>
      <c r="JZ13" s="41"/>
      <c r="KA13" s="41"/>
      <c r="KB13" s="41"/>
      <c r="KC13" s="41"/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41"/>
      <c r="KR13" s="41"/>
      <c r="KS13" s="41"/>
      <c r="KT13" s="41"/>
      <c r="KU13" s="41"/>
      <c r="KV13" s="41"/>
      <c r="KW13" s="41"/>
      <c r="KX13" s="41"/>
      <c r="KY13" s="41"/>
      <c r="KZ13" s="41"/>
      <c r="LA13" s="41"/>
      <c r="LB13" s="41"/>
      <c r="LC13" s="41"/>
      <c r="LD13" s="41"/>
      <c r="LE13" s="41"/>
      <c r="LF13" s="41"/>
      <c r="LG13" s="41"/>
      <c r="LH13" s="41"/>
      <c r="LI13" s="41"/>
      <c r="LJ13" s="41"/>
      <c r="LK13" s="41"/>
      <c r="LL13" s="41"/>
      <c r="LM13" s="41"/>
      <c r="LN13" s="41"/>
      <c r="LO13" s="41"/>
      <c r="LP13" s="41"/>
      <c r="LQ13" s="41"/>
      <c r="LR13" s="41"/>
      <c r="LS13" s="41"/>
      <c r="LT13" s="41"/>
      <c r="LU13" s="41"/>
      <c r="LV13" s="41"/>
      <c r="LW13" s="41"/>
      <c r="LX13" s="41"/>
      <c r="LY13" s="41"/>
      <c r="LZ13" s="41"/>
      <c r="MA13" s="41"/>
      <c r="MB13" s="41"/>
      <c r="MC13" s="41"/>
      <c r="MD13" s="41"/>
      <c r="ME13" s="41"/>
      <c r="MF13" s="41"/>
      <c r="MG13" s="41"/>
      <c r="MH13" s="41"/>
      <c r="MI13" s="41"/>
      <c r="MJ13" s="41"/>
      <c r="MK13" s="41"/>
      <c r="ML13" s="41"/>
      <c r="MM13" s="41"/>
      <c r="MN13" s="41"/>
      <c r="MO13" s="41"/>
      <c r="MP13" s="41"/>
      <c r="MQ13" s="41"/>
      <c r="MR13" s="41"/>
      <c r="MS13" s="41"/>
      <c r="MT13" s="41"/>
      <c r="MU13" s="41"/>
      <c r="MV13" s="41"/>
      <c r="MW13" s="41"/>
      <c r="MX13" s="41"/>
      <c r="MY13" s="41"/>
      <c r="MZ13" s="41"/>
      <c r="NA13" s="41"/>
      <c r="NB13" s="41"/>
      <c r="NC13" s="41"/>
      <c r="ND13" s="41"/>
      <c r="NE13" s="41"/>
      <c r="NF13" s="41"/>
      <c r="NG13" s="41"/>
      <c r="NH13" s="41"/>
      <c r="NI13" s="41"/>
      <c r="NJ13" s="41"/>
      <c r="NK13" s="41"/>
      <c r="NL13" s="41"/>
      <c r="NM13" s="41"/>
      <c r="NN13" s="41"/>
      <c r="NO13" s="41"/>
      <c r="NP13" s="41"/>
      <c r="NQ13" s="41"/>
      <c r="NR13" s="41"/>
      <c r="NS13" s="41"/>
      <c r="NT13" s="41"/>
      <c r="NU13" s="41"/>
      <c r="NV13" s="41"/>
      <c r="NW13" s="41"/>
      <c r="NX13" s="41"/>
      <c r="NY13" s="41"/>
      <c r="NZ13" s="41"/>
      <c r="OA13" s="41"/>
      <c r="OB13" s="41"/>
      <c r="OC13" s="41"/>
      <c r="OD13" s="41"/>
      <c r="OE13" s="41"/>
      <c r="OF13" s="41"/>
      <c r="OG13" s="41"/>
      <c r="OH13" s="41"/>
      <c r="OI13" s="41"/>
      <c r="OJ13" s="41"/>
      <c r="OK13" s="41"/>
      <c r="OL13" s="41"/>
      <c r="OM13" s="41"/>
      <c r="ON13" s="41"/>
      <c r="OO13" s="41"/>
      <c r="OP13" s="41"/>
      <c r="OQ13" s="41"/>
      <c r="OR13" s="41"/>
      <c r="OS13" s="41"/>
      <c r="OT13" s="41"/>
      <c r="OU13" s="41"/>
      <c r="OV13" s="41"/>
      <c r="OW13" s="41"/>
      <c r="OX13" s="41"/>
      <c r="OY13" s="41"/>
      <c r="OZ13" s="41"/>
      <c r="PA13" s="41"/>
      <c r="PB13" s="41"/>
      <c r="PC13" s="41"/>
      <c r="PD13" s="41"/>
      <c r="PE13" s="41"/>
      <c r="PF13" s="41"/>
      <c r="PG13" s="41"/>
      <c r="PH13" s="41"/>
      <c r="PI13" s="41"/>
      <c r="PJ13" s="41"/>
      <c r="PK13" s="41"/>
      <c r="PL13" s="41"/>
      <c r="PM13" s="41"/>
      <c r="PN13" s="41"/>
      <c r="PO13" s="41"/>
      <c r="PP13" s="41"/>
      <c r="PQ13" s="41"/>
      <c r="PR13" s="41"/>
      <c r="PS13" s="41"/>
      <c r="PT13" s="41"/>
      <c r="PU13" s="41"/>
      <c r="PV13" s="41"/>
      <c r="PW13" s="41"/>
      <c r="PX13" s="41"/>
      <c r="PY13" s="41"/>
      <c r="PZ13" s="41"/>
      <c r="QA13" s="41"/>
      <c r="QB13" s="41"/>
      <c r="QC13" s="41"/>
      <c r="QD13" s="41"/>
      <c r="QE13" s="41"/>
      <c r="QF13" s="41"/>
      <c r="QG13" s="41"/>
      <c r="QH13" s="41"/>
      <c r="QI13" s="41"/>
      <c r="QJ13" s="41"/>
      <c r="QK13" s="41"/>
      <c r="QL13" s="41"/>
      <c r="QM13" s="41"/>
      <c r="QN13" s="41"/>
      <c r="QO13" s="41"/>
      <c r="QP13" s="41"/>
      <c r="QQ13" s="41"/>
      <c r="QR13" s="41"/>
      <c r="QS13" s="41"/>
      <c r="QT13" s="41"/>
      <c r="QU13" s="41"/>
      <c r="QV13" s="41"/>
      <c r="QW13" s="41"/>
      <c r="QX13" s="41"/>
      <c r="QY13" s="41"/>
      <c r="QZ13" s="41"/>
      <c r="RA13" s="41"/>
      <c r="RB13" s="41"/>
      <c r="RC13" s="41"/>
      <c r="RD13" s="41"/>
      <c r="RE13" s="41"/>
      <c r="RF13" s="41"/>
      <c r="RG13" s="41"/>
      <c r="RH13" s="41"/>
      <c r="RI13" s="41"/>
      <c r="RJ13" s="41"/>
      <c r="RK13" s="41"/>
      <c r="RL13" s="41"/>
      <c r="RM13" s="41"/>
      <c r="RN13" s="41"/>
      <c r="RO13" s="41"/>
      <c r="RP13" s="41"/>
      <c r="RQ13" s="41"/>
      <c r="RR13" s="41"/>
      <c r="RS13" s="41"/>
      <c r="RT13" s="41"/>
      <c r="RU13" s="41"/>
      <c r="RV13" s="41"/>
      <c r="RW13" s="41"/>
      <c r="RX13" s="41"/>
      <c r="RY13" s="41"/>
      <c r="RZ13" s="41"/>
      <c r="SA13" s="41"/>
      <c r="SB13" s="41"/>
      <c r="SC13" s="41"/>
      <c r="SD13" s="41"/>
      <c r="SE13" s="41"/>
      <c r="SF13" s="41"/>
      <c r="SG13" s="41"/>
      <c r="SH13" s="41"/>
      <c r="SI13" s="41"/>
      <c r="SJ13" s="41"/>
      <c r="SK13" s="41"/>
      <c r="SL13" s="41"/>
      <c r="SM13" s="41"/>
      <c r="SN13" s="41"/>
      <c r="SO13" s="41"/>
      <c r="SP13" s="41"/>
      <c r="SQ13" s="41"/>
      <c r="SR13" s="41"/>
      <c r="SS13" s="41"/>
      <c r="ST13" s="41"/>
      <c r="SU13" s="41"/>
      <c r="SV13" s="41"/>
      <c r="SW13" s="41"/>
      <c r="SX13" s="41"/>
      <c r="SY13" s="41"/>
      <c r="SZ13" s="41"/>
      <c r="TA13" s="41"/>
      <c r="TB13" s="41"/>
      <c r="TC13" s="41"/>
      <c r="TD13" s="41"/>
      <c r="TE13" s="41"/>
      <c r="TF13" s="41"/>
      <c r="TG13" s="41"/>
      <c r="TH13" s="41"/>
      <c r="TI13" s="41"/>
      <c r="TJ13" s="41"/>
      <c r="TK13" s="41"/>
      <c r="TL13" s="41"/>
      <c r="TM13" s="41"/>
      <c r="TN13" s="41"/>
      <c r="TO13" s="41"/>
      <c r="TP13" s="41"/>
      <c r="TQ13" s="41"/>
      <c r="TR13" s="41"/>
      <c r="TS13" s="41"/>
      <c r="TT13" s="41"/>
      <c r="TU13" s="41"/>
      <c r="TV13" s="41"/>
      <c r="TW13" s="41"/>
      <c r="TX13" s="41"/>
      <c r="TY13" s="41"/>
      <c r="TZ13" s="41"/>
      <c r="UA13" s="41"/>
      <c r="UB13" s="41"/>
      <c r="UC13" s="41"/>
      <c r="UD13" s="41"/>
      <c r="UE13" s="41"/>
      <c r="UF13" s="41"/>
      <c r="UG13" s="41"/>
      <c r="UH13" s="41"/>
      <c r="UI13" s="41"/>
      <c r="UJ13" s="41"/>
      <c r="UK13" s="41"/>
      <c r="UL13" s="41"/>
      <c r="UM13" s="41"/>
      <c r="UN13" s="41"/>
      <c r="UO13" s="41"/>
      <c r="UP13" s="41"/>
      <c r="UQ13" s="41"/>
      <c r="UR13" s="41"/>
      <c r="US13" s="41"/>
      <c r="UT13" s="41"/>
      <c r="UU13" s="41"/>
      <c r="UV13" s="41"/>
      <c r="UW13" s="41"/>
      <c r="UX13" s="41"/>
      <c r="UY13" s="41"/>
      <c r="UZ13" s="41"/>
      <c r="VA13" s="41"/>
      <c r="VB13" s="41"/>
      <c r="VC13" s="41"/>
      <c r="VD13" s="41"/>
      <c r="VE13" s="41"/>
      <c r="VF13" s="41"/>
      <c r="VG13" s="41"/>
      <c r="VH13" s="41"/>
      <c r="VI13" s="41"/>
      <c r="VJ13" s="41"/>
      <c r="VK13" s="41"/>
      <c r="VL13" s="41"/>
      <c r="VM13" s="41"/>
      <c r="VN13" s="41"/>
      <c r="VO13" s="41"/>
      <c r="VP13" s="41"/>
      <c r="VQ13" s="41"/>
      <c r="VR13" s="41"/>
      <c r="VS13" s="41"/>
      <c r="VT13" s="41"/>
      <c r="VU13" s="41"/>
      <c r="VV13" s="41"/>
      <c r="VW13" s="41"/>
      <c r="VX13" s="41"/>
      <c r="VY13" s="41"/>
      <c r="VZ13" s="41"/>
      <c r="WA13" s="41"/>
      <c r="WB13" s="41"/>
      <c r="WC13" s="41"/>
      <c r="WD13" s="41"/>
      <c r="WE13" s="41"/>
      <c r="WF13" s="41"/>
      <c r="WG13" s="41"/>
      <c r="WH13" s="41"/>
      <c r="WI13" s="41"/>
      <c r="WJ13" s="41"/>
      <c r="WK13" s="41"/>
      <c r="WL13" s="41"/>
      <c r="WM13" s="41"/>
      <c r="WN13" s="41"/>
      <c r="WO13" s="41"/>
      <c r="WP13" s="41"/>
      <c r="WQ13" s="41"/>
      <c r="WR13" s="41"/>
      <c r="WS13" s="41"/>
      <c r="WT13" s="41"/>
      <c r="WU13" s="41"/>
      <c r="WV13" s="41"/>
      <c r="WW13" s="41"/>
      <c r="WX13" s="41"/>
      <c r="WY13" s="41"/>
      <c r="WZ13" s="41"/>
      <c r="XA13" s="41"/>
      <c r="XB13" s="41"/>
      <c r="XC13" s="41"/>
      <c r="XD13" s="41"/>
      <c r="XE13" s="41"/>
      <c r="XF13" s="41"/>
      <c r="XG13" s="41"/>
      <c r="XH13" s="41"/>
      <c r="XI13" s="41"/>
      <c r="XJ13" s="41"/>
      <c r="XK13" s="41"/>
      <c r="XL13" s="41"/>
      <c r="XM13" s="41"/>
      <c r="XN13" s="41"/>
      <c r="XO13" s="41"/>
      <c r="XP13" s="41"/>
      <c r="XQ13" s="41"/>
      <c r="XR13" s="41"/>
      <c r="XS13" s="41"/>
      <c r="XT13" s="41"/>
      <c r="XU13" s="41"/>
      <c r="XV13" s="41"/>
      <c r="XW13" s="41"/>
      <c r="XX13" s="41"/>
      <c r="XY13" s="41"/>
      <c r="XZ13" s="41"/>
      <c r="YA13" s="41"/>
      <c r="YB13" s="41"/>
      <c r="YC13" s="41"/>
      <c r="YD13" s="41"/>
      <c r="YE13" s="41"/>
      <c r="YF13" s="41"/>
      <c r="YG13" s="41"/>
      <c r="YH13" s="41"/>
      <c r="YI13" s="41"/>
      <c r="YJ13" s="41"/>
      <c r="YK13" s="41"/>
      <c r="YL13" s="41"/>
      <c r="YM13" s="41"/>
      <c r="YN13" s="41"/>
      <c r="YO13" s="41"/>
      <c r="YP13" s="41"/>
      <c r="YQ13" s="41"/>
      <c r="YR13" s="41"/>
      <c r="YS13" s="41"/>
      <c r="YT13" s="41"/>
      <c r="YU13" s="41"/>
      <c r="YV13" s="41"/>
      <c r="YW13" s="41"/>
      <c r="YX13" s="41"/>
      <c r="YY13" s="41"/>
      <c r="YZ13" s="41"/>
      <c r="ZA13" s="41"/>
      <c r="ZB13" s="41"/>
      <c r="ZC13" s="41"/>
      <c r="ZD13" s="41"/>
      <c r="ZE13" s="41"/>
      <c r="ZF13" s="41"/>
      <c r="ZG13" s="41"/>
      <c r="ZH13" s="41"/>
      <c r="ZI13" s="41"/>
      <c r="ZJ13" s="41"/>
      <c r="ZK13" s="41"/>
      <c r="ZL13" s="41"/>
      <c r="ZM13" s="41"/>
      <c r="ZN13" s="41"/>
      <c r="ZO13" s="41"/>
      <c r="ZP13" s="41"/>
      <c r="ZQ13" s="41"/>
      <c r="ZR13" s="41"/>
      <c r="ZS13" s="41"/>
      <c r="ZT13" s="41"/>
      <c r="ZU13" s="41"/>
      <c r="ZV13" s="41"/>
      <c r="ZW13" s="41"/>
      <c r="ZX13" s="41"/>
      <c r="ZY13" s="41"/>
      <c r="ZZ13" s="41"/>
      <c r="AAA13" s="41"/>
      <c r="AAB13" s="41"/>
      <c r="AAC13" s="41"/>
      <c r="AAD13" s="41"/>
      <c r="AAE13" s="41"/>
      <c r="AAF13" s="41"/>
      <c r="AAG13" s="41"/>
      <c r="AAH13" s="41"/>
      <c r="AAI13" s="41"/>
      <c r="AAJ13" s="41"/>
      <c r="AAK13" s="41"/>
      <c r="AAL13" s="41"/>
      <c r="AAM13" s="41"/>
      <c r="AAN13" s="41"/>
      <c r="AAO13" s="41"/>
      <c r="AAP13" s="41"/>
      <c r="AAQ13" s="41"/>
      <c r="AAR13" s="41"/>
      <c r="AAS13" s="41"/>
      <c r="AAT13" s="41"/>
      <c r="AAU13" s="41"/>
      <c r="AAV13" s="41"/>
      <c r="AAW13" s="41"/>
      <c r="AAX13" s="41"/>
      <c r="AAY13" s="41"/>
      <c r="AAZ13" s="41"/>
      <c r="ABA13" s="41"/>
      <c r="ABB13" s="41"/>
      <c r="ABC13" s="41"/>
      <c r="ABD13" s="41"/>
      <c r="ABE13" s="41"/>
      <c r="ABF13" s="41"/>
      <c r="ABG13" s="41"/>
      <c r="ABH13" s="41"/>
      <c r="ABI13" s="41"/>
      <c r="ABJ13" s="41"/>
      <c r="ABK13" s="41"/>
      <c r="ABL13" s="41"/>
      <c r="ABM13" s="41"/>
      <c r="ABN13" s="41"/>
      <c r="ABO13" s="41"/>
      <c r="ABP13" s="41"/>
      <c r="ABQ13" s="41"/>
      <c r="ABR13" s="41"/>
      <c r="ABS13" s="41"/>
      <c r="ABT13" s="41"/>
      <c r="ABU13" s="41"/>
      <c r="ABV13" s="41"/>
      <c r="ABW13" s="41"/>
      <c r="ABX13" s="41"/>
      <c r="ABY13" s="41"/>
      <c r="ABZ13" s="41"/>
      <c r="ACA13" s="41"/>
      <c r="ACB13" s="41"/>
      <c r="ACC13" s="41"/>
      <c r="ACD13" s="41"/>
      <c r="ACE13" s="41"/>
      <c r="ACF13" s="41"/>
      <c r="ACG13" s="41"/>
      <c r="ACH13" s="41"/>
      <c r="ACI13" s="41"/>
      <c r="ACJ13" s="41"/>
      <c r="ACK13" s="41"/>
      <c r="ACL13" s="41"/>
      <c r="ACM13" s="41"/>
      <c r="ACN13" s="41"/>
      <c r="ACO13" s="41"/>
      <c r="ACP13" s="41"/>
      <c r="ACQ13" s="41"/>
      <c r="ACR13" s="41"/>
      <c r="ACS13" s="41"/>
      <c r="ACT13" s="41"/>
      <c r="ACU13" s="41"/>
      <c r="ACV13" s="41"/>
      <c r="ACW13" s="41"/>
      <c r="ACX13" s="41"/>
      <c r="ACY13" s="41"/>
      <c r="ACZ13" s="41"/>
      <c r="ADA13" s="41"/>
      <c r="ADB13" s="41"/>
      <c r="ADC13" s="41"/>
      <c r="ADD13" s="41"/>
      <c r="ADE13" s="41"/>
      <c r="ADF13" s="41"/>
      <c r="ADG13" s="41"/>
      <c r="ADH13" s="41"/>
      <c r="ADI13" s="41"/>
      <c r="ADJ13" s="41"/>
      <c r="ADK13" s="41"/>
      <c r="ADL13" s="41"/>
      <c r="ADM13" s="41"/>
      <c r="ADN13" s="41"/>
      <c r="ADO13" s="41"/>
      <c r="ADP13" s="41"/>
      <c r="ADQ13" s="41"/>
      <c r="ADR13" s="41"/>
      <c r="ADS13" s="41"/>
      <c r="ADT13" s="41"/>
      <c r="ADU13" s="41"/>
      <c r="ADV13" s="41"/>
      <c r="ADW13" s="41"/>
      <c r="ADX13" s="41"/>
      <c r="ADY13" s="41"/>
      <c r="ADZ13" s="41"/>
      <c r="AEA13" s="41"/>
      <c r="AEB13" s="41"/>
      <c r="AEC13" s="41"/>
      <c r="AED13" s="41"/>
      <c r="AEE13" s="41"/>
      <c r="AEF13" s="41"/>
      <c r="AEG13" s="41"/>
      <c r="AEH13" s="41"/>
      <c r="AEI13" s="41"/>
      <c r="AEJ13" s="41"/>
      <c r="AEK13" s="41"/>
      <c r="AEL13" s="41"/>
      <c r="AEM13" s="41"/>
      <c r="AEN13" s="41"/>
      <c r="AEO13" s="41"/>
      <c r="AEP13" s="41"/>
      <c r="AEQ13" s="41"/>
      <c r="AER13" s="41"/>
      <c r="AES13" s="41"/>
      <c r="AET13" s="41"/>
      <c r="AEU13" s="41"/>
      <c r="AEV13" s="41"/>
      <c r="AEW13" s="41"/>
      <c r="AEX13" s="41"/>
      <c r="AEY13" s="41"/>
      <c r="AEZ13" s="41"/>
      <c r="AFA13" s="41"/>
      <c r="AFB13" s="41"/>
      <c r="AFC13" s="41"/>
      <c r="AFD13" s="41"/>
      <c r="AFE13" s="41"/>
      <c r="AFF13" s="41"/>
      <c r="AFG13" s="41"/>
      <c r="AFH13" s="41"/>
      <c r="AFI13" s="41"/>
      <c r="AFJ13" s="41"/>
      <c r="AFK13" s="41"/>
      <c r="AFL13" s="41"/>
      <c r="AFM13" s="41"/>
      <c r="AFN13" s="41"/>
      <c r="AFO13" s="41"/>
      <c r="AFP13" s="41"/>
      <c r="AFQ13" s="41"/>
      <c r="AFR13" s="41"/>
      <c r="AFS13" s="41"/>
      <c r="AFT13" s="41"/>
      <c r="AFU13" s="41"/>
      <c r="AFV13" s="41"/>
      <c r="AFW13" s="41"/>
      <c r="AFX13" s="41"/>
      <c r="AFY13" s="41"/>
      <c r="AFZ13" s="41"/>
      <c r="AGA13" s="41"/>
      <c r="AGB13" s="41"/>
      <c r="AGC13" s="41"/>
      <c r="AGD13" s="41"/>
      <c r="AGE13" s="41"/>
      <c r="AGF13" s="41"/>
      <c r="AGG13" s="41"/>
      <c r="AGH13" s="41"/>
      <c r="AGI13" s="41"/>
      <c r="AGJ13" s="41"/>
      <c r="AGK13" s="41"/>
      <c r="AGL13" s="41"/>
      <c r="AGM13" s="41"/>
      <c r="AGN13" s="41"/>
      <c r="AGO13" s="41"/>
      <c r="AGP13" s="41"/>
      <c r="AGQ13" s="41"/>
      <c r="AGR13" s="41"/>
      <c r="AGS13" s="41"/>
      <c r="AGT13" s="41"/>
      <c r="AGU13" s="41"/>
      <c r="AGV13" s="41"/>
      <c r="AGW13" s="41"/>
      <c r="AGX13" s="41"/>
      <c r="AGY13" s="41"/>
      <c r="AGZ13" s="41"/>
      <c r="AHA13" s="41"/>
      <c r="AHB13" s="41"/>
      <c r="AHC13" s="41"/>
      <c r="AHD13" s="41"/>
      <c r="AHE13" s="41"/>
      <c r="AHF13" s="41"/>
      <c r="AHG13" s="41"/>
      <c r="AHH13" s="41"/>
      <c r="AHI13" s="41"/>
      <c r="AHJ13" s="41"/>
      <c r="AHK13" s="41"/>
      <c r="AHL13" s="41"/>
      <c r="AHM13" s="41"/>
      <c r="AHN13" s="41"/>
      <c r="AHO13" s="41"/>
      <c r="AHP13" s="41"/>
      <c r="AHQ13" s="41"/>
      <c r="AHR13" s="41"/>
      <c r="AHS13" s="41"/>
      <c r="AHT13" s="41"/>
      <c r="AHU13" s="41"/>
      <c r="AHV13" s="41"/>
      <c r="AHW13" s="41"/>
      <c r="AHX13" s="41"/>
      <c r="AHY13" s="41"/>
      <c r="AHZ13" s="41"/>
      <c r="AIA13" s="41"/>
      <c r="AIB13" s="41"/>
      <c r="AIC13" s="41"/>
      <c r="AID13" s="41"/>
      <c r="AIE13" s="41"/>
      <c r="AIF13" s="41"/>
      <c r="AIG13" s="41"/>
      <c r="AIH13" s="41"/>
      <c r="AII13" s="41"/>
      <c r="AIJ13" s="41"/>
      <c r="AIK13" s="41"/>
      <c r="AIL13" s="41"/>
      <c r="AIM13" s="41"/>
      <c r="AIN13" s="41"/>
      <c r="AIO13" s="41"/>
      <c r="AIP13" s="41"/>
      <c r="AIQ13" s="41"/>
      <c r="AIR13" s="41"/>
      <c r="AIS13" s="41"/>
      <c r="AIT13" s="41"/>
      <c r="AIU13" s="41"/>
      <c r="AIV13" s="41"/>
      <c r="AIW13" s="41"/>
      <c r="AIX13" s="41"/>
      <c r="AIY13" s="41"/>
      <c r="AIZ13" s="41"/>
      <c r="AJA13" s="41"/>
      <c r="AJB13" s="41"/>
      <c r="AJC13" s="41"/>
      <c r="AJD13" s="41"/>
      <c r="AJE13" s="41"/>
      <c r="AJF13" s="41"/>
      <c r="AJG13" s="41"/>
      <c r="AJH13" s="41"/>
      <c r="AJI13" s="41"/>
      <c r="AJJ13" s="41"/>
      <c r="AJK13" s="41"/>
      <c r="AJL13" s="41"/>
      <c r="AJM13" s="41"/>
      <c r="AJN13" s="41"/>
      <c r="AJO13" s="41"/>
      <c r="AJP13" s="41"/>
      <c r="AJQ13" s="41"/>
      <c r="AJR13" s="41"/>
      <c r="AJS13" s="41"/>
      <c r="AJT13" s="41"/>
      <c r="AJU13" s="41"/>
      <c r="AJV13" s="41"/>
      <c r="AJW13" s="41"/>
      <c r="AJX13" s="41"/>
      <c r="AJY13" s="41"/>
      <c r="AJZ13" s="41"/>
      <c r="AKA13" s="41"/>
      <c r="AKB13" s="41"/>
      <c r="AKC13" s="41"/>
      <c r="AKD13" s="41"/>
      <c r="AKE13" s="41"/>
      <c r="AKF13" s="41"/>
      <c r="AKG13" s="41"/>
      <c r="AKH13" s="41"/>
      <c r="AKI13" s="41"/>
      <c r="AKJ13" s="41"/>
      <c r="AKK13" s="41"/>
      <c r="AKL13" s="41"/>
      <c r="AKM13" s="41"/>
      <c r="AKN13" s="41"/>
      <c r="AKO13" s="41"/>
      <c r="AKP13" s="41"/>
      <c r="AKQ13" s="41"/>
      <c r="AKR13" s="41"/>
      <c r="AKS13" s="41"/>
      <c r="AKT13" s="41"/>
      <c r="AKU13" s="41"/>
      <c r="AKV13" s="41"/>
      <c r="AKW13" s="41"/>
      <c r="AKX13" s="41"/>
      <c r="AKY13" s="41"/>
      <c r="AKZ13" s="41"/>
      <c r="ALA13" s="41"/>
      <c r="ALB13" s="41"/>
      <c r="ALC13" s="41"/>
      <c r="ALD13" s="41"/>
      <c r="ALE13" s="41"/>
      <c r="ALF13" s="41"/>
      <c r="ALG13" s="41"/>
      <c r="ALH13" s="41"/>
      <c r="ALI13" s="41"/>
      <c r="ALJ13" s="41"/>
      <c r="ALK13" s="41"/>
      <c r="ALL13" s="41"/>
      <c r="ALM13" s="41"/>
      <c r="ALN13" s="41"/>
      <c r="ALO13" s="41"/>
      <c r="ALP13" s="41"/>
      <c r="ALQ13" s="41"/>
      <c r="ALR13" s="41"/>
      <c r="ALS13" s="41"/>
      <c r="ALT13" s="41"/>
      <c r="ALU13" s="41"/>
      <c r="ALV13" s="41"/>
      <c r="ALW13" s="41"/>
      <c r="ALX13" s="41"/>
      <c r="ALY13" s="41"/>
      <c r="ALZ13" s="41"/>
      <c r="AMA13" s="41"/>
      <c r="AMB13" s="41"/>
      <c r="AMC13" s="41"/>
      <c r="AMD13" s="41"/>
      <c r="AME13" s="41"/>
      <c r="AMF13" s="41"/>
      <c r="AMG13" s="41"/>
      <c r="AMH13" s="41"/>
      <c r="AMI13" s="41"/>
      <c r="AMJ13" s="41"/>
      <c r="AMK13" s="41"/>
      <c r="AML13" s="41"/>
      <c r="AMM13" s="41"/>
      <c r="AMN13" s="41"/>
      <c r="AMO13" s="41"/>
      <c r="AMP13" s="41"/>
      <c r="AMQ13" s="41"/>
      <c r="AMR13" s="41"/>
      <c r="AMS13" s="41"/>
      <c r="AMT13" s="41"/>
      <c r="AMU13" s="41"/>
      <c r="AMV13" s="41"/>
      <c r="AMW13" s="41"/>
      <c r="AMX13" s="41"/>
      <c r="AMY13" s="41"/>
      <c r="AMZ13" s="41"/>
      <c r="ANA13" s="41"/>
      <c r="ANB13" s="41"/>
      <c r="ANC13" s="41"/>
      <c r="AND13" s="41"/>
      <c r="ANE13" s="41"/>
      <c r="ANF13" s="41"/>
      <c r="ANG13" s="41"/>
      <c r="ANH13" s="41"/>
      <c r="ANI13" s="41"/>
      <c r="ANJ13" s="41"/>
      <c r="ANK13" s="41"/>
      <c r="ANL13" s="41"/>
      <c r="ANM13" s="41"/>
      <c r="ANN13" s="41"/>
      <c r="ANO13" s="41"/>
      <c r="ANP13" s="41"/>
      <c r="ANQ13" s="41"/>
      <c r="ANR13" s="41"/>
      <c r="ANS13" s="41"/>
      <c r="ANT13" s="41"/>
      <c r="ANU13" s="41"/>
      <c r="ANV13" s="41"/>
      <c r="ANW13" s="41"/>
      <c r="ANX13" s="41"/>
      <c r="ANY13" s="41"/>
      <c r="ANZ13" s="41"/>
      <c r="AOA13" s="41"/>
      <c r="AOB13" s="41"/>
      <c r="AOC13" s="41"/>
      <c r="AOD13" s="41"/>
      <c r="AOE13" s="41"/>
      <c r="AOF13" s="41"/>
      <c r="AOG13" s="41"/>
      <c r="AOH13" s="41"/>
      <c r="AOI13" s="41"/>
      <c r="AOJ13" s="41"/>
      <c r="AOK13" s="41"/>
      <c r="AOL13" s="41"/>
      <c r="AOM13" s="41"/>
      <c r="AON13" s="41"/>
      <c r="AOO13" s="41"/>
      <c r="AOP13" s="41"/>
      <c r="AOQ13" s="41"/>
      <c r="AOR13" s="41"/>
      <c r="AOS13" s="41"/>
      <c r="AOT13" s="41"/>
      <c r="AOU13" s="41"/>
      <c r="AOV13" s="41"/>
      <c r="AOW13" s="41"/>
      <c r="AOX13" s="41"/>
      <c r="AOY13" s="41"/>
      <c r="AOZ13" s="41"/>
      <c r="APA13" s="41"/>
      <c r="APB13" s="41"/>
      <c r="APC13" s="41"/>
      <c r="APD13" s="41"/>
      <c r="APE13" s="41"/>
      <c r="APF13" s="41"/>
      <c r="APG13" s="41"/>
      <c r="APH13" s="41"/>
      <c r="API13" s="41"/>
      <c r="APJ13" s="41"/>
      <c r="APK13" s="41"/>
      <c r="APL13" s="41"/>
      <c r="APM13" s="41"/>
      <c r="APN13" s="41"/>
      <c r="APO13" s="41"/>
      <c r="APP13" s="41"/>
      <c r="APQ13" s="41"/>
      <c r="APR13" s="41"/>
      <c r="APS13" s="41"/>
      <c r="APT13" s="41"/>
      <c r="APU13" s="41"/>
      <c r="APV13" s="41"/>
      <c r="APW13" s="41"/>
      <c r="APX13" s="41"/>
      <c r="APY13" s="41"/>
      <c r="APZ13" s="41"/>
      <c r="AQA13" s="41"/>
      <c r="AQB13" s="41"/>
      <c r="AQC13" s="41"/>
      <c r="AQD13" s="41"/>
      <c r="AQE13" s="41"/>
      <c r="AQF13" s="41"/>
      <c r="AQG13" s="41"/>
      <c r="AQH13" s="41"/>
      <c r="AQI13" s="41"/>
      <c r="AQJ13" s="41"/>
      <c r="AQK13" s="41"/>
      <c r="AQL13" s="41"/>
      <c r="AQM13" s="41"/>
      <c r="AQN13" s="41"/>
      <c r="AQO13" s="41"/>
      <c r="AQP13" s="41"/>
      <c r="AQQ13" s="41"/>
      <c r="AQR13" s="41"/>
      <c r="AQS13" s="41"/>
      <c r="AQT13" s="41"/>
      <c r="AQU13" s="41"/>
      <c r="AQV13" s="41"/>
      <c r="AQW13" s="41"/>
      <c r="AQX13" s="41"/>
      <c r="AQY13" s="41"/>
      <c r="AQZ13" s="41"/>
      <c r="ARA13" s="41"/>
      <c r="ARB13" s="41"/>
      <c r="ARC13" s="41"/>
      <c r="ARD13" s="41"/>
      <c r="ARE13" s="41"/>
      <c r="ARF13" s="41"/>
      <c r="ARG13" s="41"/>
      <c r="ARH13" s="41"/>
      <c r="ARI13" s="41"/>
      <c r="ARJ13" s="41"/>
      <c r="ARK13" s="41"/>
      <c r="ARL13" s="41"/>
      <c r="ARM13" s="41"/>
      <c r="ARN13" s="41"/>
      <c r="ARO13" s="41"/>
      <c r="ARP13" s="41"/>
      <c r="ARQ13" s="41"/>
      <c r="ARR13" s="41"/>
      <c r="ARS13" s="41"/>
      <c r="ART13" s="41"/>
      <c r="ARU13" s="41"/>
      <c r="ARV13" s="41"/>
      <c r="ARW13" s="41"/>
      <c r="ARX13" s="41"/>
      <c r="ARY13" s="41"/>
      <c r="ARZ13" s="41"/>
      <c r="ASA13" s="41"/>
      <c r="ASB13" s="41"/>
      <c r="ASC13" s="41"/>
      <c r="ASD13" s="41"/>
      <c r="ASE13" s="41"/>
      <c r="ASF13" s="41"/>
      <c r="ASG13" s="41"/>
      <c r="ASH13" s="41"/>
      <c r="ASI13" s="41"/>
      <c r="ASJ13" s="41"/>
      <c r="ASK13" s="41"/>
      <c r="ASL13" s="41"/>
      <c r="ASM13" s="41"/>
      <c r="ASN13" s="41"/>
      <c r="ASO13" s="41"/>
      <c r="ASP13" s="41"/>
      <c r="ASQ13" s="41"/>
      <c r="ASR13" s="41"/>
      <c r="ASS13" s="41"/>
      <c r="AST13" s="41"/>
      <c r="ASU13" s="41"/>
      <c r="ASV13" s="41"/>
      <c r="ASW13" s="41"/>
      <c r="ASX13" s="41"/>
      <c r="ASY13" s="41"/>
      <c r="ASZ13" s="41"/>
      <c r="ATA13" s="41"/>
      <c r="ATB13" s="41"/>
      <c r="ATC13" s="41"/>
      <c r="ATD13" s="41"/>
      <c r="ATE13" s="41"/>
      <c r="ATF13" s="41"/>
      <c r="ATG13" s="41"/>
      <c r="ATH13" s="41"/>
      <c r="ATI13" s="41"/>
      <c r="ATJ13" s="41"/>
      <c r="ATK13" s="41"/>
      <c r="ATL13" s="41"/>
      <c r="ATM13" s="41"/>
      <c r="ATN13" s="41"/>
      <c r="ATO13" s="41"/>
      <c r="ATP13" s="41"/>
      <c r="ATQ13" s="41"/>
      <c r="ATR13" s="41"/>
      <c r="ATS13" s="41"/>
      <c r="ATT13" s="41"/>
      <c r="ATU13" s="41"/>
      <c r="ATV13" s="41"/>
      <c r="ATW13" s="41"/>
      <c r="ATX13" s="41"/>
      <c r="ATY13" s="41"/>
      <c r="ATZ13" s="41"/>
      <c r="AUA13" s="41"/>
      <c r="AUB13" s="41"/>
      <c r="AUC13" s="41"/>
      <c r="AUD13" s="41"/>
      <c r="AUE13" s="41"/>
      <c r="AUF13" s="41"/>
      <c r="AUG13" s="41"/>
      <c r="AUH13" s="41"/>
      <c r="AUI13" s="41"/>
      <c r="AUJ13" s="41"/>
      <c r="AUK13" s="41"/>
      <c r="AUL13" s="41"/>
      <c r="AUM13" s="41"/>
      <c r="AUN13" s="41"/>
      <c r="AUO13" s="41"/>
      <c r="AUP13" s="41"/>
      <c r="AUQ13" s="41"/>
      <c r="AUR13" s="41"/>
      <c r="AUS13" s="41"/>
      <c r="AUT13" s="41"/>
      <c r="AUU13" s="41"/>
      <c r="AUV13" s="41"/>
      <c r="AUW13" s="41"/>
      <c r="AUX13" s="41"/>
      <c r="AUY13" s="41"/>
      <c r="AUZ13" s="41"/>
      <c r="AVA13" s="41"/>
      <c r="AVB13" s="41"/>
      <c r="AVC13" s="41"/>
      <c r="AVD13" s="41"/>
      <c r="AVE13" s="41"/>
      <c r="AVF13" s="41"/>
      <c r="AVG13" s="41"/>
      <c r="AVH13" s="41"/>
      <c r="AVI13" s="41"/>
      <c r="AVJ13" s="41"/>
      <c r="AVK13" s="41"/>
      <c r="AVL13" s="41"/>
      <c r="AVM13" s="41"/>
      <c r="AVN13" s="41"/>
      <c r="AVO13" s="41"/>
      <c r="AVP13" s="41"/>
      <c r="AVQ13" s="41"/>
      <c r="AVR13" s="41"/>
      <c r="AVS13" s="41"/>
      <c r="AVT13" s="41"/>
      <c r="AVU13" s="41"/>
      <c r="AVV13" s="41"/>
      <c r="AVW13" s="41"/>
      <c r="AVX13" s="41"/>
      <c r="AVY13" s="41"/>
      <c r="AVZ13" s="41"/>
      <c r="AWA13" s="41"/>
      <c r="AWB13" s="41"/>
      <c r="AWC13" s="41"/>
      <c r="AWD13" s="41"/>
      <c r="AWE13" s="41"/>
      <c r="AWF13" s="41"/>
      <c r="AWG13" s="41"/>
      <c r="AWH13" s="41"/>
      <c r="AWI13" s="41"/>
      <c r="AWJ13" s="41"/>
      <c r="AWK13" s="41"/>
      <c r="AWL13" s="41"/>
      <c r="AWM13" s="41"/>
      <c r="AWN13" s="41"/>
      <c r="AWO13" s="41"/>
      <c r="AWP13" s="41"/>
      <c r="AWQ13" s="41"/>
      <c r="AWR13" s="41"/>
      <c r="AWS13" s="41"/>
      <c r="AWT13" s="41"/>
      <c r="AWU13" s="41"/>
      <c r="AWV13" s="41"/>
      <c r="AWW13" s="41"/>
      <c r="AWX13" s="41"/>
      <c r="AWY13" s="41"/>
      <c r="AWZ13" s="41"/>
      <c r="AXA13" s="41"/>
      <c r="AXB13" s="41"/>
      <c r="AXC13" s="41"/>
      <c r="AXD13" s="41"/>
      <c r="AXE13" s="41"/>
      <c r="AXF13" s="41"/>
      <c r="AXG13" s="41"/>
      <c r="AXH13" s="41"/>
      <c r="AXI13" s="41"/>
      <c r="AXJ13" s="41"/>
      <c r="AXK13" s="41"/>
      <c r="AXL13" s="41"/>
      <c r="AXM13" s="41"/>
      <c r="AXN13" s="41"/>
      <c r="AXO13" s="41"/>
      <c r="AXP13" s="41"/>
      <c r="AXQ13" s="41"/>
      <c r="AXR13" s="41"/>
      <c r="AXS13" s="41"/>
      <c r="AXT13" s="41"/>
      <c r="AXU13" s="41"/>
      <c r="AXV13" s="41"/>
      <c r="AXW13" s="41"/>
      <c r="AXX13" s="41"/>
      <c r="AXY13" s="41"/>
      <c r="AXZ13" s="41"/>
      <c r="AYA13" s="41"/>
      <c r="AYB13" s="41"/>
      <c r="AYC13" s="41"/>
      <c r="AYD13" s="41"/>
      <c r="AYE13" s="41"/>
      <c r="AYF13" s="41"/>
      <c r="AYG13" s="41"/>
      <c r="AYH13" s="41"/>
      <c r="AYI13" s="41"/>
      <c r="AYJ13" s="41"/>
      <c r="AYK13" s="41"/>
      <c r="AYL13" s="41"/>
      <c r="AYM13" s="41"/>
      <c r="AYN13" s="41"/>
      <c r="AYO13" s="41"/>
      <c r="AYP13" s="41"/>
      <c r="AYQ13" s="41"/>
      <c r="AYR13" s="41"/>
      <c r="AYS13" s="41"/>
      <c r="AYT13" s="41"/>
      <c r="AYU13" s="41"/>
      <c r="AYV13" s="41"/>
      <c r="AYW13" s="41"/>
      <c r="AYX13" s="41"/>
      <c r="AYY13" s="41"/>
      <c r="AYZ13" s="41"/>
      <c r="AZA13" s="41"/>
      <c r="AZB13" s="41"/>
      <c r="AZC13" s="41"/>
      <c r="AZD13" s="41"/>
      <c r="AZE13" s="41"/>
      <c r="AZF13" s="41"/>
      <c r="AZG13" s="41"/>
      <c r="AZH13" s="41"/>
      <c r="AZI13" s="41"/>
      <c r="AZJ13" s="41"/>
      <c r="AZK13" s="41"/>
      <c r="AZL13" s="41"/>
      <c r="AZM13" s="41"/>
      <c r="AZN13" s="41"/>
      <c r="AZO13" s="41"/>
      <c r="AZP13" s="41"/>
      <c r="AZQ13" s="41"/>
      <c r="AZR13" s="41"/>
      <c r="AZS13" s="41"/>
      <c r="AZT13" s="41"/>
      <c r="AZU13" s="41"/>
      <c r="AZV13" s="41"/>
      <c r="AZW13" s="41"/>
      <c r="AZX13" s="41"/>
      <c r="AZY13" s="41"/>
      <c r="AZZ13" s="41"/>
      <c r="BAA13" s="41"/>
      <c r="BAB13" s="41"/>
      <c r="BAC13" s="41"/>
      <c r="BAD13" s="41"/>
      <c r="BAE13" s="41"/>
      <c r="BAF13" s="41"/>
      <c r="BAG13" s="41"/>
      <c r="BAH13" s="41"/>
      <c r="BAI13" s="41"/>
      <c r="BAJ13" s="41"/>
      <c r="BAK13" s="41"/>
      <c r="BAL13" s="41"/>
      <c r="BAM13" s="41"/>
      <c r="BAN13" s="41"/>
      <c r="BAO13" s="41"/>
      <c r="BAP13" s="41"/>
      <c r="BAQ13" s="41"/>
      <c r="BAR13" s="41"/>
      <c r="BAS13" s="41"/>
      <c r="BAT13" s="41"/>
      <c r="BAU13" s="41"/>
      <c r="BAV13" s="41"/>
      <c r="BAW13" s="41"/>
      <c r="BAX13" s="41"/>
      <c r="BAY13" s="41"/>
      <c r="BAZ13" s="41"/>
      <c r="BBA13" s="41"/>
      <c r="BBB13" s="41"/>
      <c r="BBC13" s="41"/>
      <c r="BBD13" s="41"/>
      <c r="BBE13" s="41"/>
      <c r="BBF13" s="41"/>
      <c r="BBG13" s="41"/>
      <c r="BBH13" s="41"/>
      <c r="BBI13" s="41"/>
      <c r="BBJ13" s="41"/>
      <c r="BBK13" s="41"/>
      <c r="BBL13" s="41"/>
      <c r="BBM13" s="41"/>
      <c r="BBN13" s="41"/>
      <c r="BBO13" s="41"/>
      <c r="BBP13" s="41"/>
      <c r="BBQ13" s="41"/>
      <c r="BBR13" s="41"/>
      <c r="BBS13" s="41"/>
      <c r="BBT13" s="41"/>
      <c r="BBU13" s="41"/>
      <c r="BBV13" s="41"/>
      <c r="BBW13" s="41"/>
      <c r="BBX13" s="41"/>
      <c r="BBY13" s="41"/>
      <c r="BBZ13" s="41"/>
      <c r="BCA13" s="41"/>
      <c r="BCB13" s="41"/>
      <c r="BCC13" s="41"/>
      <c r="BCD13" s="41"/>
      <c r="BCE13" s="41"/>
      <c r="BCF13" s="41"/>
      <c r="BCG13" s="41"/>
      <c r="BCH13" s="41"/>
      <c r="BCI13" s="41"/>
      <c r="BCJ13" s="41"/>
      <c r="BCK13" s="41"/>
      <c r="BCL13" s="41"/>
      <c r="BCM13" s="41"/>
      <c r="BCN13" s="41"/>
      <c r="BCO13" s="41"/>
      <c r="BCP13" s="41"/>
      <c r="BCQ13" s="41"/>
      <c r="BCR13" s="41"/>
      <c r="BCS13" s="41"/>
      <c r="BCT13" s="41"/>
      <c r="BCU13" s="41"/>
      <c r="BCV13" s="41"/>
      <c r="BCW13" s="41"/>
      <c r="BCX13" s="41"/>
      <c r="BCY13" s="41"/>
      <c r="BCZ13" s="41"/>
      <c r="BDA13" s="41"/>
      <c r="BDB13" s="41"/>
      <c r="BDC13" s="41"/>
      <c r="BDD13" s="41"/>
      <c r="BDE13" s="41"/>
      <c r="BDF13" s="41"/>
      <c r="BDG13" s="41"/>
      <c r="BDH13" s="41"/>
      <c r="BDI13" s="41"/>
      <c r="BDJ13" s="41"/>
      <c r="BDK13" s="41"/>
      <c r="BDL13" s="41"/>
      <c r="BDM13" s="41"/>
      <c r="BDN13" s="41"/>
      <c r="BDO13" s="41"/>
      <c r="BDP13" s="41"/>
      <c r="BDQ13" s="41"/>
      <c r="BDR13" s="41"/>
      <c r="BDS13" s="41"/>
      <c r="BDT13" s="41"/>
      <c r="BDU13" s="41"/>
      <c r="BDV13" s="41"/>
      <c r="BDW13" s="41"/>
      <c r="BDX13" s="41"/>
      <c r="BDY13" s="41"/>
      <c r="BDZ13" s="41"/>
      <c r="BEA13" s="41"/>
      <c r="BEB13" s="41"/>
      <c r="BEC13" s="41"/>
      <c r="BED13" s="41"/>
      <c r="BEE13" s="41"/>
      <c r="BEF13" s="41"/>
      <c r="BEG13" s="41"/>
      <c r="BEH13" s="41"/>
      <c r="BEI13" s="41"/>
      <c r="BEJ13" s="41"/>
      <c r="BEK13" s="41"/>
      <c r="BEL13" s="41"/>
      <c r="BEM13" s="41"/>
      <c r="BEN13" s="41"/>
      <c r="BEO13" s="41"/>
      <c r="BEP13" s="41"/>
      <c r="BEQ13" s="41"/>
      <c r="BER13" s="41"/>
      <c r="BES13" s="41"/>
      <c r="BET13" s="41"/>
      <c r="BEU13" s="41"/>
      <c r="BEV13" s="41"/>
      <c r="BEW13" s="41"/>
      <c r="BEX13" s="41"/>
      <c r="BEY13" s="41"/>
      <c r="BEZ13" s="41"/>
      <c r="BFA13" s="41"/>
      <c r="BFB13" s="41"/>
      <c r="BFC13" s="41"/>
      <c r="BFD13" s="41"/>
      <c r="BFE13" s="41"/>
      <c r="BFF13" s="41"/>
      <c r="BFG13" s="41"/>
      <c r="BFH13" s="41"/>
      <c r="BFI13" s="41"/>
      <c r="BFJ13" s="41"/>
      <c r="BFK13" s="41"/>
      <c r="BFL13" s="41"/>
      <c r="BFM13" s="41"/>
      <c r="BFN13" s="41"/>
      <c r="BFO13" s="41"/>
      <c r="BFP13" s="41"/>
      <c r="BFQ13" s="41"/>
      <c r="BFR13" s="41"/>
      <c r="BFS13" s="41"/>
      <c r="BFT13" s="41"/>
      <c r="BFU13" s="41"/>
      <c r="BFV13" s="41"/>
      <c r="BFW13" s="41"/>
      <c r="BFX13" s="41"/>
      <c r="BFY13" s="41"/>
      <c r="BFZ13" s="41"/>
      <c r="BGA13" s="41"/>
      <c r="BGB13" s="41"/>
      <c r="BGC13" s="41"/>
      <c r="BGD13" s="41"/>
      <c r="BGE13" s="41"/>
      <c r="BGF13" s="41"/>
      <c r="BGG13" s="41"/>
      <c r="BGH13" s="41"/>
      <c r="BGI13" s="41"/>
      <c r="BGJ13" s="41"/>
      <c r="BGK13" s="41"/>
      <c r="BGL13" s="41"/>
      <c r="BGM13" s="41"/>
      <c r="BGN13" s="41"/>
      <c r="BGO13" s="41"/>
      <c r="BGP13" s="41"/>
      <c r="BGQ13" s="41"/>
      <c r="BGR13" s="41"/>
      <c r="BGS13" s="41"/>
      <c r="BGT13" s="41"/>
      <c r="BGU13" s="41"/>
      <c r="BGV13" s="41"/>
      <c r="BGW13" s="41"/>
      <c r="BGX13" s="41"/>
      <c r="BGY13" s="41"/>
      <c r="BGZ13" s="41"/>
      <c r="BHA13" s="41"/>
      <c r="BHB13" s="41"/>
      <c r="BHC13" s="41"/>
      <c r="BHD13" s="41"/>
      <c r="BHE13" s="41"/>
      <c r="BHF13" s="41"/>
      <c r="BHG13" s="41"/>
      <c r="BHH13" s="41"/>
      <c r="BHI13" s="41"/>
      <c r="BHJ13" s="41"/>
      <c r="BHK13" s="41"/>
      <c r="BHL13" s="41"/>
      <c r="BHM13" s="41"/>
      <c r="BHN13" s="41"/>
      <c r="BHO13" s="41"/>
      <c r="BHP13" s="41"/>
      <c r="BHQ13" s="41"/>
      <c r="BHR13" s="41"/>
      <c r="BHS13" s="41"/>
      <c r="BHT13" s="41"/>
      <c r="BHU13" s="41"/>
      <c r="BHV13" s="41"/>
      <c r="BHW13" s="41"/>
      <c r="BHX13" s="41"/>
      <c r="BHY13" s="41"/>
      <c r="BHZ13" s="41"/>
      <c r="BIA13" s="41"/>
      <c r="BIB13" s="41"/>
      <c r="BIC13" s="41"/>
      <c r="BID13" s="41"/>
      <c r="BIE13" s="41"/>
      <c r="BIF13" s="41"/>
      <c r="BIG13" s="41"/>
      <c r="BIH13" s="41"/>
      <c r="BII13" s="41"/>
      <c r="BIJ13" s="41"/>
      <c r="BIK13" s="41"/>
      <c r="BIL13" s="41"/>
      <c r="BIM13" s="41"/>
      <c r="BIN13" s="41"/>
      <c r="BIO13" s="41"/>
      <c r="BIP13" s="41"/>
      <c r="BIQ13" s="41"/>
      <c r="BIR13" s="41"/>
      <c r="BIS13" s="41"/>
      <c r="BIT13" s="41"/>
      <c r="BIU13" s="41"/>
      <c r="BIV13" s="41"/>
      <c r="BIW13" s="41"/>
      <c r="BIX13" s="41"/>
      <c r="BIY13" s="41"/>
      <c r="BIZ13" s="41"/>
      <c r="BJA13" s="41"/>
      <c r="BJB13" s="41"/>
      <c r="BJC13" s="41"/>
      <c r="BJD13" s="41"/>
      <c r="BJE13" s="41"/>
      <c r="BJF13" s="41"/>
      <c r="BJG13" s="41"/>
      <c r="BJH13" s="41"/>
      <c r="BJI13" s="41"/>
      <c r="BJJ13" s="41"/>
      <c r="BJK13" s="41"/>
      <c r="BJL13" s="41"/>
      <c r="BJM13" s="41"/>
      <c r="BJN13" s="41"/>
      <c r="BJO13" s="41"/>
      <c r="BJP13" s="41"/>
      <c r="BJQ13" s="41"/>
      <c r="BJR13" s="41"/>
      <c r="BJS13" s="41"/>
      <c r="BJT13" s="41"/>
      <c r="BJU13" s="41"/>
      <c r="BJV13" s="41"/>
      <c r="BJW13" s="41"/>
      <c r="BJX13" s="41"/>
      <c r="BJY13" s="41"/>
      <c r="BJZ13" s="41"/>
      <c r="BKA13" s="41"/>
      <c r="BKB13" s="41"/>
      <c r="BKC13" s="41"/>
      <c r="BKD13" s="41"/>
      <c r="BKE13" s="41"/>
      <c r="BKF13" s="41"/>
      <c r="BKG13" s="41"/>
      <c r="BKH13" s="41"/>
      <c r="BKI13" s="41"/>
      <c r="BKJ13" s="41"/>
      <c r="BKK13" s="41"/>
      <c r="BKL13" s="41"/>
      <c r="BKM13" s="41"/>
      <c r="BKN13" s="41"/>
      <c r="BKO13" s="41"/>
      <c r="BKP13" s="41"/>
      <c r="BKQ13" s="41"/>
      <c r="BKR13" s="41"/>
      <c r="BKS13" s="41"/>
      <c r="BKT13" s="41"/>
      <c r="BKU13" s="41"/>
      <c r="BKV13" s="41"/>
      <c r="BKW13" s="41"/>
      <c r="BKX13" s="41"/>
      <c r="BKY13" s="41"/>
      <c r="BKZ13" s="41"/>
      <c r="BLA13" s="41"/>
      <c r="BLB13" s="41"/>
      <c r="BLC13" s="41"/>
      <c r="BLD13" s="41"/>
      <c r="BLE13" s="41"/>
      <c r="BLF13" s="41"/>
      <c r="BLG13" s="41"/>
      <c r="BLH13" s="41"/>
      <c r="BLI13" s="41"/>
      <c r="BLJ13" s="41"/>
      <c r="BLK13" s="41"/>
      <c r="BLL13" s="41"/>
      <c r="BLM13" s="41"/>
      <c r="BLN13" s="41"/>
      <c r="BLO13" s="41"/>
      <c r="BLP13" s="41"/>
      <c r="BLQ13" s="41"/>
      <c r="BLR13" s="41"/>
      <c r="BLS13" s="41"/>
      <c r="BLT13" s="41"/>
      <c r="BLU13" s="41"/>
      <c r="BLV13" s="41"/>
      <c r="BLW13" s="41"/>
      <c r="BLX13" s="41"/>
      <c r="BLY13" s="41"/>
      <c r="BLZ13" s="41"/>
      <c r="BMA13" s="41"/>
      <c r="BMB13" s="41"/>
      <c r="BMC13" s="41"/>
      <c r="BMD13" s="41"/>
      <c r="BME13" s="41"/>
      <c r="BMF13" s="41"/>
      <c r="BMG13" s="41"/>
      <c r="BMH13" s="41"/>
      <c r="BMI13" s="41"/>
      <c r="BMJ13" s="41"/>
      <c r="BMK13" s="41"/>
      <c r="BML13" s="41"/>
      <c r="BMM13" s="41"/>
      <c r="BMN13" s="41"/>
      <c r="BMO13" s="41"/>
      <c r="BMP13" s="41"/>
      <c r="BMQ13" s="41"/>
      <c r="BMR13" s="41"/>
      <c r="BMS13" s="41"/>
      <c r="BMT13" s="41"/>
      <c r="BMU13" s="41"/>
      <c r="BMV13" s="41"/>
      <c r="BMW13" s="41"/>
      <c r="BMX13" s="41"/>
      <c r="BMY13" s="41"/>
      <c r="BMZ13" s="41"/>
      <c r="BNA13" s="41"/>
      <c r="BNB13" s="41"/>
      <c r="BNC13" s="41"/>
      <c r="BND13" s="41"/>
      <c r="BNE13" s="41"/>
      <c r="BNF13" s="41"/>
      <c r="BNG13" s="41"/>
      <c r="BNH13" s="41"/>
      <c r="BNI13" s="41"/>
      <c r="BNJ13" s="41"/>
      <c r="BNK13" s="41"/>
      <c r="BNL13" s="41"/>
      <c r="BNM13" s="41"/>
      <c r="BNN13" s="41"/>
      <c r="BNO13" s="41"/>
      <c r="BNP13" s="41"/>
      <c r="BNQ13" s="41"/>
      <c r="BNR13" s="41"/>
      <c r="BNS13" s="41"/>
      <c r="BNT13" s="41"/>
      <c r="BNU13" s="41"/>
      <c r="BNV13" s="41"/>
      <c r="BNW13" s="41"/>
      <c r="BNX13" s="41"/>
      <c r="BNY13" s="41"/>
      <c r="BNZ13" s="41"/>
      <c r="BOA13" s="41"/>
      <c r="BOB13" s="41"/>
      <c r="BOC13" s="41"/>
      <c r="BOD13" s="41"/>
      <c r="BOE13" s="41"/>
      <c r="BOF13" s="41"/>
      <c r="BOG13" s="41"/>
      <c r="BOH13" s="41"/>
      <c r="BOI13" s="41"/>
      <c r="BOJ13" s="41"/>
      <c r="BOK13" s="41"/>
      <c r="BOL13" s="41"/>
      <c r="BOM13" s="41"/>
      <c r="BON13" s="41"/>
      <c r="BOO13" s="41"/>
      <c r="BOP13" s="41"/>
      <c r="BOQ13" s="41"/>
      <c r="BOR13" s="41"/>
      <c r="BOS13" s="41"/>
      <c r="BOT13" s="41"/>
      <c r="BOU13" s="41"/>
      <c r="BOV13" s="41"/>
      <c r="BOW13" s="41"/>
      <c r="BOX13" s="41"/>
      <c r="BOY13" s="41"/>
      <c r="BOZ13" s="41"/>
      <c r="BPA13" s="41"/>
      <c r="BPB13" s="41"/>
      <c r="BPC13" s="41"/>
      <c r="BPD13" s="41"/>
      <c r="BPE13" s="41"/>
      <c r="BPF13" s="41"/>
      <c r="BPG13" s="41"/>
      <c r="BPH13" s="41"/>
      <c r="BPI13" s="41"/>
      <c r="BPJ13" s="41"/>
      <c r="BPK13" s="41"/>
      <c r="BPL13" s="41"/>
      <c r="BPM13" s="41"/>
      <c r="BPN13" s="41"/>
      <c r="BPO13" s="41"/>
      <c r="BPP13" s="41"/>
      <c r="BPQ13" s="41"/>
      <c r="BPR13" s="41"/>
      <c r="BPS13" s="41"/>
      <c r="BPT13" s="41"/>
      <c r="BPU13" s="41"/>
      <c r="BPV13" s="41"/>
      <c r="BPW13" s="41"/>
      <c r="BPX13" s="41"/>
      <c r="BPY13" s="41"/>
      <c r="BPZ13" s="41"/>
      <c r="BQA13" s="41"/>
      <c r="BQB13" s="41"/>
      <c r="BQC13" s="41"/>
      <c r="BQD13" s="41"/>
      <c r="BQE13" s="41"/>
      <c r="BQF13" s="41"/>
      <c r="BQG13" s="41"/>
      <c r="BQH13" s="41"/>
      <c r="BQI13" s="41"/>
      <c r="BQJ13" s="41"/>
      <c r="BQK13" s="41"/>
      <c r="BQL13" s="41"/>
      <c r="BQM13" s="41"/>
      <c r="BQN13" s="41"/>
      <c r="BQO13" s="41"/>
      <c r="BQP13" s="41"/>
      <c r="BQQ13" s="41"/>
      <c r="BQR13" s="41"/>
      <c r="BQS13" s="41"/>
      <c r="BQT13" s="41"/>
      <c r="BQU13" s="41"/>
      <c r="BQV13" s="41"/>
      <c r="BQW13" s="41"/>
      <c r="BQX13" s="41"/>
      <c r="BQY13" s="41"/>
      <c r="BQZ13" s="41"/>
      <c r="BRA13" s="41"/>
      <c r="BRB13" s="41"/>
      <c r="BRC13" s="41"/>
      <c r="BRD13" s="41"/>
      <c r="BRE13" s="41"/>
      <c r="BRF13" s="41"/>
      <c r="BRG13" s="41"/>
      <c r="BRH13" s="41"/>
      <c r="BRI13" s="41"/>
      <c r="BRJ13" s="41"/>
      <c r="BRK13" s="41"/>
      <c r="BRL13" s="41"/>
      <c r="BRM13" s="41"/>
      <c r="BRN13" s="41"/>
      <c r="BRO13" s="41"/>
      <c r="BRP13" s="41"/>
      <c r="BRQ13" s="41"/>
      <c r="BRR13" s="41"/>
      <c r="BRS13" s="41"/>
      <c r="BRT13" s="41"/>
      <c r="BRU13" s="41"/>
      <c r="BRV13" s="41"/>
      <c r="BRW13" s="41"/>
      <c r="BRX13" s="41"/>
      <c r="BRY13" s="41"/>
      <c r="BRZ13" s="41"/>
      <c r="BSA13" s="41"/>
      <c r="BSB13" s="41"/>
      <c r="BSC13" s="41"/>
      <c r="BSD13" s="41"/>
      <c r="BSE13" s="41"/>
      <c r="BSF13" s="41"/>
      <c r="BSG13" s="41"/>
      <c r="BSH13" s="41"/>
      <c r="BSI13" s="41"/>
      <c r="BSJ13" s="41"/>
      <c r="BSK13" s="41"/>
      <c r="BSL13" s="41"/>
      <c r="BSM13" s="41"/>
      <c r="BSN13" s="41"/>
      <c r="BSO13" s="41"/>
      <c r="BSP13" s="41"/>
      <c r="BSQ13" s="41"/>
      <c r="BSR13" s="41"/>
      <c r="BSS13" s="41"/>
      <c r="BST13" s="41"/>
      <c r="BSU13" s="41"/>
      <c r="BSV13" s="41"/>
      <c r="BSW13" s="41"/>
      <c r="BSX13" s="41"/>
      <c r="BSY13" s="41"/>
      <c r="BSZ13" s="41"/>
      <c r="BTA13" s="41"/>
      <c r="BTB13" s="41"/>
      <c r="BTC13" s="41"/>
      <c r="BTD13" s="41"/>
      <c r="BTE13" s="41"/>
      <c r="BTF13" s="41"/>
      <c r="BTG13" s="41"/>
      <c r="BTH13" s="41"/>
      <c r="BTI13" s="41"/>
      <c r="BTJ13" s="41"/>
      <c r="BTK13" s="41"/>
      <c r="BTL13" s="41"/>
      <c r="BTM13" s="41"/>
      <c r="BTN13" s="41"/>
      <c r="BTO13" s="41"/>
      <c r="BTP13" s="41"/>
      <c r="BTQ13" s="41"/>
      <c r="BTR13" s="41"/>
      <c r="BTS13" s="41"/>
      <c r="BTT13" s="41"/>
      <c r="BTU13" s="41"/>
      <c r="BTV13" s="41"/>
      <c r="BTW13" s="41"/>
      <c r="BTX13" s="41"/>
      <c r="BTY13" s="41"/>
      <c r="BTZ13" s="41"/>
      <c r="BUA13" s="41"/>
      <c r="BUB13" s="41"/>
      <c r="BUC13" s="41"/>
      <c r="BUD13" s="41"/>
      <c r="BUE13" s="41"/>
      <c r="BUF13" s="41"/>
      <c r="BUG13" s="41"/>
      <c r="BUH13" s="41"/>
      <c r="BUI13" s="41"/>
      <c r="BUJ13" s="41"/>
      <c r="BUK13" s="41"/>
      <c r="BUL13" s="41"/>
      <c r="BUM13" s="41"/>
      <c r="BUN13" s="41"/>
      <c r="BUO13" s="41"/>
      <c r="BUP13" s="41"/>
      <c r="BUQ13" s="41"/>
      <c r="BUR13" s="41"/>
      <c r="BUS13" s="41"/>
      <c r="BUT13" s="41"/>
      <c r="BUU13" s="41"/>
      <c r="BUV13" s="41"/>
      <c r="BUW13" s="41"/>
      <c r="BUX13" s="41"/>
      <c r="BUY13" s="41"/>
      <c r="BUZ13" s="41"/>
      <c r="BVA13" s="41"/>
      <c r="BVB13" s="41"/>
      <c r="BVC13" s="41"/>
      <c r="BVD13" s="41"/>
      <c r="BVE13" s="41"/>
      <c r="BVF13" s="41"/>
      <c r="BVG13" s="41"/>
      <c r="BVH13" s="41"/>
      <c r="BVI13" s="41"/>
      <c r="BVJ13" s="41"/>
      <c r="BVK13" s="41"/>
      <c r="BVL13" s="41"/>
      <c r="BVM13" s="41"/>
      <c r="BVN13" s="41"/>
      <c r="BVO13" s="41"/>
      <c r="BVP13" s="41"/>
      <c r="BVQ13" s="41"/>
      <c r="BVR13" s="41"/>
      <c r="BVS13" s="41"/>
      <c r="BVT13" s="41"/>
      <c r="BVU13" s="41"/>
      <c r="BVV13" s="41"/>
      <c r="BVW13" s="41"/>
      <c r="BVX13" s="41"/>
      <c r="BVY13" s="41"/>
      <c r="BVZ13" s="41"/>
      <c r="BWA13" s="41"/>
      <c r="BWB13" s="41"/>
      <c r="BWC13" s="41"/>
      <c r="BWD13" s="41"/>
      <c r="BWE13" s="41"/>
      <c r="BWF13" s="41"/>
      <c r="BWG13" s="41"/>
      <c r="BWH13" s="41"/>
      <c r="BWI13" s="41"/>
      <c r="BWJ13" s="41"/>
      <c r="BWK13" s="41"/>
      <c r="BWL13" s="41"/>
      <c r="BWM13" s="41"/>
      <c r="BWN13" s="41"/>
      <c r="BWO13" s="41"/>
      <c r="BWP13" s="41"/>
      <c r="BWQ13" s="41"/>
      <c r="BWR13" s="41"/>
      <c r="BWS13" s="41"/>
      <c r="BWT13" s="41"/>
      <c r="BWU13" s="41"/>
      <c r="BWV13" s="41"/>
      <c r="BWW13" s="41"/>
      <c r="BWX13" s="41"/>
      <c r="BWY13" s="41"/>
      <c r="BWZ13" s="41"/>
      <c r="BXA13" s="41"/>
      <c r="BXB13" s="41"/>
      <c r="BXC13" s="41"/>
      <c r="BXD13" s="41"/>
      <c r="BXE13" s="41"/>
      <c r="BXF13" s="41"/>
      <c r="BXG13" s="41"/>
      <c r="BXH13" s="41"/>
      <c r="BXI13" s="41"/>
      <c r="BXJ13" s="41"/>
      <c r="BXK13" s="41"/>
      <c r="BXL13" s="41"/>
      <c r="BXM13" s="41"/>
      <c r="BXN13" s="41"/>
      <c r="BXO13" s="41"/>
      <c r="BXP13" s="41"/>
      <c r="BXQ13" s="41"/>
      <c r="BXR13" s="41"/>
      <c r="BXS13" s="41"/>
      <c r="BXT13" s="41"/>
      <c r="BXU13" s="41"/>
      <c r="BXV13" s="41"/>
      <c r="BXW13" s="41"/>
      <c r="BXX13" s="41"/>
      <c r="BXY13" s="41"/>
      <c r="BXZ13" s="41"/>
      <c r="BYA13" s="41"/>
      <c r="BYB13" s="41"/>
      <c r="BYC13" s="41"/>
      <c r="BYD13" s="41"/>
      <c r="BYE13" s="41"/>
      <c r="BYF13" s="41"/>
      <c r="BYG13" s="41"/>
      <c r="BYH13" s="41"/>
      <c r="BYI13" s="41"/>
      <c r="BYJ13" s="41"/>
      <c r="BYK13" s="41"/>
      <c r="BYL13" s="41"/>
      <c r="BYM13" s="41"/>
      <c r="BYN13" s="41"/>
      <c r="BYO13" s="41"/>
      <c r="BYP13" s="41"/>
      <c r="BYQ13" s="41"/>
      <c r="BYR13" s="41"/>
      <c r="BYS13" s="41"/>
      <c r="BYT13" s="41"/>
      <c r="BYU13" s="41"/>
      <c r="BYV13" s="41"/>
      <c r="BYW13" s="41"/>
      <c r="BYX13" s="41"/>
      <c r="BYY13" s="41"/>
      <c r="BYZ13" s="41"/>
      <c r="BZA13" s="41"/>
      <c r="BZB13" s="41"/>
      <c r="BZC13" s="41"/>
      <c r="BZD13" s="41"/>
      <c r="BZE13" s="41"/>
      <c r="BZF13" s="41"/>
      <c r="BZG13" s="41"/>
      <c r="BZH13" s="41"/>
      <c r="BZI13" s="41"/>
      <c r="BZJ13" s="41"/>
      <c r="BZK13" s="41"/>
      <c r="BZL13" s="41"/>
      <c r="BZM13" s="41"/>
      <c r="BZN13" s="41"/>
      <c r="BZO13" s="41"/>
      <c r="BZP13" s="41"/>
      <c r="BZQ13" s="41"/>
      <c r="BZR13" s="41"/>
      <c r="BZS13" s="41"/>
      <c r="BZT13" s="41"/>
      <c r="BZU13" s="41"/>
      <c r="BZV13" s="41"/>
      <c r="BZW13" s="41"/>
      <c r="BZX13" s="41"/>
      <c r="BZY13" s="41"/>
      <c r="BZZ13" s="41"/>
      <c r="CAA13" s="41"/>
      <c r="CAB13" s="41"/>
      <c r="CAC13" s="41"/>
      <c r="CAD13" s="41"/>
      <c r="CAE13" s="41"/>
      <c r="CAF13" s="41"/>
      <c r="CAG13" s="41"/>
      <c r="CAH13" s="41"/>
      <c r="CAI13" s="41"/>
      <c r="CAJ13" s="41"/>
      <c r="CAK13" s="41"/>
      <c r="CAL13" s="41"/>
      <c r="CAM13" s="41"/>
      <c r="CAN13" s="41"/>
      <c r="CAO13" s="41"/>
      <c r="CAP13" s="41"/>
      <c r="CAQ13" s="41"/>
      <c r="CAR13" s="41"/>
      <c r="CAS13" s="41"/>
      <c r="CAT13" s="41"/>
      <c r="CAU13" s="41"/>
      <c r="CAV13" s="41"/>
      <c r="CAW13" s="41"/>
      <c r="CAX13" s="41"/>
      <c r="CAY13" s="41"/>
      <c r="CAZ13" s="41"/>
      <c r="CBA13" s="41"/>
      <c r="CBB13" s="41"/>
      <c r="CBC13" s="41"/>
      <c r="CBD13" s="41"/>
      <c r="CBE13" s="41"/>
      <c r="CBF13" s="41"/>
      <c r="CBG13" s="41"/>
      <c r="CBH13" s="41"/>
      <c r="CBI13" s="41"/>
      <c r="CBJ13" s="41"/>
      <c r="CBK13" s="41"/>
      <c r="CBL13" s="41"/>
      <c r="CBM13" s="41"/>
      <c r="CBN13" s="41"/>
      <c r="CBO13" s="41"/>
      <c r="CBP13" s="41"/>
      <c r="CBQ13" s="41"/>
      <c r="CBR13" s="41"/>
      <c r="CBS13" s="41"/>
      <c r="CBT13" s="41"/>
      <c r="CBU13" s="41"/>
      <c r="CBV13" s="41"/>
      <c r="CBW13" s="41"/>
      <c r="CBX13" s="41"/>
      <c r="CBY13" s="41"/>
      <c r="CBZ13" s="41"/>
      <c r="CCA13" s="41"/>
      <c r="CCB13" s="41"/>
      <c r="CCC13" s="41"/>
      <c r="CCD13" s="41"/>
      <c r="CCE13" s="41"/>
      <c r="CCF13" s="41"/>
      <c r="CCG13" s="41"/>
      <c r="CCH13" s="41"/>
      <c r="CCI13" s="41"/>
      <c r="CCJ13" s="41"/>
      <c r="CCK13" s="41"/>
      <c r="CCL13" s="41"/>
      <c r="CCM13" s="41"/>
      <c r="CCN13" s="41"/>
      <c r="CCO13" s="41"/>
      <c r="CCP13" s="41"/>
      <c r="CCQ13" s="41"/>
      <c r="CCR13" s="41"/>
      <c r="CCS13" s="41"/>
      <c r="CCT13" s="41"/>
      <c r="CCU13" s="41"/>
      <c r="CCV13" s="41"/>
      <c r="CCW13" s="41"/>
      <c r="CCX13" s="41"/>
      <c r="CCY13" s="41"/>
      <c r="CCZ13" s="41"/>
      <c r="CDA13" s="41"/>
      <c r="CDB13" s="41"/>
      <c r="CDC13" s="41"/>
      <c r="CDD13" s="41"/>
      <c r="CDE13" s="41"/>
      <c r="CDF13" s="41"/>
      <c r="CDG13" s="41"/>
      <c r="CDH13" s="41"/>
      <c r="CDI13" s="41"/>
      <c r="CDJ13" s="41"/>
      <c r="CDK13" s="41"/>
      <c r="CDL13" s="41"/>
      <c r="CDM13" s="41"/>
      <c r="CDN13" s="41"/>
      <c r="CDO13" s="41"/>
      <c r="CDP13" s="41"/>
      <c r="CDQ13" s="41"/>
      <c r="CDR13" s="41"/>
      <c r="CDS13" s="41"/>
      <c r="CDT13" s="41"/>
      <c r="CDU13" s="41"/>
      <c r="CDV13" s="41"/>
      <c r="CDW13" s="41"/>
      <c r="CDX13" s="41"/>
      <c r="CDY13" s="41"/>
      <c r="CDZ13" s="41"/>
      <c r="CEA13" s="41"/>
      <c r="CEB13" s="41"/>
      <c r="CEC13" s="41"/>
      <c r="CED13" s="41"/>
      <c r="CEE13" s="41"/>
      <c r="CEF13" s="41"/>
      <c r="CEG13" s="41"/>
      <c r="CEH13" s="41"/>
      <c r="CEI13" s="41"/>
      <c r="CEJ13" s="41"/>
      <c r="CEK13" s="41"/>
      <c r="CEL13" s="41"/>
      <c r="CEM13" s="41"/>
      <c r="CEN13" s="41"/>
      <c r="CEO13" s="41"/>
      <c r="CEP13" s="41"/>
      <c r="CEQ13" s="41"/>
      <c r="CER13" s="41"/>
      <c r="CES13" s="41"/>
      <c r="CET13" s="41"/>
      <c r="CEU13" s="41"/>
      <c r="CEV13" s="41"/>
      <c r="CEW13" s="41"/>
      <c r="CEX13" s="41"/>
      <c r="CEY13" s="41"/>
      <c r="CEZ13" s="41"/>
      <c r="CFA13" s="41"/>
      <c r="CFB13" s="41"/>
      <c r="CFC13" s="41"/>
      <c r="CFD13" s="41"/>
      <c r="CFE13" s="41"/>
      <c r="CFF13" s="41"/>
      <c r="CFG13" s="41"/>
      <c r="CFH13" s="41"/>
      <c r="CFI13" s="41"/>
      <c r="CFJ13" s="41"/>
      <c r="CFK13" s="41"/>
      <c r="CFL13" s="41"/>
      <c r="CFM13" s="41"/>
      <c r="CFN13" s="41"/>
      <c r="CFO13" s="41"/>
      <c r="CFP13" s="41"/>
      <c r="CFQ13" s="41"/>
      <c r="CFR13" s="41"/>
      <c r="CFS13" s="41"/>
      <c r="CFT13" s="41"/>
      <c r="CFU13" s="41"/>
      <c r="CFV13" s="41"/>
      <c r="CFW13" s="41"/>
      <c r="CFX13" s="41"/>
      <c r="CFY13" s="41"/>
      <c r="CFZ13" s="41"/>
      <c r="CGA13" s="41"/>
      <c r="CGB13" s="41"/>
      <c r="CGC13" s="41"/>
      <c r="CGD13" s="41"/>
      <c r="CGE13" s="41"/>
      <c r="CGF13" s="41"/>
      <c r="CGG13" s="41"/>
      <c r="CGH13" s="41"/>
      <c r="CGI13" s="41"/>
      <c r="CGJ13" s="41"/>
      <c r="CGK13" s="41"/>
      <c r="CGL13" s="41"/>
      <c r="CGM13" s="41"/>
      <c r="CGN13" s="41"/>
      <c r="CGO13" s="41"/>
      <c r="CGP13" s="41"/>
      <c r="CGQ13" s="41"/>
      <c r="CGR13" s="41"/>
      <c r="CGS13" s="41"/>
      <c r="CGT13" s="41"/>
      <c r="CGU13" s="41"/>
      <c r="CGV13" s="41"/>
      <c r="CGW13" s="41"/>
      <c r="CGX13" s="41"/>
      <c r="CGY13" s="41"/>
      <c r="CGZ13" s="41"/>
      <c r="CHA13" s="41"/>
      <c r="CHB13" s="41"/>
      <c r="CHC13" s="41"/>
      <c r="CHD13" s="41"/>
      <c r="CHE13" s="41"/>
      <c r="CHF13" s="41"/>
      <c r="CHG13" s="41"/>
      <c r="CHH13" s="41"/>
      <c r="CHI13" s="41"/>
      <c r="CHJ13" s="41"/>
      <c r="CHK13" s="41"/>
      <c r="CHL13" s="41"/>
      <c r="CHM13" s="41"/>
      <c r="CHN13" s="41"/>
      <c r="CHO13" s="41"/>
      <c r="CHP13" s="41"/>
      <c r="CHQ13" s="41"/>
      <c r="CHR13" s="41"/>
      <c r="CHS13" s="41"/>
      <c r="CHT13" s="41"/>
      <c r="CHU13" s="41"/>
      <c r="CHV13" s="41"/>
      <c r="CHW13" s="41"/>
      <c r="CHX13" s="41"/>
      <c r="CHY13" s="41"/>
      <c r="CHZ13" s="41"/>
      <c r="CIA13" s="41"/>
      <c r="CIB13" s="41"/>
      <c r="CIC13" s="41"/>
      <c r="CID13" s="41"/>
      <c r="CIE13" s="41"/>
      <c r="CIF13" s="41"/>
      <c r="CIG13" s="41"/>
      <c r="CIH13" s="41"/>
      <c r="CII13" s="41"/>
      <c r="CIJ13" s="41"/>
      <c r="CIK13" s="41"/>
      <c r="CIL13" s="41"/>
      <c r="CIM13" s="41"/>
      <c r="CIN13" s="41"/>
      <c r="CIO13" s="41"/>
      <c r="CIP13" s="41"/>
      <c r="CIQ13" s="41"/>
      <c r="CIR13" s="41"/>
      <c r="CIS13" s="41"/>
      <c r="CIT13" s="41"/>
      <c r="CIU13" s="41"/>
      <c r="CIV13" s="41"/>
      <c r="CIW13" s="41"/>
      <c r="CIX13" s="41"/>
      <c r="CIY13" s="41"/>
      <c r="CIZ13" s="41"/>
      <c r="CJA13" s="41"/>
      <c r="CJB13" s="41"/>
      <c r="CJC13" s="41"/>
      <c r="CJD13" s="41"/>
      <c r="CJE13" s="41"/>
      <c r="CJF13" s="41"/>
      <c r="CJG13" s="41"/>
      <c r="CJH13" s="41"/>
      <c r="CJI13" s="41"/>
      <c r="CJJ13" s="41"/>
      <c r="CJK13" s="41"/>
      <c r="CJL13" s="41"/>
      <c r="CJM13" s="41"/>
      <c r="CJN13" s="41"/>
      <c r="CJO13" s="41"/>
      <c r="CJP13" s="41"/>
      <c r="CJQ13" s="41"/>
      <c r="CJR13" s="41"/>
      <c r="CJS13" s="41"/>
      <c r="CJT13" s="41"/>
      <c r="CJU13" s="41"/>
      <c r="CJV13" s="41"/>
      <c r="CJW13" s="41"/>
      <c r="CJX13" s="41"/>
      <c r="CJY13" s="41"/>
      <c r="CJZ13" s="41"/>
      <c r="CKA13" s="41"/>
      <c r="CKB13" s="41"/>
      <c r="CKC13" s="41"/>
      <c r="CKD13" s="41"/>
      <c r="CKE13" s="41"/>
      <c r="CKF13" s="41"/>
      <c r="CKG13" s="41"/>
      <c r="CKH13" s="41"/>
      <c r="CKI13" s="41"/>
      <c r="CKJ13" s="41"/>
      <c r="CKK13" s="41"/>
      <c r="CKL13" s="41"/>
      <c r="CKM13" s="41"/>
      <c r="CKN13" s="41"/>
      <c r="CKO13" s="41"/>
      <c r="CKP13" s="41"/>
      <c r="CKQ13" s="41"/>
      <c r="CKR13" s="41"/>
      <c r="CKS13" s="41"/>
      <c r="CKT13" s="41"/>
      <c r="CKU13" s="41"/>
      <c r="CKV13" s="41"/>
      <c r="CKW13" s="41"/>
      <c r="CKX13" s="41"/>
      <c r="CKY13" s="41"/>
      <c r="CKZ13" s="41"/>
      <c r="CLA13" s="41"/>
      <c r="CLB13" s="41"/>
      <c r="CLC13" s="41"/>
      <c r="CLD13" s="41"/>
      <c r="CLE13" s="41"/>
      <c r="CLF13" s="41"/>
      <c r="CLG13" s="41"/>
      <c r="CLH13" s="41"/>
      <c r="CLI13" s="41"/>
      <c r="CLJ13" s="41"/>
      <c r="CLK13" s="41"/>
      <c r="CLL13" s="41"/>
      <c r="CLM13" s="41"/>
      <c r="CLN13" s="41"/>
      <c r="CLO13" s="41"/>
      <c r="CLP13" s="41"/>
      <c r="CLQ13" s="41"/>
      <c r="CLR13" s="41"/>
      <c r="CLS13" s="41"/>
      <c r="CLT13" s="41"/>
      <c r="CLU13" s="41"/>
      <c r="CLV13" s="41"/>
      <c r="CLW13" s="41"/>
      <c r="CLX13" s="41"/>
      <c r="CLY13" s="41"/>
      <c r="CLZ13" s="41"/>
      <c r="CMA13" s="41"/>
      <c r="CMB13" s="41"/>
      <c r="CMC13" s="41"/>
      <c r="CMD13" s="41"/>
      <c r="CME13" s="41"/>
      <c r="CMF13" s="41"/>
      <c r="CMG13" s="41"/>
      <c r="CMH13" s="41"/>
      <c r="CMI13" s="41"/>
      <c r="CMJ13" s="41"/>
      <c r="CMK13" s="41"/>
      <c r="CML13" s="41"/>
      <c r="CMM13" s="41"/>
      <c r="CMN13" s="41"/>
      <c r="CMO13" s="41"/>
      <c r="CMP13" s="41"/>
      <c r="CMQ13" s="41"/>
      <c r="CMR13" s="41"/>
      <c r="CMS13" s="41"/>
      <c r="CMT13" s="41"/>
      <c r="CMU13" s="41"/>
      <c r="CMV13" s="41"/>
      <c r="CMW13" s="41"/>
      <c r="CMX13" s="41"/>
      <c r="CMY13" s="41"/>
      <c r="CMZ13" s="41"/>
      <c r="CNA13" s="41"/>
      <c r="CNB13" s="41"/>
      <c r="CNC13" s="41"/>
      <c r="CND13" s="41"/>
      <c r="CNE13" s="41"/>
      <c r="CNF13" s="41"/>
      <c r="CNG13" s="41"/>
      <c r="CNH13" s="41"/>
      <c r="CNI13" s="41"/>
      <c r="CNJ13" s="41"/>
      <c r="CNK13" s="41"/>
      <c r="CNL13" s="41"/>
      <c r="CNM13" s="41"/>
      <c r="CNN13" s="41"/>
      <c r="CNO13" s="41"/>
      <c r="CNP13" s="41"/>
      <c r="CNQ13" s="41"/>
      <c r="CNR13" s="41"/>
      <c r="CNS13" s="41"/>
      <c r="CNT13" s="41"/>
      <c r="CNU13" s="41"/>
      <c r="CNV13" s="41"/>
      <c r="CNW13" s="41"/>
      <c r="CNX13" s="41"/>
      <c r="CNY13" s="41"/>
      <c r="CNZ13" s="41"/>
      <c r="COA13" s="41"/>
      <c r="COB13" s="41"/>
      <c r="COC13" s="41"/>
      <c r="COD13" s="41"/>
      <c r="COE13" s="41"/>
      <c r="COF13" s="41"/>
      <c r="COG13" s="41"/>
      <c r="COH13" s="41"/>
      <c r="COI13" s="41"/>
      <c r="COJ13" s="41"/>
      <c r="COK13" s="41"/>
      <c r="COL13" s="41"/>
      <c r="COM13" s="41"/>
      <c r="CON13" s="41"/>
      <c r="COO13" s="41"/>
      <c r="COP13" s="41"/>
      <c r="COQ13" s="41"/>
      <c r="COR13" s="41"/>
      <c r="COS13" s="41"/>
      <c r="COT13" s="41"/>
      <c r="COU13" s="41"/>
      <c r="COV13" s="41"/>
      <c r="COW13" s="41"/>
      <c r="COX13" s="41"/>
      <c r="COY13" s="41"/>
      <c r="COZ13" s="41"/>
      <c r="CPA13" s="41"/>
      <c r="CPB13" s="41"/>
      <c r="CPC13" s="41"/>
      <c r="CPD13" s="41"/>
      <c r="CPE13" s="41"/>
      <c r="CPF13" s="41"/>
      <c r="CPG13" s="41"/>
      <c r="CPH13" s="41"/>
      <c r="CPI13" s="41"/>
      <c r="CPJ13" s="41"/>
      <c r="CPK13" s="41"/>
      <c r="CPL13" s="41"/>
      <c r="CPM13" s="41"/>
      <c r="CPN13" s="41"/>
      <c r="CPO13" s="41"/>
      <c r="CPP13" s="41"/>
      <c r="CPQ13" s="41"/>
      <c r="CPR13" s="41"/>
      <c r="CPS13" s="41"/>
      <c r="CPT13" s="41"/>
      <c r="CPU13" s="41"/>
      <c r="CPV13" s="41"/>
      <c r="CPW13" s="41"/>
      <c r="CPX13" s="41"/>
      <c r="CPY13" s="41"/>
      <c r="CPZ13" s="41"/>
      <c r="CQA13" s="41"/>
      <c r="CQB13" s="41"/>
      <c r="CQC13" s="41"/>
      <c r="CQD13" s="41"/>
      <c r="CQE13" s="41"/>
      <c r="CQF13" s="41"/>
      <c r="CQG13" s="41"/>
      <c r="CQH13" s="41"/>
      <c r="CQI13" s="41"/>
      <c r="CQJ13" s="41"/>
      <c r="CQK13" s="41"/>
      <c r="CQL13" s="41"/>
      <c r="CQM13" s="41"/>
      <c r="CQN13" s="41"/>
      <c r="CQO13" s="41"/>
      <c r="CQP13" s="41"/>
      <c r="CQQ13" s="41"/>
      <c r="CQR13" s="41"/>
      <c r="CQS13" s="41"/>
      <c r="CQT13" s="41"/>
      <c r="CQU13" s="41"/>
      <c r="CQV13" s="41"/>
      <c r="CQW13" s="41"/>
      <c r="CQX13" s="41"/>
      <c r="CQY13" s="41"/>
      <c r="CQZ13" s="41"/>
      <c r="CRA13" s="41"/>
      <c r="CRB13" s="41"/>
      <c r="CRC13" s="41"/>
      <c r="CRD13" s="41"/>
      <c r="CRE13" s="41"/>
      <c r="CRF13" s="41"/>
      <c r="CRG13" s="41"/>
      <c r="CRH13" s="41"/>
      <c r="CRI13" s="41"/>
      <c r="CRJ13" s="41"/>
      <c r="CRK13" s="41"/>
      <c r="CRL13" s="41"/>
      <c r="CRM13" s="41"/>
      <c r="CRN13" s="41"/>
      <c r="CRO13" s="41"/>
      <c r="CRP13" s="41"/>
      <c r="CRQ13" s="41"/>
      <c r="CRR13" s="41"/>
      <c r="CRS13" s="41"/>
      <c r="CRT13" s="41"/>
      <c r="CRU13" s="41"/>
      <c r="CRV13" s="41"/>
      <c r="CRW13" s="41"/>
      <c r="CRX13" s="41"/>
      <c r="CRY13" s="41"/>
      <c r="CRZ13" s="41"/>
      <c r="CSA13" s="41"/>
      <c r="CSB13" s="41"/>
      <c r="CSC13" s="41"/>
      <c r="CSD13" s="41"/>
      <c r="CSE13" s="41"/>
      <c r="CSF13" s="41"/>
      <c r="CSG13" s="41"/>
      <c r="CSH13" s="41"/>
      <c r="CSI13" s="41"/>
      <c r="CSJ13" s="41"/>
      <c r="CSK13" s="41"/>
      <c r="CSL13" s="41"/>
      <c r="CSM13" s="41"/>
      <c r="CSN13" s="41"/>
      <c r="CSO13" s="41"/>
      <c r="CSP13" s="41"/>
      <c r="CSQ13" s="41"/>
      <c r="CSR13" s="41"/>
      <c r="CSS13" s="41"/>
      <c r="CST13" s="41"/>
      <c r="CSU13" s="41"/>
      <c r="CSV13" s="41"/>
      <c r="CSW13" s="41"/>
      <c r="CSX13" s="41"/>
      <c r="CSY13" s="41"/>
      <c r="CSZ13" s="41"/>
      <c r="CTA13" s="41"/>
      <c r="CTB13" s="41"/>
      <c r="CTC13" s="41"/>
      <c r="CTD13" s="41"/>
      <c r="CTE13" s="41"/>
      <c r="CTF13" s="41"/>
      <c r="CTG13" s="41"/>
      <c r="CTH13" s="41"/>
      <c r="CTI13" s="41"/>
      <c r="CTJ13" s="41"/>
      <c r="CTK13" s="41"/>
      <c r="CTL13" s="41"/>
      <c r="CTM13" s="41"/>
      <c r="CTN13" s="41"/>
      <c r="CTO13" s="41"/>
      <c r="CTP13" s="41"/>
      <c r="CTQ13" s="41"/>
      <c r="CTR13" s="41"/>
      <c r="CTS13" s="41"/>
      <c r="CTT13" s="41"/>
      <c r="CTU13" s="41"/>
      <c r="CTV13" s="41"/>
      <c r="CTW13" s="41"/>
      <c r="CTX13" s="41"/>
      <c r="CTY13" s="41"/>
      <c r="CTZ13" s="41"/>
      <c r="CUA13" s="41"/>
      <c r="CUB13" s="41"/>
      <c r="CUC13" s="41"/>
      <c r="CUD13" s="41"/>
      <c r="CUE13" s="41"/>
      <c r="CUF13" s="41"/>
      <c r="CUG13" s="41"/>
      <c r="CUH13" s="41"/>
      <c r="CUI13" s="41"/>
      <c r="CUJ13" s="41"/>
      <c r="CUK13" s="41"/>
      <c r="CUL13" s="41"/>
      <c r="CUM13" s="41"/>
      <c r="CUN13" s="41"/>
      <c r="CUO13" s="41"/>
      <c r="CUP13" s="41"/>
      <c r="CUQ13" s="41"/>
      <c r="CUR13" s="41"/>
      <c r="CUS13" s="41"/>
      <c r="CUT13" s="41"/>
      <c r="CUU13" s="41"/>
      <c r="CUV13" s="41"/>
      <c r="CUW13" s="41"/>
      <c r="CUX13" s="41"/>
      <c r="CUY13" s="41"/>
      <c r="CUZ13" s="41"/>
      <c r="CVA13" s="41"/>
      <c r="CVB13" s="41"/>
      <c r="CVC13" s="41"/>
      <c r="CVD13" s="41"/>
      <c r="CVE13" s="41"/>
      <c r="CVF13" s="41"/>
      <c r="CVG13" s="41"/>
      <c r="CVH13" s="41"/>
      <c r="CVI13" s="41"/>
      <c r="CVJ13" s="41"/>
      <c r="CVK13" s="41"/>
      <c r="CVL13" s="41"/>
      <c r="CVM13" s="41"/>
      <c r="CVN13" s="41"/>
      <c r="CVO13" s="41"/>
      <c r="CVP13" s="41"/>
      <c r="CVQ13" s="41"/>
      <c r="CVR13" s="41"/>
      <c r="CVS13" s="41"/>
      <c r="CVT13" s="41"/>
      <c r="CVU13" s="41"/>
      <c r="CVV13" s="41"/>
      <c r="CVW13" s="41"/>
      <c r="CVX13" s="41"/>
      <c r="CVY13" s="41"/>
      <c r="CVZ13" s="41"/>
      <c r="CWA13" s="41"/>
      <c r="CWB13" s="41"/>
      <c r="CWC13" s="41"/>
      <c r="CWD13" s="41"/>
      <c r="CWE13" s="41"/>
      <c r="CWF13" s="41"/>
      <c r="CWG13" s="41"/>
      <c r="CWH13" s="41"/>
      <c r="CWI13" s="41"/>
      <c r="CWJ13" s="41"/>
      <c r="CWK13" s="41"/>
      <c r="CWL13" s="41"/>
      <c r="CWM13" s="41"/>
      <c r="CWN13" s="41"/>
      <c r="CWO13" s="41"/>
      <c r="CWP13" s="41"/>
      <c r="CWQ13" s="41"/>
      <c r="CWR13" s="41"/>
      <c r="CWS13" s="41"/>
      <c r="CWT13" s="41"/>
      <c r="CWU13" s="41"/>
      <c r="CWV13" s="41"/>
      <c r="CWW13" s="41"/>
      <c r="CWX13" s="41"/>
      <c r="CWY13" s="41"/>
      <c r="CWZ13" s="41"/>
      <c r="CXA13" s="41"/>
      <c r="CXB13" s="41"/>
      <c r="CXC13" s="41"/>
      <c r="CXD13" s="41"/>
      <c r="CXE13" s="41"/>
      <c r="CXF13" s="41"/>
      <c r="CXG13" s="41"/>
      <c r="CXH13" s="41"/>
      <c r="CXI13" s="41"/>
      <c r="CXJ13" s="41"/>
      <c r="CXK13" s="41"/>
      <c r="CXL13" s="41"/>
      <c r="CXM13" s="41"/>
      <c r="CXN13" s="41"/>
      <c r="CXO13" s="41"/>
      <c r="CXP13" s="41"/>
      <c r="CXQ13" s="41"/>
      <c r="CXR13" s="41"/>
      <c r="CXS13" s="41"/>
      <c r="CXT13" s="41"/>
      <c r="CXU13" s="41"/>
      <c r="CXV13" s="41"/>
      <c r="CXW13" s="41"/>
      <c r="CXX13" s="41"/>
      <c r="CXY13" s="41"/>
      <c r="CXZ13" s="41"/>
      <c r="CYA13" s="41"/>
      <c r="CYB13" s="41"/>
      <c r="CYC13" s="41"/>
      <c r="CYD13" s="41"/>
      <c r="CYE13" s="41"/>
      <c r="CYF13" s="41"/>
      <c r="CYG13" s="41"/>
      <c r="CYH13" s="41"/>
      <c r="CYI13" s="41"/>
      <c r="CYJ13" s="41"/>
      <c r="CYK13" s="41"/>
      <c r="CYL13" s="41"/>
      <c r="CYM13" s="41"/>
      <c r="CYN13" s="41"/>
      <c r="CYO13" s="41"/>
      <c r="CYP13" s="41"/>
      <c r="CYQ13" s="41"/>
      <c r="CYR13" s="41"/>
      <c r="CYS13" s="41"/>
      <c r="CYT13" s="41"/>
      <c r="CYU13" s="41"/>
      <c r="CYV13" s="41"/>
      <c r="CYW13" s="41"/>
      <c r="CYX13" s="41"/>
      <c r="CYY13" s="41"/>
      <c r="CYZ13" s="41"/>
      <c r="CZA13" s="41"/>
      <c r="CZB13" s="41"/>
      <c r="CZC13" s="41"/>
      <c r="CZD13" s="41"/>
      <c r="CZE13" s="41"/>
      <c r="CZF13" s="41"/>
      <c r="CZG13" s="41"/>
      <c r="CZH13" s="41"/>
      <c r="CZI13" s="41"/>
      <c r="CZJ13" s="41"/>
      <c r="CZK13" s="41"/>
      <c r="CZL13" s="41"/>
      <c r="CZM13" s="41"/>
      <c r="CZN13" s="41"/>
      <c r="CZO13" s="41"/>
      <c r="CZP13" s="41"/>
      <c r="CZQ13" s="41"/>
      <c r="CZR13" s="41"/>
      <c r="CZS13" s="41"/>
      <c r="CZT13" s="41"/>
      <c r="CZU13" s="41"/>
      <c r="CZV13" s="41"/>
      <c r="CZW13" s="41"/>
      <c r="CZX13" s="41"/>
      <c r="CZY13" s="41"/>
      <c r="CZZ13" s="41"/>
      <c r="DAA13" s="41"/>
      <c r="DAB13" s="41"/>
      <c r="DAC13" s="41"/>
      <c r="DAD13" s="41"/>
      <c r="DAE13" s="41"/>
      <c r="DAF13" s="41"/>
      <c r="DAG13" s="41"/>
      <c r="DAH13" s="41"/>
      <c r="DAI13" s="41"/>
      <c r="DAJ13" s="41"/>
      <c r="DAK13" s="41"/>
      <c r="DAL13" s="41"/>
      <c r="DAM13" s="41"/>
      <c r="DAN13" s="41"/>
      <c r="DAO13" s="41"/>
      <c r="DAP13" s="41"/>
      <c r="DAQ13" s="41"/>
      <c r="DAR13" s="41"/>
      <c r="DAS13" s="41"/>
      <c r="DAT13" s="41"/>
      <c r="DAU13" s="41"/>
      <c r="DAV13" s="41"/>
      <c r="DAW13" s="41"/>
      <c r="DAX13" s="41"/>
      <c r="DAY13" s="41"/>
      <c r="DAZ13" s="41"/>
      <c r="DBA13" s="41"/>
      <c r="DBB13" s="41"/>
      <c r="DBC13" s="41"/>
      <c r="DBD13" s="41"/>
      <c r="DBE13" s="41"/>
      <c r="DBF13" s="41"/>
      <c r="DBG13" s="41"/>
      <c r="DBH13" s="41"/>
      <c r="DBI13" s="41"/>
      <c r="DBJ13" s="41"/>
      <c r="DBK13" s="41"/>
      <c r="DBL13" s="41"/>
      <c r="DBM13" s="41"/>
      <c r="DBN13" s="41"/>
      <c r="DBO13" s="41"/>
      <c r="DBP13" s="41"/>
      <c r="DBQ13" s="41"/>
      <c r="DBR13" s="41"/>
      <c r="DBS13" s="41"/>
      <c r="DBT13" s="41"/>
      <c r="DBU13" s="41"/>
      <c r="DBV13" s="41"/>
      <c r="DBW13" s="41"/>
      <c r="DBX13" s="41"/>
      <c r="DBY13" s="41"/>
      <c r="DBZ13" s="41"/>
      <c r="DCA13" s="41"/>
      <c r="DCB13" s="41"/>
      <c r="DCC13" s="41"/>
      <c r="DCD13" s="41"/>
      <c r="DCE13" s="41"/>
      <c r="DCF13" s="41"/>
      <c r="DCG13" s="41"/>
      <c r="DCH13" s="41"/>
      <c r="DCI13" s="41"/>
      <c r="DCJ13" s="41"/>
      <c r="DCK13" s="41"/>
      <c r="DCL13" s="41"/>
      <c r="DCM13" s="41"/>
      <c r="DCN13" s="41"/>
      <c r="DCO13" s="41"/>
      <c r="DCP13" s="41"/>
      <c r="DCQ13" s="41"/>
      <c r="DCR13" s="41"/>
      <c r="DCS13" s="41"/>
      <c r="DCT13" s="41"/>
      <c r="DCU13" s="41"/>
      <c r="DCV13" s="41"/>
      <c r="DCW13" s="41"/>
      <c r="DCX13" s="41"/>
      <c r="DCY13" s="41"/>
      <c r="DCZ13" s="41"/>
      <c r="DDA13" s="41"/>
      <c r="DDB13" s="41"/>
      <c r="DDC13" s="41"/>
      <c r="DDD13" s="41"/>
      <c r="DDE13" s="41"/>
      <c r="DDF13" s="41"/>
      <c r="DDG13" s="41"/>
      <c r="DDH13" s="41"/>
      <c r="DDI13" s="41"/>
      <c r="DDJ13" s="41"/>
      <c r="DDK13" s="41"/>
      <c r="DDL13" s="41"/>
      <c r="DDM13" s="41"/>
      <c r="DDN13" s="41"/>
      <c r="DDO13" s="41"/>
      <c r="DDP13" s="41"/>
      <c r="DDQ13" s="41"/>
      <c r="DDR13" s="41"/>
      <c r="DDS13" s="41"/>
      <c r="DDT13" s="41"/>
      <c r="DDU13" s="41"/>
      <c r="DDV13" s="41"/>
      <c r="DDW13" s="41"/>
      <c r="DDX13" s="41"/>
      <c r="DDY13" s="41"/>
      <c r="DDZ13" s="41"/>
      <c r="DEA13" s="41"/>
      <c r="DEB13" s="41"/>
      <c r="DEC13" s="41"/>
      <c r="DED13" s="41"/>
      <c r="DEE13" s="41"/>
      <c r="DEF13" s="41"/>
      <c r="DEG13" s="41"/>
      <c r="DEH13" s="41"/>
      <c r="DEI13" s="41"/>
      <c r="DEJ13" s="41"/>
      <c r="DEK13" s="41"/>
      <c r="DEL13" s="41"/>
      <c r="DEM13" s="41"/>
      <c r="DEN13" s="41"/>
      <c r="DEO13" s="41"/>
      <c r="DEP13" s="41"/>
      <c r="DEQ13" s="41"/>
      <c r="DER13" s="41"/>
      <c r="DES13" s="41"/>
      <c r="DET13" s="41"/>
      <c r="DEU13" s="41"/>
      <c r="DEV13" s="41"/>
      <c r="DEW13" s="41"/>
      <c r="DEX13" s="41"/>
      <c r="DEY13" s="41"/>
      <c r="DEZ13" s="41"/>
      <c r="DFA13" s="41"/>
      <c r="DFB13" s="41"/>
      <c r="DFC13" s="41"/>
      <c r="DFD13" s="41"/>
      <c r="DFE13" s="41"/>
      <c r="DFF13" s="41"/>
      <c r="DFG13" s="41"/>
      <c r="DFH13" s="41"/>
      <c r="DFI13" s="41"/>
      <c r="DFJ13" s="41"/>
      <c r="DFK13" s="41"/>
      <c r="DFL13" s="41"/>
      <c r="DFM13" s="41"/>
      <c r="DFN13" s="41"/>
      <c r="DFO13" s="41"/>
      <c r="DFP13" s="41"/>
      <c r="DFQ13" s="41"/>
      <c r="DFR13" s="41"/>
      <c r="DFS13" s="41"/>
      <c r="DFT13" s="41"/>
      <c r="DFU13" s="41"/>
      <c r="DFV13" s="41"/>
      <c r="DFW13" s="41"/>
      <c r="DFX13" s="41"/>
      <c r="DFY13" s="41"/>
      <c r="DFZ13" s="41"/>
      <c r="DGA13" s="41"/>
      <c r="DGB13" s="41"/>
      <c r="DGC13" s="41"/>
      <c r="DGD13" s="41"/>
      <c r="DGE13" s="41"/>
      <c r="DGF13" s="41"/>
      <c r="DGG13" s="41"/>
      <c r="DGH13" s="41"/>
      <c r="DGI13" s="41"/>
      <c r="DGJ13" s="41"/>
      <c r="DGK13" s="41"/>
      <c r="DGL13" s="41"/>
      <c r="DGM13" s="41"/>
      <c r="DGN13" s="41"/>
      <c r="DGO13" s="41"/>
      <c r="DGP13" s="41"/>
      <c r="DGQ13" s="41"/>
      <c r="DGR13" s="41"/>
      <c r="DGS13" s="41"/>
      <c r="DGT13" s="41"/>
      <c r="DGU13" s="41"/>
      <c r="DGV13" s="41"/>
      <c r="DGW13" s="41"/>
      <c r="DGX13" s="41"/>
      <c r="DGY13" s="41"/>
      <c r="DGZ13" s="41"/>
      <c r="DHA13" s="41"/>
      <c r="DHB13" s="41"/>
      <c r="DHC13" s="41"/>
      <c r="DHD13" s="41"/>
      <c r="DHE13" s="41"/>
      <c r="DHF13" s="41"/>
      <c r="DHG13" s="41"/>
      <c r="DHH13" s="41"/>
      <c r="DHI13" s="41"/>
      <c r="DHJ13" s="41"/>
      <c r="DHK13" s="41"/>
      <c r="DHL13" s="41"/>
      <c r="DHM13" s="41"/>
      <c r="DHN13" s="41"/>
      <c r="DHO13" s="41"/>
      <c r="DHP13" s="41"/>
      <c r="DHQ13" s="41"/>
      <c r="DHR13" s="41"/>
      <c r="DHS13" s="41"/>
      <c r="DHT13" s="41"/>
      <c r="DHU13" s="41"/>
      <c r="DHV13" s="41"/>
      <c r="DHW13" s="41"/>
      <c r="DHX13" s="41"/>
      <c r="DHY13" s="41"/>
      <c r="DHZ13" s="41"/>
      <c r="DIA13" s="41"/>
      <c r="DIB13" s="41"/>
      <c r="DIC13" s="41"/>
      <c r="DID13" s="41"/>
      <c r="DIE13" s="41"/>
      <c r="DIF13" s="41"/>
      <c r="DIG13" s="41"/>
      <c r="DIH13" s="41"/>
      <c r="DII13" s="41"/>
      <c r="DIJ13" s="41"/>
      <c r="DIK13" s="41"/>
      <c r="DIL13" s="41"/>
      <c r="DIM13" s="41"/>
      <c r="DIN13" s="41"/>
      <c r="DIO13" s="41"/>
      <c r="DIP13" s="41"/>
      <c r="DIQ13" s="41"/>
      <c r="DIR13" s="41"/>
      <c r="DIS13" s="41"/>
      <c r="DIT13" s="41"/>
      <c r="DIU13" s="41"/>
      <c r="DIV13" s="41"/>
      <c r="DIW13" s="41"/>
      <c r="DIX13" s="41"/>
      <c r="DIY13" s="41"/>
      <c r="DIZ13" s="41"/>
      <c r="DJA13" s="41"/>
      <c r="DJB13" s="41"/>
      <c r="DJC13" s="41"/>
      <c r="DJD13" s="41"/>
      <c r="DJE13" s="41"/>
      <c r="DJF13" s="41"/>
      <c r="DJG13" s="41"/>
      <c r="DJH13" s="41"/>
      <c r="DJI13" s="41"/>
      <c r="DJJ13" s="41"/>
      <c r="DJK13" s="41"/>
      <c r="DJL13" s="41"/>
      <c r="DJM13" s="41"/>
      <c r="DJN13" s="41"/>
      <c r="DJO13" s="41"/>
      <c r="DJP13" s="41"/>
      <c r="DJQ13" s="41"/>
      <c r="DJR13" s="41"/>
      <c r="DJS13" s="41"/>
      <c r="DJT13" s="41"/>
      <c r="DJU13" s="41"/>
      <c r="DJV13" s="41"/>
      <c r="DJW13" s="41"/>
      <c r="DJX13" s="41"/>
      <c r="DJY13" s="41"/>
      <c r="DJZ13" s="41"/>
      <c r="DKA13" s="41"/>
      <c r="DKB13" s="41"/>
      <c r="DKC13" s="41"/>
      <c r="DKD13" s="41"/>
      <c r="DKE13" s="41"/>
      <c r="DKF13" s="41"/>
      <c r="DKG13" s="41"/>
      <c r="DKH13" s="41"/>
      <c r="DKI13" s="41"/>
      <c r="DKJ13" s="41"/>
      <c r="DKK13" s="41"/>
      <c r="DKL13" s="41"/>
      <c r="DKM13" s="41"/>
      <c r="DKN13" s="41"/>
      <c r="DKO13" s="41"/>
      <c r="DKP13" s="41"/>
      <c r="DKQ13" s="41"/>
      <c r="DKR13" s="41"/>
      <c r="DKS13" s="41"/>
      <c r="DKT13" s="41"/>
      <c r="DKU13" s="41"/>
      <c r="DKV13" s="41"/>
      <c r="DKW13" s="41"/>
      <c r="DKX13" s="41"/>
      <c r="DKY13" s="41"/>
      <c r="DKZ13" s="41"/>
      <c r="DLA13" s="41"/>
      <c r="DLB13" s="41"/>
      <c r="DLC13" s="41"/>
      <c r="DLD13" s="41"/>
      <c r="DLE13" s="41"/>
      <c r="DLF13" s="41"/>
      <c r="DLG13" s="41"/>
      <c r="DLH13" s="41"/>
      <c r="DLI13" s="41"/>
      <c r="DLJ13" s="41"/>
      <c r="DLK13" s="41"/>
      <c r="DLL13" s="41"/>
      <c r="DLM13" s="41"/>
      <c r="DLN13" s="41"/>
      <c r="DLO13" s="41"/>
      <c r="DLP13" s="41"/>
      <c r="DLQ13" s="41"/>
      <c r="DLR13" s="41"/>
      <c r="DLS13" s="41"/>
      <c r="DLT13" s="41"/>
      <c r="DLU13" s="41"/>
      <c r="DLV13" s="41"/>
      <c r="DLW13" s="41"/>
      <c r="DLX13" s="41"/>
      <c r="DLY13" s="41"/>
      <c r="DLZ13" s="41"/>
      <c r="DMA13" s="41"/>
      <c r="DMB13" s="41"/>
      <c r="DMC13" s="41"/>
      <c r="DMD13" s="41"/>
      <c r="DME13" s="41"/>
      <c r="DMF13" s="41"/>
      <c r="DMG13" s="41"/>
      <c r="DMH13" s="41"/>
      <c r="DMI13" s="41"/>
      <c r="DMJ13" s="41"/>
      <c r="DMK13" s="41"/>
      <c r="DML13" s="41"/>
      <c r="DMM13" s="41"/>
      <c r="DMN13" s="41"/>
      <c r="DMO13" s="41"/>
      <c r="DMP13" s="41"/>
      <c r="DMQ13" s="41"/>
      <c r="DMR13" s="41"/>
      <c r="DMS13" s="41"/>
      <c r="DMT13" s="41"/>
      <c r="DMU13" s="41"/>
      <c r="DMV13" s="41"/>
      <c r="DMW13" s="41"/>
      <c r="DMX13" s="41"/>
      <c r="DMY13" s="41"/>
      <c r="DMZ13" s="41"/>
      <c r="DNA13" s="41"/>
      <c r="DNB13" s="41"/>
      <c r="DNC13" s="41"/>
      <c r="DND13" s="41"/>
      <c r="DNE13" s="41"/>
      <c r="DNF13" s="41"/>
      <c r="DNG13" s="41"/>
      <c r="DNH13" s="41"/>
      <c r="DNI13" s="41"/>
      <c r="DNJ13" s="41"/>
      <c r="DNK13" s="41"/>
      <c r="DNL13" s="41"/>
      <c r="DNM13" s="41"/>
      <c r="DNN13" s="41"/>
      <c r="DNO13" s="41"/>
      <c r="DNP13" s="41"/>
      <c r="DNQ13" s="41"/>
      <c r="DNR13" s="41"/>
      <c r="DNS13" s="41"/>
      <c r="DNT13" s="41"/>
      <c r="DNU13" s="41"/>
      <c r="DNV13" s="41"/>
      <c r="DNW13" s="41"/>
      <c r="DNX13" s="41"/>
      <c r="DNY13" s="41"/>
      <c r="DNZ13" s="41"/>
      <c r="DOA13" s="41"/>
      <c r="DOB13" s="41"/>
      <c r="DOC13" s="41"/>
      <c r="DOD13" s="41"/>
      <c r="DOE13" s="41"/>
      <c r="DOF13" s="41"/>
      <c r="DOG13" s="41"/>
      <c r="DOH13" s="41"/>
      <c r="DOI13" s="41"/>
      <c r="DOJ13" s="41"/>
      <c r="DOK13" s="41"/>
      <c r="DOL13" s="41"/>
      <c r="DOM13" s="41"/>
      <c r="DON13" s="41"/>
      <c r="DOO13" s="41"/>
      <c r="DOP13" s="41"/>
      <c r="DOQ13" s="41"/>
      <c r="DOR13" s="41"/>
      <c r="DOS13" s="41"/>
      <c r="DOT13" s="41"/>
      <c r="DOU13" s="41"/>
      <c r="DOV13" s="41"/>
      <c r="DOW13" s="41"/>
      <c r="DOX13" s="41"/>
      <c r="DOY13" s="41"/>
      <c r="DOZ13" s="41"/>
      <c r="DPA13" s="41"/>
      <c r="DPB13" s="41"/>
      <c r="DPC13" s="41"/>
      <c r="DPD13" s="41"/>
      <c r="DPE13" s="41"/>
      <c r="DPF13" s="41"/>
      <c r="DPG13" s="41"/>
      <c r="DPH13" s="41"/>
      <c r="DPI13" s="41"/>
      <c r="DPJ13" s="41"/>
      <c r="DPK13" s="41"/>
      <c r="DPL13" s="41"/>
      <c r="DPM13" s="41"/>
      <c r="DPN13" s="41"/>
      <c r="DPO13" s="41"/>
      <c r="DPP13" s="41"/>
      <c r="DPQ13" s="41"/>
      <c r="DPR13" s="41"/>
      <c r="DPS13" s="41"/>
      <c r="DPT13" s="41"/>
      <c r="DPU13" s="41"/>
      <c r="DPV13" s="41"/>
      <c r="DPW13" s="41"/>
      <c r="DPX13" s="41"/>
      <c r="DPY13" s="41"/>
      <c r="DPZ13" s="41"/>
      <c r="DQA13" s="41"/>
      <c r="DQB13" s="41"/>
      <c r="DQC13" s="41"/>
      <c r="DQD13" s="41"/>
      <c r="DQE13" s="41"/>
      <c r="DQF13" s="41"/>
      <c r="DQG13" s="41"/>
      <c r="DQH13" s="41"/>
      <c r="DQI13" s="41"/>
      <c r="DQJ13" s="41"/>
      <c r="DQK13" s="41"/>
      <c r="DQL13" s="41"/>
      <c r="DQM13" s="41"/>
      <c r="DQN13" s="41"/>
      <c r="DQO13" s="41"/>
      <c r="DQP13" s="41"/>
      <c r="DQQ13" s="41"/>
      <c r="DQR13" s="41"/>
      <c r="DQS13" s="41"/>
      <c r="DQT13" s="41"/>
      <c r="DQU13" s="41"/>
      <c r="DQV13" s="41"/>
      <c r="DQW13" s="41"/>
      <c r="DQX13" s="41"/>
      <c r="DQY13" s="41"/>
      <c r="DQZ13" s="41"/>
      <c r="DRA13" s="41"/>
      <c r="DRB13" s="41"/>
      <c r="DRC13" s="41"/>
      <c r="DRD13" s="41"/>
      <c r="DRE13" s="41"/>
      <c r="DRF13" s="41"/>
      <c r="DRG13" s="41"/>
      <c r="DRH13" s="41"/>
      <c r="DRI13" s="41"/>
      <c r="DRJ13" s="41"/>
      <c r="DRK13" s="41"/>
      <c r="DRL13" s="41"/>
      <c r="DRM13" s="41"/>
      <c r="DRN13" s="41"/>
      <c r="DRO13" s="41"/>
      <c r="DRP13" s="41"/>
      <c r="DRQ13" s="41"/>
      <c r="DRR13" s="41"/>
      <c r="DRS13" s="41"/>
      <c r="DRT13" s="41"/>
      <c r="DRU13" s="41"/>
      <c r="DRV13" s="41"/>
      <c r="DRW13" s="41"/>
      <c r="DRX13" s="41"/>
      <c r="DRY13" s="41"/>
      <c r="DRZ13" s="41"/>
      <c r="DSA13" s="41"/>
      <c r="DSB13" s="41"/>
      <c r="DSC13" s="41"/>
      <c r="DSD13" s="41"/>
      <c r="DSE13" s="41"/>
      <c r="DSF13" s="41"/>
      <c r="DSG13" s="41"/>
      <c r="DSH13" s="41"/>
      <c r="DSI13" s="41"/>
      <c r="DSJ13" s="41"/>
      <c r="DSK13" s="41"/>
      <c r="DSL13" s="41"/>
      <c r="DSM13" s="41"/>
      <c r="DSN13" s="41"/>
      <c r="DSO13" s="41"/>
      <c r="DSP13" s="41"/>
      <c r="DSQ13" s="41"/>
      <c r="DSR13" s="41"/>
      <c r="DSS13" s="41"/>
      <c r="DST13" s="41"/>
      <c r="DSU13" s="41"/>
      <c r="DSV13" s="41"/>
      <c r="DSW13" s="41"/>
      <c r="DSX13" s="41"/>
      <c r="DSY13" s="41"/>
      <c r="DSZ13" s="41"/>
      <c r="DTA13" s="41"/>
      <c r="DTB13" s="41"/>
      <c r="DTC13" s="41"/>
      <c r="DTD13" s="41"/>
      <c r="DTE13" s="41"/>
      <c r="DTF13" s="41"/>
      <c r="DTG13" s="41"/>
      <c r="DTH13" s="41"/>
      <c r="DTI13" s="41"/>
      <c r="DTJ13" s="41"/>
      <c r="DTK13" s="41"/>
      <c r="DTL13" s="41"/>
      <c r="DTM13" s="41"/>
      <c r="DTN13" s="41"/>
      <c r="DTO13" s="41"/>
      <c r="DTP13" s="41"/>
      <c r="DTQ13" s="41"/>
      <c r="DTR13" s="41"/>
      <c r="DTS13" s="41"/>
      <c r="DTT13" s="41"/>
      <c r="DTU13" s="41"/>
      <c r="DTV13" s="41"/>
      <c r="DTW13" s="41"/>
      <c r="DTX13" s="41"/>
      <c r="DTY13" s="41"/>
      <c r="DTZ13" s="41"/>
      <c r="DUA13" s="41"/>
      <c r="DUB13" s="41"/>
      <c r="DUC13" s="41"/>
      <c r="DUD13" s="41"/>
      <c r="DUE13" s="41"/>
      <c r="DUF13" s="41"/>
      <c r="DUG13" s="41"/>
      <c r="DUH13" s="41"/>
      <c r="DUI13" s="41"/>
      <c r="DUJ13" s="41"/>
      <c r="DUK13" s="41"/>
      <c r="DUL13" s="41"/>
      <c r="DUM13" s="41"/>
      <c r="DUN13" s="41"/>
      <c r="DUO13" s="41"/>
      <c r="DUP13" s="41"/>
      <c r="DUQ13" s="41"/>
      <c r="DUR13" s="41"/>
      <c r="DUS13" s="41"/>
      <c r="DUT13" s="41"/>
      <c r="DUU13" s="41"/>
      <c r="DUV13" s="41"/>
      <c r="DUW13" s="41"/>
      <c r="DUX13" s="41"/>
      <c r="DUY13" s="41"/>
      <c r="DUZ13" s="41"/>
      <c r="DVA13" s="41"/>
      <c r="DVB13" s="41"/>
      <c r="DVC13" s="41"/>
      <c r="DVD13" s="41"/>
      <c r="DVE13" s="41"/>
      <c r="DVF13" s="41"/>
      <c r="DVG13" s="41"/>
      <c r="DVH13" s="41"/>
      <c r="DVI13" s="41"/>
      <c r="DVJ13" s="41"/>
      <c r="DVK13" s="41"/>
      <c r="DVL13" s="41"/>
      <c r="DVM13" s="41"/>
      <c r="DVN13" s="41"/>
      <c r="DVO13" s="41"/>
      <c r="DVP13" s="41"/>
      <c r="DVQ13" s="41"/>
      <c r="DVR13" s="41"/>
      <c r="DVS13" s="41"/>
      <c r="DVT13" s="41"/>
      <c r="DVU13" s="41"/>
      <c r="DVV13" s="41"/>
      <c r="DVW13" s="41"/>
      <c r="DVX13" s="41"/>
      <c r="DVY13" s="41"/>
      <c r="DVZ13" s="41"/>
      <c r="DWA13" s="41"/>
      <c r="DWB13" s="41"/>
      <c r="DWC13" s="41"/>
      <c r="DWD13" s="41"/>
      <c r="DWE13" s="41"/>
      <c r="DWF13" s="41"/>
      <c r="DWG13" s="41"/>
      <c r="DWH13" s="41"/>
      <c r="DWI13" s="41"/>
      <c r="DWJ13" s="41"/>
      <c r="DWK13" s="41"/>
      <c r="DWL13" s="41"/>
      <c r="DWM13" s="41"/>
      <c r="DWN13" s="41"/>
      <c r="DWO13" s="41"/>
      <c r="DWP13" s="41"/>
      <c r="DWQ13" s="41"/>
      <c r="DWR13" s="41"/>
      <c r="DWS13" s="41"/>
      <c r="DWT13" s="41"/>
      <c r="DWU13" s="41"/>
      <c r="DWV13" s="41"/>
      <c r="DWW13" s="41"/>
      <c r="DWX13" s="41"/>
      <c r="DWY13" s="41"/>
      <c r="DWZ13" s="41"/>
      <c r="DXA13" s="41"/>
      <c r="DXB13" s="41"/>
      <c r="DXC13" s="41"/>
      <c r="DXD13" s="41"/>
      <c r="DXE13" s="41"/>
      <c r="DXF13" s="41"/>
      <c r="DXG13" s="41"/>
      <c r="DXH13" s="41"/>
      <c r="DXI13" s="41"/>
      <c r="DXJ13" s="41"/>
      <c r="DXK13" s="41"/>
      <c r="DXL13" s="41"/>
      <c r="DXM13" s="41"/>
      <c r="DXN13" s="41"/>
      <c r="DXO13" s="41"/>
      <c r="DXP13" s="41"/>
      <c r="DXQ13" s="41"/>
      <c r="DXR13" s="41"/>
      <c r="DXS13" s="41"/>
      <c r="DXT13" s="41"/>
      <c r="DXU13" s="41"/>
      <c r="DXV13" s="41"/>
      <c r="DXW13" s="41"/>
      <c r="DXX13" s="41"/>
      <c r="DXY13" s="41"/>
      <c r="DXZ13" s="41"/>
      <c r="DYA13" s="41"/>
      <c r="DYB13" s="41"/>
      <c r="DYC13" s="41"/>
      <c r="DYD13" s="41"/>
      <c r="DYE13" s="41"/>
      <c r="DYF13" s="41"/>
      <c r="DYG13" s="41"/>
      <c r="DYH13" s="41"/>
      <c r="DYI13" s="41"/>
      <c r="DYJ13" s="41"/>
      <c r="DYK13" s="41"/>
      <c r="DYL13" s="41"/>
      <c r="DYM13" s="41"/>
      <c r="DYN13" s="41"/>
      <c r="DYO13" s="41"/>
      <c r="DYP13" s="41"/>
      <c r="DYQ13" s="41"/>
      <c r="DYR13" s="41"/>
      <c r="DYS13" s="41"/>
      <c r="DYT13" s="41"/>
      <c r="DYU13" s="41"/>
      <c r="DYV13" s="41"/>
      <c r="DYW13" s="41"/>
      <c r="DYX13" s="41"/>
      <c r="DYY13" s="41"/>
      <c r="DYZ13" s="41"/>
      <c r="DZA13" s="41"/>
      <c r="DZB13" s="41"/>
      <c r="DZC13" s="41"/>
      <c r="DZD13" s="41"/>
      <c r="DZE13" s="41"/>
      <c r="DZF13" s="41"/>
      <c r="DZG13" s="41"/>
      <c r="DZH13" s="41"/>
      <c r="DZI13" s="41"/>
      <c r="DZJ13" s="41"/>
      <c r="DZK13" s="41"/>
      <c r="DZL13" s="41"/>
      <c r="DZM13" s="41"/>
      <c r="DZN13" s="41"/>
      <c r="DZO13" s="41"/>
      <c r="DZP13" s="41"/>
      <c r="DZQ13" s="41"/>
      <c r="DZR13" s="41"/>
      <c r="DZS13" s="41"/>
      <c r="DZT13" s="41"/>
      <c r="DZU13" s="41"/>
      <c r="DZV13" s="41"/>
      <c r="DZW13" s="41"/>
      <c r="DZX13" s="41"/>
      <c r="DZY13" s="41"/>
      <c r="DZZ13" s="41"/>
      <c r="EAA13" s="41"/>
      <c r="EAB13" s="41"/>
      <c r="EAC13" s="41"/>
      <c r="EAD13" s="41"/>
      <c r="EAE13" s="41"/>
      <c r="EAF13" s="41"/>
      <c r="EAG13" s="41"/>
      <c r="EAH13" s="41"/>
      <c r="EAI13" s="41"/>
      <c r="EAJ13" s="41"/>
      <c r="EAK13" s="41"/>
      <c r="EAL13" s="41"/>
      <c r="EAM13" s="41"/>
      <c r="EAN13" s="41"/>
      <c r="EAO13" s="41"/>
      <c r="EAP13" s="41"/>
      <c r="EAQ13" s="41"/>
      <c r="EAR13" s="41"/>
      <c r="EAS13" s="41"/>
      <c r="EAT13" s="41"/>
      <c r="EAU13" s="41"/>
      <c r="EAV13" s="41"/>
      <c r="EAW13" s="41"/>
      <c r="EAX13" s="41"/>
      <c r="EAY13" s="41"/>
      <c r="EAZ13" s="41"/>
      <c r="EBA13" s="41"/>
      <c r="EBB13" s="41"/>
      <c r="EBC13" s="41"/>
      <c r="EBD13" s="41"/>
      <c r="EBE13" s="41"/>
      <c r="EBF13" s="41"/>
      <c r="EBG13" s="41"/>
      <c r="EBH13" s="41"/>
      <c r="EBI13" s="41"/>
      <c r="EBJ13" s="41"/>
      <c r="EBK13" s="41"/>
      <c r="EBL13" s="41"/>
      <c r="EBM13" s="41"/>
      <c r="EBN13" s="41"/>
      <c r="EBO13" s="41"/>
      <c r="EBP13" s="41"/>
      <c r="EBQ13" s="41"/>
      <c r="EBR13" s="41"/>
      <c r="EBS13" s="41"/>
      <c r="EBT13" s="41"/>
      <c r="EBU13" s="41"/>
      <c r="EBV13" s="41"/>
      <c r="EBW13" s="41"/>
      <c r="EBX13" s="41"/>
      <c r="EBY13" s="41"/>
      <c r="EBZ13" s="41"/>
      <c r="ECA13" s="41"/>
      <c r="ECB13" s="41"/>
      <c r="ECC13" s="41"/>
      <c r="ECD13" s="41"/>
      <c r="ECE13" s="41"/>
      <c r="ECF13" s="41"/>
      <c r="ECG13" s="41"/>
      <c r="ECH13" s="41"/>
      <c r="ECI13" s="41"/>
      <c r="ECJ13" s="41"/>
      <c r="ECK13" s="41"/>
      <c r="ECL13" s="41"/>
      <c r="ECM13" s="41"/>
      <c r="ECN13" s="41"/>
      <c r="ECO13" s="41"/>
      <c r="ECP13" s="41"/>
      <c r="ECQ13" s="41"/>
      <c r="ECR13" s="41"/>
      <c r="ECS13" s="41"/>
      <c r="ECT13" s="41"/>
      <c r="ECU13" s="41"/>
      <c r="ECV13" s="41"/>
      <c r="ECW13" s="41"/>
      <c r="ECX13" s="41"/>
      <c r="ECY13" s="41"/>
      <c r="ECZ13" s="41"/>
      <c r="EDA13" s="41"/>
      <c r="EDB13" s="41"/>
      <c r="EDC13" s="41"/>
      <c r="EDD13" s="41"/>
      <c r="EDE13" s="41"/>
      <c r="EDF13" s="41"/>
      <c r="EDG13" s="41"/>
      <c r="EDH13" s="41"/>
      <c r="EDI13" s="41"/>
      <c r="EDJ13" s="41"/>
      <c r="EDK13" s="41"/>
      <c r="EDL13" s="41"/>
      <c r="EDM13" s="41"/>
      <c r="EDN13" s="41"/>
      <c r="EDO13" s="41"/>
      <c r="EDP13" s="41"/>
      <c r="EDQ13" s="41"/>
      <c r="EDR13" s="41"/>
      <c r="EDS13" s="41"/>
      <c r="EDT13" s="41"/>
      <c r="EDU13" s="41"/>
      <c r="EDV13" s="41"/>
      <c r="EDW13" s="41"/>
      <c r="EDX13" s="41"/>
      <c r="EDY13" s="41"/>
      <c r="EDZ13" s="41"/>
      <c r="EEA13" s="41"/>
      <c r="EEB13" s="41"/>
      <c r="EEC13" s="41"/>
      <c r="EED13" s="41"/>
      <c r="EEE13" s="41"/>
      <c r="EEF13" s="41"/>
      <c r="EEG13" s="41"/>
      <c r="EEH13" s="41"/>
      <c r="EEI13" s="41"/>
      <c r="EEJ13" s="41"/>
      <c r="EEK13" s="41"/>
      <c r="EEL13" s="41"/>
      <c r="EEM13" s="41"/>
      <c r="EEN13" s="41"/>
      <c r="EEO13" s="41"/>
      <c r="EEP13" s="41"/>
      <c r="EEQ13" s="41"/>
      <c r="EER13" s="41"/>
      <c r="EES13" s="41"/>
      <c r="EET13" s="41"/>
      <c r="EEU13" s="41"/>
      <c r="EEV13" s="41"/>
      <c r="EEW13" s="41"/>
      <c r="EEX13" s="41"/>
      <c r="EEY13" s="41"/>
      <c r="EEZ13" s="41"/>
      <c r="EFA13" s="41"/>
      <c r="EFB13" s="41"/>
      <c r="EFC13" s="41"/>
      <c r="EFD13" s="41"/>
      <c r="EFE13" s="41"/>
      <c r="EFF13" s="41"/>
      <c r="EFG13" s="41"/>
      <c r="EFH13" s="41"/>
      <c r="EFI13" s="41"/>
      <c r="EFJ13" s="41"/>
      <c r="EFK13" s="41"/>
      <c r="EFL13" s="41"/>
      <c r="EFM13" s="41"/>
      <c r="EFN13" s="41"/>
      <c r="EFO13" s="41"/>
      <c r="EFP13" s="41"/>
      <c r="EFQ13" s="41"/>
      <c r="EFR13" s="41"/>
      <c r="EFS13" s="41"/>
      <c r="EFT13" s="41"/>
      <c r="EFU13" s="41"/>
      <c r="EFV13" s="41"/>
      <c r="EFW13" s="41"/>
      <c r="EFX13" s="41"/>
      <c r="EFY13" s="41"/>
      <c r="EFZ13" s="41"/>
      <c r="EGA13" s="41"/>
      <c r="EGB13" s="41"/>
      <c r="EGC13" s="41"/>
      <c r="EGD13" s="41"/>
      <c r="EGE13" s="41"/>
      <c r="EGF13" s="41"/>
      <c r="EGG13" s="41"/>
      <c r="EGH13" s="41"/>
      <c r="EGI13" s="41"/>
      <c r="EGJ13" s="41"/>
      <c r="EGK13" s="41"/>
      <c r="EGL13" s="41"/>
      <c r="EGM13" s="41"/>
      <c r="EGN13" s="41"/>
      <c r="EGO13" s="41"/>
      <c r="EGP13" s="41"/>
      <c r="EGQ13" s="41"/>
      <c r="EGR13" s="41"/>
      <c r="EGS13" s="41"/>
      <c r="EGT13" s="41"/>
      <c r="EGU13" s="41"/>
      <c r="EGV13" s="41"/>
      <c r="EGW13" s="41"/>
      <c r="EGX13" s="41"/>
      <c r="EGY13" s="41"/>
      <c r="EGZ13" s="41"/>
      <c r="EHA13" s="41"/>
      <c r="EHB13" s="41"/>
      <c r="EHC13" s="41"/>
      <c r="EHD13" s="41"/>
      <c r="EHE13" s="41"/>
      <c r="EHF13" s="41"/>
      <c r="EHG13" s="41"/>
      <c r="EHH13" s="41"/>
      <c r="EHI13" s="41"/>
      <c r="EHJ13" s="41"/>
      <c r="EHK13" s="41"/>
      <c r="EHL13" s="41"/>
      <c r="EHM13" s="41"/>
      <c r="EHN13" s="41"/>
      <c r="EHO13" s="41"/>
      <c r="EHP13" s="41"/>
      <c r="EHQ13" s="41"/>
      <c r="EHR13" s="41"/>
      <c r="EHS13" s="41"/>
      <c r="EHT13" s="41"/>
      <c r="EHU13" s="41"/>
      <c r="EHV13" s="41"/>
      <c r="EHW13" s="41"/>
      <c r="EHX13" s="41"/>
      <c r="EHY13" s="41"/>
      <c r="EHZ13" s="41"/>
      <c r="EIA13" s="41"/>
      <c r="EIB13" s="41"/>
      <c r="EIC13" s="41"/>
      <c r="EID13" s="41"/>
      <c r="EIE13" s="41"/>
      <c r="EIF13" s="41"/>
      <c r="EIG13" s="41"/>
      <c r="EIH13" s="41"/>
      <c r="EII13" s="41"/>
      <c r="EIJ13" s="41"/>
      <c r="EIK13" s="41"/>
      <c r="EIL13" s="41"/>
      <c r="EIM13" s="41"/>
      <c r="EIN13" s="41"/>
      <c r="EIO13" s="41"/>
      <c r="EIP13" s="41"/>
      <c r="EIQ13" s="41"/>
      <c r="EIR13" s="41"/>
      <c r="EIS13" s="41"/>
      <c r="EIT13" s="41"/>
      <c r="EIU13" s="41"/>
      <c r="EIV13" s="41"/>
      <c r="EIW13" s="41"/>
      <c r="EIX13" s="41"/>
      <c r="EIY13" s="41"/>
      <c r="EIZ13" s="41"/>
      <c r="EJA13" s="41"/>
      <c r="EJB13" s="41"/>
      <c r="EJC13" s="41"/>
      <c r="EJD13" s="41"/>
      <c r="EJE13" s="41"/>
      <c r="EJF13" s="41"/>
      <c r="EJG13" s="41"/>
      <c r="EJH13" s="41"/>
      <c r="EJI13" s="41"/>
      <c r="EJJ13" s="41"/>
      <c r="EJK13" s="41"/>
      <c r="EJL13" s="41"/>
      <c r="EJM13" s="41"/>
      <c r="EJN13" s="41"/>
      <c r="EJO13" s="41"/>
      <c r="EJP13" s="41"/>
      <c r="EJQ13" s="41"/>
      <c r="EJR13" s="41"/>
      <c r="EJS13" s="41"/>
      <c r="EJT13" s="41"/>
      <c r="EJU13" s="41"/>
      <c r="EJV13" s="41"/>
      <c r="EJW13" s="41"/>
      <c r="EJX13" s="41"/>
      <c r="EJY13" s="41"/>
      <c r="EJZ13" s="41"/>
      <c r="EKA13" s="41"/>
      <c r="EKB13" s="41"/>
      <c r="EKC13" s="41"/>
      <c r="EKD13" s="41"/>
      <c r="EKE13" s="41"/>
      <c r="EKF13" s="41"/>
      <c r="EKG13" s="41"/>
      <c r="EKH13" s="41"/>
      <c r="EKI13" s="41"/>
      <c r="EKJ13" s="41"/>
      <c r="EKK13" s="41"/>
      <c r="EKL13" s="41"/>
      <c r="EKM13" s="41"/>
      <c r="EKN13" s="41"/>
      <c r="EKO13" s="41"/>
      <c r="EKP13" s="41"/>
      <c r="EKQ13" s="41"/>
      <c r="EKR13" s="41"/>
      <c r="EKS13" s="41"/>
      <c r="EKT13" s="41"/>
      <c r="EKU13" s="41"/>
      <c r="EKV13" s="41"/>
      <c r="EKW13" s="41"/>
      <c r="EKX13" s="41"/>
      <c r="EKY13" s="41"/>
      <c r="EKZ13" s="41"/>
      <c r="ELA13" s="41"/>
      <c r="ELB13" s="41"/>
      <c r="ELC13" s="41"/>
      <c r="ELD13" s="41"/>
      <c r="ELE13" s="41"/>
      <c r="ELF13" s="41"/>
      <c r="ELG13" s="41"/>
      <c r="ELH13" s="41"/>
      <c r="ELI13" s="41"/>
      <c r="ELJ13" s="41"/>
      <c r="ELK13" s="41"/>
      <c r="ELL13" s="41"/>
      <c r="ELM13" s="41"/>
      <c r="ELN13" s="41"/>
      <c r="ELO13" s="41"/>
      <c r="ELP13" s="41"/>
      <c r="ELQ13" s="41"/>
      <c r="ELR13" s="41"/>
      <c r="ELS13" s="41"/>
      <c r="ELT13" s="41"/>
      <c r="ELU13" s="41"/>
      <c r="ELV13" s="41"/>
      <c r="ELW13" s="41"/>
      <c r="ELX13" s="41"/>
      <c r="ELY13" s="41"/>
      <c r="ELZ13" s="41"/>
      <c r="EMA13" s="41"/>
      <c r="EMB13" s="41"/>
      <c r="EMC13" s="41"/>
      <c r="EMD13" s="41"/>
      <c r="EME13" s="41"/>
      <c r="EMF13" s="41"/>
      <c r="EMG13" s="41"/>
      <c r="EMH13" s="41"/>
      <c r="EMI13" s="41"/>
      <c r="EMJ13" s="41"/>
      <c r="EMK13" s="41"/>
      <c r="EML13" s="41"/>
      <c r="EMM13" s="41"/>
      <c r="EMN13" s="41"/>
      <c r="EMO13" s="41"/>
      <c r="EMP13" s="41"/>
      <c r="EMQ13" s="41"/>
      <c r="EMR13" s="41"/>
      <c r="EMS13" s="41"/>
      <c r="EMT13" s="41"/>
      <c r="EMU13" s="41"/>
      <c r="EMV13" s="41"/>
      <c r="EMW13" s="41"/>
      <c r="EMX13" s="41"/>
      <c r="EMY13" s="41"/>
      <c r="EMZ13" s="41"/>
      <c r="ENA13" s="41"/>
      <c r="ENB13" s="41"/>
      <c r="ENC13" s="41"/>
      <c r="END13" s="41"/>
      <c r="ENE13" s="41"/>
      <c r="ENF13" s="41"/>
      <c r="ENG13" s="41"/>
      <c r="ENH13" s="41"/>
      <c r="ENI13" s="41"/>
      <c r="ENJ13" s="41"/>
      <c r="ENK13" s="41"/>
      <c r="ENL13" s="41"/>
      <c r="ENM13" s="41"/>
      <c r="ENN13" s="41"/>
      <c r="ENO13" s="41"/>
      <c r="ENP13" s="41"/>
      <c r="ENQ13" s="41"/>
      <c r="ENR13" s="41"/>
      <c r="ENS13" s="41"/>
      <c r="ENT13" s="41"/>
      <c r="ENU13" s="41"/>
      <c r="ENV13" s="41"/>
      <c r="ENW13" s="41"/>
      <c r="ENX13" s="41"/>
      <c r="ENY13" s="41"/>
      <c r="ENZ13" s="41"/>
      <c r="EOA13" s="41"/>
      <c r="EOB13" s="41"/>
      <c r="EOC13" s="41"/>
      <c r="EOD13" s="41"/>
      <c r="EOE13" s="41"/>
      <c r="EOF13" s="41"/>
      <c r="EOG13" s="41"/>
      <c r="EOH13" s="41"/>
      <c r="EOI13" s="41"/>
      <c r="EOJ13" s="41"/>
      <c r="EOK13" s="41"/>
      <c r="EOL13" s="41"/>
      <c r="EOM13" s="41"/>
      <c r="EON13" s="41"/>
      <c r="EOO13" s="41"/>
      <c r="EOP13" s="41"/>
      <c r="EOQ13" s="41"/>
      <c r="EOR13" s="41"/>
      <c r="EOS13" s="41"/>
      <c r="EOT13" s="41"/>
      <c r="EOU13" s="41"/>
      <c r="EOV13" s="41"/>
      <c r="EOW13" s="41"/>
      <c r="EOX13" s="41"/>
      <c r="EOY13" s="41"/>
      <c r="EOZ13" s="41"/>
      <c r="EPA13" s="41"/>
      <c r="EPB13" s="41"/>
      <c r="EPC13" s="41"/>
      <c r="EPD13" s="41"/>
      <c r="EPE13" s="41"/>
      <c r="EPF13" s="41"/>
      <c r="EPG13" s="41"/>
      <c r="EPH13" s="41"/>
      <c r="EPI13" s="41"/>
      <c r="EPJ13" s="41"/>
      <c r="EPK13" s="41"/>
      <c r="EPL13" s="41"/>
      <c r="EPM13" s="41"/>
      <c r="EPN13" s="41"/>
      <c r="EPO13" s="41"/>
      <c r="EPP13" s="41"/>
      <c r="EPQ13" s="41"/>
      <c r="EPR13" s="41"/>
      <c r="EPS13" s="41"/>
      <c r="EPT13" s="41"/>
      <c r="EPU13" s="41"/>
      <c r="EPV13" s="41"/>
      <c r="EPW13" s="41"/>
      <c r="EPX13" s="41"/>
      <c r="EPY13" s="41"/>
      <c r="EPZ13" s="41"/>
      <c r="EQA13" s="41"/>
      <c r="EQB13" s="41"/>
      <c r="EQC13" s="41"/>
      <c r="EQD13" s="41"/>
      <c r="EQE13" s="41"/>
      <c r="EQF13" s="41"/>
      <c r="EQG13" s="41"/>
      <c r="EQH13" s="41"/>
      <c r="EQI13" s="41"/>
      <c r="EQJ13" s="41"/>
      <c r="EQK13" s="41"/>
      <c r="EQL13" s="41"/>
      <c r="EQM13" s="41"/>
      <c r="EQN13" s="41"/>
      <c r="EQO13" s="41"/>
      <c r="EQP13" s="41"/>
      <c r="EQQ13" s="41"/>
      <c r="EQR13" s="41"/>
      <c r="EQS13" s="41"/>
      <c r="EQT13" s="41"/>
      <c r="EQU13" s="41"/>
      <c r="EQV13" s="41"/>
      <c r="EQW13" s="41"/>
      <c r="EQX13" s="41"/>
      <c r="EQY13" s="41"/>
      <c r="EQZ13" s="41"/>
      <c r="ERA13" s="41"/>
      <c r="ERB13" s="41"/>
      <c r="ERC13" s="41"/>
      <c r="ERD13" s="41"/>
      <c r="ERE13" s="41"/>
      <c r="ERF13" s="41"/>
      <c r="ERG13" s="41"/>
      <c r="ERH13" s="41"/>
      <c r="ERI13" s="41"/>
      <c r="ERJ13" s="41"/>
      <c r="ERK13" s="41"/>
      <c r="ERL13" s="41"/>
      <c r="ERM13" s="41"/>
      <c r="ERN13" s="41"/>
      <c r="ERO13" s="41"/>
      <c r="ERP13" s="41"/>
      <c r="ERQ13" s="41"/>
      <c r="ERR13" s="41"/>
      <c r="ERS13" s="41"/>
      <c r="ERT13" s="41"/>
      <c r="ERU13" s="41"/>
      <c r="ERV13" s="41"/>
      <c r="ERW13" s="41"/>
      <c r="ERX13" s="41"/>
      <c r="ERY13" s="41"/>
      <c r="ERZ13" s="41"/>
      <c r="ESA13" s="41"/>
      <c r="ESB13" s="41"/>
      <c r="ESC13" s="41"/>
      <c r="ESD13" s="41"/>
      <c r="ESE13" s="41"/>
      <c r="ESF13" s="41"/>
      <c r="ESG13" s="41"/>
      <c r="ESH13" s="41"/>
      <c r="ESI13" s="41"/>
      <c r="ESJ13" s="41"/>
      <c r="ESK13" s="41"/>
      <c r="ESL13" s="41"/>
      <c r="ESM13" s="41"/>
      <c r="ESN13" s="41"/>
      <c r="ESO13" s="41"/>
      <c r="ESP13" s="41"/>
      <c r="ESQ13" s="41"/>
      <c r="ESR13" s="41"/>
      <c r="ESS13" s="41"/>
      <c r="EST13" s="41"/>
      <c r="ESU13" s="41"/>
      <c r="ESV13" s="41"/>
      <c r="ESW13" s="41"/>
      <c r="ESX13" s="41"/>
      <c r="ESY13" s="41"/>
      <c r="ESZ13" s="41"/>
      <c r="ETA13" s="41"/>
      <c r="ETB13" s="41"/>
      <c r="ETC13" s="41"/>
      <c r="ETD13" s="41"/>
      <c r="ETE13" s="41"/>
      <c r="ETF13" s="41"/>
      <c r="ETG13" s="41"/>
      <c r="ETH13" s="41"/>
      <c r="ETI13" s="41"/>
      <c r="ETJ13" s="41"/>
      <c r="ETK13" s="41"/>
      <c r="ETL13" s="41"/>
      <c r="ETM13" s="41"/>
      <c r="ETN13" s="41"/>
      <c r="ETO13" s="41"/>
      <c r="ETP13" s="41"/>
      <c r="ETQ13" s="41"/>
      <c r="ETR13" s="41"/>
      <c r="ETS13" s="41"/>
      <c r="ETT13" s="41"/>
      <c r="ETU13" s="41"/>
      <c r="ETV13" s="41"/>
      <c r="ETW13" s="41"/>
      <c r="ETX13" s="41"/>
      <c r="ETY13" s="41"/>
      <c r="ETZ13" s="41"/>
      <c r="EUA13" s="41"/>
      <c r="EUB13" s="41"/>
      <c r="EUC13" s="41"/>
      <c r="EUD13" s="41"/>
      <c r="EUE13" s="41"/>
      <c r="EUF13" s="41"/>
      <c r="EUG13" s="41"/>
      <c r="EUH13" s="41"/>
      <c r="EUI13" s="41"/>
      <c r="EUJ13" s="41"/>
      <c r="EUK13" s="41"/>
      <c r="EUL13" s="41"/>
      <c r="EUM13" s="41"/>
      <c r="EUN13" s="41"/>
      <c r="EUO13" s="41"/>
      <c r="EUP13" s="41"/>
      <c r="EUQ13" s="41"/>
      <c r="EUR13" s="41"/>
      <c r="EUS13" s="41"/>
      <c r="EUT13" s="41"/>
      <c r="EUU13" s="41"/>
      <c r="EUV13" s="41"/>
      <c r="EUW13" s="41"/>
      <c r="EUX13" s="41"/>
      <c r="EUY13" s="41"/>
      <c r="EUZ13" s="41"/>
      <c r="EVA13" s="41"/>
      <c r="EVB13" s="41"/>
      <c r="EVC13" s="41"/>
      <c r="EVD13" s="41"/>
      <c r="EVE13" s="41"/>
      <c r="EVF13" s="41"/>
      <c r="EVG13" s="41"/>
      <c r="EVH13" s="41"/>
      <c r="EVI13" s="41"/>
      <c r="EVJ13" s="41"/>
      <c r="EVK13" s="41"/>
      <c r="EVL13" s="41"/>
      <c r="EVM13" s="41"/>
      <c r="EVN13" s="41"/>
      <c r="EVO13" s="41"/>
      <c r="EVP13" s="41"/>
      <c r="EVQ13" s="41"/>
      <c r="EVR13" s="41"/>
      <c r="EVS13" s="41"/>
      <c r="EVT13" s="41"/>
      <c r="EVU13" s="41"/>
      <c r="EVV13" s="41"/>
      <c r="EVW13" s="41"/>
      <c r="EVX13" s="41"/>
      <c r="EVY13" s="41"/>
      <c r="EVZ13" s="41"/>
      <c r="EWA13" s="41"/>
      <c r="EWB13" s="41"/>
      <c r="EWC13" s="41"/>
      <c r="EWD13" s="41"/>
      <c r="EWE13" s="41"/>
      <c r="EWF13" s="41"/>
      <c r="EWG13" s="41"/>
      <c r="EWH13" s="41"/>
      <c r="EWI13" s="41"/>
      <c r="EWJ13" s="41"/>
      <c r="EWK13" s="41"/>
      <c r="EWL13" s="41"/>
      <c r="EWM13" s="41"/>
      <c r="EWN13" s="41"/>
      <c r="EWO13" s="41"/>
      <c r="EWP13" s="41"/>
      <c r="EWQ13" s="41"/>
      <c r="EWR13" s="41"/>
      <c r="EWS13" s="41"/>
      <c r="EWT13" s="41"/>
      <c r="EWU13" s="41"/>
      <c r="EWV13" s="41"/>
      <c r="EWW13" s="41"/>
      <c r="EWX13" s="41"/>
      <c r="EWY13" s="41"/>
      <c r="EWZ13" s="41"/>
      <c r="EXA13" s="41"/>
      <c r="EXB13" s="41"/>
      <c r="EXC13" s="41"/>
      <c r="EXD13" s="41"/>
      <c r="EXE13" s="41"/>
      <c r="EXF13" s="41"/>
      <c r="EXG13" s="41"/>
      <c r="EXH13" s="41"/>
      <c r="EXI13" s="41"/>
      <c r="EXJ13" s="41"/>
      <c r="EXK13" s="41"/>
      <c r="EXL13" s="41"/>
      <c r="EXM13" s="41"/>
      <c r="EXN13" s="41"/>
      <c r="EXO13" s="41"/>
      <c r="EXP13" s="41"/>
      <c r="EXQ13" s="41"/>
      <c r="EXR13" s="41"/>
      <c r="EXS13" s="41"/>
      <c r="EXT13" s="41"/>
      <c r="EXU13" s="41"/>
      <c r="EXV13" s="41"/>
      <c r="EXW13" s="41"/>
      <c r="EXX13" s="41"/>
      <c r="EXY13" s="41"/>
      <c r="EXZ13" s="41"/>
      <c r="EYA13" s="41"/>
      <c r="EYB13" s="41"/>
      <c r="EYC13" s="41"/>
      <c r="EYD13" s="41"/>
      <c r="EYE13" s="41"/>
      <c r="EYF13" s="41"/>
      <c r="EYG13" s="41"/>
      <c r="EYH13" s="41"/>
      <c r="EYI13" s="41"/>
      <c r="EYJ13" s="41"/>
      <c r="EYK13" s="41"/>
      <c r="EYL13" s="41"/>
      <c r="EYM13" s="41"/>
      <c r="EYN13" s="41"/>
      <c r="EYO13" s="41"/>
      <c r="EYP13" s="41"/>
      <c r="EYQ13" s="41"/>
      <c r="EYR13" s="41"/>
      <c r="EYS13" s="41"/>
      <c r="EYT13" s="41"/>
      <c r="EYU13" s="41"/>
      <c r="EYV13" s="41"/>
      <c r="EYW13" s="41"/>
      <c r="EYX13" s="41"/>
      <c r="EYY13" s="41"/>
      <c r="EYZ13" s="41"/>
      <c r="EZA13" s="41"/>
      <c r="EZB13" s="41"/>
      <c r="EZC13" s="41"/>
      <c r="EZD13" s="41"/>
      <c r="EZE13" s="41"/>
      <c r="EZF13" s="41"/>
      <c r="EZG13" s="41"/>
      <c r="EZH13" s="41"/>
      <c r="EZI13" s="41"/>
      <c r="EZJ13" s="41"/>
      <c r="EZK13" s="41"/>
      <c r="EZL13" s="41"/>
      <c r="EZM13" s="41"/>
      <c r="EZN13" s="41"/>
      <c r="EZO13" s="41"/>
      <c r="EZP13" s="41"/>
      <c r="EZQ13" s="41"/>
      <c r="EZR13" s="41"/>
      <c r="EZS13" s="41"/>
      <c r="EZT13" s="41"/>
      <c r="EZU13" s="41"/>
      <c r="EZV13" s="41"/>
      <c r="EZW13" s="41"/>
      <c r="EZX13" s="41"/>
      <c r="EZY13" s="41"/>
      <c r="EZZ13" s="41"/>
      <c r="FAA13" s="41"/>
      <c r="FAB13" s="41"/>
      <c r="FAC13" s="41"/>
      <c r="FAD13" s="41"/>
      <c r="FAE13" s="41"/>
      <c r="FAF13" s="41"/>
      <c r="FAG13" s="41"/>
      <c r="FAH13" s="41"/>
      <c r="FAI13" s="41"/>
      <c r="FAJ13" s="41"/>
      <c r="FAK13" s="41"/>
      <c r="FAL13" s="41"/>
      <c r="FAM13" s="41"/>
      <c r="FAN13" s="41"/>
      <c r="FAO13" s="41"/>
      <c r="FAP13" s="41"/>
      <c r="FAQ13" s="41"/>
      <c r="FAR13" s="41"/>
      <c r="FAS13" s="41"/>
      <c r="FAT13" s="41"/>
      <c r="FAU13" s="41"/>
      <c r="FAV13" s="41"/>
      <c r="FAW13" s="41"/>
      <c r="FAX13" s="41"/>
      <c r="FAY13" s="41"/>
      <c r="FAZ13" s="41"/>
      <c r="FBA13" s="41"/>
      <c r="FBB13" s="41"/>
      <c r="FBC13" s="41"/>
      <c r="FBD13" s="41"/>
      <c r="FBE13" s="41"/>
      <c r="FBF13" s="41"/>
      <c r="FBG13" s="41"/>
      <c r="FBH13" s="41"/>
      <c r="FBI13" s="41"/>
      <c r="FBJ13" s="41"/>
      <c r="FBK13" s="41"/>
      <c r="FBL13" s="41"/>
      <c r="FBM13" s="41"/>
      <c r="FBN13" s="41"/>
      <c r="FBO13" s="41"/>
      <c r="FBP13" s="41"/>
      <c r="FBQ13" s="41"/>
      <c r="FBR13" s="41"/>
      <c r="FBS13" s="41"/>
      <c r="FBT13" s="41"/>
      <c r="FBU13" s="41"/>
      <c r="FBV13" s="41"/>
      <c r="FBW13" s="41"/>
      <c r="FBX13" s="41"/>
      <c r="FBY13" s="41"/>
      <c r="FBZ13" s="41"/>
      <c r="FCA13" s="41"/>
      <c r="FCB13" s="41"/>
      <c r="FCC13" s="41"/>
      <c r="FCD13" s="41"/>
      <c r="FCE13" s="41"/>
      <c r="FCF13" s="41"/>
      <c r="FCG13" s="41"/>
      <c r="FCH13" s="41"/>
      <c r="FCI13" s="41"/>
      <c r="FCJ13" s="41"/>
      <c r="FCK13" s="41"/>
      <c r="FCL13" s="41"/>
      <c r="FCM13" s="41"/>
      <c r="FCN13" s="41"/>
      <c r="FCO13" s="41"/>
      <c r="FCP13" s="41"/>
      <c r="FCQ13" s="41"/>
      <c r="FCR13" s="41"/>
      <c r="FCS13" s="41"/>
      <c r="FCT13" s="41"/>
      <c r="FCU13" s="41"/>
      <c r="FCV13" s="41"/>
      <c r="FCW13" s="41"/>
      <c r="FCX13" s="41"/>
      <c r="FCY13" s="41"/>
      <c r="FCZ13" s="41"/>
      <c r="FDA13" s="41"/>
      <c r="FDB13" s="41"/>
      <c r="FDC13" s="41"/>
      <c r="FDD13" s="41"/>
      <c r="FDE13" s="41"/>
      <c r="FDF13" s="41"/>
      <c r="FDG13" s="41"/>
      <c r="FDH13" s="41"/>
      <c r="FDI13" s="41"/>
      <c r="FDJ13" s="41"/>
      <c r="FDK13" s="41"/>
      <c r="FDL13" s="41"/>
      <c r="FDM13" s="41"/>
      <c r="FDN13" s="41"/>
      <c r="FDO13" s="41"/>
      <c r="FDP13" s="41"/>
      <c r="FDQ13" s="41"/>
      <c r="FDR13" s="41"/>
      <c r="FDS13" s="41"/>
      <c r="FDT13" s="41"/>
      <c r="FDU13" s="41"/>
      <c r="FDV13" s="41"/>
      <c r="FDW13" s="41"/>
      <c r="FDX13" s="41"/>
      <c r="FDY13" s="41"/>
      <c r="FDZ13" s="41"/>
      <c r="FEA13" s="41"/>
      <c r="FEB13" s="41"/>
      <c r="FEC13" s="41"/>
      <c r="FED13" s="41"/>
      <c r="FEE13" s="41"/>
      <c r="FEF13" s="41"/>
      <c r="FEG13" s="41"/>
      <c r="FEH13" s="41"/>
      <c r="FEI13" s="41"/>
      <c r="FEJ13" s="41"/>
      <c r="FEK13" s="41"/>
      <c r="FEL13" s="41"/>
      <c r="FEM13" s="41"/>
      <c r="FEN13" s="41"/>
      <c r="FEO13" s="41"/>
      <c r="FEP13" s="41"/>
      <c r="FEQ13" s="41"/>
      <c r="FER13" s="41"/>
      <c r="FES13" s="41"/>
      <c r="FET13" s="41"/>
      <c r="FEU13" s="41"/>
      <c r="FEV13" s="41"/>
      <c r="FEW13" s="41"/>
      <c r="FEX13" s="41"/>
      <c r="FEY13" s="41"/>
      <c r="FEZ13" s="41"/>
      <c r="FFA13" s="41"/>
      <c r="FFB13" s="41"/>
      <c r="FFC13" s="41"/>
      <c r="FFD13" s="41"/>
      <c r="FFE13" s="41"/>
      <c r="FFF13" s="41"/>
      <c r="FFG13" s="41"/>
      <c r="FFH13" s="41"/>
      <c r="FFI13" s="41"/>
      <c r="FFJ13" s="41"/>
      <c r="FFK13" s="41"/>
      <c r="FFL13" s="41"/>
      <c r="FFM13" s="41"/>
      <c r="FFN13" s="41"/>
      <c r="FFO13" s="41"/>
      <c r="FFP13" s="41"/>
      <c r="FFQ13" s="41"/>
      <c r="FFR13" s="41"/>
      <c r="FFS13" s="41"/>
      <c r="FFT13" s="41"/>
      <c r="FFU13" s="41"/>
      <c r="FFV13" s="41"/>
      <c r="FFW13" s="41"/>
      <c r="FFX13" s="41"/>
      <c r="FFY13" s="41"/>
      <c r="FFZ13" s="41"/>
      <c r="FGA13" s="41"/>
      <c r="FGB13" s="41"/>
      <c r="FGC13" s="41"/>
      <c r="FGD13" s="41"/>
      <c r="FGE13" s="41"/>
      <c r="FGF13" s="41"/>
      <c r="FGG13" s="41"/>
      <c r="FGH13" s="41"/>
      <c r="FGI13" s="41"/>
      <c r="FGJ13" s="41"/>
      <c r="FGK13" s="41"/>
      <c r="FGL13" s="41"/>
      <c r="FGM13" s="41"/>
      <c r="FGN13" s="41"/>
      <c r="FGO13" s="41"/>
      <c r="FGP13" s="41"/>
      <c r="FGQ13" s="41"/>
      <c r="FGR13" s="41"/>
      <c r="FGS13" s="41"/>
      <c r="FGT13" s="41"/>
      <c r="FGU13" s="41"/>
      <c r="FGV13" s="41"/>
      <c r="FGW13" s="41"/>
      <c r="FGX13" s="41"/>
      <c r="FGY13" s="41"/>
      <c r="FGZ13" s="41"/>
      <c r="FHA13" s="41"/>
      <c r="FHB13" s="41"/>
      <c r="FHC13" s="41"/>
      <c r="FHD13" s="41"/>
      <c r="FHE13" s="41"/>
      <c r="FHF13" s="41"/>
      <c r="FHG13" s="41"/>
      <c r="FHH13" s="41"/>
      <c r="FHI13" s="41"/>
      <c r="FHJ13" s="41"/>
      <c r="FHK13" s="41"/>
      <c r="FHL13" s="41"/>
      <c r="FHM13" s="41"/>
      <c r="FHN13" s="41"/>
      <c r="FHO13" s="41"/>
      <c r="FHP13" s="41"/>
      <c r="FHQ13" s="41"/>
      <c r="FHR13" s="41"/>
      <c r="FHS13" s="41"/>
      <c r="FHT13" s="41"/>
      <c r="FHU13" s="41"/>
      <c r="FHV13" s="41"/>
      <c r="FHW13" s="41"/>
      <c r="FHX13" s="41"/>
      <c r="FHY13" s="41"/>
      <c r="FHZ13" s="41"/>
      <c r="FIA13" s="41"/>
      <c r="FIB13" s="41"/>
      <c r="FIC13" s="41"/>
      <c r="FID13" s="41"/>
      <c r="FIE13" s="41"/>
      <c r="FIF13" s="41"/>
      <c r="FIG13" s="41"/>
      <c r="FIH13" s="41"/>
      <c r="FII13" s="41"/>
      <c r="FIJ13" s="41"/>
      <c r="FIK13" s="41"/>
      <c r="FIL13" s="41"/>
      <c r="FIM13" s="41"/>
      <c r="FIN13" s="41"/>
      <c r="FIO13" s="41"/>
      <c r="FIP13" s="41"/>
      <c r="FIQ13" s="41"/>
      <c r="FIR13" s="41"/>
      <c r="FIS13" s="41"/>
      <c r="FIT13" s="41"/>
      <c r="FIU13" s="41"/>
      <c r="FIV13" s="41"/>
      <c r="FIW13" s="41"/>
      <c r="FIX13" s="41"/>
      <c r="FIY13" s="41"/>
      <c r="FIZ13" s="41"/>
      <c r="FJA13" s="41"/>
      <c r="FJB13" s="41"/>
      <c r="FJC13" s="41"/>
      <c r="FJD13" s="41"/>
      <c r="FJE13" s="41"/>
      <c r="FJF13" s="41"/>
      <c r="FJG13" s="41"/>
      <c r="FJH13" s="41"/>
      <c r="FJI13" s="41"/>
      <c r="FJJ13" s="41"/>
      <c r="FJK13" s="41"/>
      <c r="FJL13" s="41"/>
      <c r="FJM13" s="41"/>
      <c r="FJN13" s="41"/>
      <c r="FJO13" s="41"/>
      <c r="FJP13" s="41"/>
      <c r="FJQ13" s="41"/>
      <c r="FJR13" s="41"/>
      <c r="FJS13" s="41"/>
      <c r="FJT13" s="41"/>
      <c r="FJU13" s="41"/>
      <c r="FJV13" s="41"/>
      <c r="FJW13" s="41"/>
      <c r="FJX13" s="41"/>
      <c r="FJY13" s="41"/>
      <c r="FJZ13" s="41"/>
      <c r="FKA13" s="41"/>
      <c r="FKB13" s="41"/>
      <c r="FKC13" s="41"/>
      <c r="FKD13" s="41"/>
      <c r="FKE13" s="41"/>
      <c r="FKF13" s="41"/>
      <c r="FKG13" s="41"/>
      <c r="FKH13" s="41"/>
      <c r="FKI13" s="41"/>
      <c r="FKJ13" s="41"/>
      <c r="FKK13" s="41"/>
      <c r="FKL13" s="41"/>
      <c r="FKM13" s="41"/>
      <c r="FKN13" s="41"/>
      <c r="FKO13" s="41"/>
      <c r="FKP13" s="41"/>
      <c r="FKQ13" s="41"/>
      <c r="FKR13" s="41"/>
      <c r="FKS13" s="41"/>
      <c r="FKT13" s="41"/>
      <c r="FKU13" s="41"/>
      <c r="FKV13" s="41"/>
      <c r="FKW13" s="41"/>
      <c r="FKX13" s="41"/>
      <c r="FKY13" s="41"/>
      <c r="FKZ13" s="41"/>
      <c r="FLA13" s="41"/>
      <c r="FLB13" s="41"/>
      <c r="FLC13" s="41"/>
      <c r="FLD13" s="41"/>
      <c r="FLE13" s="41"/>
      <c r="FLF13" s="41"/>
      <c r="FLG13" s="41"/>
      <c r="FLH13" s="41"/>
      <c r="FLI13" s="41"/>
      <c r="FLJ13" s="41"/>
      <c r="FLK13" s="41"/>
      <c r="FLL13" s="41"/>
      <c r="FLM13" s="41"/>
      <c r="FLN13" s="41"/>
      <c r="FLO13" s="41"/>
      <c r="FLP13" s="41"/>
      <c r="FLQ13" s="41"/>
      <c r="FLR13" s="41"/>
      <c r="FLS13" s="41"/>
      <c r="FLT13" s="41"/>
      <c r="FLU13" s="41"/>
      <c r="FLV13" s="41"/>
      <c r="FLW13" s="41"/>
      <c r="FLX13" s="41"/>
      <c r="FLY13" s="41"/>
      <c r="FLZ13" s="41"/>
      <c r="FMA13" s="41"/>
      <c r="FMB13" s="41"/>
      <c r="FMC13" s="41"/>
      <c r="FMD13" s="41"/>
      <c r="FME13" s="41"/>
      <c r="FMF13" s="41"/>
      <c r="FMG13" s="41"/>
      <c r="FMH13" s="41"/>
      <c r="FMI13" s="41"/>
      <c r="FMJ13" s="41"/>
      <c r="FMK13" s="41"/>
      <c r="FML13" s="41"/>
      <c r="FMM13" s="41"/>
      <c r="FMN13" s="41"/>
      <c r="FMO13" s="41"/>
      <c r="FMP13" s="41"/>
      <c r="FMQ13" s="41"/>
      <c r="FMR13" s="41"/>
      <c r="FMS13" s="41"/>
      <c r="FMT13" s="41"/>
      <c r="FMU13" s="41"/>
      <c r="FMV13" s="41"/>
      <c r="FMW13" s="41"/>
      <c r="FMX13" s="41"/>
      <c r="FMY13" s="41"/>
      <c r="FMZ13" s="41"/>
      <c r="FNA13" s="41"/>
      <c r="FNB13" s="41"/>
      <c r="FNC13" s="41"/>
      <c r="FND13" s="41"/>
      <c r="FNE13" s="41"/>
      <c r="FNF13" s="41"/>
      <c r="FNG13" s="41"/>
      <c r="FNH13" s="41"/>
      <c r="FNI13" s="41"/>
      <c r="FNJ13" s="41"/>
      <c r="FNK13" s="41"/>
      <c r="FNL13" s="41"/>
      <c r="FNM13" s="41"/>
      <c r="FNN13" s="41"/>
      <c r="FNO13" s="41"/>
      <c r="FNP13" s="41"/>
      <c r="FNQ13" s="41"/>
      <c r="FNR13" s="41"/>
      <c r="FNS13" s="41"/>
      <c r="FNT13" s="41"/>
      <c r="FNU13" s="41"/>
      <c r="FNV13" s="41"/>
      <c r="FNW13" s="41"/>
      <c r="FNX13" s="41"/>
      <c r="FNY13" s="41"/>
      <c r="FNZ13" s="41"/>
      <c r="FOA13" s="41"/>
      <c r="FOB13" s="41"/>
      <c r="FOC13" s="41"/>
      <c r="FOD13" s="41"/>
      <c r="FOE13" s="41"/>
      <c r="FOF13" s="41"/>
      <c r="FOG13" s="41"/>
      <c r="FOH13" s="41"/>
      <c r="FOI13" s="41"/>
      <c r="FOJ13" s="41"/>
      <c r="FOK13" s="41"/>
      <c r="FOL13" s="41"/>
      <c r="FOM13" s="41"/>
      <c r="FON13" s="41"/>
      <c r="FOO13" s="41"/>
      <c r="FOP13" s="41"/>
      <c r="FOQ13" s="41"/>
      <c r="FOR13" s="41"/>
      <c r="FOS13" s="41"/>
      <c r="FOT13" s="41"/>
      <c r="FOU13" s="41"/>
      <c r="FOV13" s="41"/>
      <c r="FOW13" s="41"/>
      <c r="FOX13" s="41"/>
      <c r="FOY13" s="41"/>
      <c r="FOZ13" s="41"/>
      <c r="FPA13" s="41"/>
      <c r="FPB13" s="41"/>
      <c r="FPC13" s="41"/>
      <c r="FPD13" s="41"/>
      <c r="FPE13" s="41"/>
      <c r="FPF13" s="41"/>
      <c r="FPG13" s="41"/>
      <c r="FPH13" s="41"/>
      <c r="FPI13" s="41"/>
      <c r="FPJ13" s="41"/>
      <c r="FPK13" s="41"/>
      <c r="FPL13" s="41"/>
      <c r="FPM13" s="41"/>
      <c r="FPN13" s="41"/>
      <c r="FPO13" s="41"/>
      <c r="FPP13" s="41"/>
      <c r="FPQ13" s="41"/>
      <c r="FPR13" s="41"/>
      <c r="FPS13" s="41"/>
      <c r="FPT13" s="41"/>
      <c r="FPU13" s="41"/>
      <c r="FPV13" s="41"/>
      <c r="FPW13" s="41"/>
      <c r="FPX13" s="41"/>
      <c r="FPY13" s="41"/>
      <c r="FPZ13" s="41"/>
      <c r="FQA13" s="41"/>
      <c r="FQB13" s="41"/>
      <c r="FQC13" s="41"/>
      <c r="FQD13" s="41"/>
      <c r="FQE13" s="41"/>
      <c r="FQF13" s="41"/>
      <c r="FQG13" s="41"/>
      <c r="FQH13" s="41"/>
      <c r="FQI13" s="41"/>
      <c r="FQJ13" s="41"/>
      <c r="FQK13" s="41"/>
      <c r="FQL13" s="41"/>
      <c r="FQM13" s="41"/>
      <c r="FQN13" s="41"/>
      <c r="FQO13" s="41"/>
      <c r="FQP13" s="41"/>
      <c r="FQQ13" s="41"/>
      <c r="FQR13" s="41"/>
      <c r="FQS13" s="41"/>
      <c r="FQT13" s="41"/>
      <c r="FQU13" s="41"/>
      <c r="FQV13" s="41"/>
      <c r="FQW13" s="41"/>
      <c r="FQX13" s="41"/>
      <c r="FQY13" s="41"/>
      <c r="FQZ13" s="41"/>
      <c r="FRA13" s="41"/>
      <c r="FRB13" s="41"/>
      <c r="FRC13" s="41"/>
      <c r="FRD13" s="41"/>
      <c r="FRE13" s="41"/>
      <c r="FRF13" s="41"/>
      <c r="FRG13" s="41"/>
      <c r="FRH13" s="41"/>
      <c r="FRI13" s="41"/>
      <c r="FRJ13" s="41"/>
      <c r="FRK13" s="41"/>
      <c r="FRL13" s="41"/>
      <c r="FRM13" s="41"/>
      <c r="FRN13" s="41"/>
      <c r="FRO13" s="41"/>
      <c r="FRP13" s="41"/>
      <c r="FRQ13" s="41"/>
      <c r="FRR13" s="41"/>
      <c r="FRS13" s="41"/>
      <c r="FRT13" s="41"/>
      <c r="FRU13" s="41"/>
      <c r="FRV13" s="41"/>
      <c r="FRW13" s="41"/>
      <c r="FRX13" s="41"/>
      <c r="FRY13" s="41"/>
      <c r="FRZ13" s="41"/>
      <c r="FSA13" s="41"/>
      <c r="FSB13" s="41"/>
      <c r="FSC13" s="41"/>
      <c r="FSD13" s="41"/>
      <c r="FSE13" s="41"/>
      <c r="FSF13" s="41"/>
      <c r="FSG13" s="41"/>
      <c r="FSH13" s="41"/>
      <c r="FSI13" s="41"/>
      <c r="FSJ13" s="41"/>
      <c r="FSK13" s="41"/>
      <c r="FSL13" s="41"/>
      <c r="FSM13" s="41"/>
      <c r="FSN13" s="41"/>
      <c r="FSO13" s="41"/>
      <c r="FSP13" s="41"/>
      <c r="FSQ13" s="41"/>
      <c r="FSR13" s="41"/>
      <c r="FSS13" s="41"/>
      <c r="FST13" s="41"/>
      <c r="FSU13" s="41"/>
      <c r="FSV13" s="41"/>
      <c r="FSW13" s="41"/>
      <c r="FSX13" s="41"/>
      <c r="FSY13" s="41"/>
      <c r="FSZ13" s="41"/>
      <c r="FTA13" s="41"/>
      <c r="FTB13" s="41"/>
      <c r="FTC13" s="41"/>
      <c r="FTD13" s="41"/>
      <c r="FTE13" s="41"/>
      <c r="FTF13" s="41"/>
      <c r="FTG13" s="41"/>
      <c r="FTH13" s="41"/>
      <c r="FTI13" s="41"/>
      <c r="FTJ13" s="41"/>
      <c r="FTK13" s="41"/>
      <c r="FTL13" s="41"/>
      <c r="FTM13" s="41"/>
      <c r="FTN13" s="41"/>
      <c r="FTO13" s="41"/>
      <c r="FTP13" s="41"/>
      <c r="FTQ13" s="41"/>
      <c r="FTR13" s="41"/>
      <c r="FTS13" s="41"/>
      <c r="FTT13" s="41"/>
      <c r="FTU13" s="41"/>
      <c r="FTV13" s="41"/>
      <c r="FTW13" s="41"/>
      <c r="FTX13" s="41"/>
      <c r="FTY13" s="41"/>
      <c r="FTZ13" s="41"/>
      <c r="FUA13" s="41"/>
      <c r="FUB13" s="41"/>
      <c r="FUC13" s="41"/>
      <c r="FUD13" s="41"/>
      <c r="FUE13" s="41"/>
      <c r="FUF13" s="41"/>
      <c r="FUG13" s="41"/>
      <c r="FUH13" s="41"/>
      <c r="FUI13" s="41"/>
      <c r="FUJ13" s="41"/>
      <c r="FUK13" s="41"/>
      <c r="FUL13" s="41"/>
      <c r="FUM13" s="41"/>
      <c r="FUN13" s="41"/>
      <c r="FUO13" s="41"/>
      <c r="FUP13" s="41"/>
      <c r="FUQ13" s="41"/>
      <c r="FUR13" s="41"/>
      <c r="FUS13" s="41"/>
      <c r="FUT13" s="41"/>
      <c r="FUU13" s="41"/>
      <c r="FUV13" s="41"/>
      <c r="FUW13" s="41"/>
      <c r="FUX13" s="41"/>
      <c r="FUY13" s="41"/>
      <c r="FUZ13" s="41"/>
      <c r="FVA13" s="41"/>
      <c r="FVB13" s="41"/>
      <c r="FVC13" s="41"/>
      <c r="FVD13" s="41"/>
      <c r="FVE13" s="41"/>
      <c r="FVF13" s="41"/>
      <c r="FVG13" s="41"/>
      <c r="FVH13" s="41"/>
      <c r="FVI13" s="41"/>
      <c r="FVJ13" s="41"/>
      <c r="FVK13" s="41"/>
      <c r="FVL13" s="41"/>
      <c r="FVM13" s="41"/>
      <c r="FVN13" s="41"/>
      <c r="FVO13" s="41"/>
      <c r="FVP13" s="41"/>
      <c r="FVQ13" s="41"/>
      <c r="FVR13" s="41"/>
      <c r="FVS13" s="41"/>
      <c r="FVT13" s="41"/>
      <c r="FVU13" s="41"/>
      <c r="FVV13" s="41"/>
      <c r="FVW13" s="41"/>
      <c r="FVX13" s="41"/>
      <c r="FVY13" s="41"/>
      <c r="FVZ13" s="41"/>
      <c r="FWA13" s="41"/>
      <c r="FWB13" s="41"/>
      <c r="FWC13" s="41"/>
      <c r="FWD13" s="41"/>
      <c r="FWE13" s="41"/>
      <c r="FWF13" s="41"/>
      <c r="FWG13" s="41"/>
      <c r="FWH13" s="41"/>
      <c r="FWI13" s="41"/>
      <c r="FWJ13" s="41"/>
      <c r="FWK13" s="41"/>
      <c r="FWL13" s="41"/>
      <c r="FWM13" s="41"/>
      <c r="FWN13" s="41"/>
      <c r="FWO13" s="41"/>
      <c r="FWP13" s="41"/>
      <c r="FWQ13" s="41"/>
      <c r="FWR13" s="41"/>
      <c r="FWS13" s="41"/>
      <c r="FWT13" s="41"/>
      <c r="FWU13" s="41"/>
      <c r="FWV13" s="41"/>
      <c r="FWW13" s="41"/>
      <c r="FWX13" s="41"/>
      <c r="FWY13" s="41"/>
      <c r="FWZ13" s="41"/>
      <c r="FXA13" s="41"/>
      <c r="FXB13" s="41"/>
      <c r="FXC13" s="41"/>
      <c r="FXD13" s="41"/>
      <c r="FXE13" s="41"/>
      <c r="FXF13" s="41"/>
      <c r="FXG13" s="41"/>
      <c r="FXH13" s="41"/>
      <c r="FXI13" s="41"/>
      <c r="FXJ13" s="41"/>
      <c r="FXK13" s="41"/>
      <c r="FXL13" s="41"/>
      <c r="FXM13" s="41"/>
      <c r="FXN13" s="41"/>
      <c r="FXO13" s="41"/>
      <c r="FXP13" s="41"/>
      <c r="FXQ13" s="41"/>
      <c r="FXR13" s="41"/>
      <c r="FXS13" s="41"/>
      <c r="FXT13" s="41"/>
      <c r="FXU13" s="41"/>
      <c r="FXV13" s="41"/>
      <c r="FXW13" s="41"/>
      <c r="FXX13" s="41"/>
      <c r="FXY13" s="41"/>
      <c r="FXZ13" s="41"/>
      <c r="FYA13" s="41"/>
      <c r="FYB13" s="41"/>
      <c r="FYC13" s="41"/>
      <c r="FYD13" s="41"/>
      <c r="FYE13" s="41"/>
      <c r="FYF13" s="41"/>
      <c r="FYG13" s="41"/>
      <c r="FYH13" s="41"/>
      <c r="FYI13" s="41"/>
      <c r="FYJ13" s="41"/>
      <c r="FYK13" s="41"/>
      <c r="FYL13" s="41"/>
      <c r="FYM13" s="41"/>
      <c r="FYN13" s="41"/>
      <c r="FYO13" s="41"/>
      <c r="FYP13" s="41"/>
      <c r="FYQ13" s="41"/>
      <c r="FYR13" s="41"/>
      <c r="FYS13" s="41"/>
      <c r="FYT13" s="41"/>
      <c r="FYU13" s="41"/>
      <c r="FYV13" s="41"/>
      <c r="FYW13" s="41"/>
      <c r="FYX13" s="41"/>
      <c r="FYY13" s="41"/>
      <c r="FYZ13" s="41"/>
      <c r="FZA13" s="41"/>
      <c r="FZB13" s="41"/>
      <c r="FZC13" s="41"/>
      <c r="FZD13" s="41"/>
      <c r="FZE13" s="41"/>
      <c r="FZF13" s="41"/>
      <c r="FZG13" s="41"/>
      <c r="FZH13" s="41"/>
      <c r="FZI13" s="41"/>
      <c r="FZJ13" s="41"/>
      <c r="FZK13" s="41"/>
      <c r="FZL13" s="41"/>
      <c r="FZM13" s="41"/>
      <c r="FZN13" s="41"/>
      <c r="FZO13" s="41"/>
      <c r="FZP13" s="41"/>
      <c r="FZQ13" s="41"/>
      <c r="FZR13" s="41"/>
      <c r="FZS13" s="41"/>
      <c r="FZT13" s="41"/>
      <c r="FZU13" s="41"/>
      <c r="FZV13" s="41"/>
      <c r="FZW13" s="41"/>
      <c r="FZX13" s="41"/>
      <c r="FZY13" s="41"/>
      <c r="FZZ13" s="41"/>
      <c r="GAA13" s="41"/>
      <c r="GAB13" s="41"/>
      <c r="GAC13" s="41"/>
      <c r="GAD13" s="41"/>
      <c r="GAE13" s="41"/>
      <c r="GAF13" s="41"/>
      <c r="GAG13" s="41"/>
      <c r="GAH13" s="41"/>
      <c r="GAI13" s="41"/>
      <c r="GAJ13" s="41"/>
      <c r="GAK13" s="41"/>
      <c r="GAL13" s="41"/>
      <c r="GAM13" s="41"/>
      <c r="GAN13" s="41"/>
      <c r="GAO13" s="41"/>
      <c r="GAP13" s="41"/>
      <c r="GAQ13" s="41"/>
      <c r="GAR13" s="41"/>
      <c r="GAS13" s="41"/>
      <c r="GAT13" s="41"/>
      <c r="GAU13" s="41"/>
      <c r="GAV13" s="41"/>
      <c r="GAW13" s="41"/>
      <c r="GAX13" s="41"/>
      <c r="GAY13" s="41"/>
      <c r="GAZ13" s="41"/>
      <c r="GBA13" s="41"/>
      <c r="GBB13" s="41"/>
      <c r="GBC13" s="41"/>
      <c r="GBD13" s="41"/>
      <c r="GBE13" s="41"/>
      <c r="GBF13" s="41"/>
      <c r="GBG13" s="41"/>
      <c r="GBH13" s="41"/>
      <c r="GBI13" s="41"/>
      <c r="GBJ13" s="41"/>
      <c r="GBK13" s="41"/>
      <c r="GBL13" s="41"/>
      <c r="GBM13" s="41"/>
      <c r="GBN13" s="41"/>
      <c r="GBO13" s="41"/>
      <c r="GBP13" s="41"/>
      <c r="GBQ13" s="41"/>
      <c r="GBR13" s="41"/>
      <c r="GBS13" s="41"/>
      <c r="GBT13" s="41"/>
      <c r="GBU13" s="41"/>
      <c r="GBV13" s="41"/>
      <c r="GBW13" s="41"/>
      <c r="GBX13" s="41"/>
      <c r="GBY13" s="41"/>
      <c r="GBZ13" s="41"/>
      <c r="GCA13" s="41"/>
      <c r="GCB13" s="41"/>
      <c r="GCC13" s="41"/>
      <c r="GCD13" s="41"/>
      <c r="GCE13" s="41"/>
      <c r="GCF13" s="41"/>
      <c r="GCG13" s="41"/>
      <c r="GCH13" s="41"/>
      <c r="GCI13" s="41"/>
      <c r="GCJ13" s="41"/>
      <c r="GCK13" s="41"/>
      <c r="GCL13" s="41"/>
      <c r="GCM13" s="41"/>
      <c r="GCN13" s="41"/>
      <c r="GCO13" s="41"/>
      <c r="GCP13" s="41"/>
      <c r="GCQ13" s="41"/>
      <c r="GCR13" s="41"/>
      <c r="GCS13" s="41"/>
      <c r="GCT13" s="41"/>
      <c r="GCU13" s="41"/>
      <c r="GCV13" s="41"/>
      <c r="GCW13" s="41"/>
      <c r="GCX13" s="41"/>
      <c r="GCY13" s="41"/>
      <c r="GCZ13" s="41"/>
      <c r="GDA13" s="41"/>
      <c r="GDB13" s="41"/>
      <c r="GDC13" s="41"/>
      <c r="GDD13" s="41"/>
      <c r="GDE13" s="41"/>
      <c r="GDF13" s="41"/>
      <c r="GDG13" s="41"/>
      <c r="GDH13" s="41"/>
      <c r="GDI13" s="41"/>
      <c r="GDJ13" s="41"/>
      <c r="GDK13" s="41"/>
      <c r="GDL13" s="41"/>
      <c r="GDM13" s="41"/>
      <c r="GDN13" s="41"/>
      <c r="GDO13" s="41"/>
      <c r="GDP13" s="41"/>
      <c r="GDQ13" s="41"/>
      <c r="GDR13" s="41"/>
      <c r="GDS13" s="41"/>
      <c r="GDT13" s="41"/>
      <c r="GDU13" s="41"/>
      <c r="GDV13" s="41"/>
      <c r="GDW13" s="41"/>
      <c r="GDX13" s="41"/>
      <c r="GDY13" s="41"/>
      <c r="GDZ13" s="41"/>
      <c r="GEA13" s="41"/>
      <c r="GEB13" s="41"/>
      <c r="GEC13" s="41"/>
      <c r="GED13" s="41"/>
      <c r="GEE13" s="41"/>
      <c r="GEF13" s="41"/>
      <c r="GEG13" s="41"/>
      <c r="GEH13" s="41"/>
      <c r="GEI13" s="41"/>
      <c r="GEJ13" s="41"/>
      <c r="GEK13" s="41"/>
      <c r="GEL13" s="41"/>
      <c r="GEM13" s="41"/>
      <c r="GEN13" s="41"/>
      <c r="GEO13" s="41"/>
      <c r="GEP13" s="41"/>
      <c r="GEQ13" s="41"/>
      <c r="GER13" s="41"/>
      <c r="GES13" s="41"/>
      <c r="GET13" s="41"/>
      <c r="GEU13" s="41"/>
      <c r="GEV13" s="41"/>
      <c r="GEW13" s="41"/>
      <c r="GEX13" s="41"/>
      <c r="GEY13" s="41"/>
      <c r="GEZ13" s="41"/>
      <c r="GFA13" s="41"/>
      <c r="GFB13" s="41"/>
      <c r="GFC13" s="41"/>
      <c r="GFD13" s="41"/>
      <c r="GFE13" s="41"/>
      <c r="GFF13" s="41"/>
      <c r="GFG13" s="41"/>
      <c r="GFH13" s="41"/>
      <c r="GFI13" s="41"/>
      <c r="GFJ13" s="41"/>
      <c r="GFK13" s="41"/>
      <c r="GFL13" s="41"/>
      <c r="GFM13" s="41"/>
      <c r="GFN13" s="41"/>
      <c r="GFO13" s="41"/>
      <c r="GFP13" s="41"/>
      <c r="GFQ13" s="41"/>
      <c r="GFR13" s="41"/>
      <c r="GFS13" s="41"/>
      <c r="GFT13" s="41"/>
      <c r="GFU13" s="41"/>
      <c r="GFV13" s="41"/>
      <c r="GFW13" s="41"/>
      <c r="GFX13" s="41"/>
      <c r="GFY13" s="41"/>
      <c r="GFZ13" s="41"/>
      <c r="GGA13" s="41"/>
      <c r="GGB13" s="41"/>
      <c r="GGC13" s="41"/>
      <c r="GGD13" s="41"/>
      <c r="GGE13" s="41"/>
      <c r="GGF13" s="41"/>
      <c r="GGG13" s="41"/>
      <c r="GGH13" s="41"/>
      <c r="GGI13" s="41"/>
      <c r="GGJ13" s="41"/>
      <c r="GGK13" s="41"/>
      <c r="GGL13" s="41"/>
      <c r="GGM13" s="41"/>
      <c r="GGN13" s="41"/>
      <c r="GGO13" s="41"/>
      <c r="GGP13" s="41"/>
      <c r="GGQ13" s="41"/>
      <c r="GGR13" s="41"/>
      <c r="GGS13" s="41"/>
      <c r="GGT13" s="41"/>
      <c r="GGU13" s="41"/>
      <c r="GGV13" s="41"/>
      <c r="GGW13" s="41"/>
      <c r="GGX13" s="41"/>
      <c r="GGY13" s="41"/>
      <c r="GGZ13" s="41"/>
      <c r="GHA13" s="41"/>
      <c r="GHB13" s="41"/>
      <c r="GHC13" s="41"/>
      <c r="GHD13" s="41"/>
      <c r="GHE13" s="41"/>
      <c r="GHF13" s="41"/>
      <c r="GHG13" s="41"/>
      <c r="GHH13" s="41"/>
      <c r="GHI13" s="41"/>
      <c r="GHJ13" s="41"/>
      <c r="GHK13" s="41"/>
      <c r="GHL13" s="41"/>
      <c r="GHM13" s="41"/>
      <c r="GHN13" s="41"/>
      <c r="GHO13" s="41"/>
      <c r="GHP13" s="41"/>
      <c r="GHQ13" s="41"/>
      <c r="GHR13" s="41"/>
      <c r="GHS13" s="41"/>
      <c r="GHT13" s="41"/>
      <c r="GHU13" s="41"/>
      <c r="GHV13" s="41"/>
      <c r="GHW13" s="41"/>
      <c r="GHX13" s="41"/>
      <c r="GHY13" s="41"/>
      <c r="GHZ13" s="41"/>
      <c r="GIA13" s="41"/>
      <c r="GIB13" s="41"/>
      <c r="GIC13" s="41"/>
      <c r="GID13" s="41"/>
      <c r="GIE13" s="41"/>
      <c r="GIF13" s="41"/>
      <c r="GIG13" s="41"/>
      <c r="GIH13" s="41"/>
      <c r="GII13" s="41"/>
      <c r="GIJ13" s="41"/>
      <c r="GIK13" s="41"/>
      <c r="GIL13" s="41"/>
      <c r="GIM13" s="41"/>
      <c r="GIN13" s="41"/>
      <c r="GIO13" s="41"/>
      <c r="GIP13" s="41"/>
      <c r="GIQ13" s="41"/>
      <c r="GIR13" s="41"/>
      <c r="GIS13" s="41"/>
      <c r="GIT13" s="41"/>
      <c r="GIU13" s="41"/>
      <c r="GIV13" s="41"/>
      <c r="GIW13" s="41"/>
      <c r="GIX13" s="41"/>
      <c r="GIY13" s="41"/>
      <c r="GIZ13" s="41"/>
      <c r="GJA13" s="41"/>
      <c r="GJB13" s="41"/>
      <c r="GJC13" s="41"/>
      <c r="GJD13" s="41"/>
      <c r="GJE13" s="41"/>
      <c r="GJF13" s="41"/>
      <c r="GJG13" s="41"/>
      <c r="GJH13" s="41"/>
      <c r="GJI13" s="41"/>
      <c r="GJJ13" s="41"/>
      <c r="GJK13" s="41"/>
      <c r="GJL13" s="41"/>
      <c r="GJM13" s="41"/>
      <c r="GJN13" s="41"/>
      <c r="GJO13" s="41"/>
      <c r="GJP13" s="41"/>
      <c r="GJQ13" s="41"/>
      <c r="GJR13" s="41"/>
      <c r="GJS13" s="41"/>
      <c r="GJT13" s="41"/>
      <c r="GJU13" s="41"/>
      <c r="GJV13" s="41"/>
      <c r="GJW13" s="41"/>
      <c r="GJX13" s="41"/>
      <c r="GJY13" s="41"/>
      <c r="GJZ13" s="41"/>
      <c r="GKA13" s="41"/>
      <c r="GKB13" s="41"/>
      <c r="GKC13" s="41"/>
      <c r="GKD13" s="41"/>
      <c r="GKE13" s="41"/>
      <c r="GKF13" s="41"/>
      <c r="GKG13" s="41"/>
      <c r="GKH13" s="41"/>
      <c r="GKI13" s="41"/>
      <c r="GKJ13" s="41"/>
      <c r="GKK13" s="41"/>
      <c r="GKL13" s="41"/>
      <c r="GKM13" s="41"/>
      <c r="GKN13" s="41"/>
      <c r="GKO13" s="41"/>
      <c r="GKP13" s="41"/>
      <c r="GKQ13" s="41"/>
      <c r="GKR13" s="41"/>
      <c r="GKS13" s="41"/>
      <c r="GKT13" s="41"/>
      <c r="GKU13" s="41"/>
      <c r="GKV13" s="41"/>
      <c r="GKW13" s="41"/>
      <c r="GKX13" s="41"/>
      <c r="GKY13" s="41"/>
      <c r="GKZ13" s="41"/>
      <c r="GLA13" s="41"/>
      <c r="GLB13" s="41"/>
      <c r="GLC13" s="41"/>
      <c r="GLD13" s="41"/>
      <c r="GLE13" s="41"/>
      <c r="GLF13" s="41"/>
      <c r="GLG13" s="41"/>
      <c r="GLH13" s="41"/>
      <c r="GLI13" s="41"/>
      <c r="GLJ13" s="41"/>
      <c r="GLK13" s="41"/>
      <c r="GLL13" s="41"/>
      <c r="GLM13" s="41"/>
      <c r="GLN13" s="41"/>
      <c r="GLO13" s="41"/>
      <c r="GLP13" s="41"/>
      <c r="GLQ13" s="41"/>
      <c r="GLR13" s="41"/>
      <c r="GLS13" s="41"/>
      <c r="GLT13" s="41"/>
      <c r="GLU13" s="41"/>
      <c r="GLV13" s="41"/>
      <c r="GLW13" s="41"/>
      <c r="GLX13" s="41"/>
      <c r="GLY13" s="41"/>
      <c r="GLZ13" s="41"/>
      <c r="GMA13" s="41"/>
      <c r="GMB13" s="41"/>
      <c r="GMC13" s="41"/>
      <c r="GMD13" s="41"/>
      <c r="GME13" s="41"/>
      <c r="GMF13" s="41"/>
      <c r="GMG13" s="41"/>
      <c r="GMH13" s="41"/>
      <c r="GMI13" s="41"/>
      <c r="GMJ13" s="41"/>
      <c r="GMK13" s="41"/>
      <c r="GML13" s="41"/>
      <c r="GMM13" s="41"/>
      <c r="GMN13" s="41"/>
      <c r="GMO13" s="41"/>
      <c r="GMP13" s="41"/>
      <c r="GMQ13" s="41"/>
      <c r="GMR13" s="41"/>
      <c r="GMS13" s="41"/>
      <c r="GMT13" s="41"/>
      <c r="GMU13" s="41"/>
      <c r="GMV13" s="41"/>
      <c r="GMW13" s="41"/>
      <c r="GMX13" s="41"/>
      <c r="GMY13" s="41"/>
      <c r="GMZ13" s="41"/>
      <c r="GNA13" s="41"/>
      <c r="GNB13" s="41"/>
      <c r="GNC13" s="41"/>
      <c r="GND13" s="41"/>
      <c r="GNE13" s="41"/>
      <c r="GNF13" s="41"/>
      <c r="GNG13" s="41"/>
      <c r="GNH13" s="41"/>
      <c r="GNI13" s="41"/>
      <c r="GNJ13" s="41"/>
      <c r="GNK13" s="41"/>
      <c r="GNL13" s="41"/>
      <c r="GNM13" s="41"/>
      <c r="GNN13" s="41"/>
      <c r="GNO13" s="41"/>
      <c r="GNP13" s="41"/>
      <c r="GNQ13" s="41"/>
      <c r="GNR13" s="41"/>
      <c r="GNS13" s="41"/>
      <c r="GNT13" s="41"/>
      <c r="GNU13" s="41"/>
      <c r="GNV13" s="41"/>
      <c r="GNW13" s="41"/>
      <c r="GNX13" s="41"/>
      <c r="GNY13" s="41"/>
      <c r="GNZ13" s="41"/>
      <c r="GOA13" s="41"/>
      <c r="GOB13" s="41"/>
      <c r="GOC13" s="41"/>
      <c r="GOD13" s="41"/>
      <c r="GOE13" s="41"/>
      <c r="GOF13" s="41"/>
      <c r="GOG13" s="41"/>
      <c r="GOH13" s="41"/>
      <c r="GOI13" s="41"/>
      <c r="GOJ13" s="41"/>
      <c r="GOK13" s="41"/>
      <c r="GOL13" s="41"/>
      <c r="GOM13" s="41"/>
      <c r="GON13" s="41"/>
      <c r="GOO13" s="41"/>
      <c r="GOP13" s="41"/>
      <c r="GOQ13" s="41"/>
      <c r="GOR13" s="41"/>
      <c r="GOS13" s="41"/>
      <c r="GOT13" s="41"/>
      <c r="GOU13" s="41"/>
      <c r="GOV13" s="41"/>
      <c r="GOW13" s="41"/>
      <c r="GOX13" s="41"/>
      <c r="GOY13" s="41"/>
      <c r="GOZ13" s="41"/>
      <c r="GPA13" s="41"/>
      <c r="GPB13" s="41"/>
      <c r="GPC13" s="41"/>
      <c r="GPD13" s="41"/>
      <c r="GPE13" s="41"/>
      <c r="GPF13" s="41"/>
      <c r="GPG13" s="41"/>
      <c r="GPH13" s="41"/>
      <c r="GPI13" s="41"/>
      <c r="GPJ13" s="41"/>
      <c r="GPK13" s="41"/>
      <c r="GPL13" s="41"/>
      <c r="GPM13" s="41"/>
      <c r="GPN13" s="41"/>
      <c r="GPO13" s="41"/>
      <c r="GPP13" s="41"/>
      <c r="GPQ13" s="41"/>
      <c r="GPR13" s="41"/>
      <c r="GPS13" s="41"/>
      <c r="GPT13" s="41"/>
      <c r="GPU13" s="41"/>
      <c r="GPV13" s="41"/>
      <c r="GPW13" s="41"/>
      <c r="GPX13" s="41"/>
      <c r="GPY13" s="41"/>
      <c r="GPZ13" s="41"/>
      <c r="GQA13" s="41"/>
      <c r="GQB13" s="41"/>
      <c r="GQC13" s="41"/>
      <c r="GQD13" s="41"/>
      <c r="GQE13" s="41"/>
      <c r="GQF13" s="41"/>
      <c r="GQG13" s="41"/>
      <c r="GQH13" s="41"/>
      <c r="GQI13" s="41"/>
      <c r="GQJ13" s="41"/>
      <c r="GQK13" s="41"/>
      <c r="GQL13" s="41"/>
      <c r="GQM13" s="41"/>
      <c r="GQN13" s="41"/>
      <c r="GQO13" s="41"/>
      <c r="GQP13" s="41"/>
      <c r="GQQ13" s="41"/>
      <c r="GQR13" s="41"/>
      <c r="GQS13" s="41"/>
      <c r="GQT13" s="41"/>
      <c r="GQU13" s="41"/>
      <c r="GQV13" s="41"/>
      <c r="GQW13" s="41"/>
      <c r="GQX13" s="41"/>
      <c r="GQY13" s="41"/>
      <c r="GQZ13" s="41"/>
      <c r="GRA13" s="41"/>
      <c r="GRB13" s="41"/>
      <c r="GRC13" s="41"/>
      <c r="GRD13" s="41"/>
      <c r="GRE13" s="41"/>
      <c r="GRF13" s="41"/>
      <c r="GRG13" s="41"/>
      <c r="GRH13" s="41"/>
      <c r="GRI13" s="41"/>
      <c r="GRJ13" s="41"/>
      <c r="GRK13" s="41"/>
      <c r="GRL13" s="41"/>
      <c r="GRM13" s="41"/>
      <c r="GRN13" s="41"/>
      <c r="GRO13" s="41"/>
      <c r="GRP13" s="41"/>
      <c r="GRQ13" s="41"/>
      <c r="GRR13" s="41"/>
      <c r="GRS13" s="41"/>
      <c r="GRT13" s="41"/>
      <c r="GRU13" s="41"/>
      <c r="GRV13" s="41"/>
      <c r="GRW13" s="41"/>
      <c r="GRX13" s="41"/>
      <c r="GRY13" s="41"/>
      <c r="GRZ13" s="41"/>
      <c r="GSA13" s="41"/>
      <c r="GSB13" s="41"/>
      <c r="GSC13" s="41"/>
      <c r="GSD13" s="41"/>
      <c r="GSE13" s="41"/>
      <c r="GSF13" s="41"/>
      <c r="GSG13" s="41"/>
      <c r="GSH13" s="41"/>
      <c r="GSI13" s="41"/>
      <c r="GSJ13" s="41"/>
      <c r="GSK13" s="41"/>
      <c r="GSL13" s="41"/>
      <c r="GSM13" s="41"/>
      <c r="GSN13" s="41"/>
      <c r="GSO13" s="41"/>
      <c r="GSP13" s="41"/>
      <c r="GSQ13" s="41"/>
      <c r="GSR13" s="41"/>
      <c r="GSS13" s="41"/>
      <c r="GST13" s="41"/>
      <c r="GSU13" s="41"/>
      <c r="GSV13" s="41"/>
      <c r="GSW13" s="41"/>
      <c r="GSX13" s="41"/>
      <c r="GSY13" s="41"/>
      <c r="GSZ13" s="41"/>
      <c r="GTA13" s="41"/>
      <c r="GTB13" s="41"/>
      <c r="GTC13" s="41"/>
      <c r="GTD13" s="41"/>
      <c r="GTE13" s="41"/>
      <c r="GTF13" s="41"/>
      <c r="GTG13" s="41"/>
      <c r="GTH13" s="41"/>
      <c r="GTI13" s="41"/>
      <c r="GTJ13" s="41"/>
      <c r="GTK13" s="41"/>
      <c r="GTL13" s="41"/>
      <c r="GTM13" s="41"/>
      <c r="GTN13" s="41"/>
      <c r="GTO13" s="41"/>
      <c r="GTP13" s="41"/>
      <c r="GTQ13" s="41"/>
      <c r="GTR13" s="41"/>
      <c r="GTS13" s="41"/>
      <c r="GTT13" s="41"/>
      <c r="GTU13" s="41"/>
      <c r="GTV13" s="41"/>
      <c r="GTW13" s="41"/>
      <c r="GTX13" s="41"/>
      <c r="GTY13" s="41"/>
      <c r="GTZ13" s="41"/>
      <c r="GUA13" s="41"/>
      <c r="GUB13" s="41"/>
      <c r="GUC13" s="41"/>
      <c r="GUD13" s="41"/>
      <c r="GUE13" s="41"/>
      <c r="GUF13" s="41"/>
      <c r="GUG13" s="41"/>
      <c r="GUH13" s="41"/>
      <c r="GUI13" s="41"/>
      <c r="GUJ13" s="41"/>
      <c r="GUK13" s="41"/>
      <c r="GUL13" s="41"/>
      <c r="GUM13" s="41"/>
      <c r="GUN13" s="41"/>
      <c r="GUO13" s="41"/>
      <c r="GUP13" s="41"/>
      <c r="GUQ13" s="41"/>
      <c r="GUR13" s="41"/>
      <c r="GUS13" s="41"/>
      <c r="GUT13" s="41"/>
      <c r="GUU13" s="41"/>
      <c r="GUV13" s="41"/>
      <c r="GUW13" s="41"/>
      <c r="GUX13" s="41"/>
      <c r="GUY13" s="41"/>
      <c r="GUZ13" s="41"/>
      <c r="GVA13" s="41"/>
      <c r="GVB13" s="41"/>
      <c r="GVC13" s="41"/>
      <c r="GVD13" s="41"/>
      <c r="GVE13" s="41"/>
      <c r="GVF13" s="41"/>
      <c r="GVG13" s="41"/>
      <c r="GVH13" s="41"/>
      <c r="GVI13" s="41"/>
      <c r="GVJ13" s="41"/>
      <c r="GVK13" s="41"/>
      <c r="GVL13" s="41"/>
      <c r="GVM13" s="41"/>
      <c r="GVN13" s="41"/>
      <c r="GVO13" s="41"/>
      <c r="GVP13" s="41"/>
      <c r="GVQ13" s="41"/>
      <c r="GVR13" s="41"/>
      <c r="GVS13" s="41"/>
      <c r="GVT13" s="41"/>
      <c r="GVU13" s="41"/>
      <c r="GVV13" s="41"/>
      <c r="GVW13" s="41"/>
      <c r="GVX13" s="41"/>
      <c r="GVY13" s="41"/>
      <c r="GVZ13" s="41"/>
      <c r="GWA13" s="41"/>
      <c r="GWB13" s="41"/>
      <c r="GWC13" s="41"/>
      <c r="GWD13" s="41"/>
      <c r="GWE13" s="41"/>
      <c r="GWF13" s="41"/>
      <c r="GWG13" s="41"/>
      <c r="GWH13" s="41"/>
      <c r="GWI13" s="41"/>
      <c r="GWJ13" s="41"/>
      <c r="GWK13" s="41"/>
      <c r="GWL13" s="41"/>
      <c r="GWM13" s="41"/>
      <c r="GWN13" s="41"/>
      <c r="GWO13" s="41"/>
      <c r="GWP13" s="41"/>
      <c r="GWQ13" s="41"/>
      <c r="GWR13" s="41"/>
      <c r="GWS13" s="41"/>
      <c r="GWT13" s="41"/>
      <c r="GWU13" s="41"/>
      <c r="GWV13" s="41"/>
      <c r="GWW13" s="41"/>
      <c r="GWX13" s="41"/>
      <c r="GWY13" s="41"/>
      <c r="GWZ13" s="41"/>
      <c r="GXA13" s="41"/>
      <c r="GXB13" s="41"/>
      <c r="GXC13" s="41"/>
      <c r="GXD13" s="41"/>
      <c r="GXE13" s="41"/>
      <c r="GXF13" s="41"/>
      <c r="GXG13" s="41"/>
      <c r="GXH13" s="41"/>
      <c r="GXI13" s="41"/>
      <c r="GXJ13" s="41"/>
      <c r="GXK13" s="41"/>
      <c r="GXL13" s="41"/>
      <c r="GXM13" s="41"/>
      <c r="GXN13" s="41"/>
      <c r="GXO13" s="41"/>
      <c r="GXP13" s="41"/>
      <c r="GXQ13" s="41"/>
      <c r="GXR13" s="41"/>
      <c r="GXS13" s="41"/>
      <c r="GXT13" s="41"/>
      <c r="GXU13" s="41"/>
      <c r="GXV13" s="41"/>
      <c r="GXW13" s="41"/>
      <c r="GXX13" s="41"/>
      <c r="GXY13" s="41"/>
      <c r="GXZ13" s="41"/>
      <c r="GYA13" s="41"/>
      <c r="GYB13" s="41"/>
      <c r="GYC13" s="41"/>
      <c r="GYD13" s="41"/>
      <c r="GYE13" s="41"/>
      <c r="GYF13" s="41"/>
      <c r="GYG13" s="41"/>
      <c r="GYH13" s="41"/>
      <c r="GYI13" s="41"/>
      <c r="GYJ13" s="41"/>
      <c r="GYK13" s="41"/>
      <c r="GYL13" s="41"/>
      <c r="GYM13" s="41"/>
      <c r="GYN13" s="41"/>
      <c r="GYO13" s="41"/>
      <c r="GYP13" s="41"/>
      <c r="GYQ13" s="41"/>
      <c r="GYR13" s="41"/>
      <c r="GYS13" s="41"/>
      <c r="GYT13" s="41"/>
      <c r="GYU13" s="41"/>
      <c r="GYV13" s="41"/>
      <c r="GYW13" s="41"/>
      <c r="GYX13" s="41"/>
      <c r="GYY13" s="41"/>
      <c r="GYZ13" s="41"/>
      <c r="GZA13" s="41"/>
      <c r="GZB13" s="41"/>
      <c r="GZC13" s="41"/>
      <c r="GZD13" s="41"/>
      <c r="GZE13" s="41"/>
      <c r="GZF13" s="41"/>
      <c r="GZG13" s="41"/>
      <c r="GZH13" s="41"/>
      <c r="GZI13" s="41"/>
      <c r="GZJ13" s="41"/>
      <c r="GZK13" s="41"/>
      <c r="GZL13" s="41"/>
      <c r="GZM13" s="41"/>
      <c r="GZN13" s="41"/>
      <c r="GZO13" s="41"/>
      <c r="GZP13" s="41"/>
      <c r="GZQ13" s="41"/>
      <c r="GZR13" s="41"/>
      <c r="GZS13" s="41"/>
      <c r="GZT13" s="41"/>
      <c r="GZU13" s="41"/>
      <c r="GZV13" s="41"/>
      <c r="GZW13" s="41"/>
      <c r="GZX13" s="41"/>
      <c r="GZY13" s="41"/>
      <c r="GZZ13" s="41"/>
      <c r="HAA13" s="41"/>
      <c r="HAB13" s="41"/>
      <c r="HAC13" s="41"/>
      <c r="HAD13" s="41"/>
      <c r="HAE13" s="41"/>
      <c r="HAF13" s="41"/>
      <c r="HAG13" s="41"/>
      <c r="HAH13" s="41"/>
      <c r="HAI13" s="41"/>
      <c r="HAJ13" s="41"/>
      <c r="HAK13" s="41"/>
      <c r="HAL13" s="41"/>
      <c r="HAM13" s="41"/>
      <c r="HAN13" s="41"/>
      <c r="HAO13" s="41"/>
      <c r="HAP13" s="41"/>
      <c r="HAQ13" s="41"/>
      <c r="HAR13" s="41"/>
      <c r="HAS13" s="41"/>
      <c r="HAT13" s="41"/>
      <c r="HAU13" s="41"/>
      <c r="HAV13" s="41"/>
      <c r="HAW13" s="41"/>
      <c r="HAX13" s="41"/>
      <c r="HAY13" s="41"/>
      <c r="HAZ13" s="41"/>
      <c r="HBA13" s="41"/>
      <c r="HBB13" s="41"/>
      <c r="HBC13" s="41"/>
      <c r="HBD13" s="41"/>
      <c r="HBE13" s="41"/>
      <c r="HBF13" s="41"/>
      <c r="HBG13" s="41"/>
      <c r="HBH13" s="41"/>
      <c r="HBI13" s="41"/>
      <c r="HBJ13" s="41"/>
      <c r="HBK13" s="41"/>
      <c r="HBL13" s="41"/>
      <c r="HBM13" s="41"/>
      <c r="HBN13" s="41"/>
      <c r="HBO13" s="41"/>
      <c r="HBP13" s="41"/>
      <c r="HBQ13" s="41"/>
      <c r="HBR13" s="41"/>
      <c r="HBS13" s="41"/>
      <c r="HBT13" s="41"/>
      <c r="HBU13" s="41"/>
      <c r="HBV13" s="41"/>
      <c r="HBW13" s="41"/>
      <c r="HBX13" s="41"/>
      <c r="HBY13" s="41"/>
      <c r="HBZ13" s="41"/>
      <c r="HCA13" s="41"/>
      <c r="HCB13" s="41"/>
      <c r="HCC13" s="41"/>
      <c r="HCD13" s="41"/>
      <c r="HCE13" s="41"/>
      <c r="HCF13" s="41"/>
      <c r="HCG13" s="41"/>
      <c r="HCH13" s="41"/>
      <c r="HCI13" s="41"/>
      <c r="HCJ13" s="41"/>
      <c r="HCK13" s="41"/>
      <c r="HCL13" s="41"/>
      <c r="HCM13" s="41"/>
      <c r="HCN13" s="41"/>
      <c r="HCO13" s="41"/>
      <c r="HCP13" s="41"/>
      <c r="HCQ13" s="41"/>
      <c r="HCR13" s="41"/>
      <c r="HCS13" s="41"/>
      <c r="HCT13" s="41"/>
      <c r="HCU13" s="41"/>
      <c r="HCV13" s="41"/>
      <c r="HCW13" s="41"/>
      <c r="HCX13" s="41"/>
      <c r="HCY13" s="41"/>
      <c r="HCZ13" s="41"/>
      <c r="HDA13" s="41"/>
      <c r="HDB13" s="41"/>
      <c r="HDC13" s="41"/>
      <c r="HDD13" s="41"/>
      <c r="HDE13" s="41"/>
      <c r="HDF13" s="41"/>
      <c r="HDG13" s="41"/>
      <c r="HDH13" s="41"/>
      <c r="HDI13" s="41"/>
      <c r="HDJ13" s="41"/>
      <c r="HDK13" s="41"/>
      <c r="HDL13" s="41"/>
      <c r="HDM13" s="41"/>
      <c r="HDN13" s="41"/>
      <c r="HDO13" s="41"/>
      <c r="HDP13" s="41"/>
      <c r="HDQ13" s="41"/>
      <c r="HDR13" s="41"/>
      <c r="HDS13" s="41"/>
      <c r="HDT13" s="41"/>
      <c r="HDU13" s="41"/>
      <c r="HDV13" s="41"/>
      <c r="HDW13" s="41"/>
      <c r="HDX13" s="41"/>
      <c r="HDY13" s="41"/>
      <c r="HDZ13" s="41"/>
      <c r="HEA13" s="41"/>
      <c r="HEB13" s="41"/>
      <c r="HEC13" s="41"/>
      <c r="HED13" s="41"/>
      <c r="HEE13" s="41"/>
      <c r="HEF13" s="41"/>
      <c r="HEG13" s="41"/>
      <c r="HEH13" s="41"/>
      <c r="HEI13" s="41"/>
      <c r="HEJ13" s="41"/>
      <c r="HEK13" s="41"/>
      <c r="HEL13" s="41"/>
      <c r="HEM13" s="41"/>
      <c r="HEN13" s="41"/>
      <c r="HEO13" s="41"/>
      <c r="HEP13" s="41"/>
      <c r="HEQ13" s="41"/>
      <c r="HER13" s="41"/>
      <c r="HES13" s="41"/>
      <c r="HET13" s="41"/>
      <c r="HEU13" s="41"/>
      <c r="HEV13" s="41"/>
      <c r="HEW13" s="41"/>
      <c r="HEX13" s="41"/>
      <c r="HEY13" s="41"/>
      <c r="HEZ13" s="41"/>
      <c r="HFA13" s="41"/>
      <c r="HFB13" s="41"/>
      <c r="HFC13" s="41"/>
      <c r="HFD13" s="41"/>
      <c r="HFE13" s="41"/>
      <c r="HFF13" s="41"/>
      <c r="HFG13" s="41"/>
      <c r="HFH13" s="41"/>
      <c r="HFI13" s="41"/>
      <c r="HFJ13" s="41"/>
      <c r="HFK13" s="41"/>
      <c r="HFL13" s="41"/>
      <c r="HFM13" s="41"/>
      <c r="HFN13" s="41"/>
      <c r="HFO13" s="41"/>
      <c r="HFP13" s="41"/>
      <c r="HFQ13" s="41"/>
      <c r="HFR13" s="41"/>
      <c r="HFS13" s="41"/>
      <c r="HFT13" s="41"/>
      <c r="HFU13" s="41"/>
      <c r="HFV13" s="41"/>
      <c r="HFW13" s="41"/>
      <c r="HFX13" s="41"/>
      <c r="HFY13" s="41"/>
      <c r="HFZ13" s="41"/>
      <c r="HGA13" s="41"/>
      <c r="HGB13" s="41"/>
      <c r="HGC13" s="41"/>
      <c r="HGD13" s="41"/>
      <c r="HGE13" s="41"/>
      <c r="HGF13" s="41"/>
      <c r="HGG13" s="41"/>
      <c r="HGH13" s="41"/>
      <c r="HGI13" s="41"/>
      <c r="HGJ13" s="41"/>
      <c r="HGK13" s="41"/>
      <c r="HGL13" s="41"/>
      <c r="HGM13" s="41"/>
      <c r="HGN13" s="41"/>
      <c r="HGO13" s="41"/>
      <c r="HGP13" s="41"/>
      <c r="HGQ13" s="41"/>
      <c r="HGR13" s="41"/>
      <c r="HGS13" s="41"/>
      <c r="HGT13" s="41"/>
      <c r="HGU13" s="41"/>
      <c r="HGV13" s="41"/>
      <c r="HGW13" s="41"/>
      <c r="HGX13" s="41"/>
      <c r="HGY13" s="41"/>
      <c r="HGZ13" s="41"/>
      <c r="HHA13" s="41"/>
      <c r="HHB13" s="41"/>
      <c r="HHC13" s="41"/>
      <c r="HHD13" s="41"/>
      <c r="HHE13" s="41"/>
      <c r="HHF13" s="41"/>
      <c r="HHG13" s="41"/>
      <c r="HHH13" s="41"/>
      <c r="HHI13" s="41"/>
      <c r="HHJ13" s="41"/>
      <c r="HHK13" s="41"/>
      <c r="HHL13" s="41"/>
      <c r="HHM13" s="41"/>
      <c r="HHN13" s="41"/>
      <c r="HHO13" s="41"/>
      <c r="HHP13" s="41"/>
      <c r="HHQ13" s="41"/>
      <c r="HHR13" s="41"/>
      <c r="HHS13" s="41"/>
      <c r="HHT13" s="41"/>
      <c r="HHU13" s="41"/>
      <c r="HHV13" s="41"/>
      <c r="HHW13" s="41"/>
      <c r="HHX13" s="41"/>
      <c r="HHY13" s="41"/>
      <c r="HHZ13" s="41"/>
      <c r="HIA13" s="41"/>
      <c r="HIB13" s="41"/>
      <c r="HIC13" s="41"/>
      <c r="HID13" s="41"/>
      <c r="HIE13" s="41"/>
      <c r="HIF13" s="41"/>
      <c r="HIG13" s="41"/>
      <c r="HIH13" s="41"/>
      <c r="HII13" s="41"/>
      <c r="HIJ13" s="41"/>
      <c r="HIK13" s="41"/>
      <c r="HIL13" s="41"/>
      <c r="HIM13" s="41"/>
      <c r="HIN13" s="41"/>
      <c r="HIO13" s="41"/>
      <c r="HIP13" s="41"/>
      <c r="HIQ13" s="41"/>
      <c r="HIR13" s="41"/>
      <c r="HIS13" s="41"/>
      <c r="HIT13" s="41"/>
      <c r="HIU13" s="41"/>
      <c r="HIV13" s="41"/>
      <c r="HIW13" s="41"/>
      <c r="HIX13" s="41"/>
      <c r="HIY13" s="41"/>
      <c r="HIZ13" s="41"/>
      <c r="HJA13" s="41"/>
      <c r="HJB13" s="41"/>
      <c r="HJC13" s="41"/>
      <c r="HJD13" s="41"/>
      <c r="HJE13" s="41"/>
      <c r="HJF13" s="41"/>
      <c r="HJG13" s="41"/>
      <c r="HJH13" s="41"/>
      <c r="HJI13" s="41"/>
      <c r="HJJ13" s="41"/>
      <c r="HJK13" s="41"/>
      <c r="HJL13" s="41"/>
      <c r="HJM13" s="41"/>
      <c r="HJN13" s="41"/>
      <c r="HJO13" s="41"/>
      <c r="HJP13" s="41"/>
      <c r="HJQ13" s="41"/>
      <c r="HJR13" s="41"/>
      <c r="HJS13" s="41"/>
      <c r="HJT13" s="41"/>
      <c r="HJU13" s="41"/>
      <c r="HJV13" s="41"/>
      <c r="HJW13" s="41"/>
      <c r="HJX13" s="41"/>
      <c r="HJY13" s="41"/>
      <c r="HJZ13" s="41"/>
      <c r="HKA13" s="41"/>
      <c r="HKB13" s="41"/>
      <c r="HKC13" s="41"/>
      <c r="HKD13" s="41"/>
      <c r="HKE13" s="41"/>
      <c r="HKF13" s="41"/>
      <c r="HKG13" s="41"/>
      <c r="HKH13" s="41"/>
      <c r="HKI13" s="41"/>
      <c r="HKJ13" s="41"/>
      <c r="HKK13" s="41"/>
      <c r="HKL13" s="41"/>
      <c r="HKM13" s="41"/>
      <c r="HKN13" s="41"/>
      <c r="HKO13" s="41"/>
      <c r="HKP13" s="41"/>
      <c r="HKQ13" s="41"/>
      <c r="HKR13" s="41"/>
      <c r="HKS13" s="41"/>
      <c r="HKT13" s="41"/>
      <c r="HKU13" s="41"/>
      <c r="HKV13" s="41"/>
      <c r="HKW13" s="41"/>
      <c r="HKX13" s="41"/>
      <c r="HKY13" s="41"/>
      <c r="HKZ13" s="41"/>
      <c r="HLA13" s="41"/>
      <c r="HLB13" s="41"/>
      <c r="HLC13" s="41"/>
      <c r="HLD13" s="41"/>
      <c r="HLE13" s="41"/>
      <c r="HLF13" s="41"/>
      <c r="HLG13" s="41"/>
      <c r="HLH13" s="41"/>
      <c r="HLI13" s="41"/>
      <c r="HLJ13" s="41"/>
      <c r="HLK13" s="41"/>
      <c r="HLL13" s="41"/>
      <c r="HLM13" s="41"/>
      <c r="HLN13" s="41"/>
      <c r="HLO13" s="41"/>
      <c r="HLP13" s="41"/>
      <c r="HLQ13" s="41"/>
      <c r="HLR13" s="41"/>
      <c r="HLS13" s="41"/>
      <c r="HLT13" s="41"/>
      <c r="HLU13" s="41"/>
      <c r="HLV13" s="41"/>
      <c r="HLW13" s="41"/>
      <c r="HLX13" s="41"/>
      <c r="HLY13" s="41"/>
      <c r="HLZ13" s="41"/>
      <c r="HMA13" s="41"/>
      <c r="HMB13" s="41"/>
      <c r="HMC13" s="41"/>
      <c r="HMD13" s="41"/>
      <c r="HME13" s="41"/>
      <c r="HMF13" s="41"/>
      <c r="HMG13" s="41"/>
      <c r="HMH13" s="41"/>
      <c r="HMI13" s="41"/>
      <c r="HMJ13" s="41"/>
      <c r="HMK13" s="41"/>
      <c r="HML13" s="41"/>
      <c r="HMM13" s="41"/>
      <c r="HMN13" s="41"/>
      <c r="HMO13" s="41"/>
      <c r="HMP13" s="41"/>
      <c r="HMQ13" s="41"/>
      <c r="HMR13" s="41"/>
      <c r="HMS13" s="41"/>
      <c r="HMT13" s="41"/>
      <c r="HMU13" s="41"/>
      <c r="HMV13" s="41"/>
      <c r="HMW13" s="41"/>
      <c r="HMX13" s="41"/>
      <c r="HMY13" s="41"/>
      <c r="HMZ13" s="41"/>
      <c r="HNA13" s="41"/>
      <c r="HNB13" s="41"/>
      <c r="HNC13" s="41"/>
      <c r="HND13" s="41"/>
      <c r="HNE13" s="41"/>
      <c r="HNF13" s="41"/>
      <c r="HNG13" s="41"/>
      <c r="HNH13" s="41"/>
      <c r="HNI13" s="41"/>
      <c r="HNJ13" s="41"/>
      <c r="HNK13" s="41"/>
      <c r="HNL13" s="41"/>
      <c r="HNM13" s="41"/>
      <c r="HNN13" s="41"/>
      <c r="HNO13" s="41"/>
      <c r="HNP13" s="41"/>
      <c r="HNQ13" s="41"/>
      <c r="HNR13" s="41"/>
      <c r="HNS13" s="41"/>
      <c r="HNT13" s="41"/>
      <c r="HNU13" s="41"/>
      <c r="HNV13" s="41"/>
      <c r="HNW13" s="41"/>
      <c r="HNX13" s="41"/>
      <c r="HNY13" s="41"/>
      <c r="HNZ13" s="41"/>
      <c r="HOA13" s="41"/>
      <c r="HOB13" s="41"/>
      <c r="HOC13" s="41"/>
      <c r="HOD13" s="41"/>
      <c r="HOE13" s="41"/>
      <c r="HOF13" s="41"/>
      <c r="HOG13" s="41"/>
      <c r="HOH13" s="41"/>
      <c r="HOI13" s="41"/>
      <c r="HOJ13" s="41"/>
      <c r="HOK13" s="41"/>
      <c r="HOL13" s="41"/>
      <c r="HOM13" s="41"/>
      <c r="HON13" s="41"/>
      <c r="HOO13" s="41"/>
      <c r="HOP13" s="41"/>
      <c r="HOQ13" s="41"/>
      <c r="HOR13" s="41"/>
      <c r="HOS13" s="41"/>
      <c r="HOT13" s="41"/>
      <c r="HOU13" s="41"/>
      <c r="HOV13" s="41"/>
      <c r="HOW13" s="41"/>
      <c r="HOX13" s="41"/>
      <c r="HOY13" s="41"/>
      <c r="HOZ13" s="41"/>
      <c r="HPA13" s="41"/>
      <c r="HPB13" s="41"/>
      <c r="HPC13" s="41"/>
      <c r="HPD13" s="41"/>
      <c r="HPE13" s="41"/>
      <c r="HPF13" s="41"/>
      <c r="HPG13" s="41"/>
      <c r="HPH13" s="41"/>
      <c r="HPI13" s="41"/>
      <c r="HPJ13" s="41"/>
      <c r="HPK13" s="41"/>
      <c r="HPL13" s="41"/>
      <c r="HPM13" s="41"/>
      <c r="HPN13" s="41"/>
      <c r="HPO13" s="41"/>
      <c r="HPP13" s="41"/>
      <c r="HPQ13" s="41"/>
      <c r="HPR13" s="41"/>
      <c r="HPS13" s="41"/>
      <c r="HPT13" s="41"/>
      <c r="HPU13" s="41"/>
      <c r="HPV13" s="41"/>
      <c r="HPW13" s="41"/>
      <c r="HPX13" s="41"/>
      <c r="HPY13" s="41"/>
      <c r="HPZ13" s="41"/>
      <c r="HQA13" s="41"/>
      <c r="HQB13" s="41"/>
      <c r="HQC13" s="41"/>
      <c r="HQD13" s="41"/>
      <c r="HQE13" s="41"/>
      <c r="HQF13" s="41"/>
      <c r="HQG13" s="41"/>
      <c r="HQH13" s="41"/>
      <c r="HQI13" s="41"/>
      <c r="HQJ13" s="41"/>
      <c r="HQK13" s="41"/>
      <c r="HQL13" s="41"/>
      <c r="HQM13" s="41"/>
      <c r="HQN13" s="41"/>
      <c r="HQO13" s="41"/>
      <c r="HQP13" s="41"/>
      <c r="HQQ13" s="41"/>
      <c r="HQR13" s="41"/>
      <c r="HQS13" s="41"/>
      <c r="HQT13" s="41"/>
      <c r="HQU13" s="41"/>
      <c r="HQV13" s="41"/>
      <c r="HQW13" s="41"/>
      <c r="HQX13" s="41"/>
      <c r="HQY13" s="41"/>
      <c r="HQZ13" s="41"/>
      <c r="HRA13" s="41"/>
      <c r="HRB13" s="41"/>
      <c r="HRC13" s="41"/>
      <c r="HRD13" s="41"/>
      <c r="HRE13" s="41"/>
      <c r="HRF13" s="41"/>
      <c r="HRG13" s="41"/>
      <c r="HRH13" s="41"/>
      <c r="HRI13" s="41"/>
      <c r="HRJ13" s="41"/>
      <c r="HRK13" s="41"/>
      <c r="HRL13" s="41"/>
      <c r="HRM13" s="41"/>
      <c r="HRN13" s="41"/>
      <c r="HRO13" s="41"/>
      <c r="HRP13" s="41"/>
      <c r="HRQ13" s="41"/>
      <c r="HRR13" s="41"/>
      <c r="HRS13" s="41"/>
      <c r="HRT13" s="41"/>
      <c r="HRU13" s="41"/>
      <c r="HRV13" s="41"/>
      <c r="HRW13" s="41"/>
      <c r="HRX13" s="41"/>
      <c r="HRY13" s="41"/>
      <c r="HRZ13" s="41"/>
      <c r="HSA13" s="41"/>
      <c r="HSB13" s="41"/>
      <c r="HSC13" s="41"/>
      <c r="HSD13" s="41"/>
      <c r="HSE13" s="41"/>
      <c r="HSF13" s="41"/>
      <c r="HSG13" s="41"/>
      <c r="HSH13" s="41"/>
      <c r="HSI13" s="41"/>
      <c r="HSJ13" s="41"/>
      <c r="HSK13" s="41"/>
      <c r="HSL13" s="41"/>
      <c r="HSM13" s="41"/>
      <c r="HSN13" s="41"/>
      <c r="HSO13" s="41"/>
      <c r="HSP13" s="41"/>
      <c r="HSQ13" s="41"/>
      <c r="HSR13" s="41"/>
      <c r="HSS13" s="41"/>
      <c r="HST13" s="41"/>
      <c r="HSU13" s="41"/>
      <c r="HSV13" s="41"/>
      <c r="HSW13" s="41"/>
      <c r="HSX13" s="41"/>
      <c r="HSY13" s="41"/>
      <c r="HSZ13" s="41"/>
      <c r="HTA13" s="41"/>
      <c r="HTB13" s="41"/>
      <c r="HTC13" s="41"/>
      <c r="HTD13" s="41"/>
      <c r="HTE13" s="41"/>
      <c r="HTF13" s="41"/>
      <c r="HTG13" s="41"/>
      <c r="HTH13" s="41"/>
      <c r="HTI13" s="41"/>
      <c r="HTJ13" s="41"/>
      <c r="HTK13" s="41"/>
      <c r="HTL13" s="41"/>
      <c r="HTM13" s="41"/>
      <c r="HTN13" s="41"/>
      <c r="HTO13" s="41"/>
      <c r="HTP13" s="41"/>
      <c r="HTQ13" s="41"/>
      <c r="HTR13" s="41"/>
      <c r="HTS13" s="41"/>
      <c r="HTT13" s="41"/>
      <c r="HTU13" s="41"/>
      <c r="HTV13" s="41"/>
      <c r="HTW13" s="41"/>
      <c r="HTX13" s="41"/>
      <c r="HTY13" s="41"/>
      <c r="HTZ13" s="41"/>
      <c r="HUA13" s="41"/>
      <c r="HUB13" s="41"/>
      <c r="HUC13" s="41"/>
      <c r="HUD13" s="41"/>
      <c r="HUE13" s="41"/>
      <c r="HUF13" s="41"/>
      <c r="HUG13" s="41"/>
      <c r="HUH13" s="41"/>
      <c r="HUI13" s="41"/>
      <c r="HUJ13" s="41"/>
      <c r="HUK13" s="41"/>
      <c r="HUL13" s="41"/>
      <c r="HUM13" s="41"/>
      <c r="HUN13" s="41"/>
      <c r="HUO13" s="41"/>
      <c r="HUP13" s="41"/>
      <c r="HUQ13" s="41"/>
      <c r="HUR13" s="41"/>
      <c r="HUS13" s="41"/>
      <c r="HUT13" s="41"/>
      <c r="HUU13" s="41"/>
      <c r="HUV13" s="41"/>
      <c r="HUW13" s="41"/>
      <c r="HUX13" s="41"/>
      <c r="HUY13" s="41"/>
      <c r="HUZ13" s="41"/>
      <c r="HVA13" s="41"/>
      <c r="HVB13" s="41"/>
      <c r="HVC13" s="41"/>
      <c r="HVD13" s="41"/>
      <c r="HVE13" s="41"/>
      <c r="HVF13" s="41"/>
      <c r="HVG13" s="41"/>
      <c r="HVH13" s="41"/>
      <c r="HVI13" s="41"/>
      <c r="HVJ13" s="41"/>
      <c r="HVK13" s="41"/>
      <c r="HVL13" s="41"/>
      <c r="HVM13" s="41"/>
      <c r="HVN13" s="41"/>
      <c r="HVO13" s="41"/>
      <c r="HVP13" s="41"/>
      <c r="HVQ13" s="41"/>
      <c r="HVR13" s="41"/>
      <c r="HVS13" s="41"/>
      <c r="HVT13" s="41"/>
      <c r="HVU13" s="41"/>
      <c r="HVV13" s="41"/>
      <c r="HVW13" s="41"/>
      <c r="HVX13" s="41"/>
      <c r="HVY13" s="41"/>
      <c r="HVZ13" s="41"/>
      <c r="HWA13" s="41"/>
      <c r="HWB13" s="41"/>
      <c r="HWC13" s="41"/>
      <c r="HWD13" s="41"/>
      <c r="HWE13" s="41"/>
      <c r="HWF13" s="41"/>
      <c r="HWG13" s="41"/>
      <c r="HWH13" s="41"/>
      <c r="HWI13" s="41"/>
      <c r="HWJ13" s="41"/>
      <c r="HWK13" s="41"/>
      <c r="HWL13" s="41"/>
      <c r="HWM13" s="41"/>
      <c r="HWN13" s="41"/>
      <c r="HWO13" s="41"/>
      <c r="HWP13" s="41"/>
      <c r="HWQ13" s="41"/>
      <c r="HWR13" s="41"/>
      <c r="HWS13" s="41"/>
      <c r="HWT13" s="41"/>
      <c r="HWU13" s="41"/>
      <c r="HWV13" s="41"/>
      <c r="HWW13" s="41"/>
      <c r="HWX13" s="41"/>
      <c r="HWY13" s="41"/>
      <c r="HWZ13" s="41"/>
      <c r="HXA13" s="41"/>
      <c r="HXB13" s="41"/>
      <c r="HXC13" s="41"/>
      <c r="HXD13" s="41"/>
      <c r="HXE13" s="41"/>
      <c r="HXF13" s="41"/>
      <c r="HXG13" s="41"/>
      <c r="HXH13" s="41"/>
      <c r="HXI13" s="41"/>
      <c r="HXJ13" s="41"/>
      <c r="HXK13" s="41"/>
      <c r="HXL13" s="41"/>
      <c r="HXM13" s="41"/>
      <c r="HXN13" s="41"/>
      <c r="HXO13" s="41"/>
      <c r="HXP13" s="41"/>
      <c r="HXQ13" s="41"/>
      <c r="HXR13" s="41"/>
      <c r="HXS13" s="41"/>
      <c r="HXT13" s="41"/>
      <c r="HXU13" s="41"/>
      <c r="HXV13" s="41"/>
      <c r="HXW13" s="41"/>
      <c r="HXX13" s="41"/>
      <c r="HXY13" s="41"/>
      <c r="HXZ13" s="41"/>
      <c r="HYA13" s="41"/>
      <c r="HYB13" s="41"/>
      <c r="HYC13" s="41"/>
      <c r="HYD13" s="41"/>
      <c r="HYE13" s="41"/>
      <c r="HYF13" s="41"/>
      <c r="HYG13" s="41"/>
      <c r="HYH13" s="41"/>
      <c r="HYI13" s="41"/>
      <c r="HYJ13" s="41"/>
      <c r="HYK13" s="41"/>
      <c r="HYL13" s="41"/>
      <c r="HYM13" s="41"/>
      <c r="HYN13" s="41"/>
      <c r="HYO13" s="41"/>
      <c r="HYP13" s="41"/>
      <c r="HYQ13" s="41"/>
      <c r="HYR13" s="41"/>
      <c r="HYS13" s="41"/>
      <c r="HYT13" s="41"/>
      <c r="HYU13" s="41"/>
      <c r="HYV13" s="41"/>
      <c r="HYW13" s="41"/>
      <c r="HYX13" s="41"/>
      <c r="HYY13" s="41"/>
      <c r="HYZ13" s="41"/>
      <c r="HZA13" s="41"/>
      <c r="HZB13" s="41"/>
      <c r="HZC13" s="41"/>
      <c r="HZD13" s="41"/>
      <c r="HZE13" s="41"/>
      <c r="HZF13" s="41"/>
      <c r="HZG13" s="41"/>
      <c r="HZH13" s="41"/>
      <c r="HZI13" s="41"/>
      <c r="HZJ13" s="41"/>
      <c r="HZK13" s="41"/>
      <c r="HZL13" s="41"/>
      <c r="HZM13" s="41"/>
      <c r="HZN13" s="41"/>
      <c r="HZO13" s="41"/>
      <c r="HZP13" s="41"/>
      <c r="HZQ13" s="41"/>
      <c r="HZR13" s="41"/>
      <c r="HZS13" s="41"/>
      <c r="HZT13" s="41"/>
      <c r="HZU13" s="41"/>
      <c r="HZV13" s="41"/>
      <c r="HZW13" s="41"/>
      <c r="HZX13" s="41"/>
      <c r="HZY13" s="41"/>
      <c r="HZZ13" s="41"/>
      <c r="IAA13" s="41"/>
      <c r="IAB13" s="41"/>
      <c r="IAC13" s="41"/>
      <c r="IAD13" s="41"/>
      <c r="IAE13" s="41"/>
      <c r="IAF13" s="41"/>
      <c r="IAG13" s="41"/>
      <c r="IAH13" s="41"/>
      <c r="IAI13" s="41"/>
      <c r="IAJ13" s="41"/>
      <c r="IAK13" s="41"/>
      <c r="IAL13" s="41"/>
      <c r="IAM13" s="41"/>
      <c r="IAN13" s="41"/>
      <c r="IAO13" s="41"/>
      <c r="IAP13" s="41"/>
      <c r="IAQ13" s="41"/>
      <c r="IAR13" s="41"/>
      <c r="IAS13" s="41"/>
      <c r="IAT13" s="41"/>
      <c r="IAU13" s="41"/>
      <c r="IAV13" s="41"/>
      <c r="IAW13" s="41"/>
      <c r="IAX13" s="41"/>
      <c r="IAY13" s="41"/>
      <c r="IAZ13" s="41"/>
      <c r="IBA13" s="41"/>
      <c r="IBB13" s="41"/>
      <c r="IBC13" s="41"/>
      <c r="IBD13" s="41"/>
      <c r="IBE13" s="41"/>
      <c r="IBF13" s="41"/>
      <c r="IBG13" s="41"/>
      <c r="IBH13" s="41"/>
      <c r="IBI13" s="41"/>
      <c r="IBJ13" s="41"/>
      <c r="IBK13" s="41"/>
      <c r="IBL13" s="41"/>
      <c r="IBM13" s="41"/>
      <c r="IBN13" s="41"/>
      <c r="IBO13" s="41"/>
      <c r="IBP13" s="41"/>
      <c r="IBQ13" s="41"/>
      <c r="IBR13" s="41"/>
      <c r="IBS13" s="41"/>
      <c r="IBT13" s="41"/>
      <c r="IBU13" s="41"/>
      <c r="IBV13" s="41"/>
      <c r="IBW13" s="41"/>
      <c r="IBX13" s="41"/>
      <c r="IBY13" s="41"/>
      <c r="IBZ13" s="41"/>
      <c r="ICA13" s="41"/>
      <c r="ICB13" s="41"/>
      <c r="ICC13" s="41"/>
      <c r="ICD13" s="41"/>
      <c r="ICE13" s="41"/>
      <c r="ICF13" s="41"/>
      <c r="ICG13" s="41"/>
      <c r="ICH13" s="41"/>
      <c r="ICI13" s="41"/>
      <c r="ICJ13" s="41"/>
      <c r="ICK13" s="41"/>
      <c r="ICL13" s="41"/>
      <c r="ICM13" s="41"/>
      <c r="ICN13" s="41"/>
      <c r="ICO13" s="41"/>
      <c r="ICP13" s="41"/>
      <c r="ICQ13" s="41"/>
      <c r="ICR13" s="41"/>
      <c r="ICS13" s="41"/>
      <c r="ICT13" s="41"/>
      <c r="ICU13" s="41"/>
      <c r="ICV13" s="41"/>
      <c r="ICW13" s="41"/>
      <c r="ICX13" s="41"/>
      <c r="ICY13" s="41"/>
      <c r="ICZ13" s="41"/>
      <c r="IDA13" s="41"/>
      <c r="IDB13" s="41"/>
      <c r="IDC13" s="41"/>
      <c r="IDD13" s="41"/>
      <c r="IDE13" s="41"/>
      <c r="IDF13" s="41"/>
      <c r="IDG13" s="41"/>
      <c r="IDH13" s="41"/>
      <c r="IDI13" s="41"/>
      <c r="IDJ13" s="41"/>
      <c r="IDK13" s="41"/>
      <c r="IDL13" s="41"/>
      <c r="IDM13" s="41"/>
      <c r="IDN13" s="41"/>
      <c r="IDO13" s="41"/>
      <c r="IDP13" s="41"/>
      <c r="IDQ13" s="41"/>
      <c r="IDR13" s="41"/>
      <c r="IDS13" s="41"/>
      <c r="IDT13" s="41"/>
      <c r="IDU13" s="41"/>
      <c r="IDV13" s="41"/>
      <c r="IDW13" s="41"/>
      <c r="IDX13" s="41"/>
      <c r="IDY13" s="41"/>
      <c r="IDZ13" s="41"/>
      <c r="IEA13" s="41"/>
      <c r="IEB13" s="41"/>
      <c r="IEC13" s="41"/>
      <c r="IED13" s="41"/>
      <c r="IEE13" s="41"/>
      <c r="IEF13" s="41"/>
      <c r="IEG13" s="41"/>
      <c r="IEH13" s="41"/>
      <c r="IEI13" s="41"/>
      <c r="IEJ13" s="41"/>
      <c r="IEK13" s="41"/>
      <c r="IEL13" s="41"/>
      <c r="IEM13" s="41"/>
      <c r="IEN13" s="41"/>
      <c r="IEO13" s="41"/>
      <c r="IEP13" s="41"/>
      <c r="IEQ13" s="41"/>
      <c r="IER13" s="41"/>
      <c r="IES13" s="41"/>
      <c r="IET13" s="41"/>
      <c r="IEU13" s="41"/>
      <c r="IEV13" s="41"/>
      <c r="IEW13" s="41"/>
      <c r="IEX13" s="41"/>
      <c r="IEY13" s="41"/>
      <c r="IEZ13" s="41"/>
      <c r="IFA13" s="41"/>
      <c r="IFB13" s="41"/>
      <c r="IFC13" s="41"/>
      <c r="IFD13" s="41"/>
      <c r="IFE13" s="41"/>
      <c r="IFF13" s="41"/>
      <c r="IFG13" s="41"/>
      <c r="IFH13" s="41"/>
      <c r="IFI13" s="41"/>
      <c r="IFJ13" s="41"/>
      <c r="IFK13" s="41"/>
      <c r="IFL13" s="41"/>
      <c r="IFM13" s="41"/>
      <c r="IFN13" s="41"/>
      <c r="IFO13" s="41"/>
      <c r="IFP13" s="41"/>
      <c r="IFQ13" s="41"/>
      <c r="IFR13" s="41"/>
      <c r="IFS13" s="41"/>
      <c r="IFT13" s="41"/>
      <c r="IFU13" s="41"/>
      <c r="IFV13" s="41"/>
      <c r="IFW13" s="41"/>
      <c r="IFX13" s="41"/>
      <c r="IFY13" s="41"/>
      <c r="IFZ13" s="41"/>
      <c r="IGA13" s="41"/>
      <c r="IGB13" s="41"/>
      <c r="IGC13" s="41"/>
      <c r="IGD13" s="41"/>
      <c r="IGE13" s="41"/>
      <c r="IGF13" s="41"/>
      <c r="IGG13" s="41"/>
      <c r="IGH13" s="41"/>
      <c r="IGI13" s="41"/>
      <c r="IGJ13" s="41"/>
      <c r="IGK13" s="41"/>
      <c r="IGL13" s="41"/>
      <c r="IGM13" s="41"/>
      <c r="IGN13" s="41"/>
      <c r="IGO13" s="41"/>
      <c r="IGP13" s="41"/>
      <c r="IGQ13" s="41"/>
      <c r="IGR13" s="41"/>
      <c r="IGS13" s="41"/>
      <c r="IGT13" s="41"/>
      <c r="IGU13" s="41"/>
      <c r="IGV13" s="41"/>
      <c r="IGW13" s="41"/>
      <c r="IGX13" s="41"/>
      <c r="IGY13" s="41"/>
      <c r="IGZ13" s="41"/>
      <c r="IHA13" s="41"/>
      <c r="IHB13" s="41"/>
      <c r="IHC13" s="41"/>
      <c r="IHD13" s="41"/>
      <c r="IHE13" s="41"/>
      <c r="IHF13" s="41"/>
      <c r="IHG13" s="41"/>
      <c r="IHH13" s="41"/>
      <c r="IHI13" s="41"/>
      <c r="IHJ13" s="41"/>
      <c r="IHK13" s="41"/>
      <c r="IHL13" s="41"/>
      <c r="IHM13" s="41"/>
      <c r="IHN13" s="41"/>
      <c r="IHO13" s="41"/>
      <c r="IHP13" s="41"/>
      <c r="IHQ13" s="41"/>
      <c r="IHR13" s="41"/>
      <c r="IHS13" s="41"/>
      <c r="IHT13" s="41"/>
      <c r="IHU13" s="41"/>
      <c r="IHV13" s="41"/>
      <c r="IHW13" s="41"/>
      <c r="IHX13" s="41"/>
      <c r="IHY13" s="41"/>
      <c r="IHZ13" s="41"/>
      <c r="IIA13" s="41"/>
      <c r="IIB13" s="41"/>
      <c r="IIC13" s="41"/>
      <c r="IID13" s="41"/>
      <c r="IIE13" s="41"/>
      <c r="IIF13" s="41"/>
      <c r="IIG13" s="41"/>
      <c r="IIH13" s="41"/>
      <c r="III13" s="41"/>
      <c r="IIJ13" s="41"/>
      <c r="IIK13" s="41"/>
      <c r="IIL13" s="41"/>
      <c r="IIM13" s="41"/>
      <c r="IIN13" s="41"/>
      <c r="IIO13" s="41"/>
      <c r="IIP13" s="41"/>
      <c r="IIQ13" s="41"/>
      <c r="IIR13" s="41"/>
      <c r="IIS13" s="41"/>
      <c r="IIT13" s="41"/>
      <c r="IIU13" s="41"/>
      <c r="IIV13" s="41"/>
      <c r="IIW13" s="41"/>
      <c r="IIX13" s="41"/>
      <c r="IIY13" s="41"/>
      <c r="IIZ13" s="41"/>
      <c r="IJA13" s="41"/>
      <c r="IJB13" s="41"/>
      <c r="IJC13" s="41"/>
      <c r="IJD13" s="41"/>
      <c r="IJE13" s="41"/>
      <c r="IJF13" s="41"/>
      <c r="IJG13" s="41"/>
      <c r="IJH13" s="41"/>
      <c r="IJI13" s="41"/>
      <c r="IJJ13" s="41"/>
      <c r="IJK13" s="41"/>
      <c r="IJL13" s="41"/>
      <c r="IJM13" s="41"/>
      <c r="IJN13" s="41"/>
      <c r="IJO13" s="41"/>
      <c r="IJP13" s="41"/>
      <c r="IJQ13" s="41"/>
      <c r="IJR13" s="41"/>
      <c r="IJS13" s="41"/>
      <c r="IJT13" s="41"/>
      <c r="IJU13" s="41"/>
      <c r="IJV13" s="41"/>
      <c r="IJW13" s="41"/>
      <c r="IJX13" s="41"/>
      <c r="IJY13" s="41"/>
      <c r="IJZ13" s="41"/>
      <c r="IKA13" s="41"/>
      <c r="IKB13" s="41"/>
      <c r="IKC13" s="41"/>
      <c r="IKD13" s="41"/>
      <c r="IKE13" s="41"/>
      <c r="IKF13" s="41"/>
      <c r="IKG13" s="41"/>
      <c r="IKH13" s="41"/>
      <c r="IKI13" s="41"/>
      <c r="IKJ13" s="41"/>
      <c r="IKK13" s="41"/>
      <c r="IKL13" s="41"/>
      <c r="IKM13" s="41"/>
      <c r="IKN13" s="41"/>
      <c r="IKO13" s="41"/>
      <c r="IKP13" s="41"/>
      <c r="IKQ13" s="41"/>
      <c r="IKR13" s="41"/>
      <c r="IKS13" s="41"/>
      <c r="IKT13" s="41"/>
      <c r="IKU13" s="41"/>
      <c r="IKV13" s="41"/>
      <c r="IKW13" s="41"/>
      <c r="IKX13" s="41"/>
      <c r="IKY13" s="41"/>
      <c r="IKZ13" s="41"/>
      <c r="ILA13" s="41"/>
      <c r="ILB13" s="41"/>
      <c r="ILC13" s="41"/>
      <c r="ILD13" s="41"/>
      <c r="ILE13" s="41"/>
      <c r="ILF13" s="41"/>
      <c r="ILG13" s="41"/>
      <c r="ILH13" s="41"/>
      <c r="ILI13" s="41"/>
      <c r="ILJ13" s="41"/>
      <c r="ILK13" s="41"/>
      <c r="ILL13" s="41"/>
      <c r="ILM13" s="41"/>
      <c r="ILN13" s="41"/>
      <c r="ILO13" s="41"/>
      <c r="ILP13" s="41"/>
      <c r="ILQ13" s="41"/>
      <c r="ILR13" s="41"/>
      <c r="ILS13" s="41"/>
      <c r="ILT13" s="41"/>
      <c r="ILU13" s="41"/>
      <c r="ILV13" s="41"/>
      <c r="ILW13" s="41"/>
      <c r="ILX13" s="41"/>
      <c r="ILY13" s="41"/>
      <c r="ILZ13" s="41"/>
      <c r="IMA13" s="41"/>
      <c r="IMB13" s="41"/>
      <c r="IMC13" s="41"/>
      <c r="IMD13" s="41"/>
      <c r="IME13" s="41"/>
      <c r="IMF13" s="41"/>
      <c r="IMG13" s="41"/>
      <c r="IMH13" s="41"/>
      <c r="IMI13" s="41"/>
      <c r="IMJ13" s="41"/>
      <c r="IMK13" s="41"/>
      <c r="IML13" s="41"/>
      <c r="IMM13" s="41"/>
      <c r="IMN13" s="41"/>
      <c r="IMO13" s="41"/>
      <c r="IMP13" s="41"/>
      <c r="IMQ13" s="41"/>
      <c r="IMR13" s="41"/>
      <c r="IMS13" s="41"/>
      <c r="IMT13" s="41"/>
      <c r="IMU13" s="41"/>
      <c r="IMV13" s="41"/>
      <c r="IMW13" s="41"/>
      <c r="IMX13" s="41"/>
      <c r="IMY13" s="41"/>
      <c r="IMZ13" s="41"/>
      <c r="INA13" s="41"/>
      <c r="INB13" s="41"/>
      <c r="INC13" s="41"/>
      <c r="IND13" s="41"/>
      <c r="INE13" s="41"/>
      <c r="INF13" s="41"/>
      <c r="ING13" s="41"/>
      <c r="INH13" s="41"/>
      <c r="INI13" s="41"/>
      <c r="INJ13" s="41"/>
      <c r="INK13" s="41"/>
      <c r="INL13" s="41"/>
      <c r="INM13" s="41"/>
      <c r="INN13" s="41"/>
      <c r="INO13" s="41"/>
      <c r="INP13" s="41"/>
      <c r="INQ13" s="41"/>
      <c r="INR13" s="41"/>
      <c r="INS13" s="41"/>
      <c r="INT13" s="41"/>
      <c r="INU13" s="41"/>
      <c r="INV13" s="41"/>
      <c r="INW13" s="41"/>
      <c r="INX13" s="41"/>
      <c r="INY13" s="41"/>
      <c r="INZ13" s="41"/>
      <c r="IOA13" s="41"/>
      <c r="IOB13" s="41"/>
      <c r="IOC13" s="41"/>
      <c r="IOD13" s="41"/>
      <c r="IOE13" s="41"/>
      <c r="IOF13" s="41"/>
      <c r="IOG13" s="41"/>
      <c r="IOH13" s="41"/>
      <c r="IOI13" s="41"/>
      <c r="IOJ13" s="41"/>
      <c r="IOK13" s="41"/>
      <c r="IOL13" s="41"/>
      <c r="IOM13" s="41"/>
      <c r="ION13" s="41"/>
      <c r="IOO13" s="41"/>
      <c r="IOP13" s="41"/>
      <c r="IOQ13" s="41"/>
      <c r="IOR13" s="41"/>
      <c r="IOS13" s="41"/>
      <c r="IOT13" s="41"/>
      <c r="IOU13" s="41"/>
      <c r="IOV13" s="41"/>
      <c r="IOW13" s="41"/>
      <c r="IOX13" s="41"/>
      <c r="IOY13" s="41"/>
      <c r="IOZ13" s="41"/>
      <c r="IPA13" s="41"/>
      <c r="IPB13" s="41"/>
      <c r="IPC13" s="41"/>
      <c r="IPD13" s="41"/>
      <c r="IPE13" s="41"/>
      <c r="IPF13" s="41"/>
      <c r="IPG13" s="41"/>
      <c r="IPH13" s="41"/>
      <c r="IPI13" s="41"/>
      <c r="IPJ13" s="41"/>
      <c r="IPK13" s="41"/>
      <c r="IPL13" s="41"/>
      <c r="IPM13" s="41"/>
      <c r="IPN13" s="41"/>
      <c r="IPO13" s="41"/>
      <c r="IPP13" s="41"/>
      <c r="IPQ13" s="41"/>
      <c r="IPR13" s="41"/>
      <c r="IPS13" s="41"/>
      <c r="IPT13" s="41"/>
      <c r="IPU13" s="41"/>
      <c r="IPV13" s="41"/>
      <c r="IPW13" s="41"/>
      <c r="IPX13" s="41"/>
      <c r="IPY13" s="41"/>
      <c r="IPZ13" s="41"/>
      <c r="IQA13" s="41"/>
      <c r="IQB13" s="41"/>
      <c r="IQC13" s="41"/>
      <c r="IQD13" s="41"/>
      <c r="IQE13" s="41"/>
      <c r="IQF13" s="41"/>
      <c r="IQG13" s="41"/>
      <c r="IQH13" s="41"/>
      <c r="IQI13" s="41"/>
      <c r="IQJ13" s="41"/>
      <c r="IQK13" s="41"/>
      <c r="IQL13" s="41"/>
      <c r="IQM13" s="41"/>
      <c r="IQN13" s="41"/>
      <c r="IQO13" s="41"/>
      <c r="IQP13" s="41"/>
      <c r="IQQ13" s="41"/>
      <c r="IQR13" s="41"/>
      <c r="IQS13" s="41"/>
      <c r="IQT13" s="41"/>
      <c r="IQU13" s="41"/>
      <c r="IQV13" s="41"/>
      <c r="IQW13" s="41"/>
      <c r="IQX13" s="41"/>
      <c r="IQY13" s="41"/>
      <c r="IQZ13" s="41"/>
      <c r="IRA13" s="41"/>
      <c r="IRB13" s="41"/>
      <c r="IRC13" s="41"/>
      <c r="IRD13" s="41"/>
      <c r="IRE13" s="41"/>
      <c r="IRF13" s="41"/>
      <c r="IRG13" s="41"/>
      <c r="IRH13" s="41"/>
      <c r="IRI13" s="41"/>
      <c r="IRJ13" s="41"/>
      <c r="IRK13" s="41"/>
      <c r="IRL13" s="41"/>
      <c r="IRM13" s="41"/>
      <c r="IRN13" s="41"/>
      <c r="IRO13" s="41"/>
      <c r="IRP13" s="41"/>
      <c r="IRQ13" s="41"/>
      <c r="IRR13" s="41"/>
      <c r="IRS13" s="41"/>
      <c r="IRT13" s="41"/>
      <c r="IRU13" s="41"/>
      <c r="IRV13" s="41"/>
      <c r="IRW13" s="41"/>
      <c r="IRX13" s="41"/>
      <c r="IRY13" s="41"/>
      <c r="IRZ13" s="41"/>
      <c r="ISA13" s="41"/>
      <c r="ISB13" s="41"/>
      <c r="ISC13" s="41"/>
      <c r="ISD13" s="41"/>
      <c r="ISE13" s="41"/>
      <c r="ISF13" s="41"/>
      <c r="ISG13" s="41"/>
      <c r="ISH13" s="41"/>
      <c r="ISI13" s="41"/>
      <c r="ISJ13" s="41"/>
      <c r="ISK13" s="41"/>
      <c r="ISL13" s="41"/>
      <c r="ISM13" s="41"/>
      <c r="ISN13" s="41"/>
      <c r="ISO13" s="41"/>
      <c r="ISP13" s="41"/>
      <c r="ISQ13" s="41"/>
      <c r="ISR13" s="41"/>
      <c r="ISS13" s="41"/>
      <c r="IST13" s="41"/>
      <c r="ISU13" s="41"/>
      <c r="ISV13" s="41"/>
      <c r="ISW13" s="41"/>
      <c r="ISX13" s="41"/>
      <c r="ISY13" s="41"/>
      <c r="ISZ13" s="41"/>
      <c r="ITA13" s="41"/>
      <c r="ITB13" s="41"/>
      <c r="ITC13" s="41"/>
      <c r="ITD13" s="41"/>
      <c r="ITE13" s="41"/>
      <c r="ITF13" s="41"/>
      <c r="ITG13" s="41"/>
      <c r="ITH13" s="41"/>
      <c r="ITI13" s="41"/>
      <c r="ITJ13" s="41"/>
      <c r="ITK13" s="41"/>
      <c r="ITL13" s="41"/>
      <c r="ITM13" s="41"/>
      <c r="ITN13" s="41"/>
      <c r="ITO13" s="41"/>
      <c r="ITP13" s="41"/>
      <c r="ITQ13" s="41"/>
      <c r="ITR13" s="41"/>
      <c r="ITS13" s="41"/>
      <c r="ITT13" s="41"/>
      <c r="ITU13" s="41"/>
      <c r="ITV13" s="41"/>
      <c r="ITW13" s="41"/>
      <c r="ITX13" s="41"/>
      <c r="ITY13" s="41"/>
      <c r="ITZ13" s="41"/>
      <c r="IUA13" s="41"/>
      <c r="IUB13" s="41"/>
      <c r="IUC13" s="41"/>
      <c r="IUD13" s="41"/>
      <c r="IUE13" s="41"/>
      <c r="IUF13" s="41"/>
      <c r="IUG13" s="41"/>
      <c r="IUH13" s="41"/>
      <c r="IUI13" s="41"/>
      <c r="IUJ13" s="41"/>
      <c r="IUK13" s="41"/>
      <c r="IUL13" s="41"/>
      <c r="IUM13" s="41"/>
      <c r="IUN13" s="41"/>
      <c r="IUO13" s="41"/>
      <c r="IUP13" s="41"/>
      <c r="IUQ13" s="41"/>
      <c r="IUR13" s="41"/>
      <c r="IUS13" s="41"/>
      <c r="IUT13" s="41"/>
      <c r="IUU13" s="41"/>
      <c r="IUV13" s="41"/>
      <c r="IUW13" s="41"/>
      <c r="IUX13" s="41"/>
      <c r="IUY13" s="41"/>
      <c r="IUZ13" s="41"/>
      <c r="IVA13" s="41"/>
      <c r="IVB13" s="41"/>
      <c r="IVC13" s="41"/>
      <c r="IVD13" s="41"/>
      <c r="IVE13" s="41"/>
      <c r="IVF13" s="41"/>
      <c r="IVG13" s="41"/>
      <c r="IVH13" s="41"/>
      <c r="IVI13" s="41"/>
      <c r="IVJ13" s="41"/>
      <c r="IVK13" s="41"/>
      <c r="IVL13" s="41"/>
      <c r="IVM13" s="41"/>
      <c r="IVN13" s="41"/>
      <c r="IVO13" s="41"/>
      <c r="IVP13" s="41"/>
      <c r="IVQ13" s="41"/>
      <c r="IVR13" s="41"/>
      <c r="IVS13" s="41"/>
      <c r="IVT13" s="41"/>
      <c r="IVU13" s="41"/>
      <c r="IVV13" s="41"/>
      <c r="IVW13" s="41"/>
      <c r="IVX13" s="41"/>
      <c r="IVY13" s="41"/>
      <c r="IVZ13" s="41"/>
      <c r="IWA13" s="41"/>
      <c r="IWB13" s="41"/>
      <c r="IWC13" s="41"/>
      <c r="IWD13" s="41"/>
      <c r="IWE13" s="41"/>
      <c r="IWF13" s="41"/>
      <c r="IWG13" s="41"/>
      <c r="IWH13" s="41"/>
      <c r="IWI13" s="41"/>
      <c r="IWJ13" s="41"/>
      <c r="IWK13" s="41"/>
      <c r="IWL13" s="41"/>
      <c r="IWM13" s="41"/>
      <c r="IWN13" s="41"/>
      <c r="IWO13" s="41"/>
      <c r="IWP13" s="41"/>
      <c r="IWQ13" s="41"/>
      <c r="IWR13" s="41"/>
      <c r="IWS13" s="41"/>
      <c r="IWT13" s="41"/>
      <c r="IWU13" s="41"/>
      <c r="IWV13" s="41"/>
      <c r="IWW13" s="41"/>
      <c r="IWX13" s="41"/>
      <c r="IWY13" s="41"/>
      <c r="IWZ13" s="41"/>
      <c r="IXA13" s="41"/>
      <c r="IXB13" s="41"/>
      <c r="IXC13" s="41"/>
      <c r="IXD13" s="41"/>
      <c r="IXE13" s="41"/>
      <c r="IXF13" s="41"/>
      <c r="IXG13" s="41"/>
      <c r="IXH13" s="41"/>
      <c r="IXI13" s="41"/>
      <c r="IXJ13" s="41"/>
      <c r="IXK13" s="41"/>
      <c r="IXL13" s="41"/>
      <c r="IXM13" s="41"/>
      <c r="IXN13" s="41"/>
      <c r="IXO13" s="41"/>
      <c r="IXP13" s="41"/>
      <c r="IXQ13" s="41"/>
      <c r="IXR13" s="41"/>
      <c r="IXS13" s="41"/>
      <c r="IXT13" s="41"/>
      <c r="IXU13" s="41"/>
      <c r="IXV13" s="41"/>
      <c r="IXW13" s="41"/>
      <c r="IXX13" s="41"/>
      <c r="IXY13" s="41"/>
      <c r="IXZ13" s="41"/>
      <c r="IYA13" s="41"/>
      <c r="IYB13" s="41"/>
      <c r="IYC13" s="41"/>
      <c r="IYD13" s="41"/>
      <c r="IYE13" s="41"/>
      <c r="IYF13" s="41"/>
      <c r="IYG13" s="41"/>
      <c r="IYH13" s="41"/>
      <c r="IYI13" s="41"/>
      <c r="IYJ13" s="41"/>
      <c r="IYK13" s="41"/>
      <c r="IYL13" s="41"/>
      <c r="IYM13" s="41"/>
      <c r="IYN13" s="41"/>
      <c r="IYO13" s="41"/>
      <c r="IYP13" s="41"/>
      <c r="IYQ13" s="41"/>
      <c r="IYR13" s="41"/>
      <c r="IYS13" s="41"/>
      <c r="IYT13" s="41"/>
      <c r="IYU13" s="41"/>
      <c r="IYV13" s="41"/>
      <c r="IYW13" s="41"/>
      <c r="IYX13" s="41"/>
      <c r="IYY13" s="41"/>
      <c r="IYZ13" s="41"/>
      <c r="IZA13" s="41"/>
      <c r="IZB13" s="41"/>
      <c r="IZC13" s="41"/>
      <c r="IZD13" s="41"/>
      <c r="IZE13" s="41"/>
      <c r="IZF13" s="41"/>
      <c r="IZG13" s="41"/>
      <c r="IZH13" s="41"/>
      <c r="IZI13" s="41"/>
      <c r="IZJ13" s="41"/>
      <c r="IZK13" s="41"/>
      <c r="IZL13" s="41"/>
      <c r="IZM13" s="41"/>
      <c r="IZN13" s="41"/>
      <c r="IZO13" s="41"/>
      <c r="IZP13" s="41"/>
      <c r="IZQ13" s="41"/>
      <c r="IZR13" s="41"/>
      <c r="IZS13" s="41"/>
      <c r="IZT13" s="41"/>
      <c r="IZU13" s="41"/>
      <c r="IZV13" s="41"/>
      <c r="IZW13" s="41"/>
      <c r="IZX13" s="41"/>
      <c r="IZY13" s="41"/>
      <c r="IZZ13" s="41"/>
      <c r="JAA13" s="41"/>
      <c r="JAB13" s="41"/>
      <c r="JAC13" s="41"/>
      <c r="JAD13" s="41"/>
      <c r="JAE13" s="41"/>
      <c r="JAF13" s="41"/>
      <c r="JAG13" s="41"/>
      <c r="JAH13" s="41"/>
      <c r="JAI13" s="41"/>
      <c r="JAJ13" s="41"/>
      <c r="JAK13" s="41"/>
      <c r="JAL13" s="41"/>
      <c r="JAM13" s="41"/>
      <c r="JAN13" s="41"/>
      <c r="JAO13" s="41"/>
      <c r="JAP13" s="41"/>
      <c r="JAQ13" s="41"/>
      <c r="JAR13" s="41"/>
      <c r="JAS13" s="41"/>
      <c r="JAT13" s="41"/>
      <c r="JAU13" s="41"/>
      <c r="JAV13" s="41"/>
      <c r="JAW13" s="41"/>
      <c r="JAX13" s="41"/>
      <c r="JAY13" s="41"/>
      <c r="JAZ13" s="41"/>
      <c r="JBA13" s="41"/>
      <c r="JBB13" s="41"/>
      <c r="JBC13" s="41"/>
      <c r="JBD13" s="41"/>
      <c r="JBE13" s="41"/>
      <c r="JBF13" s="41"/>
      <c r="JBG13" s="41"/>
      <c r="JBH13" s="41"/>
      <c r="JBI13" s="41"/>
      <c r="JBJ13" s="41"/>
      <c r="JBK13" s="41"/>
      <c r="JBL13" s="41"/>
      <c r="JBM13" s="41"/>
      <c r="JBN13" s="41"/>
      <c r="JBO13" s="41"/>
      <c r="JBP13" s="41"/>
      <c r="JBQ13" s="41"/>
      <c r="JBR13" s="41"/>
      <c r="JBS13" s="41"/>
      <c r="JBT13" s="41"/>
      <c r="JBU13" s="41"/>
      <c r="JBV13" s="41"/>
      <c r="JBW13" s="41"/>
      <c r="JBX13" s="41"/>
      <c r="JBY13" s="41"/>
      <c r="JBZ13" s="41"/>
      <c r="JCA13" s="41"/>
      <c r="JCB13" s="41"/>
      <c r="JCC13" s="41"/>
      <c r="JCD13" s="41"/>
      <c r="JCE13" s="41"/>
      <c r="JCF13" s="41"/>
      <c r="JCG13" s="41"/>
      <c r="JCH13" s="41"/>
      <c r="JCI13" s="41"/>
      <c r="JCJ13" s="41"/>
      <c r="JCK13" s="41"/>
      <c r="JCL13" s="41"/>
      <c r="JCM13" s="41"/>
      <c r="JCN13" s="41"/>
      <c r="JCO13" s="41"/>
      <c r="JCP13" s="41"/>
      <c r="JCQ13" s="41"/>
      <c r="JCR13" s="41"/>
      <c r="JCS13" s="41"/>
      <c r="JCT13" s="41"/>
      <c r="JCU13" s="41"/>
      <c r="JCV13" s="41"/>
      <c r="JCW13" s="41"/>
      <c r="JCX13" s="41"/>
      <c r="JCY13" s="41"/>
      <c r="JCZ13" s="41"/>
      <c r="JDA13" s="41"/>
      <c r="JDB13" s="41"/>
      <c r="JDC13" s="41"/>
      <c r="JDD13" s="41"/>
      <c r="JDE13" s="41"/>
      <c r="JDF13" s="41"/>
      <c r="JDG13" s="41"/>
      <c r="JDH13" s="41"/>
      <c r="JDI13" s="41"/>
      <c r="JDJ13" s="41"/>
      <c r="JDK13" s="41"/>
      <c r="JDL13" s="41"/>
      <c r="JDM13" s="41"/>
      <c r="JDN13" s="41"/>
      <c r="JDO13" s="41"/>
      <c r="JDP13" s="41"/>
      <c r="JDQ13" s="41"/>
      <c r="JDR13" s="41"/>
      <c r="JDS13" s="41"/>
      <c r="JDT13" s="41"/>
      <c r="JDU13" s="41"/>
      <c r="JDV13" s="41"/>
      <c r="JDW13" s="41"/>
      <c r="JDX13" s="41"/>
      <c r="JDY13" s="41"/>
      <c r="JDZ13" s="41"/>
      <c r="JEA13" s="41"/>
      <c r="JEB13" s="41"/>
      <c r="JEC13" s="41"/>
      <c r="JED13" s="41"/>
      <c r="JEE13" s="41"/>
      <c r="JEF13" s="41"/>
      <c r="JEG13" s="41"/>
      <c r="JEH13" s="41"/>
      <c r="JEI13" s="41"/>
      <c r="JEJ13" s="41"/>
      <c r="JEK13" s="41"/>
      <c r="JEL13" s="41"/>
      <c r="JEM13" s="41"/>
      <c r="JEN13" s="41"/>
      <c r="JEO13" s="41"/>
      <c r="JEP13" s="41"/>
      <c r="JEQ13" s="41"/>
      <c r="JER13" s="41"/>
      <c r="JES13" s="41"/>
      <c r="JET13" s="41"/>
      <c r="JEU13" s="41"/>
      <c r="JEV13" s="41"/>
      <c r="JEW13" s="41"/>
      <c r="JEX13" s="41"/>
      <c r="JEY13" s="41"/>
      <c r="JEZ13" s="41"/>
      <c r="JFA13" s="41"/>
      <c r="JFB13" s="41"/>
      <c r="JFC13" s="41"/>
      <c r="JFD13" s="41"/>
      <c r="JFE13" s="41"/>
      <c r="JFF13" s="41"/>
      <c r="JFG13" s="41"/>
      <c r="JFH13" s="41"/>
      <c r="JFI13" s="41"/>
      <c r="JFJ13" s="41"/>
      <c r="JFK13" s="41"/>
      <c r="JFL13" s="41"/>
      <c r="JFM13" s="41"/>
      <c r="JFN13" s="41"/>
      <c r="JFO13" s="41"/>
      <c r="JFP13" s="41"/>
      <c r="JFQ13" s="41"/>
      <c r="JFR13" s="41"/>
      <c r="JFS13" s="41"/>
      <c r="JFT13" s="41"/>
      <c r="JFU13" s="41"/>
      <c r="JFV13" s="41"/>
      <c r="JFW13" s="41"/>
      <c r="JFX13" s="41"/>
      <c r="JFY13" s="41"/>
      <c r="JFZ13" s="41"/>
      <c r="JGA13" s="41"/>
      <c r="JGB13" s="41"/>
      <c r="JGC13" s="41"/>
      <c r="JGD13" s="41"/>
      <c r="JGE13" s="41"/>
      <c r="JGF13" s="41"/>
      <c r="JGG13" s="41"/>
      <c r="JGH13" s="41"/>
      <c r="JGI13" s="41"/>
      <c r="JGJ13" s="41"/>
      <c r="JGK13" s="41"/>
      <c r="JGL13" s="41"/>
      <c r="JGM13" s="41"/>
      <c r="JGN13" s="41"/>
      <c r="JGO13" s="41"/>
      <c r="JGP13" s="41"/>
      <c r="JGQ13" s="41"/>
      <c r="JGR13" s="41"/>
      <c r="JGS13" s="41"/>
      <c r="JGT13" s="41"/>
      <c r="JGU13" s="41"/>
      <c r="JGV13" s="41"/>
      <c r="JGW13" s="41"/>
      <c r="JGX13" s="41"/>
      <c r="JGY13" s="41"/>
      <c r="JGZ13" s="41"/>
      <c r="JHA13" s="41"/>
      <c r="JHB13" s="41"/>
      <c r="JHC13" s="41"/>
      <c r="JHD13" s="41"/>
      <c r="JHE13" s="41"/>
      <c r="JHF13" s="41"/>
      <c r="JHG13" s="41"/>
      <c r="JHH13" s="41"/>
      <c r="JHI13" s="41"/>
      <c r="JHJ13" s="41"/>
      <c r="JHK13" s="41"/>
      <c r="JHL13" s="41"/>
      <c r="JHM13" s="41"/>
      <c r="JHN13" s="41"/>
      <c r="JHO13" s="41"/>
      <c r="JHP13" s="41"/>
      <c r="JHQ13" s="41"/>
      <c r="JHR13" s="41"/>
      <c r="JHS13" s="41"/>
      <c r="JHT13" s="41"/>
      <c r="JHU13" s="41"/>
      <c r="JHV13" s="41"/>
      <c r="JHW13" s="41"/>
      <c r="JHX13" s="41"/>
      <c r="JHY13" s="41"/>
      <c r="JHZ13" s="41"/>
      <c r="JIA13" s="41"/>
      <c r="JIB13" s="41"/>
      <c r="JIC13" s="41"/>
      <c r="JID13" s="41"/>
      <c r="JIE13" s="41"/>
      <c r="JIF13" s="41"/>
      <c r="JIG13" s="41"/>
      <c r="JIH13" s="41"/>
      <c r="JII13" s="41"/>
      <c r="JIJ13" s="41"/>
      <c r="JIK13" s="41"/>
      <c r="JIL13" s="41"/>
      <c r="JIM13" s="41"/>
      <c r="JIN13" s="41"/>
      <c r="JIO13" s="41"/>
      <c r="JIP13" s="41"/>
      <c r="JIQ13" s="41"/>
      <c r="JIR13" s="41"/>
      <c r="JIS13" s="41"/>
      <c r="JIT13" s="41"/>
      <c r="JIU13" s="41"/>
      <c r="JIV13" s="41"/>
      <c r="JIW13" s="41"/>
      <c r="JIX13" s="41"/>
      <c r="JIY13" s="41"/>
      <c r="JIZ13" s="41"/>
      <c r="JJA13" s="41"/>
      <c r="JJB13" s="41"/>
      <c r="JJC13" s="41"/>
      <c r="JJD13" s="41"/>
      <c r="JJE13" s="41"/>
      <c r="JJF13" s="41"/>
      <c r="JJG13" s="41"/>
      <c r="JJH13" s="41"/>
      <c r="JJI13" s="41"/>
      <c r="JJJ13" s="41"/>
      <c r="JJK13" s="41"/>
      <c r="JJL13" s="41"/>
      <c r="JJM13" s="41"/>
      <c r="JJN13" s="41"/>
      <c r="JJO13" s="41"/>
      <c r="JJP13" s="41"/>
      <c r="JJQ13" s="41"/>
      <c r="JJR13" s="41"/>
      <c r="JJS13" s="41"/>
      <c r="JJT13" s="41"/>
      <c r="JJU13" s="41"/>
      <c r="JJV13" s="41"/>
      <c r="JJW13" s="41"/>
      <c r="JJX13" s="41"/>
      <c r="JJY13" s="41"/>
      <c r="JJZ13" s="41"/>
      <c r="JKA13" s="41"/>
      <c r="JKB13" s="41"/>
      <c r="JKC13" s="41"/>
      <c r="JKD13" s="41"/>
      <c r="JKE13" s="41"/>
      <c r="JKF13" s="41"/>
      <c r="JKG13" s="41"/>
      <c r="JKH13" s="41"/>
      <c r="JKI13" s="41"/>
      <c r="JKJ13" s="41"/>
      <c r="JKK13" s="41"/>
      <c r="JKL13" s="41"/>
      <c r="JKM13" s="41"/>
      <c r="JKN13" s="41"/>
      <c r="JKO13" s="41"/>
      <c r="JKP13" s="41"/>
      <c r="JKQ13" s="41"/>
      <c r="JKR13" s="41"/>
      <c r="JKS13" s="41"/>
      <c r="JKT13" s="41"/>
      <c r="JKU13" s="41"/>
      <c r="JKV13" s="41"/>
      <c r="JKW13" s="41"/>
      <c r="JKX13" s="41"/>
      <c r="JKY13" s="41"/>
      <c r="JKZ13" s="41"/>
      <c r="JLA13" s="41"/>
      <c r="JLB13" s="41"/>
      <c r="JLC13" s="41"/>
      <c r="JLD13" s="41"/>
      <c r="JLE13" s="41"/>
      <c r="JLF13" s="41"/>
      <c r="JLG13" s="41"/>
      <c r="JLH13" s="41"/>
      <c r="JLI13" s="41"/>
      <c r="JLJ13" s="41"/>
      <c r="JLK13" s="41"/>
      <c r="JLL13" s="41"/>
      <c r="JLM13" s="41"/>
      <c r="JLN13" s="41"/>
      <c r="JLO13" s="41"/>
      <c r="JLP13" s="41"/>
      <c r="JLQ13" s="41"/>
      <c r="JLR13" s="41"/>
      <c r="JLS13" s="41"/>
      <c r="JLT13" s="41"/>
      <c r="JLU13" s="41"/>
      <c r="JLV13" s="41"/>
      <c r="JLW13" s="41"/>
      <c r="JLX13" s="41"/>
      <c r="JLY13" s="41"/>
      <c r="JLZ13" s="41"/>
      <c r="JMA13" s="41"/>
      <c r="JMB13" s="41"/>
      <c r="JMC13" s="41"/>
      <c r="JMD13" s="41"/>
      <c r="JME13" s="41"/>
      <c r="JMF13" s="41"/>
      <c r="JMG13" s="41"/>
      <c r="JMH13" s="41"/>
      <c r="JMI13" s="41"/>
      <c r="JMJ13" s="41"/>
      <c r="JMK13" s="41"/>
      <c r="JML13" s="41"/>
      <c r="JMM13" s="41"/>
      <c r="JMN13" s="41"/>
      <c r="JMO13" s="41"/>
      <c r="JMP13" s="41"/>
      <c r="JMQ13" s="41"/>
      <c r="JMR13" s="41"/>
      <c r="JMS13" s="41"/>
      <c r="JMT13" s="41"/>
      <c r="JMU13" s="41"/>
      <c r="JMV13" s="41"/>
      <c r="JMW13" s="41"/>
      <c r="JMX13" s="41"/>
      <c r="JMY13" s="41"/>
      <c r="JMZ13" s="41"/>
      <c r="JNA13" s="41"/>
      <c r="JNB13" s="41"/>
      <c r="JNC13" s="41"/>
      <c r="JND13" s="41"/>
      <c r="JNE13" s="41"/>
      <c r="JNF13" s="41"/>
      <c r="JNG13" s="41"/>
      <c r="JNH13" s="41"/>
      <c r="JNI13" s="41"/>
      <c r="JNJ13" s="41"/>
      <c r="JNK13" s="41"/>
      <c r="JNL13" s="41"/>
      <c r="JNM13" s="41"/>
      <c r="JNN13" s="41"/>
      <c r="JNO13" s="41"/>
      <c r="JNP13" s="41"/>
      <c r="JNQ13" s="41"/>
      <c r="JNR13" s="41"/>
      <c r="JNS13" s="41"/>
      <c r="JNT13" s="41"/>
      <c r="JNU13" s="41"/>
      <c r="JNV13" s="41"/>
      <c r="JNW13" s="41"/>
      <c r="JNX13" s="41"/>
      <c r="JNY13" s="41"/>
      <c r="JNZ13" s="41"/>
      <c r="JOA13" s="41"/>
      <c r="JOB13" s="41"/>
      <c r="JOC13" s="41"/>
      <c r="JOD13" s="41"/>
      <c r="JOE13" s="41"/>
      <c r="JOF13" s="41"/>
      <c r="JOG13" s="41"/>
      <c r="JOH13" s="41"/>
      <c r="JOI13" s="41"/>
      <c r="JOJ13" s="41"/>
      <c r="JOK13" s="41"/>
      <c r="JOL13" s="41"/>
      <c r="JOM13" s="41"/>
      <c r="JON13" s="41"/>
      <c r="JOO13" s="41"/>
      <c r="JOP13" s="41"/>
      <c r="JOQ13" s="41"/>
      <c r="JOR13" s="41"/>
      <c r="JOS13" s="41"/>
      <c r="JOT13" s="41"/>
      <c r="JOU13" s="41"/>
      <c r="JOV13" s="41"/>
      <c r="JOW13" s="41"/>
      <c r="JOX13" s="41"/>
      <c r="JOY13" s="41"/>
      <c r="JOZ13" s="41"/>
      <c r="JPA13" s="41"/>
      <c r="JPB13" s="41"/>
      <c r="JPC13" s="41"/>
      <c r="JPD13" s="41"/>
      <c r="JPE13" s="41"/>
      <c r="JPF13" s="41"/>
      <c r="JPG13" s="41"/>
      <c r="JPH13" s="41"/>
      <c r="JPI13" s="41"/>
      <c r="JPJ13" s="41"/>
      <c r="JPK13" s="41"/>
      <c r="JPL13" s="41"/>
      <c r="JPM13" s="41"/>
      <c r="JPN13" s="41"/>
      <c r="JPO13" s="41"/>
      <c r="JPP13" s="41"/>
      <c r="JPQ13" s="41"/>
      <c r="JPR13" s="41"/>
      <c r="JPS13" s="41"/>
      <c r="JPT13" s="41"/>
      <c r="JPU13" s="41"/>
      <c r="JPV13" s="41"/>
      <c r="JPW13" s="41"/>
      <c r="JPX13" s="41"/>
      <c r="JPY13" s="41"/>
      <c r="JPZ13" s="41"/>
      <c r="JQA13" s="41"/>
      <c r="JQB13" s="41"/>
      <c r="JQC13" s="41"/>
      <c r="JQD13" s="41"/>
      <c r="JQE13" s="41"/>
      <c r="JQF13" s="41"/>
      <c r="JQG13" s="41"/>
      <c r="JQH13" s="41"/>
      <c r="JQI13" s="41"/>
      <c r="JQJ13" s="41"/>
      <c r="JQK13" s="41"/>
      <c r="JQL13" s="41"/>
      <c r="JQM13" s="41"/>
      <c r="JQN13" s="41"/>
      <c r="JQO13" s="41"/>
      <c r="JQP13" s="41"/>
      <c r="JQQ13" s="41"/>
      <c r="JQR13" s="41"/>
      <c r="JQS13" s="41"/>
      <c r="JQT13" s="41"/>
      <c r="JQU13" s="41"/>
      <c r="JQV13" s="41"/>
      <c r="JQW13" s="41"/>
      <c r="JQX13" s="41"/>
      <c r="JQY13" s="41"/>
      <c r="JQZ13" s="41"/>
      <c r="JRA13" s="41"/>
      <c r="JRB13" s="41"/>
      <c r="JRC13" s="41"/>
      <c r="JRD13" s="41"/>
      <c r="JRE13" s="41"/>
      <c r="JRF13" s="41"/>
      <c r="JRG13" s="41"/>
      <c r="JRH13" s="41"/>
      <c r="JRI13" s="41"/>
      <c r="JRJ13" s="41"/>
      <c r="JRK13" s="41"/>
      <c r="JRL13" s="41"/>
      <c r="JRM13" s="41"/>
      <c r="JRN13" s="41"/>
      <c r="JRO13" s="41"/>
      <c r="JRP13" s="41"/>
      <c r="JRQ13" s="41"/>
      <c r="JRR13" s="41"/>
      <c r="JRS13" s="41"/>
      <c r="JRT13" s="41"/>
      <c r="JRU13" s="41"/>
      <c r="JRV13" s="41"/>
      <c r="JRW13" s="41"/>
      <c r="JRX13" s="41"/>
      <c r="JRY13" s="41"/>
      <c r="JRZ13" s="41"/>
      <c r="JSA13" s="41"/>
      <c r="JSB13" s="41"/>
      <c r="JSC13" s="41"/>
      <c r="JSD13" s="41"/>
      <c r="JSE13" s="41"/>
      <c r="JSF13" s="41"/>
      <c r="JSG13" s="41"/>
      <c r="JSH13" s="41"/>
      <c r="JSI13" s="41"/>
      <c r="JSJ13" s="41"/>
      <c r="JSK13" s="41"/>
      <c r="JSL13" s="41"/>
      <c r="JSM13" s="41"/>
      <c r="JSN13" s="41"/>
      <c r="JSO13" s="41"/>
      <c r="JSP13" s="41"/>
      <c r="JSQ13" s="41"/>
      <c r="JSR13" s="41"/>
      <c r="JSS13" s="41"/>
      <c r="JST13" s="41"/>
      <c r="JSU13" s="41"/>
      <c r="JSV13" s="41"/>
      <c r="JSW13" s="41"/>
      <c r="JSX13" s="41"/>
      <c r="JSY13" s="41"/>
      <c r="JSZ13" s="41"/>
      <c r="JTA13" s="41"/>
      <c r="JTB13" s="41"/>
      <c r="JTC13" s="41"/>
      <c r="JTD13" s="41"/>
      <c r="JTE13" s="41"/>
      <c r="JTF13" s="41"/>
      <c r="JTG13" s="41"/>
      <c r="JTH13" s="41"/>
      <c r="JTI13" s="41"/>
      <c r="JTJ13" s="41"/>
      <c r="JTK13" s="41"/>
      <c r="JTL13" s="41"/>
      <c r="JTM13" s="41"/>
      <c r="JTN13" s="41"/>
      <c r="JTO13" s="41"/>
      <c r="JTP13" s="41"/>
      <c r="JTQ13" s="41"/>
      <c r="JTR13" s="41"/>
      <c r="JTS13" s="41"/>
      <c r="JTT13" s="41"/>
      <c r="JTU13" s="41"/>
      <c r="JTV13" s="41"/>
      <c r="JTW13" s="41"/>
      <c r="JTX13" s="41"/>
      <c r="JTY13" s="41"/>
      <c r="JTZ13" s="41"/>
      <c r="JUA13" s="41"/>
      <c r="JUB13" s="41"/>
      <c r="JUC13" s="41"/>
      <c r="JUD13" s="41"/>
      <c r="JUE13" s="41"/>
      <c r="JUF13" s="41"/>
      <c r="JUG13" s="41"/>
      <c r="JUH13" s="41"/>
      <c r="JUI13" s="41"/>
      <c r="JUJ13" s="41"/>
      <c r="JUK13" s="41"/>
      <c r="JUL13" s="41"/>
      <c r="JUM13" s="41"/>
      <c r="JUN13" s="41"/>
      <c r="JUO13" s="41"/>
      <c r="JUP13" s="41"/>
      <c r="JUQ13" s="41"/>
      <c r="JUR13" s="41"/>
      <c r="JUS13" s="41"/>
      <c r="JUT13" s="41"/>
      <c r="JUU13" s="41"/>
      <c r="JUV13" s="41"/>
      <c r="JUW13" s="41"/>
      <c r="JUX13" s="41"/>
      <c r="JUY13" s="41"/>
      <c r="JUZ13" s="41"/>
      <c r="JVA13" s="41"/>
      <c r="JVB13" s="41"/>
      <c r="JVC13" s="41"/>
      <c r="JVD13" s="41"/>
      <c r="JVE13" s="41"/>
      <c r="JVF13" s="41"/>
      <c r="JVG13" s="41"/>
      <c r="JVH13" s="41"/>
      <c r="JVI13" s="41"/>
      <c r="JVJ13" s="41"/>
      <c r="JVK13" s="41"/>
      <c r="JVL13" s="41"/>
      <c r="JVM13" s="41"/>
      <c r="JVN13" s="41"/>
      <c r="JVO13" s="41"/>
      <c r="JVP13" s="41"/>
      <c r="JVQ13" s="41"/>
      <c r="JVR13" s="41"/>
      <c r="JVS13" s="41"/>
      <c r="JVT13" s="41"/>
      <c r="JVU13" s="41"/>
      <c r="JVV13" s="41"/>
      <c r="JVW13" s="41"/>
      <c r="JVX13" s="41"/>
      <c r="JVY13" s="41"/>
      <c r="JVZ13" s="41"/>
      <c r="JWA13" s="41"/>
      <c r="JWB13" s="41"/>
      <c r="JWC13" s="41"/>
      <c r="JWD13" s="41"/>
      <c r="JWE13" s="41"/>
      <c r="JWF13" s="41"/>
      <c r="JWG13" s="41"/>
      <c r="JWH13" s="41"/>
      <c r="JWI13" s="41"/>
      <c r="JWJ13" s="41"/>
      <c r="JWK13" s="41"/>
      <c r="JWL13" s="41"/>
      <c r="JWM13" s="41"/>
      <c r="JWN13" s="41"/>
      <c r="JWO13" s="41"/>
      <c r="JWP13" s="41"/>
      <c r="JWQ13" s="41"/>
      <c r="JWR13" s="41"/>
      <c r="JWS13" s="41"/>
      <c r="JWT13" s="41"/>
      <c r="JWU13" s="41"/>
      <c r="JWV13" s="41"/>
      <c r="JWW13" s="41"/>
      <c r="JWX13" s="41"/>
      <c r="JWY13" s="41"/>
      <c r="JWZ13" s="41"/>
      <c r="JXA13" s="41"/>
      <c r="JXB13" s="41"/>
      <c r="JXC13" s="41"/>
      <c r="JXD13" s="41"/>
      <c r="JXE13" s="41"/>
      <c r="JXF13" s="41"/>
      <c r="JXG13" s="41"/>
      <c r="JXH13" s="41"/>
      <c r="JXI13" s="41"/>
      <c r="JXJ13" s="41"/>
      <c r="JXK13" s="41"/>
      <c r="JXL13" s="41"/>
      <c r="JXM13" s="41"/>
      <c r="JXN13" s="41"/>
      <c r="JXO13" s="41"/>
      <c r="JXP13" s="41"/>
      <c r="JXQ13" s="41"/>
      <c r="JXR13" s="41"/>
      <c r="JXS13" s="41"/>
      <c r="JXT13" s="41"/>
      <c r="JXU13" s="41"/>
      <c r="JXV13" s="41"/>
      <c r="JXW13" s="41"/>
      <c r="JXX13" s="41"/>
      <c r="JXY13" s="41"/>
      <c r="JXZ13" s="41"/>
      <c r="JYA13" s="41"/>
      <c r="JYB13" s="41"/>
      <c r="JYC13" s="41"/>
      <c r="JYD13" s="41"/>
      <c r="JYE13" s="41"/>
      <c r="JYF13" s="41"/>
      <c r="JYG13" s="41"/>
      <c r="JYH13" s="41"/>
      <c r="JYI13" s="41"/>
      <c r="JYJ13" s="41"/>
      <c r="JYK13" s="41"/>
      <c r="JYL13" s="41"/>
      <c r="JYM13" s="41"/>
      <c r="JYN13" s="41"/>
      <c r="JYO13" s="41"/>
      <c r="JYP13" s="41"/>
      <c r="JYQ13" s="41"/>
      <c r="JYR13" s="41"/>
      <c r="JYS13" s="41"/>
      <c r="JYT13" s="41"/>
      <c r="JYU13" s="41"/>
      <c r="JYV13" s="41"/>
      <c r="JYW13" s="41"/>
      <c r="JYX13" s="41"/>
      <c r="JYY13" s="41"/>
      <c r="JYZ13" s="41"/>
      <c r="JZA13" s="41"/>
      <c r="JZB13" s="41"/>
      <c r="JZC13" s="41"/>
      <c r="JZD13" s="41"/>
      <c r="JZE13" s="41"/>
      <c r="JZF13" s="41"/>
      <c r="JZG13" s="41"/>
      <c r="JZH13" s="41"/>
      <c r="JZI13" s="41"/>
      <c r="JZJ13" s="41"/>
      <c r="JZK13" s="41"/>
      <c r="JZL13" s="41"/>
      <c r="JZM13" s="41"/>
      <c r="JZN13" s="41"/>
      <c r="JZO13" s="41"/>
      <c r="JZP13" s="41"/>
      <c r="JZQ13" s="41"/>
      <c r="JZR13" s="41"/>
      <c r="JZS13" s="41"/>
      <c r="JZT13" s="41"/>
      <c r="JZU13" s="41"/>
      <c r="JZV13" s="41"/>
      <c r="JZW13" s="41"/>
      <c r="JZX13" s="41"/>
      <c r="JZY13" s="41"/>
      <c r="JZZ13" s="41"/>
      <c r="KAA13" s="41"/>
      <c r="KAB13" s="41"/>
      <c r="KAC13" s="41"/>
      <c r="KAD13" s="41"/>
      <c r="KAE13" s="41"/>
      <c r="KAF13" s="41"/>
      <c r="KAG13" s="41"/>
      <c r="KAH13" s="41"/>
      <c r="KAI13" s="41"/>
      <c r="KAJ13" s="41"/>
      <c r="KAK13" s="41"/>
      <c r="KAL13" s="41"/>
      <c r="KAM13" s="41"/>
      <c r="KAN13" s="41"/>
      <c r="KAO13" s="41"/>
      <c r="KAP13" s="41"/>
      <c r="KAQ13" s="41"/>
      <c r="KAR13" s="41"/>
      <c r="KAS13" s="41"/>
      <c r="KAT13" s="41"/>
      <c r="KAU13" s="41"/>
      <c r="KAV13" s="41"/>
      <c r="KAW13" s="41"/>
      <c r="KAX13" s="41"/>
      <c r="KAY13" s="41"/>
      <c r="KAZ13" s="41"/>
      <c r="KBA13" s="41"/>
      <c r="KBB13" s="41"/>
      <c r="KBC13" s="41"/>
      <c r="KBD13" s="41"/>
      <c r="KBE13" s="41"/>
      <c r="KBF13" s="41"/>
      <c r="KBG13" s="41"/>
      <c r="KBH13" s="41"/>
      <c r="KBI13" s="41"/>
      <c r="KBJ13" s="41"/>
      <c r="KBK13" s="41"/>
      <c r="KBL13" s="41"/>
      <c r="KBM13" s="41"/>
      <c r="KBN13" s="41"/>
      <c r="KBO13" s="41"/>
      <c r="KBP13" s="41"/>
      <c r="KBQ13" s="41"/>
      <c r="KBR13" s="41"/>
      <c r="KBS13" s="41"/>
      <c r="KBT13" s="41"/>
      <c r="KBU13" s="41"/>
      <c r="KBV13" s="41"/>
      <c r="KBW13" s="41"/>
      <c r="KBX13" s="41"/>
      <c r="KBY13" s="41"/>
      <c r="KBZ13" s="41"/>
      <c r="KCA13" s="41"/>
      <c r="KCB13" s="41"/>
      <c r="KCC13" s="41"/>
      <c r="KCD13" s="41"/>
      <c r="KCE13" s="41"/>
      <c r="KCF13" s="41"/>
      <c r="KCG13" s="41"/>
      <c r="KCH13" s="41"/>
      <c r="KCI13" s="41"/>
      <c r="KCJ13" s="41"/>
      <c r="KCK13" s="41"/>
      <c r="KCL13" s="41"/>
      <c r="KCM13" s="41"/>
      <c r="KCN13" s="41"/>
      <c r="KCO13" s="41"/>
      <c r="KCP13" s="41"/>
      <c r="KCQ13" s="41"/>
      <c r="KCR13" s="41"/>
      <c r="KCS13" s="41"/>
      <c r="KCT13" s="41"/>
      <c r="KCU13" s="41"/>
      <c r="KCV13" s="41"/>
      <c r="KCW13" s="41"/>
      <c r="KCX13" s="41"/>
      <c r="KCY13" s="41"/>
      <c r="KCZ13" s="41"/>
      <c r="KDA13" s="41"/>
      <c r="KDB13" s="41"/>
      <c r="KDC13" s="41"/>
      <c r="KDD13" s="41"/>
      <c r="KDE13" s="41"/>
      <c r="KDF13" s="41"/>
      <c r="KDG13" s="41"/>
      <c r="KDH13" s="41"/>
      <c r="KDI13" s="41"/>
      <c r="KDJ13" s="41"/>
      <c r="KDK13" s="41"/>
      <c r="KDL13" s="41"/>
      <c r="KDM13" s="41"/>
      <c r="KDN13" s="41"/>
      <c r="KDO13" s="41"/>
      <c r="KDP13" s="41"/>
      <c r="KDQ13" s="41"/>
      <c r="KDR13" s="41"/>
      <c r="KDS13" s="41"/>
      <c r="KDT13" s="41"/>
      <c r="KDU13" s="41"/>
      <c r="KDV13" s="41"/>
      <c r="KDW13" s="41"/>
      <c r="KDX13" s="41"/>
      <c r="KDY13" s="41"/>
      <c r="KDZ13" s="41"/>
      <c r="KEA13" s="41"/>
      <c r="KEB13" s="41"/>
      <c r="KEC13" s="41"/>
      <c r="KED13" s="41"/>
      <c r="KEE13" s="41"/>
      <c r="KEF13" s="41"/>
      <c r="KEG13" s="41"/>
      <c r="KEH13" s="41"/>
      <c r="KEI13" s="41"/>
      <c r="KEJ13" s="41"/>
      <c r="KEK13" s="41"/>
      <c r="KEL13" s="41"/>
      <c r="KEM13" s="41"/>
      <c r="KEN13" s="41"/>
      <c r="KEO13" s="41"/>
      <c r="KEP13" s="41"/>
      <c r="KEQ13" s="41"/>
      <c r="KER13" s="41"/>
      <c r="KES13" s="41"/>
      <c r="KET13" s="41"/>
      <c r="KEU13" s="41"/>
      <c r="KEV13" s="41"/>
      <c r="KEW13" s="41"/>
      <c r="KEX13" s="41"/>
      <c r="KEY13" s="41"/>
      <c r="KEZ13" s="41"/>
      <c r="KFA13" s="41"/>
      <c r="KFB13" s="41"/>
      <c r="KFC13" s="41"/>
      <c r="KFD13" s="41"/>
      <c r="KFE13" s="41"/>
      <c r="KFF13" s="41"/>
      <c r="KFG13" s="41"/>
      <c r="KFH13" s="41"/>
      <c r="KFI13" s="41"/>
      <c r="KFJ13" s="41"/>
      <c r="KFK13" s="41"/>
      <c r="KFL13" s="41"/>
      <c r="KFM13" s="41"/>
      <c r="KFN13" s="41"/>
      <c r="KFO13" s="41"/>
      <c r="KFP13" s="41"/>
      <c r="KFQ13" s="41"/>
      <c r="KFR13" s="41"/>
      <c r="KFS13" s="41"/>
      <c r="KFT13" s="41"/>
      <c r="KFU13" s="41"/>
      <c r="KFV13" s="41"/>
      <c r="KFW13" s="41"/>
      <c r="KFX13" s="41"/>
      <c r="KFY13" s="41"/>
      <c r="KFZ13" s="41"/>
      <c r="KGA13" s="41"/>
      <c r="KGB13" s="41"/>
      <c r="KGC13" s="41"/>
      <c r="KGD13" s="41"/>
      <c r="KGE13" s="41"/>
      <c r="KGF13" s="41"/>
      <c r="KGG13" s="41"/>
      <c r="KGH13" s="41"/>
      <c r="KGI13" s="41"/>
      <c r="KGJ13" s="41"/>
      <c r="KGK13" s="41"/>
      <c r="KGL13" s="41"/>
      <c r="KGM13" s="41"/>
      <c r="KGN13" s="41"/>
      <c r="KGO13" s="41"/>
      <c r="KGP13" s="41"/>
      <c r="KGQ13" s="41"/>
      <c r="KGR13" s="41"/>
      <c r="KGS13" s="41"/>
      <c r="KGT13" s="41"/>
      <c r="KGU13" s="41"/>
      <c r="KGV13" s="41"/>
      <c r="KGW13" s="41"/>
      <c r="KGX13" s="41"/>
      <c r="KGY13" s="41"/>
      <c r="KGZ13" s="41"/>
      <c r="KHA13" s="41"/>
      <c r="KHB13" s="41"/>
      <c r="KHC13" s="41"/>
      <c r="KHD13" s="41"/>
      <c r="KHE13" s="41"/>
      <c r="KHF13" s="41"/>
      <c r="KHG13" s="41"/>
      <c r="KHH13" s="41"/>
      <c r="KHI13" s="41"/>
      <c r="KHJ13" s="41"/>
      <c r="KHK13" s="41"/>
      <c r="KHL13" s="41"/>
      <c r="KHM13" s="41"/>
      <c r="KHN13" s="41"/>
      <c r="KHO13" s="41"/>
      <c r="KHP13" s="41"/>
      <c r="KHQ13" s="41"/>
      <c r="KHR13" s="41"/>
      <c r="KHS13" s="41"/>
      <c r="KHT13" s="41"/>
      <c r="KHU13" s="41"/>
      <c r="KHV13" s="41"/>
      <c r="KHW13" s="41"/>
      <c r="KHX13" s="41"/>
      <c r="KHY13" s="41"/>
      <c r="KHZ13" s="41"/>
      <c r="KIA13" s="41"/>
      <c r="KIB13" s="41"/>
      <c r="KIC13" s="41"/>
      <c r="KID13" s="41"/>
      <c r="KIE13" s="41"/>
      <c r="KIF13" s="41"/>
      <c r="KIG13" s="41"/>
      <c r="KIH13" s="41"/>
      <c r="KII13" s="41"/>
      <c r="KIJ13" s="41"/>
      <c r="KIK13" s="41"/>
      <c r="KIL13" s="41"/>
      <c r="KIM13" s="41"/>
      <c r="KIN13" s="41"/>
      <c r="KIO13" s="41"/>
      <c r="KIP13" s="41"/>
      <c r="KIQ13" s="41"/>
      <c r="KIR13" s="41"/>
      <c r="KIS13" s="41"/>
      <c r="KIT13" s="41"/>
      <c r="KIU13" s="41"/>
      <c r="KIV13" s="41"/>
      <c r="KIW13" s="41"/>
      <c r="KIX13" s="41"/>
      <c r="KIY13" s="41"/>
      <c r="KIZ13" s="41"/>
      <c r="KJA13" s="41"/>
      <c r="KJB13" s="41"/>
      <c r="KJC13" s="41"/>
      <c r="KJD13" s="41"/>
      <c r="KJE13" s="41"/>
      <c r="KJF13" s="41"/>
      <c r="KJG13" s="41"/>
      <c r="KJH13" s="41"/>
      <c r="KJI13" s="41"/>
      <c r="KJJ13" s="41"/>
      <c r="KJK13" s="41"/>
      <c r="KJL13" s="41"/>
      <c r="KJM13" s="41"/>
      <c r="KJN13" s="41"/>
      <c r="KJO13" s="41"/>
      <c r="KJP13" s="41"/>
      <c r="KJQ13" s="41"/>
      <c r="KJR13" s="41"/>
      <c r="KJS13" s="41"/>
      <c r="KJT13" s="41"/>
      <c r="KJU13" s="41"/>
      <c r="KJV13" s="41"/>
      <c r="KJW13" s="41"/>
      <c r="KJX13" s="41"/>
      <c r="KJY13" s="41"/>
      <c r="KJZ13" s="41"/>
      <c r="KKA13" s="41"/>
      <c r="KKB13" s="41"/>
      <c r="KKC13" s="41"/>
      <c r="KKD13" s="41"/>
      <c r="KKE13" s="41"/>
      <c r="KKF13" s="41"/>
      <c r="KKG13" s="41"/>
      <c r="KKH13" s="41"/>
      <c r="KKI13" s="41"/>
      <c r="KKJ13" s="41"/>
      <c r="KKK13" s="41"/>
      <c r="KKL13" s="41"/>
      <c r="KKM13" s="41"/>
      <c r="KKN13" s="41"/>
      <c r="KKO13" s="41"/>
      <c r="KKP13" s="41"/>
      <c r="KKQ13" s="41"/>
      <c r="KKR13" s="41"/>
      <c r="KKS13" s="41"/>
      <c r="KKT13" s="41"/>
      <c r="KKU13" s="41"/>
      <c r="KKV13" s="41"/>
      <c r="KKW13" s="41"/>
      <c r="KKX13" s="41"/>
      <c r="KKY13" s="41"/>
      <c r="KKZ13" s="41"/>
      <c r="KLA13" s="41"/>
      <c r="KLB13" s="41"/>
      <c r="KLC13" s="41"/>
      <c r="KLD13" s="41"/>
      <c r="KLE13" s="41"/>
      <c r="KLF13" s="41"/>
      <c r="KLG13" s="41"/>
      <c r="KLH13" s="41"/>
      <c r="KLI13" s="41"/>
      <c r="KLJ13" s="41"/>
      <c r="KLK13" s="41"/>
      <c r="KLL13" s="41"/>
      <c r="KLM13" s="41"/>
      <c r="KLN13" s="41"/>
      <c r="KLO13" s="41"/>
      <c r="KLP13" s="41"/>
      <c r="KLQ13" s="41"/>
      <c r="KLR13" s="41"/>
      <c r="KLS13" s="41"/>
      <c r="KLT13" s="41"/>
      <c r="KLU13" s="41"/>
      <c r="KLV13" s="41"/>
      <c r="KLW13" s="41"/>
      <c r="KLX13" s="41"/>
      <c r="KLY13" s="41"/>
      <c r="KLZ13" s="41"/>
      <c r="KMA13" s="41"/>
      <c r="KMB13" s="41"/>
      <c r="KMC13" s="41"/>
      <c r="KMD13" s="41"/>
      <c r="KME13" s="41"/>
      <c r="KMF13" s="41"/>
      <c r="KMG13" s="41"/>
      <c r="KMH13" s="41"/>
      <c r="KMI13" s="41"/>
      <c r="KMJ13" s="41"/>
      <c r="KMK13" s="41"/>
      <c r="KML13" s="41"/>
      <c r="KMM13" s="41"/>
      <c r="KMN13" s="41"/>
      <c r="KMO13" s="41"/>
      <c r="KMP13" s="41"/>
      <c r="KMQ13" s="41"/>
      <c r="KMR13" s="41"/>
      <c r="KMS13" s="41"/>
      <c r="KMT13" s="41"/>
      <c r="KMU13" s="41"/>
      <c r="KMV13" s="41"/>
      <c r="KMW13" s="41"/>
      <c r="KMX13" s="41"/>
      <c r="KMY13" s="41"/>
      <c r="KMZ13" s="41"/>
      <c r="KNA13" s="41"/>
      <c r="KNB13" s="41"/>
      <c r="KNC13" s="41"/>
      <c r="KND13" s="41"/>
      <c r="KNE13" s="41"/>
      <c r="KNF13" s="41"/>
      <c r="KNG13" s="41"/>
      <c r="KNH13" s="41"/>
      <c r="KNI13" s="41"/>
      <c r="KNJ13" s="41"/>
      <c r="KNK13" s="41"/>
      <c r="KNL13" s="41"/>
      <c r="KNM13" s="41"/>
      <c r="KNN13" s="41"/>
      <c r="KNO13" s="41"/>
      <c r="KNP13" s="41"/>
      <c r="KNQ13" s="41"/>
      <c r="KNR13" s="41"/>
      <c r="KNS13" s="41"/>
      <c r="KNT13" s="41"/>
      <c r="KNU13" s="41"/>
      <c r="KNV13" s="41"/>
      <c r="KNW13" s="41"/>
      <c r="KNX13" s="41"/>
      <c r="KNY13" s="41"/>
      <c r="KNZ13" s="41"/>
      <c r="KOA13" s="41"/>
      <c r="KOB13" s="41"/>
      <c r="KOC13" s="41"/>
      <c r="KOD13" s="41"/>
      <c r="KOE13" s="41"/>
      <c r="KOF13" s="41"/>
      <c r="KOG13" s="41"/>
      <c r="KOH13" s="41"/>
      <c r="KOI13" s="41"/>
      <c r="KOJ13" s="41"/>
      <c r="KOK13" s="41"/>
      <c r="KOL13" s="41"/>
      <c r="KOM13" s="41"/>
      <c r="KON13" s="41"/>
      <c r="KOO13" s="41"/>
      <c r="KOP13" s="41"/>
      <c r="KOQ13" s="41"/>
      <c r="KOR13" s="41"/>
      <c r="KOS13" s="41"/>
      <c r="KOT13" s="41"/>
      <c r="KOU13" s="41"/>
      <c r="KOV13" s="41"/>
      <c r="KOW13" s="41"/>
      <c r="KOX13" s="41"/>
      <c r="KOY13" s="41"/>
      <c r="KOZ13" s="41"/>
      <c r="KPA13" s="41"/>
      <c r="KPB13" s="41"/>
      <c r="KPC13" s="41"/>
      <c r="KPD13" s="41"/>
      <c r="KPE13" s="41"/>
      <c r="KPF13" s="41"/>
      <c r="KPG13" s="41"/>
      <c r="KPH13" s="41"/>
      <c r="KPI13" s="41"/>
      <c r="KPJ13" s="41"/>
      <c r="KPK13" s="41"/>
      <c r="KPL13" s="41"/>
      <c r="KPM13" s="41"/>
      <c r="KPN13" s="41"/>
      <c r="KPO13" s="41"/>
      <c r="KPP13" s="41"/>
      <c r="KPQ13" s="41"/>
      <c r="KPR13" s="41"/>
      <c r="KPS13" s="41"/>
      <c r="KPT13" s="41"/>
      <c r="KPU13" s="41"/>
      <c r="KPV13" s="41"/>
      <c r="KPW13" s="41"/>
      <c r="KPX13" s="41"/>
      <c r="KPY13" s="41"/>
      <c r="KPZ13" s="41"/>
      <c r="KQA13" s="41"/>
      <c r="KQB13" s="41"/>
      <c r="KQC13" s="41"/>
      <c r="KQD13" s="41"/>
      <c r="KQE13" s="41"/>
      <c r="KQF13" s="41"/>
      <c r="KQG13" s="41"/>
      <c r="KQH13" s="41"/>
      <c r="KQI13" s="41"/>
      <c r="KQJ13" s="41"/>
      <c r="KQK13" s="41"/>
      <c r="KQL13" s="41"/>
      <c r="KQM13" s="41"/>
      <c r="KQN13" s="41"/>
      <c r="KQO13" s="41"/>
      <c r="KQP13" s="41"/>
      <c r="KQQ13" s="41"/>
      <c r="KQR13" s="41"/>
      <c r="KQS13" s="41"/>
      <c r="KQT13" s="41"/>
      <c r="KQU13" s="41"/>
      <c r="KQV13" s="41"/>
      <c r="KQW13" s="41"/>
      <c r="KQX13" s="41"/>
      <c r="KQY13" s="41"/>
      <c r="KQZ13" s="41"/>
      <c r="KRA13" s="41"/>
      <c r="KRB13" s="41"/>
      <c r="KRC13" s="41"/>
      <c r="KRD13" s="41"/>
      <c r="KRE13" s="41"/>
      <c r="KRF13" s="41"/>
      <c r="KRG13" s="41"/>
      <c r="KRH13" s="41"/>
      <c r="KRI13" s="41"/>
      <c r="KRJ13" s="41"/>
      <c r="KRK13" s="41"/>
      <c r="KRL13" s="41"/>
      <c r="KRM13" s="41"/>
      <c r="KRN13" s="41"/>
      <c r="KRO13" s="41"/>
      <c r="KRP13" s="41"/>
      <c r="KRQ13" s="41"/>
      <c r="KRR13" s="41"/>
      <c r="KRS13" s="41"/>
      <c r="KRT13" s="41"/>
      <c r="KRU13" s="41"/>
      <c r="KRV13" s="41"/>
      <c r="KRW13" s="41"/>
      <c r="KRX13" s="41"/>
      <c r="KRY13" s="41"/>
      <c r="KRZ13" s="41"/>
      <c r="KSA13" s="41"/>
      <c r="KSB13" s="41"/>
      <c r="KSC13" s="41"/>
      <c r="KSD13" s="41"/>
      <c r="KSE13" s="41"/>
      <c r="KSF13" s="41"/>
      <c r="KSG13" s="41"/>
      <c r="KSH13" s="41"/>
      <c r="KSI13" s="41"/>
      <c r="KSJ13" s="41"/>
      <c r="KSK13" s="41"/>
      <c r="KSL13" s="41"/>
      <c r="KSM13" s="41"/>
      <c r="KSN13" s="41"/>
      <c r="KSO13" s="41"/>
      <c r="KSP13" s="41"/>
      <c r="KSQ13" s="41"/>
      <c r="KSR13" s="41"/>
      <c r="KSS13" s="41"/>
      <c r="KST13" s="41"/>
      <c r="KSU13" s="41"/>
      <c r="KSV13" s="41"/>
      <c r="KSW13" s="41"/>
      <c r="KSX13" s="41"/>
      <c r="KSY13" s="41"/>
      <c r="KSZ13" s="41"/>
      <c r="KTA13" s="41"/>
      <c r="KTB13" s="41"/>
      <c r="KTC13" s="41"/>
      <c r="KTD13" s="41"/>
      <c r="KTE13" s="41"/>
      <c r="KTF13" s="41"/>
      <c r="KTG13" s="41"/>
      <c r="KTH13" s="41"/>
      <c r="KTI13" s="41"/>
      <c r="KTJ13" s="41"/>
      <c r="KTK13" s="41"/>
      <c r="KTL13" s="41"/>
      <c r="KTM13" s="41"/>
      <c r="KTN13" s="41"/>
      <c r="KTO13" s="41"/>
      <c r="KTP13" s="41"/>
      <c r="KTQ13" s="41"/>
      <c r="KTR13" s="41"/>
      <c r="KTS13" s="41"/>
      <c r="KTT13" s="41"/>
      <c r="KTU13" s="41"/>
      <c r="KTV13" s="41"/>
      <c r="KTW13" s="41"/>
      <c r="KTX13" s="41"/>
      <c r="KTY13" s="41"/>
      <c r="KTZ13" s="41"/>
      <c r="KUA13" s="41"/>
      <c r="KUB13" s="41"/>
      <c r="KUC13" s="41"/>
      <c r="KUD13" s="41"/>
      <c r="KUE13" s="41"/>
      <c r="KUF13" s="41"/>
      <c r="KUG13" s="41"/>
      <c r="KUH13" s="41"/>
      <c r="KUI13" s="41"/>
      <c r="KUJ13" s="41"/>
      <c r="KUK13" s="41"/>
      <c r="KUL13" s="41"/>
      <c r="KUM13" s="41"/>
      <c r="KUN13" s="41"/>
      <c r="KUO13" s="41"/>
      <c r="KUP13" s="41"/>
      <c r="KUQ13" s="41"/>
      <c r="KUR13" s="41"/>
      <c r="KUS13" s="41"/>
      <c r="KUT13" s="41"/>
      <c r="KUU13" s="41"/>
      <c r="KUV13" s="41"/>
      <c r="KUW13" s="41"/>
      <c r="KUX13" s="41"/>
      <c r="KUY13" s="41"/>
      <c r="KUZ13" s="41"/>
      <c r="KVA13" s="41"/>
      <c r="KVB13" s="41"/>
      <c r="KVC13" s="41"/>
      <c r="KVD13" s="41"/>
      <c r="KVE13" s="41"/>
      <c r="KVF13" s="41"/>
      <c r="KVG13" s="41"/>
      <c r="KVH13" s="41"/>
      <c r="KVI13" s="41"/>
      <c r="KVJ13" s="41"/>
      <c r="KVK13" s="41"/>
      <c r="KVL13" s="41"/>
      <c r="KVM13" s="41"/>
      <c r="KVN13" s="41"/>
      <c r="KVO13" s="41"/>
      <c r="KVP13" s="41"/>
      <c r="KVQ13" s="41"/>
      <c r="KVR13" s="41"/>
      <c r="KVS13" s="41"/>
      <c r="KVT13" s="41"/>
      <c r="KVU13" s="41"/>
      <c r="KVV13" s="41"/>
      <c r="KVW13" s="41"/>
      <c r="KVX13" s="41"/>
      <c r="KVY13" s="41"/>
      <c r="KVZ13" s="41"/>
      <c r="KWA13" s="41"/>
      <c r="KWB13" s="41"/>
      <c r="KWC13" s="41"/>
      <c r="KWD13" s="41"/>
      <c r="KWE13" s="41"/>
      <c r="KWF13" s="41"/>
      <c r="KWG13" s="41"/>
      <c r="KWH13" s="41"/>
      <c r="KWI13" s="41"/>
      <c r="KWJ13" s="41"/>
      <c r="KWK13" s="41"/>
      <c r="KWL13" s="41"/>
      <c r="KWM13" s="41"/>
      <c r="KWN13" s="41"/>
      <c r="KWO13" s="41"/>
      <c r="KWP13" s="41"/>
      <c r="KWQ13" s="41"/>
      <c r="KWR13" s="41"/>
      <c r="KWS13" s="41"/>
      <c r="KWT13" s="41"/>
      <c r="KWU13" s="41"/>
      <c r="KWV13" s="41"/>
      <c r="KWW13" s="41"/>
      <c r="KWX13" s="41"/>
      <c r="KWY13" s="41"/>
      <c r="KWZ13" s="41"/>
      <c r="KXA13" s="41"/>
      <c r="KXB13" s="41"/>
      <c r="KXC13" s="41"/>
      <c r="KXD13" s="41"/>
      <c r="KXE13" s="41"/>
      <c r="KXF13" s="41"/>
      <c r="KXG13" s="41"/>
      <c r="KXH13" s="41"/>
      <c r="KXI13" s="41"/>
      <c r="KXJ13" s="41"/>
      <c r="KXK13" s="41"/>
      <c r="KXL13" s="41"/>
      <c r="KXM13" s="41"/>
      <c r="KXN13" s="41"/>
      <c r="KXO13" s="41"/>
      <c r="KXP13" s="41"/>
      <c r="KXQ13" s="41"/>
      <c r="KXR13" s="41"/>
      <c r="KXS13" s="41"/>
      <c r="KXT13" s="41"/>
      <c r="KXU13" s="41"/>
      <c r="KXV13" s="41"/>
      <c r="KXW13" s="41"/>
      <c r="KXX13" s="41"/>
      <c r="KXY13" s="41"/>
      <c r="KXZ13" s="41"/>
      <c r="KYA13" s="41"/>
      <c r="KYB13" s="41"/>
      <c r="KYC13" s="41"/>
      <c r="KYD13" s="41"/>
      <c r="KYE13" s="41"/>
      <c r="KYF13" s="41"/>
      <c r="KYG13" s="41"/>
      <c r="KYH13" s="41"/>
      <c r="KYI13" s="41"/>
      <c r="KYJ13" s="41"/>
      <c r="KYK13" s="41"/>
      <c r="KYL13" s="41"/>
      <c r="KYM13" s="41"/>
      <c r="KYN13" s="41"/>
      <c r="KYO13" s="41"/>
      <c r="KYP13" s="41"/>
      <c r="KYQ13" s="41"/>
      <c r="KYR13" s="41"/>
      <c r="KYS13" s="41"/>
      <c r="KYT13" s="41"/>
      <c r="KYU13" s="41"/>
      <c r="KYV13" s="41"/>
      <c r="KYW13" s="41"/>
      <c r="KYX13" s="41"/>
      <c r="KYY13" s="41"/>
      <c r="KYZ13" s="41"/>
      <c r="KZA13" s="41"/>
      <c r="KZB13" s="41"/>
      <c r="KZC13" s="41"/>
      <c r="KZD13" s="41"/>
      <c r="KZE13" s="41"/>
      <c r="KZF13" s="41"/>
      <c r="KZG13" s="41"/>
      <c r="KZH13" s="41"/>
      <c r="KZI13" s="41"/>
      <c r="KZJ13" s="41"/>
      <c r="KZK13" s="41"/>
      <c r="KZL13" s="41"/>
      <c r="KZM13" s="41"/>
      <c r="KZN13" s="41"/>
      <c r="KZO13" s="41"/>
      <c r="KZP13" s="41"/>
      <c r="KZQ13" s="41"/>
      <c r="KZR13" s="41"/>
      <c r="KZS13" s="41"/>
      <c r="KZT13" s="41"/>
      <c r="KZU13" s="41"/>
      <c r="KZV13" s="41"/>
      <c r="KZW13" s="41"/>
      <c r="KZX13" s="41"/>
      <c r="KZY13" s="41"/>
      <c r="KZZ13" s="41"/>
      <c r="LAA13" s="41"/>
      <c r="LAB13" s="41"/>
      <c r="LAC13" s="41"/>
      <c r="LAD13" s="41"/>
      <c r="LAE13" s="41"/>
      <c r="LAF13" s="41"/>
      <c r="LAG13" s="41"/>
      <c r="LAH13" s="41"/>
      <c r="LAI13" s="41"/>
      <c r="LAJ13" s="41"/>
      <c r="LAK13" s="41"/>
      <c r="LAL13" s="41"/>
      <c r="LAM13" s="41"/>
      <c r="LAN13" s="41"/>
      <c r="LAO13" s="41"/>
      <c r="LAP13" s="41"/>
      <c r="LAQ13" s="41"/>
      <c r="LAR13" s="41"/>
      <c r="LAS13" s="41"/>
      <c r="LAT13" s="41"/>
      <c r="LAU13" s="41"/>
      <c r="LAV13" s="41"/>
      <c r="LAW13" s="41"/>
      <c r="LAX13" s="41"/>
      <c r="LAY13" s="41"/>
      <c r="LAZ13" s="41"/>
      <c r="LBA13" s="41"/>
      <c r="LBB13" s="41"/>
      <c r="LBC13" s="41"/>
      <c r="LBD13" s="41"/>
      <c r="LBE13" s="41"/>
      <c r="LBF13" s="41"/>
      <c r="LBG13" s="41"/>
      <c r="LBH13" s="41"/>
      <c r="LBI13" s="41"/>
      <c r="LBJ13" s="41"/>
      <c r="LBK13" s="41"/>
      <c r="LBL13" s="41"/>
      <c r="LBM13" s="41"/>
      <c r="LBN13" s="41"/>
      <c r="LBO13" s="41"/>
      <c r="LBP13" s="41"/>
      <c r="LBQ13" s="41"/>
      <c r="LBR13" s="41"/>
      <c r="LBS13" s="41"/>
      <c r="LBT13" s="41"/>
      <c r="LBU13" s="41"/>
      <c r="LBV13" s="41"/>
      <c r="LBW13" s="41"/>
      <c r="LBX13" s="41"/>
      <c r="LBY13" s="41"/>
      <c r="LBZ13" s="41"/>
      <c r="LCA13" s="41"/>
      <c r="LCB13" s="41"/>
      <c r="LCC13" s="41"/>
      <c r="LCD13" s="41"/>
      <c r="LCE13" s="41"/>
      <c r="LCF13" s="41"/>
      <c r="LCG13" s="41"/>
      <c r="LCH13" s="41"/>
      <c r="LCI13" s="41"/>
      <c r="LCJ13" s="41"/>
      <c r="LCK13" s="41"/>
      <c r="LCL13" s="41"/>
      <c r="LCM13" s="41"/>
      <c r="LCN13" s="41"/>
      <c r="LCO13" s="41"/>
      <c r="LCP13" s="41"/>
      <c r="LCQ13" s="41"/>
      <c r="LCR13" s="41"/>
      <c r="LCS13" s="41"/>
      <c r="LCT13" s="41"/>
      <c r="LCU13" s="41"/>
      <c r="LCV13" s="41"/>
      <c r="LCW13" s="41"/>
      <c r="LCX13" s="41"/>
      <c r="LCY13" s="41"/>
      <c r="LCZ13" s="41"/>
      <c r="LDA13" s="41"/>
      <c r="LDB13" s="41"/>
      <c r="LDC13" s="41"/>
      <c r="LDD13" s="41"/>
      <c r="LDE13" s="41"/>
      <c r="LDF13" s="41"/>
      <c r="LDG13" s="41"/>
      <c r="LDH13" s="41"/>
      <c r="LDI13" s="41"/>
      <c r="LDJ13" s="41"/>
      <c r="LDK13" s="41"/>
      <c r="LDL13" s="41"/>
      <c r="LDM13" s="41"/>
      <c r="LDN13" s="41"/>
      <c r="LDO13" s="41"/>
      <c r="LDP13" s="41"/>
      <c r="LDQ13" s="41"/>
      <c r="LDR13" s="41"/>
      <c r="LDS13" s="41"/>
      <c r="LDT13" s="41"/>
      <c r="LDU13" s="41"/>
      <c r="LDV13" s="41"/>
      <c r="LDW13" s="41"/>
      <c r="LDX13" s="41"/>
      <c r="LDY13" s="41"/>
      <c r="LDZ13" s="41"/>
      <c r="LEA13" s="41"/>
      <c r="LEB13" s="41"/>
      <c r="LEC13" s="41"/>
      <c r="LED13" s="41"/>
      <c r="LEE13" s="41"/>
      <c r="LEF13" s="41"/>
      <c r="LEG13" s="41"/>
      <c r="LEH13" s="41"/>
      <c r="LEI13" s="41"/>
      <c r="LEJ13" s="41"/>
      <c r="LEK13" s="41"/>
      <c r="LEL13" s="41"/>
      <c r="LEM13" s="41"/>
      <c r="LEN13" s="41"/>
      <c r="LEO13" s="41"/>
      <c r="LEP13" s="41"/>
      <c r="LEQ13" s="41"/>
      <c r="LER13" s="41"/>
      <c r="LES13" s="41"/>
      <c r="LET13" s="41"/>
      <c r="LEU13" s="41"/>
      <c r="LEV13" s="41"/>
      <c r="LEW13" s="41"/>
      <c r="LEX13" s="41"/>
      <c r="LEY13" s="41"/>
      <c r="LEZ13" s="41"/>
      <c r="LFA13" s="41"/>
      <c r="LFB13" s="41"/>
      <c r="LFC13" s="41"/>
      <c r="LFD13" s="41"/>
      <c r="LFE13" s="41"/>
      <c r="LFF13" s="41"/>
      <c r="LFG13" s="41"/>
      <c r="LFH13" s="41"/>
      <c r="LFI13" s="41"/>
      <c r="LFJ13" s="41"/>
      <c r="LFK13" s="41"/>
      <c r="LFL13" s="41"/>
      <c r="LFM13" s="41"/>
      <c r="LFN13" s="41"/>
      <c r="LFO13" s="41"/>
      <c r="LFP13" s="41"/>
      <c r="LFQ13" s="41"/>
      <c r="LFR13" s="41"/>
      <c r="LFS13" s="41"/>
      <c r="LFT13" s="41"/>
      <c r="LFU13" s="41"/>
      <c r="LFV13" s="41"/>
      <c r="LFW13" s="41"/>
      <c r="LFX13" s="41"/>
      <c r="LFY13" s="41"/>
      <c r="LFZ13" s="41"/>
      <c r="LGA13" s="41"/>
      <c r="LGB13" s="41"/>
      <c r="LGC13" s="41"/>
      <c r="LGD13" s="41"/>
      <c r="LGE13" s="41"/>
      <c r="LGF13" s="41"/>
      <c r="LGG13" s="41"/>
      <c r="LGH13" s="41"/>
      <c r="LGI13" s="41"/>
      <c r="LGJ13" s="41"/>
      <c r="LGK13" s="41"/>
      <c r="LGL13" s="41"/>
      <c r="LGM13" s="41"/>
      <c r="LGN13" s="41"/>
      <c r="LGO13" s="41"/>
      <c r="LGP13" s="41"/>
      <c r="LGQ13" s="41"/>
      <c r="LGR13" s="41"/>
      <c r="LGS13" s="41"/>
      <c r="LGT13" s="41"/>
      <c r="LGU13" s="41"/>
      <c r="LGV13" s="41"/>
      <c r="LGW13" s="41"/>
      <c r="LGX13" s="41"/>
      <c r="LGY13" s="41"/>
      <c r="LGZ13" s="41"/>
      <c r="LHA13" s="41"/>
      <c r="LHB13" s="41"/>
      <c r="LHC13" s="41"/>
      <c r="LHD13" s="41"/>
      <c r="LHE13" s="41"/>
      <c r="LHF13" s="41"/>
      <c r="LHG13" s="41"/>
      <c r="LHH13" s="41"/>
      <c r="LHI13" s="41"/>
      <c r="LHJ13" s="41"/>
      <c r="LHK13" s="41"/>
      <c r="LHL13" s="41"/>
      <c r="LHM13" s="41"/>
      <c r="LHN13" s="41"/>
      <c r="LHO13" s="41"/>
      <c r="LHP13" s="41"/>
      <c r="LHQ13" s="41"/>
      <c r="LHR13" s="41"/>
      <c r="LHS13" s="41"/>
      <c r="LHT13" s="41"/>
      <c r="LHU13" s="41"/>
      <c r="LHV13" s="41"/>
      <c r="LHW13" s="41"/>
      <c r="LHX13" s="41"/>
      <c r="LHY13" s="41"/>
      <c r="LHZ13" s="41"/>
      <c r="LIA13" s="41"/>
      <c r="LIB13" s="41"/>
      <c r="LIC13" s="41"/>
      <c r="LID13" s="41"/>
      <c r="LIE13" s="41"/>
      <c r="LIF13" s="41"/>
      <c r="LIG13" s="41"/>
      <c r="LIH13" s="41"/>
      <c r="LII13" s="41"/>
      <c r="LIJ13" s="41"/>
      <c r="LIK13" s="41"/>
      <c r="LIL13" s="41"/>
      <c r="LIM13" s="41"/>
      <c r="LIN13" s="41"/>
      <c r="LIO13" s="41"/>
      <c r="LIP13" s="41"/>
      <c r="LIQ13" s="41"/>
      <c r="LIR13" s="41"/>
      <c r="LIS13" s="41"/>
      <c r="LIT13" s="41"/>
      <c r="LIU13" s="41"/>
      <c r="LIV13" s="41"/>
      <c r="LIW13" s="41"/>
      <c r="LIX13" s="41"/>
      <c r="LIY13" s="41"/>
      <c r="LIZ13" s="41"/>
      <c r="LJA13" s="41"/>
      <c r="LJB13" s="41"/>
      <c r="LJC13" s="41"/>
      <c r="LJD13" s="41"/>
      <c r="LJE13" s="41"/>
      <c r="LJF13" s="41"/>
      <c r="LJG13" s="41"/>
      <c r="LJH13" s="41"/>
      <c r="LJI13" s="41"/>
      <c r="LJJ13" s="41"/>
      <c r="LJK13" s="41"/>
      <c r="LJL13" s="41"/>
      <c r="LJM13" s="41"/>
      <c r="LJN13" s="41"/>
      <c r="LJO13" s="41"/>
      <c r="LJP13" s="41"/>
      <c r="LJQ13" s="41"/>
      <c r="LJR13" s="41"/>
      <c r="LJS13" s="41"/>
      <c r="LJT13" s="41"/>
      <c r="LJU13" s="41"/>
      <c r="LJV13" s="41"/>
      <c r="LJW13" s="41"/>
      <c r="LJX13" s="41"/>
      <c r="LJY13" s="41"/>
      <c r="LJZ13" s="41"/>
      <c r="LKA13" s="41"/>
      <c r="LKB13" s="41"/>
      <c r="LKC13" s="41"/>
      <c r="LKD13" s="41"/>
      <c r="LKE13" s="41"/>
      <c r="LKF13" s="41"/>
      <c r="LKG13" s="41"/>
      <c r="LKH13" s="41"/>
      <c r="LKI13" s="41"/>
      <c r="LKJ13" s="41"/>
      <c r="LKK13" s="41"/>
      <c r="LKL13" s="41"/>
      <c r="LKM13" s="41"/>
      <c r="LKN13" s="41"/>
      <c r="LKO13" s="41"/>
      <c r="LKP13" s="41"/>
      <c r="LKQ13" s="41"/>
      <c r="LKR13" s="41"/>
      <c r="LKS13" s="41"/>
      <c r="LKT13" s="41"/>
      <c r="LKU13" s="41"/>
      <c r="LKV13" s="41"/>
      <c r="LKW13" s="41"/>
      <c r="LKX13" s="41"/>
      <c r="LKY13" s="41"/>
      <c r="LKZ13" s="41"/>
      <c r="LLA13" s="41"/>
      <c r="LLB13" s="41"/>
      <c r="LLC13" s="41"/>
      <c r="LLD13" s="41"/>
      <c r="LLE13" s="41"/>
      <c r="LLF13" s="41"/>
      <c r="LLG13" s="41"/>
      <c r="LLH13" s="41"/>
      <c r="LLI13" s="41"/>
      <c r="LLJ13" s="41"/>
      <c r="LLK13" s="41"/>
      <c r="LLL13" s="41"/>
      <c r="LLM13" s="41"/>
      <c r="LLN13" s="41"/>
      <c r="LLO13" s="41"/>
      <c r="LLP13" s="41"/>
      <c r="LLQ13" s="41"/>
      <c r="LLR13" s="41"/>
      <c r="LLS13" s="41"/>
      <c r="LLT13" s="41"/>
      <c r="LLU13" s="41"/>
      <c r="LLV13" s="41"/>
      <c r="LLW13" s="41"/>
      <c r="LLX13" s="41"/>
      <c r="LLY13" s="41"/>
      <c r="LLZ13" s="41"/>
      <c r="LMA13" s="41"/>
      <c r="LMB13" s="41"/>
      <c r="LMC13" s="41"/>
      <c r="LMD13" s="41"/>
      <c r="LME13" s="41"/>
      <c r="LMF13" s="41"/>
      <c r="LMG13" s="41"/>
      <c r="LMH13" s="41"/>
      <c r="LMI13" s="41"/>
      <c r="LMJ13" s="41"/>
      <c r="LMK13" s="41"/>
      <c r="LML13" s="41"/>
      <c r="LMM13" s="41"/>
      <c r="LMN13" s="41"/>
      <c r="LMO13" s="41"/>
      <c r="LMP13" s="41"/>
      <c r="LMQ13" s="41"/>
      <c r="LMR13" s="41"/>
      <c r="LMS13" s="41"/>
      <c r="LMT13" s="41"/>
      <c r="LMU13" s="41"/>
      <c r="LMV13" s="41"/>
      <c r="LMW13" s="41"/>
      <c r="LMX13" s="41"/>
      <c r="LMY13" s="41"/>
      <c r="LMZ13" s="41"/>
      <c r="LNA13" s="41"/>
      <c r="LNB13" s="41"/>
      <c r="LNC13" s="41"/>
      <c r="LND13" s="41"/>
      <c r="LNE13" s="41"/>
      <c r="LNF13" s="41"/>
      <c r="LNG13" s="41"/>
      <c r="LNH13" s="41"/>
      <c r="LNI13" s="41"/>
      <c r="LNJ13" s="41"/>
      <c r="LNK13" s="41"/>
      <c r="LNL13" s="41"/>
      <c r="LNM13" s="41"/>
      <c r="LNN13" s="41"/>
      <c r="LNO13" s="41"/>
      <c r="LNP13" s="41"/>
      <c r="LNQ13" s="41"/>
      <c r="LNR13" s="41"/>
      <c r="LNS13" s="41"/>
      <c r="LNT13" s="41"/>
      <c r="LNU13" s="41"/>
      <c r="LNV13" s="41"/>
      <c r="LNW13" s="41"/>
      <c r="LNX13" s="41"/>
      <c r="LNY13" s="41"/>
      <c r="LNZ13" s="41"/>
      <c r="LOA13" s="41"/>
      <c r="LOB13" s="41"/>
      <c r="LOC13" s="41"/>
      <c r="LOD13" s="41"/>
      <c r="LOE13" s="41"/>
      <c r="LOF13" s="41"/>
      <c r="LOG13" s="41"/>
      <c r="LOH13" s="41"/>
      <c r="LOI13" s="41"/>
      <c r="LOJ13" s="41"/>
      <c r="LOK13" s="41"/>
      <c r="LOL13" s="41"/>
      <c r="LOM13" s="41"/>
      <c r="LON13" s="41"/>
      <c r="LOO13" s="41"/>
      <c r="LOP13" s="41"/>
      <c r="LOQ13" s="41"/>
      <c r="LOR13" s="41"/>
      <c r="LOS13" s="41"/>
      <c r="LOT13" s="41"/>
      <c r="LOU13" s="41"/>
      <c r="LOV13" s="41"/>
      <c r="LOW13" s="41"/>
      <c r="LOX13" s="41"/>
      <c r="LOY13" s="41"/>
      <c r="LOZ13" s="41"/>
      <c r="LPA13" s="41"/>
      <c r="LPB13" s="41"/>
      <c r="LPC13" s="41"/>
      <c r="LPD13" s="41"/>
      <c r="LPE13" s="41"/>
      <c r="LPF13" s="41"/>
      <c r="LPG13" s="41"/>
      <c r="LPH13" s="41"/>
      <c r="LPI13" s="41"/>
      <c r="LPJ13" s="41"/>
      <c r="LPK13" s="41"/>
      <c r="LPL13" s="41"/>
      <c r="LPM13" s="41"/>
      <c r="LPN13" s="41"/>
      <c r="LPO13" s="41"/>
      <c r="LPP13" s="41"/>
      <c r="LPQ13" s="41"/>
      <c r="LPR13" s="41"/>
      <c r="LPS13" s="41"/>
      <c r="LPT13" s="41"/>
      <c r="LPU13" s="41"/>
      <c r="LPV13" s="41"/>
      <c r="LPW13" s="41"/>
      <c r="LPX13" s="41"/>
      <c r="LPY13" s="41"/>
      <c r="LPZ13" s="41"/>
      <c r="LQA13" s="41"/>
      <c r="LQB13" s="41"/>
      <c r="LQC13" s="41"/>
      <c r="LQD13" s="41"/>
      <c r="LQE13" s="41"/>
      <c r="LQF13" s="41"/>
      <c r="LQG13" s="41"/>
      <c r="LQH13" s="41"/>
      <c r="LQI13" s="41"/>
      <c r="LQJ13" s="41"/>
      <c r="LQK13" s="41"/>
      <c r="LQL13" s="41"/>
      <c r="LQM13" s="41"/>
      <c r="LQN13" s="41"/>
      <c r="LQO13" s="41"/>
      <c r="LQP13" s="41"/>
      <c r="LQQ13" s="41"/>
      <c r="LQR13" s="41"/>
      <c r="LQS13" s="41"/>
      <c r="LQT13" s="41"/>
      <c r="LQU13" s="41"/>
      <c r="LQV13" s="41"/>
      <c r="LQW13" s="41"/>
      <c r="LQX13" s="41"/>
      <c r="LQY13" s="41"/>
      <c r="LQZ13" s="41"/>
      <c r="LRA13" s="41"/>
      <c r="LRB13" s="41"/>
      <c r="LRC13" s="41"/>
      <c r="LRD13" s="41"/>
      <c r="LRE13" s="41"/>
      <c r="LRF13" s="41"/>
      <c r="LRG13" s="41"/>
      <c r="LRH13" s="41"/>
      <c r="LRI13" s="41"/>
      <c r="LRJ13" s="41"/>
      <c r="LRK13" s="41"/>
      <c r="LRL13" s="41"/>
      <c r="LRM13" s="41"/>
      <c r="LRN13" s="41"/>
      <c r="LRO13" s="41"/>
      <c r="LRP13" s="41"/>
      <c r="LRQ13" s="41"/>
      <c r="LRR13" s="41"/>
      <c r="LRS13" s="41"/>
      <c r="LRT13" s="41"/>
      <c r="LRU13" s="41"/>
      <c r="LRV13" s="41"/>
      <c r="LRW13" s="41"/>
      <c r="LRX13" s="41"/>
      <c r="LRY13" s="41"/>
      <c r="LRZ13" s="41"/>
      <c r="LSA13" s="41"/>
      <c r="LSB13" s="41"/>
      <c r="LSC13" s="41"/>
      <c r="LSD13" s="41"/>
      <c r="LSE13" s="41"/>
      <c r="LSF13" s="41"/>
      <c r="LSG13" s="41"/>
      <c r="LSH13" s="41"/>
      <c r="LSI13" s="41"/>
      <c r="LSJ13" s="41"/>
      <c r="LSK13" s="41"/>
      <c r="LSL13" s="41"/>
      <c r="LSM13" s="41"/>
      <c r="LSN13" s="41"/>
      <c r="LSO13" s="41"/>
      <c r="LSP13" s="41"/>
      <c r="LSQ13" s="41"/>
      <c r="LSR13" s="41"/>
      <c r="LSS13" s="41"/>
      <c r="LST13" s="41"/>
      <c r="LSU13" s="41"/>
      <c r="LSV13" s="41"/>
      <c r="LSW13" s="41"/>
      <c r="LSX13" s="41"/>
      <c r="LSY13" s="41"/>
      <c r="LSZ13" s="41"/>
      <c r="LTA13" s="41"/>
      <c r="LTB13" s="41"/>
      <c r="LTC13" s="41"/>
      <c r="LTD13" s="41"/>
      <c r="LTE13" s="41"/>
      <c r="LTF13" s="41"/>
      <c r="LTG13" s="41"/>
      <c r="LTH13" s="41"/>
      <c r="LTI13" s="41"/>
      <c r="LTJ13" s="41"/>
      <c r="LTK13" s="41"/>
      <c r="LTL13" s="41"/>
      <c r="LTM13" s="41"/>
      <c r="LTN13" s="41"/>
      <c r="LTO13" s="41"/>
      <c r="LTP13" s="41"/>
      <c r="LTQ13" s="41"/>
      <c r="LTR13" s="41"/>
      <c r="LTS13" s="41"/>
      <c r="LTT13" s="41"/>
      <c r="LTU13" s="41"/>
      <c r="LTV13" s="41"/>
      <c r="LTW13" s="41"/>
      <c r="LTX13" s="41"/>
      <c r="LTY13" s="41"/>
      <c r="LTZ13" s="41"/>
      <c r="LUA13" s="41"/>
      <c r="LUB13" s="41"/>
      <c r="LUC13" s="41"/>
      <c r="LUD13" s="41"/>
      <c r="LUE13" s="41"/>
      <c r="LUF13" s="41"/>
      <c r="LUG13" s="41"/>
      <c r="LUH13" s="41"/>
      <c r="LUI13" s="41"/>
      <c r="LUJ13" s="41"/>
      <c r="LUK13" s="41"/>
      <c r="LUL13" s="41"/>
      <c r="LUM13" s="41"/>
      <c r="LUN13" s="41"/>
      <c r="LUO13" s="41"/>
      <c r="LUP13" s="41"/>
      <c r="LUQ13" s="41"/>
      <c r="LUR13" s="41"/>
      <c r="LUS13" s="41"/>
      <c r="LUT13" s="41"/>
      <c r="LUU13" s="41"/>
      <c r="LUV13" s="41"/>
      <c r="LUW13" s="41"/>
      <c r="LUX13" s="41"/>
      <c r="LUY13" s="41"/>
      <c r="LUZ13" s="41"/>
      <c r="LVA13" s="41"/>
      <c r="LVB13" s="41"/>
      <c r="LVC13" s="41"/>
      <c r="LVD13" s="41"/>
      <c r="LVE13" s="41"/>
      <c r="LVF13" s="41"/>
      <c r="LVG13" s="41"/>
      <c r="LVH13" s="41"/>
      <c r="LVI13" s="41"/>
      <c r="LVJ13" s="41"/>
      <c r="LVK13" s="41"/>
      <c r="LVL13" s="41"/>
      <c r="LVM13" s="41"/>
      <c r="LVN13" s="41"/>
      <c r="LVO13" s="41"/>
      <c r="LVP13" s="41"/>
      <c r="LVQ13" s="41"/>
      <c r="LVR13" s="41"/>
      <c r="LVS13" s="41"/>
      <c r="LVT13" s="41"/>
      <c r="LVU13" s="41"/>
      <c r="LVV13" s="41"/>
      <c r="LVW13" s="41"/>
      <c r="LVX13" s="41"/>
      <c r="LVY13" s="41"/>
      <c r="LVZ13" s="41"/>
      <c r="LWA13" s="41"/>
      <c r="LWB13" s="41"/>
      <c r="LWC13" s="41"/>
      <c r="LWD13" s="41"/>
      <c r="LWE13" s="41"/>
      <c r="LWF13" s="41"/>
      <c r="LWG13" s="41"/>
      <c r="LWH13" s="41"/>
      <c r="LWI13" s="41"/>
      <c r="LWJ13" s="41"/>
      <c r="LWK13" s="41"/>
      <c r="LWL13" s="41"/>
      <c r="LWM13" s="41"/>
      <c r="LWN13" s="41"/>
      <c r="LWO13" s="41"/>
      <c r="LWP13" s="41"/>
      <c r="LWQ13" s="41"/>
      <c r="LWR13" s="41"/>
      <c r="LWS13" s="41"/>
      <c r="LWT13" s="41"/>
      <c r="LWU13" s="41"/>
      <c r="LWV13" s="41"/>
      <c r="LWW13" s="41"/>
      <c r="LWX13" s="41"/>
      <c r="LWY13" s="41"/>
      <c r="LWZ13" s="41"/>
      <c r="LXA13" s="41"/>
      <c r="LXB13" s="41"/>
      <c r="LXC13" s="41"/>
      <c r="LXD13" s="41"/>
      <c r="LXE13" s="41"/>
      <c r="LXF13" s="41"/>
      <c r="LXG13" s="41"/>
      <c r="LXH13" s="41"/>
      <c r="LXI13" s="41"/>
      <c r="LXJ13" s="41"/>
      <c r="LXK13" s="41"/>
      <c r="LXL13" s="41"/>
      <c r="LXM13" s="41"/>
      <c r="LXN13" s="41"/>
      <c r="LXO13" s="41"/>
      <c r="LXP13" s="41"/>
      <c r="LXQ13" s="41"/>
      <c r="LXR13" s="41"/>
      <c r="LXS13" s="41"/>
      <c r="LXT13" s="41"/>
      <c r="LXU13" s="41"/>
      <c r="LXV13" s="41"/>
      <c r="LXW13" s="41"/>
      <c r="LXX13" s="41"/>
      <c r="LXY13" s="41"/>
      <c r="LXZ13" s="41"/>
      <c r="LYA13" s="41"/>
      <c r="LYB13" s="41"/>
      <c r="LYC13" s="41"/>
      <c r="LYD13" s="41"/>
      <c r="LYE13" s="41"/>
      <c r="LYF13" s="41"/>
      <c r="LYG13" s="41"/>
      <c r="LYH13" s="41"/>
      <c r="LYI13" s="41"/>
      <c r="LYJ13" s="41"/>
      <c r="LYK13" s="41"/>
      <c r="LYL13" s="41"/>
      <c r="LYM13" s="41"/>
      <c r="LYN13" s="41"/>
      <c r="LYO13" s="41"/>
      <c r="LYP13" s="41"/>
      <c r="LYQ13" s="41"/>
      <c r="LYR13" s="41"/>
      <c r="LYS13" s="41"/>
      <c r="LYT13" s="41"/>
      <c r="LYU13" s="41"/>
      <c r="LYV13" s="41"/>
      <c r="LYW13" s="41"/>
      <c r="LYX13" s="41"/>
      <c r="LYY13" s="41"/>
      <c r="LYZ13" s="41"/>
      <c r="LZA13" s="41"/>
      <c r="LZB13" s="41"/>
      <c r="LZC13" s="41"/>
      <c r="LZD13" s="41"/>
      <c r="LZE13" s="41"/>
      <c r="LZF13" s="41"/>
      <c r="LZG13" s="41"/>
      <c r="LZH13" s="41"/>
      <c r="LZI13" s="41"/>
      <c r="LZJ13" s="41"/>
      <c r="LZK13" s="41"/>
      <c r="LZL13" s="41"/>
      <c r="LZM13" s="41"/>
      <c r="LZN13" s="41"/>
      <c r="LZO13" s="41"/>
      <c r="LZP13" s="41"/>
      <c r="LZQ13" s="41"/>
      <c r="LZR13" s="41"/>
      <c r="LZS13" s="41"/>
      <c r="LZT13" s="41"/>
      <c r="LZU13" s="41"/>
      <c r="LZV13" s="41"/>
      <c r="LZW13" s="41"/>
      <c r="LZX13" s="41"/>
      <c r="LZY13" s="41"/>
      <c r="LZZ13" s="41"/>
      <c r="MAA13" s="41"/>
      <c r="MAB13" s="41"/>
      <c r="MAC13" s="41"/>
      <c r="MAD13" s="41"/>
      <c r="MAE13" s="41"/>
      <c r="MAF13" s="41"/>
      <c r="MAG13" s="41"/>
      <c r="MAH13" s="41"/>
      <c r="MAI13" s="41"/>
      <c r="MAJ13" s="41"/>
      <c r="MAK13" s="41"/>
      <c r="MAL13" s="41"/>
      <c r="MAM13" s="41"/>
      <c r="MAN13" s="41"/>
      <c r="MAO13" s="41"/>
      <c r="MAP13" s="41"/>
      <c r="MAQ13" s="41"/>
      <c r="MAR13" s="41"/>
      <c r="MAS13" s="41"/>
      <c r="MAT13" s="41"/>
      <c r="MAU13" s="41"/>
      <c r="MAV13" s="41"/>
      <c r="MAW13" s="41"/>
      <c r="MAX13" s="41"/>
      <c r="MAY13" s="41"/>
      <c r="MAZ13" s="41"/>
      <c r="MBA13" s="41"/>
      <c r="MBB13" s="41"/>
      <c r="MBC13" s="41"/>
      <c r="MBD13" s="41"/>
      <c r="MBE13" s="41"/>
      <c r="MBF13" s="41"/>
      <c r="MBG13" s="41"/>
      <c r="MBH13" s="41"/>
      <c r="MBI13" s="41"/>
      <c r="MBJ13" s="41"/>
      <c r="MBK13" s="41"/>
      <c r="MBL13" s="41"/>
      <c r="MBM13" s="41"/>
      <c r="MBN13" s="41"/>
      <c r="MBO13" s="41"/>
      <c r="MBP13" s="41"/>
      <c r="MBQ13" s="41"/>
      <c r="MBR13" s="41"/>
      <c r="MBS13" s="41"/>
      <c r="MBT13" s="41"/>
      <c r="MBU13" s="41"/>
      <c r="MBV13" s="41"/>
      <c r="MBW13" s="41"/>
      <c r="MBX13" s="41"/>
      <c r="MBY13" s="41"/>
      <c r="MBZ13" s="41"/>
      <c r="MCA13" s="41"/>
      <c r="MCB13" s="41"/>
      <c r="MCC13" s="41"/>
      <c r="MCD13" s="41"/>
      <c r="MCE13" s="41"/>
      <c r="MCF13" s="41"/>
      <c r="MCG13" s="41"/>
      <c r="MCH13" s="41"/>
      <c r="MCI13" s="41"/>
      <c r="MCJ13" s="41"/>
      <c r="MCK13" s="41"/>
      <c r="MCL13" s="41"/>
      <c r="MCM13" s="41"/>
      <c r="MCN13" s="41"/>
      <c r="MCO13" s="41"/>
      <c r="MCP13" s="41"/>
      <c r="MCQ13" s="41"/>
      <c r="MCR13" s="41"/>
      <c r="MCS13" s="41"/>
      <c r="MCT13" s="41"/>
      <c r="MCU13" s="41"/>
      <c r="MCV13" s="41"/>
      <c r="MCW13" s="41"/>
      <c r="MCX13" s="41"/>
      <c r="MCY13" s="41"/>
      <c r="MCZ13" s="41"/>
      <c r="MDA13" s="41"/>
      <c r="MDB13" s="41"/>
      <c r="MDC13" s="41"/>
      <c r="MDD13" s="41"/>
      <c r="MDE13" s="41"/>
      <c r="MDF13" s="41"/>
      <c r="MDG13" s="41"/>
      <c r="MDH13" s="41"/>
      <c r="MDI13" s="41"/>
      <c r="MDJ13" s="41"/>
      <c r="MDK13" s="41"/>
      <c r="MDL13" s="41"/>
      <c r="MDM13" s="41"/>
      <c r="MDN13" s="41"/>
      <c r="MDO13" s="41"/>
      <c r="MDP13" s="41"/>
      <c r="MDQ13" s="41"/>
      <c r="MDR13" s="41"/>
      <c r="MDS13" s="41"/>
      <c r="MDT13" s="41"/>
      <c r="MDU13" s="41"/>
      <c r="MDV13" s="41"/>
      <c r="MDW13" s="41"/>
      <c r="MDX13" s="41"/>
      <c r="MDY13" s="41"/>
      <c r="MDZ13" s="41"/>
      <c r="MEA13" s="41"/>
      <c r="MEB13" s="41"/>
      <c r="MEC13" s="41"/>
      <c r="MED13" s="41"/>
      <c r="MEE13" s="41"/>
      <c r="MEF13" s="41"/>
      <c r="MEG13" s="41"/>
      <c r="MEH13" s="41"/>
      <c r="MEI13" s="41"/>
      <c r="MEJ13" s="41"/>
      <c r="MEK13" s="41"/>
      <c r="MEL13" s="41"/>
      <c r="MEM13" s="41"/>
      <c r="MEN13" s="41"/>
      <c r="MEO13" s="41"/>
      <c r="MEP13" s="41"/>
      <c r="MEQ13" s="41"/>
      <c r="MER13" s="41"/>
      <c r="MES13" s="41"/>
      <c r="MET13" s="41"/>
      <c r="MEU13" s="41"/>
      <c r="MEV13" s="41"/>
      <c r="MEW13" s="41"/>
      <c r="MEX13" s="41"/>
      <c r="MEY13" s="41"/>
      <c r="MEZ13" s="41"/>
      <c r="MFA13" s="41"/>
      <c r="MFB13" s="41"/>
      <c r="MFC13" s="41"/>
      <c r="MFD13" s="41"/>
      <c r="MFE13" s="41"/>
      <c r="MFF13" s="41"/>
      <c r="MFG13" s="41"/>
      <c r="MFH13" s="41"/>
      <c r="MFI13" s="41"/>
      <c r="MFJ13" s="41"/>
      <c r="MFK13" s="41"/>
      <c r="MFL13" s="41"/>
      <c r="MFM13" s="41"/>
      <c r="MFN13" s="41"/>
      <c r="MFO13" s="41"/>
      <c r="MFP13" s="41"/>
      <c r="MFQ13" s="41"/>
      <c r="MFR13" s="41"/>
      <c r="MFS13" s="41"/>
      <c r="MFT13" s="41"/>
      <c r="MFU13" s="41"/>
      <c r="MFV13" s="41"/>
      <c r="MFW13" s="41"/>
      <c r="MFX13" s="41"/>
      <c r="MFY13" s="41"/>
      <c r="MFZ13" s="41"/>
      <c r="MGA13" s="41"/>
      <c r="MGB13" s="41"/>
      <c r="MGC13" s="41"/>
      <c r="MGD13" s="41"/>
      <c r="MGE13" s="41"/>
      <c r="MGF13" s="41"/>
      <c r="MGG13" s="41"/>
      <c r="MGH13" s="41"/>
      <c r="MGI13" s="41"/>
      <c r="MGJ13" s="41"/>
      <c r="MGK13" s="41"/>
      <c r="MGL13" s="41"/>
      <c r="MGM13" s="41"/>
      <c r="MGN13" s="41"/>
      <c r="MGO13" s="41"/>
      <c r="MGP13" s="41"/>
      <c r="MGQ13" s="41"/>
      <c r="MGR13" s="41"/>
      <c r="MGS13" s="41"/>
      <c r="MGT13" s="41"/>
      <c r="MGU13" s="41"/>
      <c r="MGV13" s="41"/>
      <c r="MGW13" s="41"/>
      <c r="MGX13" s="41"/>
      <c r="MGY13" s="41"/>
      <c r="MGZ13" s="41"/>
      <c r="MHA13" s="41"/>
      <c r="MHB13" s="41"/>
      <c r="MHC13" s="41"/>
      <c r="MHD13" s="41"/>
      <c r="MHE13" s="41"/>
      <c r="MHF13" s="41"/>
      <c r="MHG13" s="41"/>
      <c r="MHH13" s="41"/>
      <c r="MHI13" s="41"/>
      <c r="MHJ13" s="41"/>
      <c r="MHK13" s="41"/>
      <c r="MHL13" s="41"/>
      <c r="MHM13" s="41"/>
      <c r="MHN13" s="41"/>
      <c r="MHO13" s="41"/>
      <c r="MHP13" s="41"/>
      <c r="MHQ13" s="41"/>
      <c r="MHR13" s="41"/>
      <c r="MHS13" s="41"/>
      <c r="MHT13" s="41"/>
      <c r="MHU13" s="41"/>
      <c r="MHV13" s="41"/>
      <c r="MHW13" s="41"/>
      <c r="MHX13" s="41"/>
      <c r="MHY13" s="41"/>
      <c r="MHZ13" s="41"/>
      <c r="MIA13" s="41"/>
      <c r="MIB13" s="41"/>
      <c r="MIC13" s="41"/>
      <c r="MID13" s="41"/>
      <c r="MIE13" s="41"/>
      <c r="MIF13" s="41"/>
      <c r="MIG13" s="41"/>
      <c r="MIH13" s="41"/>
      <c r="MII13" s="41"/>
      <c r="MIJ13" s="41"/>
      <c r="MIK13" s="41"/>
      <c r="MIL13" s="41"/>
      <c r="MIM13" s="41"/>
      <c r="MIN13" s="41"/>
      <c r="MIO13" s="41"/>
      <c r="MIP13" s="41"/>
      <c r="MIQ13" s="41"/>
      <c r="MIR13" s="41"/>
      <c r="MIS13" s="41"/>
      <c r="MIT13" s="41"/>
      <c r="MIU13" s="41"/>
      <c r="MIV13" s="41"/>
      <c r="MIW13" s="41"/>
      <c r="MIX13" s="41"/>
      <c r="MIY13" s="41"/>
      <c r="MIZ13" s="41"/>
      <c r="MJA13" s="41"/>
      <c r="MJB13" s="41"/>
      <c r="MJC13" s="41"/>
      <c r="MJD13" s="41"/>
      <c r="MJE13" s="41"/>
      <c r="MJF13" s="41"/>
      <c r="MJG13" s="41"/>
      <c r="MJH13" s="41"/>
      <c r="MJI13" s="41"/>
      <c r="MJJ13" s="41"/>
      <c r="MJK13" s="41"/>
      <c r="MJL13" s="41"/>
      <c r="MJM13" s="41"/>
      <c r="MJN13" s="41"/>
      <c r="MJO13" s="41"/>
      <c r="MJP13" s="41"/>
      <c r="MJQ13" s="41"/>
      <c r="MJR13" s="41"/>
      <c r="MJS13" s="41"/>
      <c r="MJT13" s="41"/>
      <c r="MJU13" s="41"/>
      <c r="MJV13" s="41"/>
      <c r="MJW13" s="41"/>
      <c r="MJX13" s="41"/>
      <c r="MJY13" s="41"/>
      <c r="MJZ13" s="41"/>
      <c r="MKA13" s="41"/>
      <c r="MKB13" s="41"/>
      <c r="MKC13" s="41"/>
      <c r="MKD13" s="41"/>
      <c r="MKE13" s="41"/>
      <c r="MKF13" s="41"/>
      <c r="MKG13" s="41"/>
      <c r="MKH13" s="41"/>
      <c r="MKI13" s="41"/>
      <c r="MKJ13" s="41"/>
      <c r="MKK13" s="41"/>
      <c r="MKL13" s="41"/>
      <c r="MKM13" s="41"/>
      <c r="MKN13" s="41"/>
      <c r="MKO13" s="41"/>
      <c r="MKP13" s="41"/>
      <c r="MKQ13" s="41"/>
      <c r="MKR13" s="41"/>
      <c r="MKS13" s="41"/>
      <c r="MKT13" s="41"/>
      <c r="MKU13" s="41"/>
      <c r="MKV13" s="41"/>
      <c r="MKW13" s="41"/>
      <c r="MKX13" s="41"/>
      <c r="MKY13" s="41"/>
      <c r="MKZ13" s="41"/>
      <c r="MLA13" s="41"/>
      <c r="MLB13" s="41"/>
      <c r="MLC13" s="41"/>
      <c r="MLD13" s="41"/>
      <c r="MLE13" s="41"/>
      <c r="MLF13" s="41"/>
      <c r="MLG13" s="41"/>
      <c r="MLH13" s="41"/>
      <c r="MLI13" s="41"/>
      <c r="MLJ13" s="41"/>
      <c r="MLK13" s="41"/>
      <c r="MLL13" s="41"/>
      <c r="MLM13" s="41"/>
      <c r="MLN13" s="41"/>
      <c r="MLO13" s="41"/>
      <c r="MLP13" s="41"/>
      <c r="MLQ13" s="41"/>
      <c r="MLR13" s="41"/>
      <c r="MLS13" s="41"/>
      <c r="MLT13" s="41"/>
      <c r="MLU13" s="41"/>
      <c r="MLV13" s="41"/>
      <c r="MLW13" s="41"/>
      <c r="MLX13" s="41"/>
      <c r="MLY13" s="41"/>
      <c r="MLZ13" s="41"/>
      <c r="MMA13" s="41"/>
      <c r="MMB13" s="41"/>
      <c r="MMC13" s="41"/>
      <c r="MMD13" s="41"/>
      <c r="MME13" s="41"/>
      <c r="MMF13" s="41"/>
      <c r="MMG13" s="41"/>
      <c r="MMH13" s="41"/>
      <c r="MMI13" s="41"/>
      <c r="MMJ13" s="41"/>
      <c r="MMK13" s="41"/>
      <c r="MML13" s="41"/>
      <c r="MMM13" s="41"/>
      <c r="MMN13" s="41"/>
      <c r="MMO13" s="41"/>
      <c r="MMP13" s="41"/>
      <c r="MMQ13" s="41"/>
      <c r="MMR13" s="41"/>
      <c r="MMS13" s="41"/>
      <c r="MMT13" s="41"/>
      <c r="MMU13" s="41"/>
      <c r="MMV13" s="41"/>
      <c r="MMW13" s="41"/>
      <c r="MMX13" s="41"/>
      <c r="MMY13" s="41"/>
      <c r="MMZ13" s="41"/>
      <c r="MNA13" s="41"/>
      <c r="MNB13" s="41"/>
      <c r="MNC13" s="41"/>
      <c r="MND13" s="41"/>
      <c r="MNE13" s="41"/>
      <c r="MNF13" s="41"/>
      <c r="MNG13" s="41"/>
      <c r="MNH13" s="41"/>
      <c r="MNI13" s="41"/>
      <c r="MNJ13" s="41"/>
      <c r="MNK13" s="41"/>
      <c r="MNL13" s="41"/>
      <c r="MNM13" s="41"/>
      <c r="MNN13" s="41"/>
      <c r="MNO13" s="41"/>
      <c r="MNP13" s="41"/>
      <c r="MNQ13" s="41"/>
      <c r="MNR13" s="41"/>
      <c r="MNS13" s="41"/>
      <c r="MNT13" s="41"/>
      <c r="MNU13" s="41"/>
      <c r="MNV13" s="41"/>
      <c r="MNW13" s="41"/>
      <c r="MNX13" s="41"/>
      <c r="MNY13" s="41"/>
      <c r="MNZ13" s="41"/>
      <c r="MOA13" s="41"/>
      <c r="MOB13" s="41"/>
      <c r="MOC13" s="41"/>
      <c r="MOD13" s="41"/>
      <c r="MOE13" s="41"/>
      <c r="MOF13" s="41"/>
      <c r="MOG13" s="41"/>
      <c r="MOH13" s="41"/>
      <c r="MOI13" s="41"/>
      <c r="MOJ13" s="41"/>
      <c r="MOK13" s="41"/>
      <c r="MOL13" s="41"/>
      <c r="MOM13" s="41"/>
      <c r="MON13" s="41"/>
      <c r="MOO13" s="41"/>
      <c r="MOP13" s="41"/>
      <c r="MOQ13" s="41"/>
      <c r="MOR13" s="41"/>
      <c r="MOS13" s="41"/>
      <c r="MOT13" s="41"/>
      <c r="MOU13" s="41"/>
      <c r="MOV13" s="41"/>
      <c r="MOW13" s="41"/>
      <c r="MOX13" s="41"/>
      <c r="MOY13" s="41"/>
      <c r="MOZ13" s="41"/>
      <c r="MPA13" s="41"/>
      <c r="MPB13" s="41"/>
      <c r="MPC13" s="41"/>
      <c r="MPD13" s="41"/>
      <c r="MPE13" s="41"/>
      <c r="MPF13" s="41"/>
      <c r="MPG13" s="41"/>
      <c r="MPH13" s="41"/>
      <c r="MPI13" s="41"/>
      <c r="MPJ13" s="41"/>
      <c r="MPK13" s="41"/>
      <c r="MPL13" s="41"/>
      <c r="MPM13" s="41"/>
      <c r="MPN13" s="41"/>
      <c r="MPO13" s="41"/>
      <c r="MPP13" s="41"/>
      <c r="MPQ13" s="41"/>
      <c r="MPR13" s="41"/>
      <c r="MPS13" s="41"/>
      <c r="MPT13" s="41"/>
      <c r="MPU13" s="41"/>
      <c r="MPV13" s="41"/>
      <c r="MPW13" s="41"/>
      <c r="MPX13" s="41"/>
      <c r="MPY13" s="41"/>
      <c r="MPZ13" s="41"/>
      <c r="MQA13" s="41"/>
      <c r="MQB13" s="41"/>
      <c r="MQC13" s="41"/>
      <c r="MQD13" s="41"/>
      <c r="MQE13" s="41"/>
      <c r="MQF13" s="41"/>
      <c r="MQG13" s="41"/>
      <c r="MQH13" s="41"/>
      <c r="MQI13" s="41"/>
      <c r="MQJ13" s="41"/>
      <c r="MQK13" s="41"/>
      <c r="MQL13" s="41"/>
      <c r="MQM13" s="41"/>
      <c r="MQN13" s="41"/>
      <c r="MQO13" s="41"/>
      <c r="MQP13" s="41"/>
      <c r="MQQ13" s="41"/>
      <c r="MQR13" s="41"/>
      <c r="MQS13" s="41"/>
      <c r="MQT13" s="41"/>
      <c r="MQU13" s="41"/>
      <c r="MQV13" s="41"/>
      <c r="MQW13" s="41"/>
      <c r="MQX13" s="41"/>
      <c r="MQY13" s="41"/>
      <c r="MQZ13" s="41"/>
      <c r="MRA13" s="41"/>
      <c r="MRB13" s="41"/>
      <c r="MRC13" s="41"/>
      <c r="MRD13" s="41"/>
      <c r="MRE13" s="41"/>
      <c r="MRF13" s="41"/>
      <c r="MRG13" s="41"/>
      <c r="MRH13" s="41"/>
      <c r="MRI13" s="41"/>
      <c r="MRJ13" s="41"/>
      <c r="MRK13" s="41"/>
      <c r="MRL13" s="41"/>
      <c r="MRM13" s="41"/>
      <c r="MRN13" s="41"/>
      <c r="MRO13" s="41"/>
      <c r="MRP13" s="41"/>
      <c r="MRQ13" s="41"/>
      <c r="MRR13" s="41"/>
      <c r="MRS13" s="41"/>
      <c r="MRT13" s="41"/>
      <c r="MRU13" s="41"/>
      <c r="MRV13" s="41"/>
      <c r="MRW13" s="41"/>
      <c r="MRX13" s="41"/>
      <c r="MRY13" s="41"/>
      <c r="MRZ13" s="41"/>
      <c r="MSA13" s="41"/>
      <c r="MSB13" s="41"/>
      <c r="MSC13" s="41"/>
      <c r="MSD13" s="41"/>
      <c r="MSE13" s="41"/>
      <c r="MSF13" s="41"/>
      <c r="MSG13" s="41"/>
      <c r="MSH13" s="41"/>
      <c r="MSI13" s="41"/>
      <c r="MSJ13" s="41"/>
      <c r="MSK13" s="41"/>
      <c r="MSL13" s="41"/>
      <c r="MSM13" s="41"/>
      <c r="MSN13" s="41"/>
      <c r="MSO13" s="41"/>
      <c r="MSP13" s="41"/>
      <c r="MSQ13" s="41"/>
      <c r="MSR13" s="41"/>
      <c r="MSS13" s="41"/>
      <c r="MST13" s="41"/>
      <c r="MSU13" s="41"/>
      <c r="MSV13" s="41"/>
      <c r="MSW13" s="41"/>
      <c r="MSX13" s="41"/>
      <c r="MSY13" s="41"/>
      <c r="MSZ13" s="41"/>
      <c r="MTA13" s="41"/>
      <c r="MTB13" s="41"/>
      <c r="MTC13" s="41"/>
      <c r="MTD13" s="41"/>
      <c r="MTE13" s="41"/>
      <c r="MTF13" s="41"/>
      <c r="MTG13" s="41"/>
      <c r="MTH13" s="41"/>
      <c r="MTI13" s="41"/>
      <c r="MTJ13" s="41"/>
      <c r="MTK13" s="41"/>
      <c r="MTL13" s="41"/>
      <c r="MTM13" s="41"/>
      <c r="MTN13" s="41"/>
      <c r="MTO13" s="41"/>
      <c r="MTP13" s="41"/>
      <c r="MTQ13" s="41"/>
      <c r="MTR13" s="41"/>
      <c r="MTS13" s="41"/>
      <c r="MTT13" s="41"/>
      <c r="MTU13" s="41"/>
      <c r="MTV13" s="41"/>
      <c r="MTW13" s="41"/>
      <c r="MTX13" s="41"/>
      <c r="MTY13" s="41"/>
      <c r="MTZ13" s="41"/>
      <c r="MUA13" s="41"/>
      <c r="MUB13" s="41"/>
      <c r="MUC13" s="41"/>
      <c r="MUD13" s="41"/>
      <c r="MUE13" s="41"/>
      <c r="MUF13" s="41"/>
      <c r="MUG13" s="41"/>
      <c r="MUH13" s="41"/>
      <c r="MUI13" s="41"/>
      <c r="MUJ13" s="41"/>
      <c r="MUK13" s="41"/>
      <c r="MUL13" s="41"/>
      <c r="MUM13" s="41"/>
      <c r="MUN13" s="41"/>
      <c r="MUO13" s="41"/>
      <c r="MUP13" s="41"/>
      <c r="MUQ13" s="41"/>
      <c r="MUR13" s="41"/>
      <c r="MUS13" s="41"/>
      <c r="MUT13" s="41"/>
      <c r="MUU13" s="41"/>
      <c r="MUV13" s="41"/>
      <c r="MUW13" s="41"/>
      <c r="MUX13" s="41"/>
      <c r="MUY13" s="41"/>
      <c r="MUZ13" s="41"/>
      <c r="MVA13" s="41"/>
      <c r="MVB13" s="41"/>
      <c r="MVC13" s="41"/>
      <c r="MVD13" s="41"/>
      <c r="MVE13" s="41"/>
      <c r="MVF13" s="41"/>
      <c r="MVG13" s="41"/>
      <c r="MVH13" s="41"/>
      <c r="MVI13" s="41"/>
      <c r="MVJ13" s="41"/>
      <c r="MVK13" s="41"/>
      <c r="MVL13" s="41"/>
      <c r="MVM13" s="41"/>
      <c r="MVN13" s="41"/>
      <c r="MVO13" s="41"/>
      <c r="MVP13" s="41"/>
      <c r="MVQ13" s="41"/>
      <c r="MVR13" s="41"/>
      <c r="MVS13" s="41"/>
      <c r="MVT13" s="41"/>
      <c r="MVU13" s="41"/>
      <c r="MVV13" s="41"/>
      <c r="MVW13" s="41"/>
      <c r="MVX13" s="41"/>
      <c r="MVY13" s="41"/>
      <c r="MVZ13" s="41"/>
      <c r="MWA13" s="41"/>
      <c r="MWB13" s="41"/>
      <c r="MWC13" s="41"/>
      <c r="MWD13" s="41"/>
      <c r="MWE13" s="41"/>
      <c r="MWF13" s="41"/>
      <c r="MWG13" s="41"/>
      <c r="MWH13" s="41"/>
      <c r="MWI13" s="41"/>
      <c r="MWJ13" s="41"/>
      <c r="MWK13" s="41"/>
      <c r="MWL13" s="41"/>
      <c r="MWM13" s="41"/>
      <c r="MWN13" s="41"/>
      <c r="MWO13" s="41"/>
      <c r="MWP13" s="41"/>
      <c r="MWQ13" s="41"/>
      <c r="MWR13" s="41"/>
      <c r="MWS13" s="41"/>
      <c r="MWT13" s="41"/>
      <c r="MWU13" s="41"/>
      <c r="MWV13" s="41"/>
      <c r="MWW13" s="41"/>
      <c r="MWX13" s="41"/>
      <c r="MWY13" s="41"/>
      <c r="MWZ13" s="41"/>
      <c r="MXA13" s="41"/>
      <c r="MXB13" s="41"/>
      <c r="MXC13" s="41"/>
      <c r="MXD13" s="41"/>
      <c r="MXE13" s="41"/>
      <c r="MXF13" s="41"/>
      <c r="MXG13" s="41"/>
      <c r="MXH13" s="41"/>
      <c r="MXI13" s="41"/>
      <c r="MXJ13" s="41"/>
      <c r="MXK13" s="41"/>
      <c r="MXL13" s="41"/>
      <c r="MXM13" s="41"/>
      <c r="MXN13" s="41"/>
      <c r="MXO13" s="41"/>
      <c r="MXP13" s="41"/>
      <c r="MXQ13" s="41"/>
      <c r="MXR13" s="41"/>
      <c r="MXS13" s="41"/>
      <c r="MXT13" s="41"/>
      <c r="MXU13" s="41"/>
      <c r="MXV13" s="41"/>
      <c r="MXW13" s="41"/>
      <c r="MXX13" s="41"/>
      <c r="MXY13" s="41"/>
      <c r="MXZ13" s="41"/>
      <c r="MYA13" s="41"/>
      <c r="MYB13" s="41"/>
      <c r="MYC13" s="41"/>
      <c r="MYD13" s="41"/>
      <c r="MYE13" s="41"/>
      <c r="MYF13" s="41"/>
      <c r="MYG13" s="41"/>
      <c r="MYH13" s="41"/>
      <c r="MYI13" s="41"/>
      <c r="MYJ13" s="41"/>
      <c r="MYK13" s="41"/>
      <c r="MYL13" s="41"/>
      <c r="MYM13" s="41"/>
      <c r="MYN13" s="41"/>
      <c r="MYO13" s="41"/>
      <c r="MYP13" s="41"/>
      <c r="MYQ13" s="41"/>
      <c r="MYR13" s="41"/>
      <c r="MYS13" s="41"/>
      <c r="MYT13" s="41"/>
      <c r="MYU13" s="41"/>
      <c r="MYV13" s="41"/>
      <c r="MYW13" s="41"/>
      <c r="MYX13" s="41"/>
      <c r="MYY13" s="41"/>
      <c r="MYZ13" s="41"/>
      <c r="MZA13" s="41"/>
      <c r="MZB13" s="41"/>
      <c r="MZC13" s="41"/>
      <c r="MZD13" s="41"/>
      <c r="MZE13" s="41"/>
      <c r="MZF13" s="41"/>
      <c r="MZG13" s="41"/>
      <c r="MZH13" s="41"/>
      <c r="MZI13" s="41"/>
      <c r="MZJ13" s="41"/>
      <c r="MZK13" s="41"/>
      <c r="MZL13" s="41"/>
      <c r="MZM13" s="41"/>
      <c r="MZN13" s="41"/>
      <c r="MZO13" s="41"/>
      <c r="MZP13" s="41"/>
      <c r="MZQ13" s="41"/>
      <c r="MZR13" s="41"/>
      <c r="MZS13" s="41"/>
      <c r="MZT13" s="41"/>
      <c r="MZU13" s="41"/>
      <c r="MZV13" s="41"/>
      <c r="MZW13" s="41"/>
      <c r="MZX13" s="41"/>
      <c r="MZY13" s="41"/>
      <c r="MZZ13" s="41"/>
      <c r="NAA13" s="41"/>
      <c r="NAB13" s="41"/>
      <c r="NAC13" s="41"/>
      <c r="NAD13" s="41"/>
      <c r="NAE13" s="41"/>
      <c r="NAF13" s="41"/>
      <c r="NAG13" s="41"/>
      <c r="NAH13" s="41"/>
      <c r="NAI13" s="41"/>
      <c r="NAJ13" s="41"/>
      <c r="NAK13" s="41"/>
      <c r="NAL13" s="41"/>
      <c r="NAM13" s="41"/>
      <c r="NAN13" s="41"/>
      <c r="NAO13" s="41"/>
      <c r="NAP13" s="41"/>
      <c r="NAQ13" s="41"/>
      <c r="NAR13" s="41"/>
      <c r="NAS13" s="41"/>
      <c r="NAT13" s="41"/>
      <c r="NAU13" s="41"/>
      <c r="NAV13" s="41"/>
      <c r="NAW13" s="41"/>
      <c r="NAX13" s="41"/>
      <c r="NAY13" s="41"/>
      <c r="NAZ13" s="41"/>
      <c r="NBA13" s="41"/>
      <c r="NBB13" s="41"/>
      <c r="NBC13" s="41"/>
      <c r="NBD13" s="41"/>
      <c r="NBE13" s="41"/>
      <c r="NBF13" s="41"/>
      <c r="NBG13" s="41"/>
      <c r="NBH13" s="41"/>
      <c r="NBI13" s="41"/>
      <c r="NBJ13" s="41"/>
      <c r="NBK13" s="41"/>
      <c r="NBL13" s="41"/>
      <c r="NBM13" s="41"/>
      <c r="NBN13" s="41"/>
      <c r="NBO13" s="41"/>
      <c r="NBP13" s="41"/>
      <c r="NBQ13" s="41"/>
      <c r="NBR13" s="41"/>
      <c r="NBS13" s="41"/>
      <c r="NBT13" s="41"/>
      <c r="NBU13" s="41"/>
      <c r="NBV13" s="41"/>
      <c r="NBW13" s="41"/>
      <c r="NBX13" s="41"/>
      <c r="NBY13" s="41"/>
      <c r="NBZ13" s="41"/>
      <c r="NCA13" s="41"/>
      <c r="NCB13" s="41"/>
      <c r="NCC13" s="41"/>
      <c r="NCD13" s="41"/>
      <c r="NCE13" s="41"/>
      <c r="NCF13" s="41"/>
      <c r="NCG13" s="41"/>
      <c r="NCH13" s="41"/>
      <c r="NCI13" s="41"/>
      <c r="NCJ13" s="41"/>
      <c r="NCK13" s="41"/>
      <c r="NCL13" s="41"/>
      <c r="NCM13" s="41"/>
      <c r="NCN13" s="41"/>
      <c r="NCO13" s="41"/>
      <c r="NCP13" s="41"/>
      <c r="NCQ13" s="41"/>
      <c r="NCR13" s="41"/>
      <c r="NCS13" s="41"/>
      <c r="NCT13" s="41"/>
      <c r="NCU13" s="41"/>
      <c r="NCV13" s="41"/>
      <c r="NCW13" s="41"/>
      <c r="NCX13" s="41"/>
      <c r="NCY13" s="41"/>
      <c r="NCZ13" s="41"/>
      <c r="NDA13" s="41"/>
      <c r="NDB13" s="41"/>
      <c r="NDC13" s="41"/>
      <c r="NDD13" s="41"/>
      <c r="NDE13" s="41"/>
      <c r="NDF13" s="41"/>
      <c r="NDG13" s="41"/>
      <c r="NDH13" s="41"/>
      <c r="NDI13" s="41"/>
      <c r="NDJ13" s="41"/>
      <c r="NDK13" s="41"/>
      <c r="NDL13" s="41"/>
      <c r="NDM13" s="41"/>
      <c r="NDN13" s="41"/>
      <c r="NDO13" s="41"/>
      <c r="NDP13" s="41"/>
      <c r="NDQ13" s="41"/>
      <c r="NDR13" s="41"/>
      <c r="NDS13" s="41"/>
      <c r="NDT13" s="41"/>
      <c r="NDU13" s="41"/>
      <c r="NDV13" s="41"/>
      <c r="NDW13" s="41"/>
      <c r="NDX13" s="41"/>
      <c r="NDY13" s="41"/>
      <c r="NDZ13" s="41"/>
      <c r="NEA13" s="41"/>
      <c r="NEB13" s="41"/>
      <c r="NEC13" s="41"/>
      <c r="NED13" s="41"/>
      <c r="NEE13" s="41"/>
      <c r="NEF13" s="41"/>
      <c r="NEG13" s="41"/>
      <c r="NEH13" s="41"/>
      <c r="NEI13" s="41"/>
      <c r="NEJ13" s="41"/>
      <c r="NEK13" s="41"/>
      <c r="NEL13" s="41"/>
      <c r="NEM13" s="41"/>
      <c r="NEN13" s="41"/>
      <c r="NEO13" s="41"/>
      <c r="NEP13" s="41"/>
      <c r="NEQ13" s="41"/>
      <c r="NER13" s="41"/>
      <c r="NES13" s="41"/>
      <c r="NET13" s="41"/>
      <c r="NEU13" s="41"/>
      <c r="NEV13" s="41"/>
      <c r="NEW13" s="41"/>
      <c r="NEX13" s="41"/>
      <c r="NEY13" s="41"/>
      <c r="NEZ13" s="41"/>
      <c r="NFA13" s="41"/>
      <c r="NFB13" s="41"/>
      <c r="NFC13" s="41"/>
      <c r="NFD13" s="41"/>
      <c r="NFE13" s="41"/>
      <c r="NFF13" s="41"/>
      <c r="NFG13" s="41"/>
      <c r="NFH13" s="41"/>
      <c r="NFI13" s="41"/>
      <c r="NFJ13" s="41"/>
      <c r="NFK13" s="41"/>
      <c r="NFL13" s="41"/>
      <c r="NFM13" s="41"/>
      <c r="NFN13" s="41"/>
      <c r="NFO13" s="41"/>
      <c r="NFP13" s="41"/>
      <c r="NFQ13" s="41"/>
      <c r="NFR13" s="41"/>
      <c r="NFS13" s="41"/>
      <c r="NFT13" s="41"/>
      <c r="NFU13" s="41"/>
      <c r="NFV13" s="41"/>
      <c r="NFW13" s="41"/>
      <c r="NFX13" s="41"/>
      <c r="NFY13" s="41"/>
      <c r="NFZ13" s="41"/>
      <c r="NGA13" s="41"/>
      <c r="NGB13" s="41"/>
      <c r="NGC13" s="41"/>
      <c r="NGD13" s="41"/>
      <c r="NGE13" s="41"/>
      <c r="NGF13" s="41"/>
      <c r="NGG13" s="41"/>
      <c r="NGH13" s="41"/>
      <c r="NGI13" s="41"/>
      <c r="NGJ13" s="41"/>
      <c r="NGK13" s="41"/>
      <c r="NGL13" s="41"/>
      <c r="NGM13" s="41"/>
      <c r="NGN13" s="41"/>
      <c r="NGO13" s="41"/>
      <c r="NGP13" s="41"/>
      <c r="NGQ13" s="41"/>
      <c r="NGR13" s="41"/>
      <c r="NGS13" s="41"/>
      <c r="NGT13" s="41"/>
      <c r="NGU13" s="41"/>
      <c r="NGV13" s="41"/>
      <c r="NGW13" s="41"/>
      <c r="NGX13" s="41"/>
      <c r="NGY13" s="41"/>
      <c r="NGZ13" s="41"/>
      <c r="NHA13" s="41"/>
      <c r="NHB13" s="41"/>
      <c r="NHC13" s="41"/>
      <c r="NHD13" s="41"/>
      <c r="NHE13" s="41"/>
      <c r="NHF13" s="41"/>
      <c r="NHG13" s="41"/>
      <c r="NHH13" s="41"/>
      <c r="NHI13" s="41"/>
      <c r="NHJ13" s="41"/>
      <c r="NHK13" s="41"/>
      <c r="NHL13" s="41"/>
      <c r="NHM13" s="41"/>
      <c r="NHN13" s="41"/>
      <c r="NHO13" s="41"/>
      <c r="NHP13" s="41"/>
      <c r="NHQ13" s="41"/>
      <c r="NHR13" s="41"/>
      <c r="NHS13" s="41"/>
      <c r="NHT13" s="41"/>
      <c r="NHU13" s="41"/>
      <c r="NHV13" s="41"/>
      <c r="NHW13" s="41"/>
      <c r="NHX13" s="41"/>
      <c r="NHY13" s="41"/>
      <c r="NHZ13" s="41"/>
      <c r="NIA13" s="41"/>
      <c r="NIB13" s="41"/>
      <c r="NIC13" s="41"/>
      <c r="NID13" s="41"/>
      <c r="NIE13" s="41"/>
      <c r="NIF13" s="41"/>
      <c r="NIG13" s="41"/>
      <c r="NIH13" s="41"/>
      <c r="NII13" s="41"/>
      <c r="NIJ13" s="41"/>
      <c r="NIK13" s="41"/>
      <c r="NIL13" s="41"/>
      <c r="NIM13" s="41"/>
      <c r="NIN13" s="41"/>
      <c r="NIO13" s="41"/>
      <c r="NIP13" s="41"/>
      <c r="NIQ13" s="41"/>
      <c r="NIR13" s="41"/>
      <c r="NIS13" s="41"/>
      <c r="NIT13" s="41"/>
      <c r="NIU13" s="41"/>
      <c r="NIV13" s="41"/>
      <c r="NIW13" s="41"/>
      <c r="NIX13" s="41"/>
      <c r="NIY13" s="41"/>
      <c r="NIZ13" s="41"/>
      <c r="NJA13" s="41"/>
      <c r="NJB13" s="41"/>
      <c r="NJC13" s="41"/>
      <c r="NJD13" s="41"/>
      <c r="NJE13" s="41"/>
      <c r="NJF13" s="41"/>
      <c r="NJG13" s="41"/>
      <c r="NJH13" s="41"/>
      <c r="NJI13" s="41"/>
      <c r="NJJ13" s="41"/>
      <c r="NJK13" s="41"/>
      <c r="NJL13" s="41"/>
      <c r="NJM13" s="41"/>
      <c r="NJN13" s="41"/>
      <c r="NJO13" s="41"/>
      <c r="NJP13" s="41"/>
      <c r="NJQ13" s="41"/>
      <c r="NJR13" s="41"/>
      <c r="NJS13" s="41"/>
      <c r="NJT13" s="41"/>
      <c r="NJU13" s="41"/>
      <c r="NJV13" s="41"/>
      <c r="NJW13" s="41"/>
      <c r="NJX13" s="41"/>
      <c r="NJY13" s="41"/>
      <c r="NJZ13" s="41"/>
      <c r="NKA13" s="41"/>
      <c r="NKB13" s="41"/>
      <c r="NKC13" s="41"/>
      <c r="NKD13" s="41"/>
      <c r="NKE13" s="41"/>
      <c r="NKF13" s="41"/>
      <c r="NKG13" s="41"/>
      <c r="NKH13" s="41"/>
      <c r="NKI13" s="41"/>
      <c r="NKJ13" s="41"/>
      <c r="NKK13" s="41"/>
      <c r="NKL13" s="41"/>
      <c r="NKM13" s="41"/>
      <c r="NKN13" s="41"/>
      <c r="NKO13" s="41"/>
      <c r="NKP13" s="41"/>
      <c r="NKQ13" s="41"/>
      <c r="NKR13" s="41"/>
      <c r="NKS13" s="41"/>
      <c r="NKT13" s="41"/>
      <c r="NKU13" s="41"/>
      <c r="NKV13" s="41"/>
      <c r="NKW13" s="41"/>
      <c r="NKX13" s="41"/>
      <c r="NKY13" s="41"/>
      <c r="NKZ13" s="41"/>
      <c r="NLA13" s="41"/>
      <c r="NLB13" s="41"/>
      <c r="NLC13" s="41"/>
      <c r="NLD13" s="41"/>
      <c r="NLE13" s="41"/>
      <c r="NLF13" s="41"/>
      <c r="NLG13" s="41"/>
      <c r="NLH13" s="41"/>
      <c r="NLI13" s="41"/>
      <c r="NLJ13" s="41"/>
      <c r="NLK13" s="41"/>
      <c r="NLL13" s="41"/>
      <c r="NLM13" s="41"/>
      <c r="NLN13" s="41"/>
      <c r="NLO13" s="41"/>
      <c r="NLP13" s="41"/>
      <c r="NLQ13" s="41"/>
      <c r="NLR13" s="41"/>
      <c r="NLS13" s="41"/>
      <c r="NLT13" s="41"/>
      <c r="NLU13" s="41"/>
      <c r="NLV13" s="41"/>
      <c r="NLW13" s="41"/>
      <c r="NLX13" s="41"/>
      <c r="NLY13" s="41"/>
      <c r="NLZ13" s="41"/>
      <c r="NMA13" s="41"/>
      <c r="NMB13" s="41"/>
      <c r="NMC13" s="41"/>
      <c r="NMD13" s="41"/>
      <c r="NME13" s="41"/>
      <c r="NMF13" s="41"/>
      <c r="NMG13" s="41"/>
      <c r="NMH13" s="41"/>
      <c r="NMI13" s="41"/>
      <c r="NMJ13" s="41"/>
      <c r="NMK13" s="41"/>
      <c r="NML13" s="41"/>
      <c r="NMM13" s="41"/>
      <c r="NMN13" s="41"/>
      <c r="NMO13" s="41"/>
      <c r="NMP13" s="41"/>
      <c r="NMQ13" s="41"/>
      <c r="NMR13" s="41"/>
      <c r="NMS13" s="41"/>
      <c r="NMT13" s="41"/>
      <c r="NMU13" s="41"/>
      <c r="NMV13" s="41"/>
      <c r="NMW13" s="41"/>
      <c r="NMX13" s="41"/>
      <c r="NMY13" s="41"/>
      <c r="NMZ13" s="41"/>
      <c r="NNA13" s="41"/>
      <c r="NNB13" s="41"/>
      <c r="NNC13" s="41"/>
      <c r="NND13" s="41"/>
      <c r="NNE13" s="41"/>
      <c r="NNF13" s="41"/>
      <c r="NNG13" s="41"/>
      <c r="NNH13" s="41"/>
      <c r="NNI13" s="41"/>
      <c r="NNJ13" s="41"/>
      <c r="NNK13" s="41"/>
      <c r="NNL13" s="41"/>
      <c r="NNM13" s="41"/>
      <c r="NNN13" s="41"/>
      <c r="NNO13" s="41"/>
      <c r="NNP13" s="41"/>
      <c r="NNQ13" s="41"/>
      <c r="NNR13" s="41"/>
      <c r="NNS13" s="41"/>
      <c r="NNT13" s="41"/>
      <c r="NNU13" s="41"/>
      <c r="NNV13" s="41"/>
      <c r="NNW13" s="41"/>
      <c r="NNX13" s="41"/>
      <c r="NNY13" s="41"/>
      <c r="NNZ13" s="41"/>
      <c r="NOA13" s="41"/>
      <c r="NOB13" s="41"/>
      <c r="NOC13" s="41"/>
      <c r="NOD13" s="41"/>
      <c r="NOE13" s="41"/>
      <c r="NOF13" s="41"/>
      <c r="NOG13" s="41"/>
      <c r="NOH13" s="41"/>
      <c r="NOI13" s="41"/>
      <c r="NOJ13" s="41"/>
      <c r="NOK13" s="41"/>
      <c r="NOL13" s="41"/>
      <c r="NOM13" s="41"/>
      <c r="NON13" s="41"/>
      <c r="NOO13" s="41"/>
      <c r="NOP13" s="41"/>
      <c r="NOQ13" s="41"/>
      <c r="NOR13" s="41"/>
      <c r="NOS13" s="41"/>
      <c r="NOT13" s="41"/>
      <c r="NOU13" s="41"/>
      <c r="NOV13" s="41"/>
      <c r="NOW13" s="41"/>
      <c r="NOX13" s="41"/>
      <c r="NOY13" s="41"/>
      <c r="NOZ13" s="41"/>
      <c r="NPA13" s="41"/>
      <c r="NPB13" s="41"/>
      <c r="NPC13" s="41"/>
      <c r="NPD13" s="41"/>
      <c r="NPE13" s="41"/>
      <c r="NPF13" s="41"/>
      <c r="NPG13" s="41"/>
      <c r="NPH13" s="41"/>
      <c r="NPI13" s="41"/>
      <c r="NPJ13" s="41"/>
      <c r="NPK13" s="41"/>
      <c r="NPL13" s="41"/>
      <c r="NPM13" s="41"/>
      <c r="NPN13" s="41"/>
      <c r="NPO13" s="41"/>
      <c r="NPP13" s="41"/>
      <c r="NPQ13" s="41"/>
      <c r="NPR13" s="41"/>
      <c r="NPS13" s="41"/>
      <c r="NPT13" s="41"/>
      <c r="NPU13" s="41"/>
      <c r="NPV13" s="41"/>
      <c r="NPW13" s="41"/>
      <c r="NPX13" s="41"/>
      <c r="NPY13" s="41"/>
      <c r="NPZ13" s="41"/>
      <c r="NQA13" s="41"/>
      <c r="NQB13" s="41"/>
      <c r="NQC13" s="41"/>
      <c r="NQD13" s="41"/>
      <c r="NQE13" s="41"/>
      <c r="NQF13" s="41"/>
      <c r="NQG13" s="41"/>
      <c r="NQH13" s="41"/>
      <c r="NQI13" s="41"/>
      <c r="NQJ13" s="41"/>
      <c r="NQK13" s="41"/>
      <c r="NQL13" s="41"/>
      <c r="NQM13" s="41"/>
      <c r="NQN13" s="41"/>
      <c r="NQO13" s="41"/>
      <c r="NQP13" s="41"/>
      <c r="NQQ13" s="41"/>
      <c r="NQR13" s="41"/>
      <c r="NQS13" s="41"/>
      <c r="NQT13" s="41"/>
      <c r="NQU13" s="41"/>
      <c r="NQV13" s="41"/>
      <c r="NQW13" s="41"/>
      <c r="NQX13" s="41"/>
      <c r="NQY13" s="41"/>
      <c r="NQZ13" s="41"/>
      <c r="NRA13" s="41"/>
      <c r="NRB13" s="41"/>
      <c r="NRC13" s="41"/>
      <c r="NRD13" s="41"/>
      <c r="NRE13" s="41"/>
      <c r="NRF13" s="41"/>
      <c r="NRG13" s="41"/>
      <c r="NRH13" s="41"/>
      <c r="NRI13" s="41"/>
      <c r="NRJ13" s="41"/>
      <c r="NRK13" s="41"/>
      <c r="NRL13" s="41"/>
      <c r="NRM13" s="41"/>
      <c r="NRN13" s="41"/>
      <c r="NRO13" s="41"/>
      <c r="NRP13" s="41"/>
      <c r="NRQ13" s="41"/>
      <c r="NRR13" s="41"/>
      <c r="NRS13" s="41"/>
      <c r="NRT13" s="41"/>
      <c r="NRU13" s="41"/>
      <c r="NRV13" s="41"/>
      <c r="NRW13" s="41"/>
      <c r="NRX13" s="41"/>
      <c r="NRY13" s="41"/>
      <c r="NRZ13" s="41"/>
      <c r="NSA13" s="41"/>
      <c r="NSB13" s="41"/>
      <c r="NSC13" s="41"/>
      <c r="NSD13" s="41"/>
      <c r="NSE13" s="41"/>
      <c r="NSF13" s="41"/>
      <c r="NSG13" s="41"/>
      <c r="NSH13" s="41"/>
      <c r="NSI13" s="41"/>
      <c r="NSJ13" s="41"/>
      <c r="NSK13" s="41"/>
      <c r="NSL13" s="41"/>
      <c r="NSM13" s="41"/>
      <c r="NSN13" s="41"/>
      <c r="NSO13" s="41"/>
      <c r="NSP13" s="41"/>
      <c r="NSQ13" s="41"/>
      <c r="NSR13" s="41"/>
      <c r="NSS13" s="41"/>
      <c r="NST13" s="41"/>
      <c r="NSU13" s="41"/>
      <c r="NSV13" s="41"/>
      <c r="NSW13" s="41"/>
      <c r="NSX13" s="41"/>
      <c r="NSY13" s="41"/>
      <c r="NSZ13" s="41"/>
      <c r="NTA13" s="41"/>
      <c r="NTB13" s="41"/>
      <c r="NTC13" s="41"/>
      <c r="NTD13" s="41"/>
      <c r="NTE13" s="41"/>
      <c r="NTF13" s="41"/>
      <c r="NTG13" s="41"/>
      <c r="NTH13" s="41"/>
      <c r="NTI13" s="41"/>
      <c r="NTJ13" s="41"/>
      <c r="NTK13" s="41"/>
      <c r="NTL13" s="41"/>
      <c r="NTM13" s="41"/>
      <c r="NTN13" s="41"/>
      <c r="NTO13" s="41"/>
      <c r="NTP13" s="41"/>
      <c r="NTQ13" s="41"/>
      <c r="NTR13" s="41"/>
      <c r="NTS13" s="41"/>
      <c r="NTT13" s="41"/>
      <c r="NTU13" s="41"/>
      <c r="NTV13" s="41"/>
      <c r="NTW13" s="41"/>
      <c r="NTX13" s="41"/>
      <c r="NTY13" s="41"/>
      <c r="NTZ13" s="41"/>
      <c r="NUA13" s="41"/>
      <c r="NUB13" s="41"/>
      <c r="NUC13" s="41"/>
      <c r="NUD13" s="41"/>
      <c r="NUE13" s="41"/>
      <c r="NUF13" s="41"/>
      <c r="NUG13" s="41"/>
      <c r="NUH13" s="41"/>
      <c r="NUI13" s="41"/>
      <c r="NUJ13" s="41"/>
      <c r="NUK13" s="41"/>
      <c r="NUL13" s="41"/>
      <c r="NUM13" s="41"/>
      <c r="NUN13" s="41"/>
      <c r="NUO13" s="41"/>
      <c r="NUP13" s="41"/>
      <c r="NUQ13" s="41"/>
      <c r="NUR13" s="41"/>
      <c r="NUS13" s="41"/>
      <c r="NUT13" s="41"/>
      <c r="NUU13" s="41"/>
      <c r="NUV13" s="41"/>
      <c r="NUW13" s="41"/>
      <c r="NUX13" s="41"/>
      <c r="NUY13" s="41"/>
      <c r="NUZ13" s="41"/>
      <c r="NVA13" s="41"/>
      <c r="NVB13" s="41"/>
      <c r="NVC13" s="41"/>
      <c r="NVD13" s="41"/>
      <c r="NVE13" s="41"/>
      <c r="NVF13" s="41"/>
      <c r="NVG13" s="41"/>
      <c r="NVH13" s="41"/>
      <c r="NVI13" s="41"/>
      <c r="NVJ13" s="41"/>
      <c r="NVK13" s="41"/>
      <c r="NVL13" s="41"/>
      <c r="NVM13" s="41"/>
      <c r="NVN13" s="41"/>
      <c r="NVO13" s="41"/>
      <c r="NVP13" s="41"/>
      <c r="NVQ13" s="41"/>
      <c r="NVR13" s="41"/>
      <c r="NVS13" s="41"/>
      <c r="NVT13" s="41"/>
      <c r="NVU13" s="41"/>
      <c r="NVV13" s="41"/>
      <c r="NVW13" s="41"/>
      <c r="NVX13" s="41"/>
      <c r="NVY13" s="41"/>
      <c r="NVZ13" s="41"/>
      <c r="NWA13" s="41"/>
      <c r="NWB13" s="41"/>
      <c r="NWC13" s="41"/>
      <c r="NWD13" s="41"/>
      <c r="NWE13" s="41"/>
      <c r="NWF13" s="41"/>
      <c r="NWG13" s="41"/>
      <c r="NWH13" s="41"/>
      <c r="NWI13" s="41"/>
      <c r="NWJ13" s="41"/>
      <c r="NWK13" s="41"/>
      <c r="NWL13" s="41"/>
      <c r="NWM13" s="41"/>
      <c r="NWN13" s="41"/>
      <c r="NWO13" s="41"/>
      <c r="NWP13" s="41"/>
      <c r="NWQ13" s="41"/>
      <c r="NWR13" s="41"/>
      <c r="NWS13" s="41"/>
      <c r="NWT13" s="41"/>
      <c r="NWU13" s="41"/>
      <c r="NWV13" s="41"/>
      <c r="NWW13" s="41"/>
      <c r="NWX13" s="41"/>
      <c r="NWY13" s="41"/>
      <c r="NWZ13" s="41"/>
      <c r="NXA13" s="41"/>
      <c r="NXB13" s="41"/>
      <c r="NXC13" s="41"/>
      <c r="NXD13" s="41"/>
      <c r="NXE13" s="41"/>
      <c r="NXF13" s="41"/>
      <c r="NXG13" s="41"/>
      <c r="NXH13" s="41"/>
      <c r="NXI13" s="41"/>
      <c r="NXJ13" s="41"/>
      <c r="NXK13" s="41"/>
      <c r="NXL13" s="41"/>
      <c r="NXM13" s="41"/>
      <c r="NXN13" s="41"/>
      <c r="NXO13" s="41"/>
      <c r="NXP13" s="41"/>
      <c r="NXQ13" s="41"/>
      <c r="NXR13" s="41"/>
      <c r="NXS13" s="41"/>
      <c r="NXT13" s="41"/>
      <c r="NXU13" s="41"/>
      <c r="NXV13" s="41"/>
      <c r="NXW13" s="41"/>
      <c r="NXX13" s="41"/>
      <c r="NXY13" s="41"/>
      <c r="NXZ13" s="41"/>
      <c r="NYA13" s="41"/>
      <c r="NYB13" s="41"/>
      <c r="NYC13" s="41"/>
      <c r="NYD13" s="41"/>
      <c r="NYE13" s="41"/>
      <c r="NYF13" s="41"/>
      <c r="NYG13" s="41"/>
      <c r="NYH13" s="41"/>
      <c r="NYI13" s="41"/>
      <c r="NYJ13" s="41"/>
      <c r="NYK13" s="41"/>
      <c r="NYL13" s="41"/>
      <c r="NYM13" s="41"/>
      <c r="NYN13" s="41"/>
      <c r="NYO13" s="41"/>
      <c r="NYP13" s="41"/>
      <c r="NYQ13" s="41"/>
      <c r="NYR13" s="41"/>
      <c r="NYS13" s="41"/>
      <c r="NYT13" s="41"/>
      <c r="NYU13" s="41"/>
      <c r="NYV13" s="41"/>
      <c r="NYW13" s="41"/>
      <c r="NYX13" s="41"/>
      <c r="NYY13" s="41"/>
      <c r="NYZ13" s="41"/>
      <c r="NZA13" s="41"/>
      <c r="NZB13" s="41"/>
      <c r="NZC13" s="41"/>
      <c r="NZD13" s="41"/>
      <c r="NZE13" s="41"/>
      <c r="NZF13" s="41"/>
      <c r="NZG13" s="41"/>
      <c r="NZH13" s="41"/>
      <c r="NZI13" s="41"/>
      <c r="NZJ13" s="41"/>
      <c r="NZK13" s="41"/>
      <c r="NZL13" s="41"/>
      <c r="NZM13" s="41"/>
      <c r="NZN13" s="41"/>
      <c r="NZO13" s="41"/>
      <c r="NZP13" s="41"/>
      <c r="NZQ13" s="41"/>
      <c r="NZR13" s="41"/>
      <c r="NZS13" s="41"/>
      <c r="NZT13" s="41"/>
      <c r="NZU13" s="41"/>
      <c r="NZV13" s="41"/>
      <c r="NZW13" s="41"/>
      <c r="NZX13" s="41"/>
      <c r="NZY13" s="41"/>
      <c r="NZZ13" s="41"/>
      <c r="OAA13" s="41"/>
      <c r="OAB13" s="41"/>
      <c r="OAC13" s="41"/>
      <c r="OAD13" s="41"/>
      <c r="OAE13" s="41"/>
      <c r="OAF13" s="41"/>
      <c r="OAG13" s="41"/>
      <c r="OAH13" s="41"/>
      <c r="OAI13" s="41"/>
      <c r="OAJ13" s="41"/>
      <c r="OAK13" s="41"/>
      <c r="OAL13" s="41"/>
      <c r="OAM13" s="41"/>
      <c r="OAN13" s="41"/>
      <c r="OAO13" s="41"/>
      <c r="OAP13" s="41"/>
      <c r="OAQ13" s="41"/>
      <c r="OAR13" s="41"/>
      <c r="OAS13" s="41"/>
      <c r="OAT13" s="41"/>
      <c r="OAU13" s="41"/>
      <c r="OAV13" s="41"/>
      <c r="OAW13" s="41"/>
      <c r="OAX13" s="41"/>
      <c r="OAY13" s="41"/>
      <c r="OAZ13" s="41"/>
      <c r="OBA13" s="41"/>
      <c r="OBB13" s="41"/>
      <c r="OBC13" s="41"/>
      <c r="OBD13" s="41"/>
      <c r="OBE13" s="41"/>
      <c r="OBF13" s="41"/>
      <c r="OBG13" s="41"/>
      <c r="OBH13" s="41"/>
      <c r="OBI13" s="41"/>
      <c r="OBJ13" s="41"/>
      <c r="OBK13" s="41"/>
      <c r="OBL13" s="41"/>
      <c r="OBM13" s="41"/>
      <c r="OBN13" s="41"/>
      <c r="OBO13" s="41"/>
      <c r="OBP13" s="41"/>
      <c r="OBQ13" s="41"/>
      <c r="OBR13" s="41"/>
      <c r="OBS13" s="41"/>
      <c r="OBT13" s="41"/>
      <c r="OBU13" s="41"/>
      <c r="OBV13" s="41"/>
      <c r="OBW13" s="41"/>
      <c r="OBX13" s="41"/>
      <c r="OBY13" s="41"/>
      <c r="OBZ13" s="41"/>
      <c r="OCA13" s="41"/>
      <c r="OCB13" s="41"/>
      <c r="OCC13" s="41"/>
      <c r="OCD13" s="41"/>
      <c r="OCE13" s="41"/>
      <c r="OCF13" s="41"/>
      <c r="OCG13" s="41"/>
      <c r="OCH13" s="41"/>
      <c r="OCI13" s="41"/>
      <c r="OCJ13" s="41"/>
      <c r="OCK13" s="41"/>
      <c r="OCL13" s="41"/>
      <c r="OCM13" s="41"/>
      <c r="OCN13" s="41"/>
      <c r="OCO13" s="41"/>
      <c r="OCP13" s="41"/>
      <c r="OCQ13" s="41"/>
      <c r="OCR13" s="41"/>
      <c r="OCS13" s="41"/>
      <c r="OCT13" s="41"/>
      <c r="OCU13" s="41"/>
      <c r="OCV13" s="41"/>
      <c r="OCW13" s="41"/>
      <c r="OCX13" s="41"/>
      <c r="OCY13" s="41"/>
      <c r="OCZ13" s="41"/>
      <c r="ODA13" s="41"/>
      <c r="ODB13" s="41"/>
      <c r="ODC13" s="41"/>
      <c r="ODD13" s="41"/>
      <c r="ODE13" s="41"/>
      <c r="ODF13" s="41"/>
      <c r="ODG13" s="41"/>
      <c r="ODH13" s="41"/>
      <c r="ODI13" s="41"/>
      <c r="ODJ13" s="41"/>
      <c r="ODK13" s="41"/>
      <c r="ODL13" s="41"/>
      <c r="ODM13" s="41"/>
      <c r="ODN13" s="41"/>
      <c r="ODO13" s="41"/>
      <c r="ODP13" s="41"/>
      <c r="ODQ13" s="41"/>
      <c r="ODR13" s="41"/>
      <c r="ODS13" s="41"/>
      <c r="ODT13" s="41"/>
      <c r="ODU13" s="41"/>
      <c r="ODV13" s="41"/>
      <c r="ODW13" s="41"/>
      <c r="ODX13" s="41"/>
      <c r="ODY13" s="41"/>
      <c r="ODZ13" s="41"/>
      <c r="OEA13" s="41"/>
      <c r="OEB13" s="41"/>
      <c r="OEC13" s="41"/>
      <c r="OED13" s="41"/>
      <c r="OEE13" s="41"/>
      <c r="OEF13" s="41"/>
      <c r="OEG13" s="41"/>
      <c r="OEH13" s="41"/>
      <c r="OEI13" s="41"/>
      <c r="OEJ13" s="41"/>
      <c r="OEK13" s="41"/>
      <c r="OEL13" s="41"/>
      <c r="OEM13" s="41"/>
      <c r="OEN13" s="41"/>
      <c r="OEO13" s="41"/>
      <c r="OEP13" s="41"/>
      <c r="OEQ13" s="41"/>
      <c r="OER13" s="41"/>
      <c r="OES13" s="41"/>
      <c r="OET13" s="41"/>
      <c r="OEU13" s="41"/>
      <c r="OEV13" s="41"/>
      <c r="OEW13" s="41"/>
      <c r="OEX13" s="41"/>
      <c r="OEY13" s="41"/>
      <c r="OEZ13" s="41"/>
      <c r="OFA13" s="41"/>
      <c r="OFB13" s="41"/>
      <c r="OFC13" s="41"/>
      <c r="OFD13" s="41"/>
      <c r="OFE13" s="41"/>
      <c r="OFF13" s="41"/>
      <c r="OFG13" s="41"/>
      <c r="OFH13" s="41"/>
      <c r="OFI13" s="41"/>
      <c r="OFJ13" s="41"/>
      <c r="OFK13" s="41"/>
      <c r="OFL13" s="41"/>
      <c r="OFM13" s="41"/>
      <c r="OFN13" s="41"/>
      <c r="OFO13" s="41"/>
      <c r="OFP13" s="41"/>
      <c r="OFQ13" s="41"/>
      <c r="OFR13" s="41"/>
      <c r="OFS13" s="41"/>
      <c r="OFT13" s="41"/>
      <c r="OFU13" s="41"/>
      <c r="OFV13" s="41"/>
      <c r="OFW13" s="41"/>
      <c r="OFX13" s="41"/>
      <c r="OFY13" s="41"/>
      <c r="OFZ13" s="41"/>
      <c r="OGA13" s="41"/>
      <c r="OGB13" s="41"/>
      <c r="OGC13" s="41"/>
      <c r="OGD13" s="41"/>
      <c r="OGE13" s="41"/>
      <c r="OGF13" s="41"/>
      <c r="OGG13" s="41"/>
      <c r="OGH13" s="41"/>
      <c r="OGI13" s="41"/>
      <c r="OGJ13" s="41"/>
      <c r="OGK13" s="41"/>
      <c r="OGL13" s="41"/>
      <c r="OGM13" s="41"/>
      <c r="OGN13" s="41"/>
      <c r="OGO13" s="41"/>
      <c r="OGP13" s="41"/>
      <c r="OGQ13" s="41"/>
      <c r="OGR13" s="41"/>
      <c r="OGS13" s="41"/>
      <c r="OGT13" s="41"/>
      <c r="OGU13" s="41"/>
      <c r="OGV13" s="41"/>
      <c r="OGW13" s="41"/>
      <c r="OGX13" s="41"/>
      <c r="OGY13" s="41"/>
      <c r="OGZ13" s="41"/>
      <c r="OHA13" s="41"/>
      <c r="OHB13" s="41"/>
      <c r="OHC13" s="41"/>
      <c r="OHD13" s="41"/>
      <c r="OHE13" s="41"/>
      <c r="OHF13" s="41"/>
      <c r="OHG13" s="41"/>
      <c r="OHH13" s="41"/>
      <c r="OHI13" s="41"/>
      <c r="OHJ13" s="41"/>
      <c r="OHK13" s="41"/>
      <c r="OHL13" s="41"/>
      <c r="OHM13" s="41"/>
      <c r="OHN13" s="41"/>
      <c r="OHO13" s="41"/>
      <c r="OHP13" s="41"/>
      <c r="OHQ13" s="41"/>
      <c r="OHR13" s="41"/>
      <c r="OHS13" s="41"/>
      <c r="OHT13" s="41"/>
      <c r="OHU13" s="41"/>
      <c r="OHV13" s="41"/>
      <c r="OHW13" s="41"/>
      <c r="OHX13" s="41"/>
      <c r="OHY13" s="41"/>
      <c r="OHZ13" s="41"/>
      <c r="OIA13" s="41"/>
      <c r="OIB13" s="41"/>
      <c r="OIC13" s="41"/>
      <c r="OID13" s="41"/>
      <c r="OIE13" s="41"/>
      <c r="OIF13" s="41"/>
      <c r="OIG13" s="41"/>
      <c r="OIH13" s="41"/>
      <c r="OII13" s="41"/>
      <c r="OIJ13" s="41"/>
      <c r="OIK13" s="41"/>
      <c r="OIL13" s="41"/>
      <c r="OIM13" s="41"/>
      <c r="OIN13" s="41"/>
      <c r="OIO13" s="41"/>
      <c r="OIP13" s="41"/>
      <c r="OIQ13" s="41"/>
      <c r="OIR13" s="41"/>
      <c r="OIS13" s="41"/>
      <c r="OIT13" s="41"/>
      <c r="OIU13" s="41"/>
      <c r="OIV13" s="41"/>
      <c r="OIW13" s="41"/>
      <c r="OIX13" s="41"/>
      <c r="OIY13" s="41"/>
      <c r="OIZ13" s="41"/>
      <c r="OJA13" s="41"/>
      <c r="OJB13" s="41"/>
      <c r="OJC13" s="41"/>
      <c r="OJD13" s="41"/>
      <c r="OJE13" s="41"/>
      <c r="OJF13" s="41"/>
      <c r="OJG13" s="41"/>
      <c r="OJH13" s="41"/>
      <c r="OJI13" s="41"/>
      <c r="OJJ13" s="41"/>
      <c r="OJK13" s="41"/>
      <c r="OJL13" s="41"/>
      <c r="OJM13" s="41"/>
      <c r="OJN13" s="41"/>
      <c r="OJO13" s="41"/>
      <c r="OJP13" s="41"/>
      <c r="OJQ13" s="41"/>
      <c r="OJR13" s="41"/>
      <c r="OJS13" s="41"/>
      <c r="OJT13" s="41"/>
      <c r="OJU13" s="41"/>
      <c r="OJV13" s="41"/>
      <c r="OJW13" s="41"/>
      <c r="OJX13" s="41"/>
      <c r="OJY13" s="41"/>
      <c r="OJZ13" s="41"/>
      <c r="OKA13" s="41"/>
      <c r="OKB13" s="41"/>
      <c r="OKC13" s="41"/>
      <c r="OKD13" s="41"/>
      <c r="OKE13" s="41"/>
      <c r="OKF13" s="41"/>
      <c r="OKG13" s="41"/>
      <c r="OKH13" s="41"/>
      <c r="OKI13" s="41"/>
      <c r="OKJ13" s="41"/>
      <c r="OKK13" s="41"/>
      <c r="OKL13" s="41"/>
      <c r="OKM13" s="41"/>
      <c r="OKN13" s="41"/>
      <c r="OKO13" s="41"/>
      <c r="OKP13" s="41"/>
      <c r="OKQ13" s="41"/>
      <c r="OKR13" s="41"/>
      <c r="OKS13" s="41"/>
      <c r="OKT13" s="41"/>
      <c r="OKU13" s="41"/>
      <c r="OKV13" s="41"/>
      <c r="OKW13" s="41"/>
      <c r="OKX13" s="41"/>
      <c r="OKY13" s="41"/>
      <c r="OKZ13" s="41"/>
      <c r="OLA13" s="41"/>
      <c r="OLB13" s="41"/>
      <c r="OLC13" s="41"/>
      <c r="OLD13" s="41"/>
      <c r="OLE13" s="41"/>
      <c r="OLF13" s="41"/>
      <c r="OLG13" s="41"/>
      <c r="OLH13" s="41"/>
      <c r="OLI13" s="41"/>
      <c r="OLJ13" s="41"/>
      <c r="OLK13" s="41"/>
      <c r="OLL13" s="41"/>
      <c r="OLM13" s="41"/>
      <c r="OLN13" s="41"/>
      <c r="OLO13" s="41"/>
      <c r="OLP13" s="41"/>
      <c r="OLQ13" s="41"/>
      <c r="OLR13" s="41"/>
      <c r="OLS13" s="41"/>
      <c r="OLT13" s="41"/>
      <c r="OLU13" s="41"/>
      <c r="OLV13" s="41"/>
      <c r="OLW13" s="41"/>
      <c r="OLX13" s="41"/>
      <c r="OLY13" s="41"/>
      <c r="OLZ13" s="41"/>
      <c r="OMA13" s="41"/>
      <c r="OMB13" s="41"/>
      <c r="OMC13" s="41"/>
      <c r="OMD13" s="41"/>
      <c r="OME13" s="41"/>
      <c r="OMF13" s="41"/>
      <c r="OMG13" s="41"/>
      <c r="OMH13" s="41"/>
      <c r="OMI13" s="41"/>
      <c r="OMJ13" s="41"/>
      <c r="OMK13" s="41"/>
      <c r="OML13" s="41"/>
      <c r="OMM13" s="41"/>
      <c r="OMN13" s="41"/>
      <c r="OMO13" s="41"/>
      <c r="OMP13" s="41"/>
      <c r="OMQ13" s="41"/>
      <c r="OMR13" s="41"/>
      <c r="OMS13" s="41"/>
      <c r="OMT13" s="41"/>
      <c r="OMU13" s="41"/>
      <c r="OMV13" s="41"/>
      <c r="OMW13" s="41"/>
      <c r="OMX13" s="41"/>
      <c r="OMY13" s="41"/>
      <c r="OMZ13" s="41"/>
      <c r="ONA13" s="41"/>
      <c r="ONB13" s="41"/>
      <c r="ONC13" s="41"/>
      <c r="OND13" s="41"/>
      <c r="ONE13" s="41"/>
      <c r="ONF13" s="41"/>
      <c r="ONG13" s="41"/>
      <c r="ONH13" s="41"/>
      <c r="ONI13" s="41"/>
      <c r="ONJ13" s="41"/>
      <c r="ONK13" s="41"/>
      <c r="ONL13" s="41"/>
      <c r="ONM13" s="41"/>
      <c r="ONN13" s="41"/>
      <c r="ONO13" s="41"/>
      <c r="ONP13" s="41"/>
      <c r="ONQ13" s="41"/>
      <c r="ONR13" s="41"/>
      <c r="ONS13" s="41"/>
      <c r="ONT13" s="41"/>
      <c r="ONU13" s="41"/>
      <c r="ONV13" s="41"/>
      <c r="ONW13" s="41"/>
      <c r="ONX13" s="41"/>
      <c r="ONY13" s="41"/>
      <c r="ONZ13" s="41"/>
      <c r="OOA13" s="41"/>
      <c r="OOB13" s="41"/>
      <c r="OOC13" s="41"/>
      <c r="OOD13" s="41"/>
      <c r="OOE13" s="41"/>
      <c r="OOF13" s="41"/>
      <c r="OOG13" s="41"/>
      <c r="OOH13" s="41"/>
      <c r="OOI13" s="41"/>
      <c r="OOJ13" s="41"/>
      <c r="OOK13" s="41"/>
      <c r="OOL13" s="41"/>
      <c r="OOM13" s="41"/>
      <c r="OON13" s="41"/>
      <c r="OOO13" s="41"/>
      <c r="OOP13" s="41"/>
      <c r="OOQ13" s="41"/>
      <c r="OOR13" s="41"/>
      <c r="OOS13" s="41"/>
      <c r="OOT13" s="41"/>
      <c r="OOU13" s="41"/>
      <c r="OOV13" s="41"/>
      <c r="OOW13" s="41"/>
      <c r="OOX13" s="41"/>
      <c r="OOY13" s="41"/>
      <c r="OOZ13" s="41"/>
      <c r="OPA13" s="41"/>
      <c r="OPB13" s="41"/>
      <c r="OPC13" s="41"/>
      <c r="OPD13" s="41"/>
      <c r="OPE13" s="41"/>
      <c r="OPF13" s="41"/>
      <c r="OPG13" s="41"/>
      <c r="OPH13" s="41"/>
      <c r="OPI13" s="41"/>
      <c r="OPJ13" s="41"/>
      <c r="OPK13" s="41"/>
      <c r="OPL13" s="41"/>
      <c r="OPM13" s="41"/>
      <c r="OPN13" s="41"/>
      <c r="OPO13" s="41"/>
      <c r="OPP13" s="41"/>
      <c r="OPQ13" s="41"/>
      <c r="OPR13" s="41"/>
      <c r="OPS13" s="41"/>
      <c r="OPT13" s="41"/>
      <c r="OPU13" s="41"/>
      <c r="OPV13" s="41"/>
      <c r="OPW13" s="41"/>
      <c r="OPX13" s="41"/>
      <c r="OPY13" s="41"/>
      <c r="OPZ13" s="41"/>
      <c r="OQA13" s="41"/>
      <c r="OQB13" s="41"/>
      <c r="OQC13" s="41"/>
      <c r="OQD13" s="41"/>
      <c r="OQE13" s="41"/>
      <c r="OQF13" s="41"/>
      <c r="OQG13" s="41"/>
      <c r="OQH13" s="41"/>
      <c r="OQI13" s="41"/>
      <c r="OQJ13" s="41"/>
      <c r="OQK13" s="41"/>
      <c r="OQL13" s="41"/>
      <c r="OQM13" s="41"/>
      <c r="OQN13" s="41"/>
      <c r="OQO13" s="41"/>
      <c r="OQP13" s="41"/>
      <c r="OQQ13" s="41"/>
      <c r="OQR13" s="41"/>
      <c r="OQS13" s="41"/>
      <c r="OQT13" s="41"/>
      <c r="OQU13" s="41"/>
      <c r="OQV13" s="41"/>
      <c r="OQW13" s="41"/>
      <c r="OQX13" s="41"/>
      <c r="OQY13" s="41"/>
      <c r="OQZ13" s="41"/>
      <c r="ORA13" s="41"/>
      <c r="ORB13" s="41"/>
      <c r="ORC13" s="41"/>
      <c r="ORD13" s="41"/>
      <c r="ORE13" s="41"/>
      <c r="ORF13" s="41"/>
      <c r="ORG13" s="41"/>
      <c r="ORH13" s="41"/>
      <c r="ORI13" s="41"/>
      <c r="ORJ13" s="41"/>
      <c r="ORK13" s="41"/>
      <c r="ORL13" s="41"/>
      <c r="ORM13" s="41"/>
      <c r="ORN13" s="41"/>
      <c r="ORO13" s="41"/>
      <c r="ORP13" s="41"/>
      <c r="ORQ13" s="41"/>
      <c r="ORR13" s="41"/>
      <c r="ORS13" s="41"/>
      <c r="ORT13" s="41"/>
      <c r="ORU13" s="41"/>
      <c r="ORV13" s="41"/>
      <c r="ORW13" s="41"/>
      <c r="ORX13" s="41"/>
      <c r="ORY13" s="41"/>
      <c r="ORZ13" s="41"/>
      <c r="OSA13" s="41"/>
      <c r="OSB13" s="41"/>
      <c r="OSC13" s="41"/>
      <c r="OSD13" s="41"/>
      <c r="OSE13" s="41"/>
      <c r="OSF13" s="41"/>
      <c r="OSG13" s="41"/>
      <c r="OSH13" s="41"/>
      <c r="OSI13" s="41"/>
      <c r="OSJ13" s="41"/>
      <c r="OSK13" s="41"/>
      <c r="OSL13" s="41"/>
      <c r="OSM13" s="41"/>
      <c r="OSN13" s="41"/>
      <c r="OSO13" s="41"/>
      <c r="OSP13" s="41"/>
      <c r="OSQ13" s="41"/>
      <c r="OSR13" s="41"/>
      <c r="OSS13" s="41"/>
      <c r="OST13" s="41"/>
      <c r="OSU13" s="41"/>
      <c r="OSV13" s="41"/>
      <c r="OSW13" s="41"/>
      <c r="OSX13" s="41"/>
      <c r="OSY13" s="41"/>
      <c r="OSZ13" s="41"/>
      <c r="OTA13" s="41"/>
      <c r="OTB13" s="41"/>
      <c r="OTC13" s="41"/>
      <c r="OTD13" s="41"/>
      <c r="OTE13" s="41"/>
      <c r="OTF13" s="41"/>
      <c r="OTG13" s="41"/>
      <c r="OTH13" s="41"/>
      <c r="OTI13" s="41"/>
      <c r="OTJ13" s="41"/>
      <c r="OTK13" s="41"/>
      <c r="OTL13" s="41"/>
      <c r="OTM13" s="41"/>
      <c r="OTN13" s="41"/>
      <c r="OTO13" s="41"/>
      <c r="OTP13" s="41"/>
      <c r="OTQ13" s="41"/>
      <c r="OTR13" s="41"/>
      <c r="OTS13" s="41"/>
      <c r="OTT13" s="41"/>
      <c r="OTU13" s="41"/>
      <c r="OTV13" s="41"/>
      <c r="OTW13" s="41"/>
      <c r="OTX13" s="41"/>
      <c r="OTY13" s="41"/>
      <c r="OTZ13" s="41"/>
      <c r="OUA13" s="41"/>
      <c r="OUB13" s="41"/>
      <c r="OUC13" s="41"/>
      <c r="OUD13" s="41"/>
      <c r="OUE13" s="41"/>
      <c r="OUF13" s="41"/>
      <c r="OUG13" s="41"/>
      <c r="OUH13" s="41"/>
      <c r="OUI13" s="41"/>
      <c r="OUJ13" s="41"/>
      <c r="OUK13" s="41"/>
      <c r="OUL13" s="41"/>
      <c r="OUM13" s="41"/>
      <c r="OUN13" s="41"/>
      <c r="OUO13" s="41"/>
      <c r="OUP13" s="41"/>
      <c r="OUQ13" s="41"/>
      <c r="OUR13" s="41"/>
      <c r="OUS13" s="41"/>
      <c r="OUT13" s="41"/>
      <c r="OUU13" s="41"/>
      <c r="OUV13" s="41"/>
      <c r="OUW13" s="41"/>
      <c r="OUX13" s="41"/>
      <c r="OUY13" s="41"/>
      <c r="OUZ13" s="41"/>
      <c r="OVA13" s="41"/>
      <c r="OVB13" s="41"/>
      <c r="OVC13" s="41"/>
      <c r="OVD13" s="41"/>
      <c r="OVE13" s="41"/>
      <c r="OVF13" s="41"/>
      <c r="OVG13" s="41"/>
      <c r="OVH13" s="41"/>
      <c r="OVI13" s="41"/>
      <c r="OVJ13" s="41"/>
      <c r="OVK13" s="41"/>
      <c r="OVL13" s="41"/>
      <c r="OVM13" s="41"/>
      <c r="OVN13" s="41"/>
      <c r="OVO13" s="41"/>
      <c r="OVP13" s="41"/>
      <c r="OVQ13" s="41"/>
      <c r="OVR13" s="41"/>
      <c r="OVS13" s="41"/>
      <c r="OVT13" s="41"/>
      <c r="OVU13" s="41"/>
      <c r="OVV13" s="41"/>
      <c r="OVW13" s="41"/>
      <c r="OVX13" s="41"/>
      <c r="OVY13" s="41"/>
      <c r="OVZ13" s="41"/>
      <c r="OWA13" s="41"/>
      <c r="OWB13" s="41"/>
      <c r="OWC13" s="41"/>
      <c r="OWD13" s="41"/>
      <c r="OWE13" s="41"/>
      <c r="OWF13" s="41"/>
      <c r="OWG13" s="41"/>
      <c r="OWH13" s="41"/>
      <c r="OWI13" s="41"/>
      <c r="OWJ13" s="41"/>
      <c r="OWK13" s="41"/>
      <c r="OWL13" s="41"/>
      <c r="OWM13" s="41"/>
      <c r="OWN13" s="41"/>
      <c r="OWO13" s="41"/>
      <c r="OWP13" s="41"/>
      <c r="OWQ13" s="41"/>
      <c r="OWR13" s="41"/>
      <c r="OWS13" s="41"/>
      <c r="OWT13" s="41"/>
      <c r="OWU13" s="41"/>
      <c r="OWV13" s="41"/>
      <c r="OWW13" s="41"/>
      <c r="OWX13" s="41"/>
      <c r="OWY13" s="41"/>
      <c r="OWZ13" s="41"/>
      <c r="OXA13" s="41"/>
      <c r="OXB13" s="41"/>
      <c r="OXC13" s="41"/>
      <c r="OXD13" s="41"/>
      <c r="OXE13" s="41"/>
      <c r="OXF13" s="41"/>
      <c r="OXG13" s="41"/>
      <c r="OXH13" s="41"/>
      <c r="OXI13" s="41"/>
      <c r="OXJ13" s="41"/>
      <c r="OXK13" s="41"/>
      <c r="OXL13" s="41"/>
      <c r="OXM13" s="41"/>
      <c r="OXN13" s="41"/>
      <c r="OXO13" s="41"/>
      <c r="OXP13" s="41"/>
      <c r="OXQ13" s="41"/>
      <c r="OXR13" s="41"/>
      <c r="OXS13" s="41"/>
      <c r="OXT13" s="41"/>
      <c r="OXU13" s="41"/>
      <c r="OXV13" s="41"/>
      <c r="OXW13" s="41"/>
      <c r="OXX13" s="41"/>
      <c r="OXY13" s="41"/>
      <c r="OXZ13" s="41"/>
      <c r="OYA13" s="41"/>
      <c r="OYB13" s="41"/>
      <c r="OYC13" s="41"/>
      <c r="OYD13" s="41"/>
      <c r="OYE13" s="41"/>
      <c r="OYF13" s="41"/>
      <c r="OYG13" s="41"/>
      <c r="OYH13" s="41"/>
      <c r="OYI13" s="41"/>
      <c r="OYJ13" s="41"/>
      <c r="OYK13" s="41"/>
      <c r="OYL13" s="41"/>
      <c r="OYM13" s="41"/>
      <c r="OYN13" s="41"/>
      <c r="OYO13" s="41"/>
      <c r="OYP13" s="41"/>
      <c r="OYQ13" s="41"/>
      <c r="OYR13" s="41"/>
      <c r="OYS13" s="41"/>
      <c r="OYT13" s="41"/>
      <c r="OYU13" s="41"/>
      <c r="OYV13" s="41"/>
      <c r="OYW13" s="41"/>
      <c r="OYX13" s="41"/>
      <c r="OYY13" s="41"/>
      <c r="OYZ13" s="41"/>
      <c r="OZA13" s="41"/>
      <c r="OZB13" s="41"/>
      <c r="OZC13" s="41"/>
      <c r="OZD13" s="41"/>
      <c r="OZE13" s="41"/>
      <c r="OZF13" s="41"/>
      <c r="OZG13" s="41"/>
      <c r="OZH13" s="41"/>
      <c r="OZI13" s="41"/>
      <c r="OZJ13" s="41"/>
      <c r="OZK13" s="41"/>
      <c r="OZL13" s="41"/>
      <c r="OZM13" s="41"/>
      <c r="OZN13" s="41"/>
      <c r="OZO13" s="41"/>
      <c r="OZP13" s="41"/>
      <c r="OZQ13" s="41"/>
      <c r="OZR13" s="41"/>
      <c r="OZS13" s="41"/>
      <c r="OZT13" s="41"/>
      <c r="OZU13" s="41"/>
      <c r="OZV13" s="41"/>
      <c r="OZW13" s="41"/>
      <c r="OZX13" s="41"/>
      <c r="OZY13" s="41"/>
      <c r="OZZ13" s="41"/>
      <c r="PAA13" s="41"/>
      <c r="PAB13" s="41"/>
      <c r="PAC13" s="41"/>
      <c r="PAD13" s="41"/>
      <c r="PAE13" s="41"/>
      <c r="PAF13" s="41"/>
      <c r="PAG13" s="41"/>
      <c r="PAH13" s="41"/>
      <c r="PAI13" s="41"/>
      <c r="PAJ13" s="41"/>
      <c r="PAK13" s="41"/>
      <c r="PAL13" s="41"/>
      <c r="PAM13" s="41"/>
      <c r="PAN13" s="41"/>
      <c r="PAO13" s="41"/>
      <c r="PAP13" s="41"/>
      <c r="PAQ13" s="41"/>
      <c r="PAR13" s="41"/>
      <c r="PAS13" s="41"/>
      <c r="PAT13" s="41"/>
      <c r="PAU13" s="41"/>
      <c r="PAV13" s="41"/>
      <c r="PAW13" s="41"/>
      <c r="PAX13" s="41"/>
      <c r="PAY13" s="41"/>
      <c r="PAZ13" s="41"/>
      <c r="PBA13" s="41"/>
      <c r="PBB13" s="41"/>
      <c r="PBC13" s="41"/>
      <c r="PBD13" s="41"/>
      <c r="PBE13" s="41"/>
      <c r="PBF13" s="41"/>
      <c r="PBG13" s="41"/>
      <c r="PBH13" s="41"/>
      <c r="PBI13" s="41"/>
      <c r="PBJ13" s="41"/>
      <c r="PBK13" s="41"/>
      <c r="PBL13" s="41"/>
      <c r="PBM13" s="41"/>
      <c r="PBN13" s="41"/>
      <c r="PBO13" s="41"/>
      <c r="PBP13" s="41"/>
      <c r="PBQ13" s="41"/>
      <c r="PBR13" s="41"/>
      <c r="PBS13" s="41"/>
      <c r="PBT13" s="41"/>
      <c r="PBU13" s="41"/>
      <c r="PBV13" s="41"/>
      <c r="PBW13" s="41"/>
      <c r="PBX13" s="41"/>
      <c r="PBY13" s="41"/>
      <c r="PBZ13" s="41"/>
      <c r="PCA13" s="41"/>
      <c r="PCB13" s="41"/>
      <c r="PCC13" s="41"/>
      <c r="PCD13" s="41"/>
      <c r="PCE13" s="41"/>
      <c r="PCF13" s="41"/>
      <c r="PCG13" s="41"/>
      <c r="PCH13" s="41"/>
      <c r="PCI13" s="41"/>
      <c r="PCJ13" s="41"/>
      <c r="PCK13" s="41"/>
      <c r="PCL13" s="41"/>
      <c r="PCM13" s="41"/>
      <c r="PCN13" s="41"/>
      <c r="PCO13" s="41"/>
      <c r="PCP13" s="41"/>
      <c r="PCQ13" s="41"/>
      <c r="PCR13" s="41"/>
      <c r="PCS13" s="41"/>
      <c r="PCT13" s="41"/>
      <c r="PCU13" s="41"/>
      <c r="PCV13" s="41"/>
      <c r="PCW13" s="41"/>
      <c r="PCX13" s="41"/>
      <c r="PCY13" s="41"/>
      <c r="PCZ13" s="41"/>
      <c r="PDA13" s="41"/>
      <c r="PDB13" s="41"/>
      <c r="PDC13" s="41"/>
      <c r="PDD13" s="41"/>
      <c r="PDE13" s="41"/>
      <c r="PDF13" s="41"/>
      <c r="PDG13" s="41"/>
      <c r="PDH13" s="41"/>
      <c r="PDI13" s="41"/>
      <c r="PDJ13" s="41"/>
      <c r="PDK13" s="41"/>
      <c r="PDL13" s="41"/>
      <c r="PDM13" s="41"/>
      <c r="PDN13" s="41"/>
      <c r="PDO13" s="41"/>
      <c r="PDP13" s="41"/>
      <c r="PDQ13" s="41"/>
      <c r="PDR13" s="41"/>
      <c r="PDS13" s="41"/>
      <c r="PDT13" s="41"/>
      <c r="PDU13" s="41"/>
      <c r="PDV13" s="41"/>
      <c r="PDW13" s="41"/>
      <c r="PDX13" s="41"/>
      <c r="PDY13" s="41"/>
      <c r="PDZ13" s="41"/>
      <c r="PEA13" s="41"/>
      <c r="PEB13" s="41"/>
      <c r="PEC13" s="41"/>
      <c r="PED13" s="41"/>
      <c r="PEE13" s="41"/>
      <c r="PEF13" s="41"/>
      <c r="PEG13" s="41"/>
      <c r="PEH13" s="41"/>
      <c r="PEI13" s="41"/>
      <c r="PEJ13" s="41"/>
      <c r="PEK13" s="41"/>
      <c r="PEL13" s="41"/>
      <c r="PEM13" s="41"/>
      <c r="PEN13" s="41"/>
      <c r="PEO13" s="41"/>
      <c r="PEP13" s="41"/>
      <c r="PEQ13" s="41"/>
      <c r="PER13" s="41"/>
      <c r="PES13" s="41"/>
      <c r="PET13" s="41"/>
      <c r="PEU13" s="41"/>
      <c r="PEV13" s="41"/>
      <c r="PEW13" s="41"/>
      <c r="PEX13" s="41"/>
      <c r="PEY13" s="41"/>
      <c r="PEZ13" s="41"/>
      <c r="PFA13" s="41"/>
      <c r="PFB13" s="41"/>
      <c r="PFC13" s="41"/>
      <c r="PFD13" s="41"/>
      <c r="PFE13" s="41"/>
      <c r="PFF13" s="41"/>
      <c r="PFG13" s="41"/>
      <c r="PFH13" s="41"/>
      <c r="PFI13" s="41"/>
      <c r="PFJ13" s="41"/>
      <c r="PFK13" s="41"/>
      <c r="PFL13" s="41"/>
      <c r="PFM13" s="41"/>
      <c r="PFN13" s="41"/>
      <c r="PFO13" s="41"/>
      <c r="PFP13" s="41"/>
      <c r="PFQ13" s="41"/>
      <c r="PFR13" s="41"/>
      <c r="PFS13" s="41"/>
      <c r="PFT13" s="41"/>
      <c r="PFU13" s="41"/>
      <c r="PFV13" s="41"/>
      <c r="PFW13" s="41"/>
      <c r="PFX13" s="41"/>
      <c r="PFY13" s="41"/>
      <c r="PFZ13" s="41"/>
      <c r="PGA13" s="41"/>
      <c r="PGB13" s="41"/>
      <c r="PGC13" s="41"/>
      <c r="PGD13" s="41"/>
      <c r="PGE13" s="41"/>
      <c r="PGF13" s="41"/>
      <c r="PGG13" s="41"/>
      <c r="PGH13" s="41"/>
      <c r="PGI13" s="41"/>
      <c r="PGJ13" s="41"/>
      <c r="PGK13" s="41"/>
      <c r="PGL13" s="41"/>
      <c r="PGM13" s="41"/>
      <c r="PGN13" s="41"/>
      <c r="PGO13" s="41"/>
      <c r="PGP13" s="41"/>
      <c r="PGQ13" s="41"/>
      <c r="PGR13" s="41"/>
      <c r="PGS13" s="41"/>
      <c r="PGT13" s="41"/>
      <c r="PGU13" s="41"/>
      <c r="PGV13" s="41"/>
      <c r="PGW13" s="41"/>
      <c r="PGX13" s="41"/>
      <c r="PGY13" s="41"/>
      <c r="PGZ13" s="41"/>
      <c r="PHA13" s="41"/>
      <c r="PHB13" s="41"/>
      <c r="PHC13" s="41"/>
      <c r="PHD13" s="41"/>
      <c r="PHE13" s="41"/>
      <c r="PHF13" s="41"/>
      <c r="PHG13" s="41"/>
      <c r="PHH13" s="41"/>
      <c r="PHI13" s="41"/>
      <c r="PHJ13" s="41"/>
      <c r="PHK13" s="41"/>
      <c r="PHL13" s="41"/>
      <c r="PHM13" s="41"/>
      <c r="PHN13" s="41"/>
      <c r="PHO13" s="41"/>
      <c r="PHP13" s="41"/>
      <c r="PHQ13" s="41"/>
      <c r="PHR13" s="41"/>
      <c r="PHS13" s="41"/>
      <c r="PHT13" s="41"/>
      <c r="PHU13" s="41"/>
      <c r="PHV13" s="41"/>
      <c r="PHW13" s="41"/>
      <c r="PHX13" s="41"/>
      <c r="PHY13" s="41"/>
      <c r="PHZ13" s="41"/>
      <c r="PIA13" s="41"/>
      <c r="PIB13" s="41"/>
      <c r="PIC13" s="41"/>
      <c r="PID13" s="41"/>
      <c r="PIE13" s="41"/>
      <c r="PIF13" s="41"/>
      <c r="PIG13" s="41"/>
      <c r="PIH13" s="41"/>
      <c r="PII13" s="41"/>
      <c r="PIJ13" s="41"/>
      <c r="PIK13" s="41"/>
      <c r="PIL13" s="41"/>
      <c r="PIM13" s="41"/>
      <c r="PIN13" s="41"/>
      <c r="PIO13" s="41"/>
      <c r="PIP13" s="41"/>
      <c r="PIQ13" s="41"/>
      <c r="PIR13" s="41"/>
      <c r="PIS13" s="41"/>
      <c r="PIT13" s="41"/>
      <c r="PIU13" s="41"/>
      <c r="PIV13" s="41"/>
      <c r="PIW13" s="41"/>
      <c r="PIX13" s="41"/>
      <c r="PIY13" s="41"/>
      <c r="PIZ13" s="41"/>
      <c r="PJA13" s="41"/>
      <c r="PJB13" s="41"/>
      <c r="PJC13" s="41"/>
      <c r="PJD13" s="41"/>
      <c r="PJE13" s="41"/>
      <c r="PJF13" s="41"/>
      <c r="PJG13" s="41"/>
      <c r="PJH13" s="41"/>
      <c r="PJI13" s="41"/>
      <c r="PJJ13" s="41"/>
      <c r="PJK13" s="41"/>
      <c r="PJL13" s="41"/>
      <c r="PJM13" s="41"/>
      <c r="PJN13" s="41"/>
      <c r="PJO13" s="41"/>
      <c r="PJP13" s="41"/>
      <c r="PJQ13" s="41"/>
      <c r="PJR13" s="41"/>
      <c r="PJS13" s="41"/>
      <c r="PJT13" s="41"/>
      <c r="PJU13" s="41"/>
      <c r="PJV13" s="41"/>
      <c r="PJW13" s="41"/>
      <c r="PJX13" s="41"/>
      <c r="PJY13" s="41"/>
      <c r="PJZ13" s="41"/>
      <c r="PKA13" s="41"/>
      <c r="PKB13" s="41"/>
      <c r="PKC13" s="41"/>
      <c r="PKD13" s="41"/>
      <c r="PKE13" s="41"/>
      <c r="PKF13" s="41"/>
      <c r="PKG13" s="41"/>
      <c r="PKH13" s="41"/>
      <c r="PKI13" s="41"/>
      <c r="PKJ13" s="41"/>
      <c r="PKK13" s="41"/>
      <c r="PKL13" s="41"/>
      <c r="PKM13" s="41"/>
      <c r="PKN13" s="41"/>
      <c r="PKO13" s="41"/>
      <c r="PKP13" s="41"/>
      <c r="PKQ13" s="41"/>
      <c r="PKR13" s="41"/>
      <c r="PKS13" s="41"/>
      <c r="PKT13" s="41"/>
      <c r="PKU13" s="41"/>
      <c r="PKV13" s="41"/>
      <c r="PKW13" s="41"/>
      <c r="PKX13" s="41"/>
      <c r="PKY13" s="41"/>
      <c r="PKZ13" s="41"/>
      <c r="PLA13" s="41"/>
      <c r="PLB13" s="41"/>
      <c r="PLC13" s="41"/>
      <c r="PLD13" s="41"/>
      <c r="PLE13" s="41"/>
      <c r="PLF13" s="41"/>
      <c r="PLG13" s="41"/>
      <c r="PLH13" s="41"/>
      <c r="PLI13" s="41"/>
      <c r="PLJ13" s="41"/>
      <c r="PLK13" s="41"/>
      <c r="PLL13" s="41"/>
      <c r="PLM13" s="41"/>
      <c r="PLN13" s="41"/>
      <c r="PLO13" s="41"/>
      <c r="PLP13" s="41"/>
      <c r="PLQ13" s="41"/>
      <c r="PLR13" s="41"/>
      <c r="PLS13" s="41"/>
      <c r="PLT13" s="41"/>
      <c r="PLU13" s="41"/>
      <c r="PLV13" s="41"/>
      <c r="PLW13" s="41"/>
      <c r="PLX13" s="41"/>
      <c r="PLY13" s="41"/>
      <c r="PLZ13" s="41"/>
      <c r="PMA13" s="41"/>
      <c r="PMB13" s="41"/>
      <c r="PMC13" s="41"/>
      <c r="PMD13" s="41"/>
      <c r="PME13" s="41"/>
      <c r="PMF13" s="41"/>
      <c r="PMG13" s="41"/>
      <c r="PMH13" s="41"/>
      <c r="PMI13" s="41"/>
      <c r="PMJ13" s="41"/>
      <c r="PMK13" s="41"/>
      <c r="PML13" s="41"/>
      <c r="PMM13" s="41"/>
      <c r="PMN13" s="41"/>
      <c r="PMO13" s="41"/>
      <c r="PMP13" s="41"/>
      <c r="PMQ13" s="41"/>
      <c r="PMR13" s="41"/>
      <c r="PMS13" s="41"/>
      <c r="PMT13" s="41"/>
      <c r="PMU13" s="41"/>
      <c r="PMV13" s="41"/>
      <c r="PMW13" s="41"/>
      <c r="PMX13" s="41"/>
      <c r="PMY13" s="41"/>
      <c r="PMZ13" s="41"/>
      <c r="PNA13" s="41"/>
      <c r="PNB13" s="41"/>
      <c r="PNC13" s="41"/>
      <c r="PND13" s="41"/>
      <c r="PNE13" s="41"/>
      <c r="PNF13" s="41"/>
      <c r="PNG13" s="41"/>
      <c r="PNH13" s="41"/>
      <c r="PNI13" s="41"/>
      <c r="PNJ13" s="41"/>
      <c r="PNK13" s="41"/>
      <c r="PNL13" s="41"/>
      <c r="PNM13" s="41"/>
      <c r="PNN13" s="41"/>
      <c r="PNO13" s="41"/>
      <c r="PNP13" s="41"/>
      <c r="PNQ13" s="41"/>
      <c r="PNR13" s="41"/>
      <c r="PNS13" s="41"/>
      <c r="PNT13" s="41"/>
      <c r="PNU13" s="41"/>
      <c r="PNV13" s="41"/>
      <c r="PNW13" s="41"/>
      <c r="PNX13" s="41"/>
      <c r="PNY13" s="41"/>
      <c r="PNZ13" s="41"/>
      <c r="POA13" s="41"/>
      <c r="POB13" s="41"/>
      <c r="POC13" s="41"/>
      <c r="POD13" s="41"/>
      <c r="POE13" s="41"/>
      <c r="POF13" s="41"/>
      <c r="POG13" s="41"/>
      <c r="POH13" s="41"/>
      <c r="POI13" s="41"/>
      <c r="POJ13" s="41"/>
      <c r="POK13" s="41"/>
      <c r="POL13" s="41"/>
      <c r="POM13" s="41"/>
      <c r="PON13" s="41"/>
      <c r="POO13" s="41"/>
      <c r="POP13" s="41"/>
      <c r="POQ13" s="41"/>
      <c r="POR13" s="41"/>
      <c r="POS13" s="41"/>
      <c r="POT13" s="41"/>
      <c r="POU13" s="41"/>
      <c r="POV13" s="41"/>
      <c r="POW13" s="41"/>
      <c r="POX13" s="41"/>
      <c r="POY13" s="41"/>
      <c r="POZ13" s="41"/>
      <c r="PPA13" s="41"/>
      <c r="PPB13" s="41"/>
      <c r="PPC13" s="41"/>
      <c r="PPD13" s="41"/>
      <c r="PPE13" s="41"/>
      <c r="PPF13" s="41"/>
      <c r="PPG13" s="41"/>
      <c r="PPH13" s="41"/>
      <c r="PPI13" s="41"/>
      <c r="PPJ13" s="41"/>
      <c r="PPK13" s="41"/>
      <c r="PPL13" s="41"/>
      <c r="PPM13" s="41"/>
      <c r="PPN13" s="41"/>
      <c r="PPO13" s="41"/>
      <c r="PPP13" s="41"/>
      <c r="PPQ13" s="41"/>
      <c r="PPR13" s="41"/>
      <c r="PPS13" s="41"/>
      <c r="PPT13" s="41"/>
      <c r="PPU13" s="41"/>
      <c r="PPV13" s="41"/>
      <c r="PPW13" s="41"/>
      <c r="PPX13" s="41"/>
      <c r="PPY13" s="41"/>
      <c r="PPZ13" s="41"/>
      <c r="PQA13" s="41"/>
      <c r="PQB13" s="41"/>
      <c r="PQC13" s="41"/>
      <c r="PQD13" s="41"/>
      <c r="PQE13" s="41"/>
      <c r="PQF13" s="41"/>
      <c r="PQG13" s="41"/>
      <c r="PQH13" s="41"/>
      <c r="PQI13" s="41"/>
      <c r="PQJ13" s="41"/>
      <c r="PQK13" s="41"/>
      <c r="PQL13" s="41"/>
      <c r="PQM13" s="41"/>
      <c r="PQN13" s="41"/>
      <c r="PQO13" s="41"/>
      <c r="PQP13" s="41"/>
      <c r="PQQ13" s="41"/>
      <c r="PQR13" s="41"/>
      <c r="PQS13" s="41"/>
      <c r="PQT13" s="41"/>
      <c r="PQU13" s="41"/>
      <c r="PQV13" s="41"/>
      <c r="PQW13" s="41"/>
      <c r="PQX13" s="41"/>
      <c r="PQY13" s="41"/>
      <c r="PQZ13" s="41"/>
      <c r="PRA13" s="41"/>
      <c r="PRB13" s="41"/>
      <c r="PRC13" s="41"/>
      <c r="PRD13" s="41"/>
      <c r="PRE13" s="41"/>
      <c r="PRF13" s="41"/>
      <c r="PRG13" s="41"/>
      <c r="PRH13" s="41"/>
      <c r="PRI13" s="41"/>
      <c r="PRJ13" s="41"/>
      <c r="PRK13" s="41"/>
      <c r="PRL13" s="41"/>
      <c r="PRM13" s="41"/>
      <c r="PRN13" s="41"/>
      <c r="PRO13" s="41"/>
      <c r="PRP13" s="41"/>
      <c r="PRQ13" s="41"/>
      <c r="PRR13" s="41"/>
      <c r="PRS13" s="41"/>
      <c r="PRT13" s="41"/>
      <c r="PRU13" s="41"/>
      <c r="PRV13" s="41"/>
      <c r="PRW13" s="41"/>
      <c r="PRX13" s="41"/>
      <c r="PRY13" s="41"/>
      <c r="PRZ13" s="41"/>
      <c r="PSA13" s="41"/>
      <c r="PSB13" s="41"/>
      <c r="PSC13" s="41"/>
      <c r="PSD13" s="41"/>
      <c r="PSE13" s="41"/>
      <c r="PSF13" s="41"/>
      <c r="PSG13" s="41"/>
      <c r="PSH13" s="41"/>
      <c r="PSI13" s="41"/>
      <c r="PSJ13" s="41"/>
      <c r="PSK13" s="41"/>
      <c r="PSL13" s="41"/>
      <c r="PSM13" s="41"/>
      <c r="PSN13" s="41"/>
      <c r="PSO13" s="41"/>
      <c r="PSP13" s="41"/>
      <c r="PSQ13" s="41"/>
      <c r="PSR13" s="41"/>
      <c r="PSS13" s="41"/>
      <c r="PST13" s="41"/>
      <c r="PSU13" s="41"/>
      <c r="PSV13" s="41"/>
      <c r="PSW13" s="41"/>
      <c r="PSX13" s="41"/>
      <c r="PSY13" s="41"/>
      <c r="PSZ13" s="41"/>
      <c r="PTA13" s="41"/>
      <c r="PTB13" s="41"/>
      <c r="PTC13" s="41"/>
      <c r="PTD13" s="41"/>
      <c r="PTE13" s="41"/>
      <c r="PTF13" s="41"/>
      <c r="PTG13" s="41"/>
      <c r="PTH13" s="41"/>
      <c r="PTI13" s="41"/>
      <c r="PTJ13" s="41"/>
      <c r="PTK13" s="41"/>
      <c r="PTL13" s="41"/>
      <c r="PTM13" s="41"/>
      <c r="PTN13" s="41"/>
      <c r="PTO13" s="41"/>
      <c r="PTP13" s="41"/>
      <c r="PTQ13" s="41"/>
      <c r="PTR13" s="41"/>
      <c r="PTS13" s="41"/>
      <c r="PTT13" s="41"/>
      <c r="PTU13" s="41"/>
      <c r="PTV13" s="41"/>
      <c r="PTW13" s="41"/>
      <c r="PTX13" s="41"/>
      <c r="PTY13" s="41"/>
      <c r="PTZ13" s="41"/>
      <c r="PUA13" s="41"/>
      <c r="PUB13" s="41"/>
      <c r="PUC13" s="41"/>
      <c r="PUD13" s="41"/>
      <c r="PUE13" s="41"/>
      <c r="PUF13" s="41"/>
      <c r="PUG13" s="41"/>
      <c r="PUH13" s="41"/>
      <c r="PUI13" s="41"/>
      <c r="PUJ13" s="41"/>
      <c r="PUK13" s="41"/>
      <c r="PUL13" s="41"/>
      <c r="PUM13" s="41"/>
      <c r="PUN13" s="41"/>
      <c r="PUO13" s="41"/>
      <c r="PUP13" s="41"/>
      <c r="PUQ13" s="41"/>
      <c r="PUR13" s="41"/>
      <c r="PUS13" s="41"/>
      <c r="PUT13" s="41"/>
      <c r="PUU13" s="41"/>
      <c r="PUV13" s="41"/>
      <c r="PUW13" s="41"/>
      <c r="PUX13" s="41"/>
      <c r="PUY13" s="41"/>
      <c r="PUZ13" s="41"/>
      <c r="PVA13" s="41"/>
      <c r="PVB13" s="41"/>
      <c r="PVC13" s="41"/>
      <c r="PVD13" s="41"/>
      <c r="PVE13" s="41"/>
      <c r="PVF13" s="41"/>
      <c r="PVG13" s="41"/>
      <c r="PVH13" s="41"/>
      <c r="PVI13" s="41"/>
      <c r="PVJ13" s="41"/>
      <c r="PVK13" s="41"/>
      <c r="PVL13" s="41"/>
      <c r="PVM13" s="41"/>
      <c r="PVN13" s="41"/>
      <c r="PVO13" s="41"/>
      <c r="PVP13" s="41"/>
      <c r="PVQ13" s="41"/>
      <c r="PVR13" s="41"/>
      <c r="PVS13" s="41"/>
      <c r="PVT13" s="41"/>
      <c r="PVU13" s="41"/>
      <c r="PVV13" s="41"/>
      <c r="PVW13" s="41"/>
      <c r="PVX13" s="41"/>
      <c r="PVY13" s="41"/>
      <c r="PVZ13" s="41"/>
      <c r="PWA13" s="41"/>
      <c r="PWB13" s="41"/>
      <c r="PWC13" s="41"/>
      <c r="PWD13" s="41"/>
      <c r="PWE13" s="41"/>
      <c r="PWF13" s="41"/>
      <c r="PWG13" s="41"/>
      <c r="PWH13" s="41"/>
      <c r="PWI13" s="41"/>
      <c r="PWJ13" s="41"/>
      <c r="PWK13" s="41"/>
      <c r="PWL13" s="41"/>
      <c r="PWM13" s="41"/>
      <c r="PWN13" s="41"/>
      <c r="PWO13" s="41"/>
      <c r="PWP13" s="41"/>
      <c r="PWQ13" s="41"/>
      <c r="PWR13" s="41"/>
      <c r="PWS13" s="41"/>
      <c r="PWT13" s="41"/>
      <c r="PWU13" s="41"/>
      <c r="PWV13" s="41"/>
      <c r="PWW13" s="41"/>
      <c r="PWX13" s="41"/>
      <c r="PWY13" s="41"/>
      <c r="PWZ13" s="41"/>
      <c r="PXA13" s="41"/>
      <c r="PXB13" s="41"/>
      <c r="PXC13" s="41"/>
      <c r="PXD13" s="41"/>
      <c r="PXE13" s="41"/>
      <c r="PXF13" s="41"/>
      <c r="PXG13" s="41"/>
      <c r="PXH13" s="41"/>
      <c r="PXI13" s="41"/>
      <c r="PXJ13" s="41"/>
      <c r="PXK13" s="41"/>
      <c r="PXL13" s="41"/>
      <c r="PXM13" s="41"/>
      <c r="PXN13" s="41"/>
      <c r="PXO13" s="41"/>
      <c r="PXP13" s="41"/>
      <c r="PXQ13" s="41"/>
      <c r="PXR13" s="41"/>
      <c r="PXS13" s="41"/>
      <c r="PXT13" s="41"/>
      <c r="PXU13" s="41"/>
      <c r="PXV13" s="41"/>
      <c r="PXW13" s="41"/>
      <c r="PXX13" s="41"/>
      <c r="PXY13" s="41"/>
      <c r="PXZ13" s="41"/>
      <c r="PYA13" s="41"/>
      <c r="PYB13" s="41"/>
      <c r="PYC13" s="41"/>
      <c r="PYD13" s="41"/>
      <c r="PYE13" s="41"/>
      <c r="PYF13" s="41"/>
      <c r="PYG13" s="41"/>
      <c r="PYH13" s="41"/>
      <c r="PYI13" s="41"/>
      <c r="PYJ13" s="41"/>
      <c r="PYK13" s="41"/>
      <c r="PYL13" s="41"/>
      <c r="PYM13" s="41"/>
      <c r="PYN13" s="41"/>
      <c r="PYO13" s="41"/>
      <c r="PYP13" s="41"/>
      <c r="PYQ13" s="41"/>
      <c r="PYR13" s="41"/>
      <c r="PYS13" s="41"/>
      <c r="PYT13" s="41"/>
      <c r="PYU13" s="41"/>
      <c r="PYV13" s="41"/>
      <c r="PYW13" s="41"/>
      <c r="PYX13" s="41"/>
      <c r="PYY13" s="41"/>
      <c r="PYZ13" s="41"/>
      <c r="PZA13" s="41"/>
      <c r="PZB13" s="41"/>
      <c r="PZC13" s="41"/>
      <c r="PZD13" s="41"/>
      <c r="PZE13" s="41"/>
      <c r="PZF13" s="41"/>
      <c r="PZG13" s="41"/>
      <c r="PZH13" s="41"/>
      <c r="PZI13" s="41"/>
      <c r="PZJ13" s="41"/>
      <c r="PZK13" s="41"/>
      <c r="PZL13" s="41"/>
      <c r="PZM13" s="41"/>
      <c r="PZN13" s="41"/>
      <c r="PZO13" s="41"/>
      <c r="PZP13" s="41"/>
      <c r="PZQ13" s="41"/>
      <c r="PZR13" s="41"/>
      <c r="PZS13" s="41"/>
      <c r="PZT13" s="41"/>
      <c r="PZU13" s="41"/>
      <c r="PZV13" s="41"/>
      <c r="PZW13" s="41"/>
      <c r="PZX13" s="41"/>
      <c r="PZY13" s="41"/>
      <c r="PZZ13" s="41"/>
      <c r="QAA13" s="41"/>
      <c r="QAB13" s="41"/>
      <c r="QAC13" s="41"/>
      <c r="QAD13" s="41"/>
      <c r="QAE13" s="41"/>
      <c r="QAF13" s="41"/>
      <c r="QAG13" s="41"/>
      <c r="QAH13" s="41"/>
      <c r="QAI13" s="41"/>
      <c r="QAJ13" s="41"/>
      <c r="QAK13" s="41"/>
      <c r="QAL13" s="41"/>
      <c r="QAM13" s="41"/>
      <c r="QAN13" s="41"/>
      <c r="QAO13" s="41"/>
      <c r="QAP13" s="41"/>
      <c r="QAQ13" s="41"/>
      <c r="QAR13" s="41"/>
      <c r="QAS13" s="41"/>
      <c r="QAT13" s="41"/>
      <c r="QAU13" s="41"/>
      <c r="QAV13" s="41"/>
      <c r="QAW13" s="41"/>
      <c r="QAX13" s="41"/>
      <c r="QAY13" s="41"/>
      <c r="QAZ13" s="41"/>
      <c r="QBA13" s="41"/>
      <c r="QBB13" s="41"/>
      <c r="QBC13" s="41"/>
      <c r="QBD13" s="41"/>
      <c r="QBE13" s="41"/>
      <c r="QBF13" s="41"/>
      <c r="QBG13" s="41"/>
      <c r="QBH13" s="41"/>
      <c r="QBI13" s="41"/>
      <c r="QBJ13" s="41"/>
      <c r="QBK13" s="41"/>
      <c r="QBL13" s="41"/>
      <c r="QBM13" s="41"/>
      <c r="QBN13" s="41"/>
      <c r="QBO13" s="41"/>
      <c r="QBP13" s="41"/>
      <c r="QBQ13" s="41"/>
      <c r="QBR13" s="41"/>
      <c r="QBS13" s="41"/>
      <c r="QBT13" s="41"/>
      <c r="QBU13" s="41"/>
      <c r="QBV13" s="41"/>
      <c r="QBW13" s="41"/>
      <c r="QBX13" s="41"/>
      <c r="QBY13" s="41"/>
      <c r="QBZ13" s="41"/>
      <c r="QCA13" s="41"/>
      <c r="QCB13" s="41"/>
      <c r="QCC13" s="41"/>
      <c r="QCD13" s="41"/>
      <c r="QCE13" s="41"/>
      <c r="QCF13" s="41"/>
      <c r="QCG13" s="41"/>
      <c r="QCH13" s="41"/>
      <c r="QCI13" s="41"/>
      <c r="QCJ13" s="41"/>
      <c r="QCK13" s="41"/>
      <c r="QCL13" s="41"/>
      <c r="QCM13" s="41"/>
      <c r="QCN13" s="41"/>
      <c r="QCO13" s="41"/>
      <c r="QCP13" s="41"/>
      <c r="QCQ13" s="41"/>
      <c r="QCR13" s="41"/>
      <c r="QCS13" s="41"/>
      <c r="QCT13" s="41"/>
      <c r="QCU13" s="41"/>
      <c r="QCV13" s="41"/>
      <c r="QCW13" s="41"/>
      <c r="QCX13" s="41"/>
      <c r="QCY13" s="41"/>
      <c r="QCZ13" s="41"/>
      <c r="QDA13" s="41"/>
      <c r="QDB13" s="41"/>
      <c r="QDC13" s="41"/>
      <c r="QDD13" s="41"/>
      <c r="QDE13" s="41"/>
      <c r="QDF13" s="41"/>
      <c r="QDG13" s="41"/>
      <c r="QDH13" s="41"/>
      <c r="QDI13" s="41"/>
      <c r="QDJ13" s="41"/>
      <c r="QDK13" s="41"/>
      <c r="QDL13" s="41"/>
      <c r="QDM13" s="41"/>
      <c r="QDN13" s="41"/>
      <c r="QDO13" s="41"/>
      <c r="QDP13" s="41"/>
      <c r="QDQ13" s="41"/>
      <c r="QDR13" s="41"/>
      <c r="QDS13" s="41"/>
      <c r="QDT13" s="41"/>
      <c r="QDU13" s="41"/>
      <c r="QDV13" s="41"/>
      <c r="QDW13" s="41"/>
      <c r="QDX13" s="41"/>
      <c r="QDY13" s="41"/>
      <c r="QDZ13" s="41"/>
      <c r="QEA13" s="41"/>
      <c r="QEB13" s="41"/>
      <c r="QEC13" s="41"/>
      <c r="QED13" s="41"/>
      <c r="QEE13" s="41"/>
      <c r="QEF13" s="41"/>
      <c r="QEG13" s="41"/>
      <c r="QEH13" s="41"/>
      <c r="QEI13" s="41"/>
      <c r="QEJ13" s="41"/>
      <c r="QEK13" s="41"/>
      <c r="QEL13" s="41"/>
      <c r="QEM13" s="41"/>
      <c r="QEN13" s="41"/>
      <c r="QEO13" s="41"/>
      <c r="QEP13" s="41"/>
      <c r="QEQ13" s="41"/>
      <c r="QER13" s="41"/>
      <c r="QES13" s="41"/>
      <c r="QET13" s="41"/>
      <c r="QEU13" s="41"/>
      <c r="QEV13" s="41"/>
      <c r="QEW13" s="41"/>
      <c r="QEX13" s="41"/>
      <c r="QEY13" s="41"/>
      <c r="QEZ13" s="41"/>
      <c r="QFA13" s="41"/>
      <c r="QFB13" s="41"/>
      <c r="QFC13" s="41"/>
      <c r="QFD13" s="41"/>
      <c r="QFE13" s="41"/>
      <c r="QFF13" s="41"/>
      <c r="QFG13" s="41"/>
      <c r="QFH13" s="41"/>
      <c r="QFI13" s="41"/>
      <c r="QFJ13" s="41"/>
      <c r="QFK13" s="41"/>
      <c r="QFL13" s="41"/>
      <c r="QFM13" s="41"/>
      <c r="QFN13" s="41"/>
      <c r="QFO13" s="41"/>
      <c r="QFP13" s="41"/>
      <c r="QFQ13" s="41"/>
      <c r="QFR13" s="41"/>
      <c r="QFS13" s="41"/>
      <c r="QFT13" s="41"/>
      <c r="QFU13" s="41"/>
      <c r="QFV13" s="41"/>
      <c r="QFW13" s="41"/>
      <c r="QFX13" s="41"/>
      <c r="QFY13" s="41"/>
      <c r="QFZ13" s="41"/>
      <c r="QGA13" s="41"/>
      <c r="QGB13" s="41"/>
      <c r="QGC13" s="41"/>
      <c r="QGD13" s="41"/>
      <c r="QGE13" s="41"/>
      <c r="QGF13" s="41"/>
      <c r="QGG13" s="41"/>
      <c r="QGH13" s="41"/>
      <c r="QGI13" s="41"/>
      <c r="QGJ13" s="41"/>
      <c r="QGK13" s="41"/>
      <c r="QGL13" s="41"/>
      <c r="QGM13" s="41"/>
      <c r="QGN13" s="41"/>
      <c r="QGO13" s="41"/>
      <c r="QGP13" s="41"/>
      <c r="QGQ13" s="41"/>
      <c r="QGR13" s="41"/>
      <c r="QGS13" s="41"/>
      <c r="QGT13" s="41"/>
      <c r="QGU13" s="41"/>
      <c r="QGV13" s="41"/>
      <c r="QGW13" s="41"/>
      <c r="QGX13" s="41"/>
      <c r="QGY13" s="41"/>
      <c r="QGZ13" s="41"/>
      <c r="QHA13" s="41"/>
      <c r="QHB13" s="41"/>
      <c r="QHC13" s="41"/>
      <c r="QHD13" s="41"/>
      <c r="QHE13" s="41"/>
      <c r="QHF13" s="41"/>
      <c r="QHG13" s="41"/>
      <c r="QHH13" s="41"/>
      <c r="QHI13" s="41"/>
      <c r="QHJ13" s="41"/>
      <c r="QHK13" s="41"/>
      <c r="QHL13" s="41"/>
      <c r="QHM13" s="41"/>
      <c r="QHN13" s="41"/>
      <c r="QHO13" s="41"/>
      <c r="QHP13" s="41"/>
      <c r="QHQ13" s="41"/>
      <c r="QHR13" s="41"/>
      <c r="QHS13" s="41"/>
      <c r="QHT13" s="41"/>
      <c r="QHU13" s="41"/>
      <c r="QHV13" s="41"/>
      <c r="QHW13" s="41"/>
      <c r="QHX13" s="41"/>
      <c r="QHY13" s="41"/>
      <c r="QHZ13" s="41"/>
      <c r="QIA13" s="41"/>
      <c r="QIB13" s="41"/>
      <c r="QIC13" s="41"/>
      <c r="QID13" s="41"/>
      <c r="QIE13" s="41"/>
      <c r="QIF13" s="41"/>
      <c r="QIG13" s="41"/>
      <c r="QIH13" s="41"/>
      <c r="QII13" s="41"/>
      <c r="QIJ13" s="41"/>
      <c r="QIK13" s="41"/>
      <c r="QIL13" s="41"/>
      <c r="QIM13" s="41"/>
      <c r="QIN13" s="41"/>
      <c r="QIO13" s="41"/>
      <c r="QIP13" s="41"/>
      <c r="QIQ13" s="41"/>
      <c r="QIR13" s="41"/>
      <c r="QIS13" s="41"/>
      <c r="QIT13" s="41"/>
      <c r="QIU13" s="41"/>
      <c r="QIV13" s="41"/>
      <c r="QIW13" s="41"/>
      <c r="QIX13" s="41"/>
      <c r="QIY13" s="41"/>
      <c r="QIZ13" s="41"/>
      <c r="QJA13" s="41"/>
      <c r="QJB13" s="41"/>
      <c r="QJC13" s="41"/>
      <c r="QJD13" s="41"/>
      <c r="QJE13" s="41"/>
      <c r="QJF13" s="41"/>
      <c r="QJG13" s="41"/>
      <c r="QJH13" s="41"/>
      <c r="QJI13" s="41"/>
      <c r="QJJ13" s="41"/>
      <c r="QJK13" s="41"/>
      <c r="QJL13" s="41"/>
      <c r="QJM13" s="41"/>
      <c r="QJN13" s="41"/>
      <c r="QJO13" s="41"/>
      <c r="QJP13" s="41"/>
      <c r="QJQ13" s="41"/>
      <c r="QJR13" s="41"/>
      <c r="QJS13" s="41"/>
      <c r="QJT13" s="41"/>
      <c r="QJU13" s="41"/>
      <c r="QJV13" s="41"/>
      <c r="QJW13" s="41"/>
      <c r="QJX13" s="41"/>
      <c r="QJY13" s="41"/>
      <c r="QJZ13" s="41"/>
      <c r="QKA13" s="41"/>
      <c r="QKB13" s="41"/>
      <c r="QKC13" s="41"/>
      <c r="QKD13" s="41"/>
      <c r="QKE13" s="41"/>
      <c r="QKF13" s="41"/>
      <c r="QKG13" s="41"/>
      <c r="QKH13" s="41"/>
      <c r="QKI13" s="41"/>
      <c r="QKJ13" s="41"/>
      <c r="QKK13" s="41"/>
      <c r="QKL13" s="41"/>
      <c r="QKM13" s="41"/>
      <c r="QKN13" s="41"/>
      <c r="QKO13" s="41"/>
      <c r="QKP13" s="41"/>
      <c r="QKQ13" s="41"/>
      <c r="QKR13" s="41"/>
      <c r="QKS13" s="41"/>
      <c r="QKT13" s="41"/>
      <c r="QKU13" s="41"/>
      <c r="QKV13" s="41"/>
      <c r="QKW13" s="41"/>
      <c r="QKX13" s="41"/>
      <c r="QKY13" s="41"/>
      <c r="QKZ13" s="41"/>
      <c r="QLA13" s="41"/>
      <c r="QLB13" s="41"/>
      <c r="QLC13" s="41"/>
      <c r="QLD13" s="41"/>
      <c r="QLE13" s="41"/>
      <c r="QLF13" s="41"/>
      <c r="QLG13" s="41"/>
      <c r="QLH13" s="41"/>
      <c r="QLI13" s="41"/>
      <c r="QLJ13" s="41"/>
      <c r="QLK13" s="41"/>
      <c r="QLL13" s="41"/>
      <c r="QLM13" s="41"/>
      <c r="QLN13" s="41"/>
      <c r="QLO13" s="41"/>
      <c r="QLP13" s="41"/>
      <c r="QLQ13" s="41"/>
      <c r="QLR13" s="41"/>
      <c r="QLS13" s="41"/>
      <c r="QLT13" s="41"/>
      <c r="QLU13" s="41"/>
      <c r="QLV13" s="41"/>
      <c r="QLW13" s="41"/>
      <c r="QLX13" s="41"/>
      <c r="QLY13" s="41"/>
      <c r="QLZ13" s="41"/>
      <c r="QMA13" s="41"/>
      <c r="QMB13" s="41"/>
      <c r="QMC13" s="41"/>
      <c r="QMD13" s="41"/>
      <c r="QME13" s="41"/>
      <c r="QMF13" s="41"/>
      <c r="QMG13" s="41"/>
      <c r="QMH13" s="41"/>
      <c r="QMI13" s="41"/>
      <c r="QMJ13" s="41"/>
      <c r="QMK13" s="41"/>
      <c r="QML13" s="41"/>
      <c r="QMM13" s="41"/>
      <c r="QMN13" s="41"/>
      <c r="QMO13" s="41"/>
      <c r="QMP13" s="41"/>
      <c r="QMQ13" s="41"/>
      <c r="QMR13" s="41"/>
      <c r="QMS13" s="41"/>
      <c r="QMT13" s="41"/>
      <c r="QMU13" s="41"/>
      <c r="QMV13" s="41"/>
      <c r="QMW13" s="41"/>
      <c r="QMX13" s="41"/>
      <c r="QMY13" s="41"/>
      <c r="QMZ13" s="41"/>
      <c r="QNA13" s="41"/>
      <c r="QNB13" s="41"/>
      <c r="QNC13" s="41"/>
      <c r="QND13" s="41"/>
      <c r="QNE13" s="41"/>
      <c r="QNF13" s="41"/>
      <c r="QNG13" s="41"/>
      <c r="QNH13" s="41"/>
      <c r="QNI13" s="41"/>
      <c r="QNJ13" s="41"/>
      <c r="QNK13" s="41"/>
      <c r="QNL13" s="41"/>
      <c r="QNM13" s="41"/>
      <c r="QNN13" s="41"/>
      <c r="QNO13" s="41"/>
      <c r="QNP13" s="41"/>
      <c r="QNQ13" s="41"/>
      <c r="QNR13" s="41"/>
      <c r="QNS13" s="41"/>
      <c r="QNT13" s="41"/>
      <c r="QNU13" s="41"/>
      <c r="QNV13" s="41"/>
      <c r="QNW13" s="41"/>
      <c r="QNX13" s="41"/>
      <c r="QNY13" s="41"/>
      <c r="QNZ13" s="41"/>
      <c r="QOA13" s="41"/>
      <c r="QOB13" s="41"/>
      <c r="QOC13" s="41"/>
      <c r="QOD13" s="41"/>
      <c r="QOE13" s="41"/>
      <c r="QOF13" s="41"/>
      <c r="QOG13" s="41"/>
      <c r="QOH13" s="41"/>
      <c r="QOI13" s="41"/>
      <c r="QOJ13" s="41"/>
      <c r="QOK13" s="41"/>
      <c r="QOL13" s="41"/>
      <c r="QOM13" s="41"/>
      <c r="QON13" s="41"/>
      <c r="QOO13" s="41"/>
      <c r="QOP13" s="41"/>
      <c r="QOQ13" s="41"/>
      <c r="QOR13" s="41"/>
      <c r="QOS13" s="41"/>
      <c r="QOT13" s="41"/>
      <c r="QOU13" s="41"/>
      <c r="QOV13" s="41"/>
      <c r="QOW13" s="41"/>
      <c r="QOX13" s="41"/>
      <c r="QOY13" s="41"/>
      <c r="QOZ13" s="41"/>
      <c r="QPA13" s="41"/>
      <c r="QPB13" s="41"/>
      <c r="QPC13" s="41"/>
      <c r="QPD13" s="41"/>
      <c r="QPE13" s="41"/>
      <c r="QPF13" s="41"/>
      <c r="QPG13" s="41"/>
      <c r="QPH13" s="41"/>
      <c r="QPI13" s="41"/>
      <c r="QPJ13" s="41"/>
      <c r="QPK13" s="41"/>
      <c r="QPL13" s="41"/>
      <c r="QPM13" s="41"/>
      <c r="QPN13" s="41"/>
      <c r="QPO13" s="41"/>
      <c r="QPP13" s="41"/>
      <c r="QPQ13" s="41"/>
      <c r="QPR13" s="41"/>
      <c r="QPS13" s="41"/>
      <c r="QPT13" s="41"/>
      <c r="QPU13" s="41"/>
      <c r="QPV13" s="41"/>
      <c r="QPW13" s="41"/>
      <c r="QPX13" s="41"/>
      <c r="QPY13" s="41"/>
      <c r="QPZ13" s="41"/>
      <c r="QQA13" s="41"/>
      <c r="QQB13" s="41"/>
      <c r="QQC13" s="41"/>
      <c r="QQD13" s="41"/>
      <c r="QQE13" s="41"/>
      <c r="QQF13" s="41"/>
      <c r="QQG13" s="41"/>
      <c r="QQH13" s="41"/>
      <c r="QQI13" s="41"/>
      <c r="QQJ13" s="41"/>
      <c r="QQK13" s="41"/>
      <c r="QQL13" s="41"/>
      <c r="QQM13" s="41"/>
      <c r="QQN13" s="41"/>
      <c r="QQO13" s="41"/>
      <c r="QQP13" s="41"/>
      <c r="QQQ13" s="41"/>
      <c r="QQR13" s="41"/>
      <c r="QQS13" s="41"/>
      <c r="QQT13" s="41"/>
      <c r="QQU13" s="41"/>
      <c r="QQV13" s="41"/>
      <c r="QQW13" s="41"/>
      <c r="QQX13" s="41"/>
      <c r="QQY13" s="41"/>
      <c r="QQZ13" s="41"/>
      <c r="QRA13" s="41"/>
      <c r="QRB13" s="41"/>
      <c r="QRC13" s="41"/>
      <c r="QRD13" s="41"/>
      <c r="QRE13" s="41"/>
      <c r="QRF13" s="41"/>
      <c r="QRG13" s="41"/>
      <c r="QRH13" s="41"/>
      <c r="QRI13" s="41"/>
      <c r="QRJ13" s="41"/>
      <c r="QRK13" s="41"/>
      <c r="QRL13" s="41"/>
      <c r="QRM13" s="41"/>
      <c r="QRN13" s="41"/>
      <c r="QRO13" s="41"/>
      <c r="QRP13" s="41"/>
      <c r="QRQ13" s="41"/>
      <c r="QRR13" s="41"/>
      <c r="QRS13" s="41"/>
      <c r="QRT13" s="41"/>
      <c r="QRU13" s="41"/>
      <c r="QRV13" s="41"/>
      <c r="QRW13" s="41"/>
      <c r="QRX13" s="41"/>
      <c r="QRY13" s="41"/>
      <c r="QRZ13" s="41"/>
      <c r="QSA13" s="41"/>
      <c r="QSB13" s="41"/>
      <c r="QSC13" s="41"/>
      <c r="QSD13" s="41"/>
      <c r="QSE13" s="41"/>
      <c r="QSF13" s="41"/>
      <c r="QSG13" s="41"/>
      <c r="QSH13" s="41"/>
      <c r="QSI13" s="41"/>
      <c r="QSJ13" s="41"/>
      <c r="QSK13" s="41"/>
      <c r="QSL13" s="41"/>
      <c r="QSM13" s="41"/>
      <c r="QSN13" s="41"/>
      <c r="QSO13" s="41"/>
      <c r="QSP13" s="41"/>
      <c r="QSQ13" s="41"/>
      <c r="QSR13" s="41"/>
      <c r="QSS13" s="41"/>
      <c r="QST13" s="41"/>
      <c r="QSU13" s="41"/>
      <c r="QSV13" s="41"/>
      <c r="QSW13" s="41"/>
      <c r="QSX13" s="41"/>
      <c r="QSY13" s="41"/>
      <c r="QSZ13" s="41"/>
      <c r="QTA13" s="41"/>
      <c r="QTB13" s="41"/>
      <c r="QTC13" s="41"/>
      <c r="QTD13" s="41"/>
      <c r="QTE13" s="41"/>
      <c r="QTF13" s="41"/>
      <c r="QTG13" s="41"/>
      <c r="QTH13" s="41"/>
      <c r="QTI13" s="41"/>
      <c r="QTJ13" s="41"/>
      <c r="QTK13" s="41"/>
      <c r="QTL13" s="41"/>
      <c r="QTM13" s="41"/>
      <c r="QTN13" s="41"/>
      <c r="QTO13" s="41"/>
      <c r="QTP13" s="41"/>
      <c r="QTQ13" s="41"/>
      <c r="QTR13" s="41"/>
      <c r="QTS13" s="41"/>
      <c r="QTT13" s="41"/>
      <c r="QTU13" s="41"/>
      <c r="QTV13" s="41"/>
      <c r="QTW13" s="41"/>
      <c r="QTX13" s="41"/>
      <c r="QTY13" s="41"/>
      <c r="QTZ13" s="41"/>
      <c r="QUA13" s="41"/>
      <c r="QUB13" s="41"/>
      <c r="QUC13" s="41"/>
      <c r="QUD13" s="41"/>
      <c r="QUE13" s="41"/>
      <c r="QUF13" s="41"/>
      <c r="QUG13" s="41"/>
      <c r="QUH13" s="41"/>
      <c r="QUI13" s="41"/>
      <c r="QUJ13" s="41"/>
      <c r="QUK13" s="41"/>
      <c r="QUL13" s="41"/>
      <c r="QUM13" s="41"/>
      <c r="QUN13" s="41"/>
      <c r="QUO13" s="41"/>
      <c r="QUP13" s="41"/>
      <c r="QUQ13" s="41"/>
      <c r="QUR13" s="41"/>
      <c r="QUS13" s="41"/>
      <c r="QUT13" s="41"/>
      <c r="QUU13" s="41"/>
      <c r="QUV13" s="41"/>
      <c r="QUW13" s="41"/>
      <c r="QUX13" s="41"/>
      <c r="QUY13" s="41"/>
      <c r="QUZ13" s="41"/>
      <c r="QVA13" s="41"/>
      <c r="QVB13" s="41"/>
      <c r="QVC13" s="41"/>
      <c r="QVD13" s="41"/>
      <c r="QVE13" s="41"/>
      <c r="QVF13" s="41"/>
      <c r="QVG13" s="41"/>
      <c r="QVH13" s="41"/>
      <c r="QVI13" s="41"/>
      <c r="QVJ13" s="41"/>
      <c r="QVK13" s="41"/>
      <c r="QVL13" s="41"/>
      <c r="QVM13" s="41"/>
      <c r="QVN13" s="41"/>
      <c r="QVO13" s="41"/>
      <c r="QVP13" s="41"/>
      <c r="QVQ13" s="41"/>
      <c r="QVR13" s="41"/>
      <c r="QVS13" s="41"/>
      <c r="QVT13" s="41"/>
      <c r="QVU13" s="41"/>
      <c r="QVV13" s="41"/>
      <c r="QVW13" s="41"/>
      <c r="QVX13" s="41"/>
      <c r="QVY13" s="41"/>
      <c r="QVZ13" s="41"/>
      <c r="QWA13" s="41"/>
      <c r="QWB13" s="41"/>
      <c r="QWC13" s="41"/>
      <c r="QWD13" s="41"/>
      <c r="QWE13" s="41"/>
      <c r="QWF13" s="41"/>
      <c r="QWG13" s="41"/>
      <c r="QWH13" s="41"/>
      <c r="QWI13" s="41"/>
      <c r="QWJ13" s="41"/>
      <c r="QWK13" s="41"/>
      <c r="QWL13" s="41"/>
      <c r="QWM13" s="41"/>
      <c r="QWN13" s="41"/>
      <c r="QWO13" s="41"/>
      <c r="QWP13" s="41"/>
      <c r="QWQ13" s="41"/>
      <c r="QWR13" s="41"/>
      <c r="QWS13" s="41"/>
      <c r="QWT13" s="41"/>
      <c r="QWU13" s="41"/>
      <c r="QWV13" s="41"/>
      <c r="QWW13" s="41"/>
      <c r="QWX13" s="41"/>
      <c r="QWY13" s="41"/>
      <c r="QWZ13" s="41"/>
      <c r="QXA13" s="41"/>
      <c r="QXB13" s="41"/>
      <c r="QXC13" s="41"/>
      <c r="QXD13" s="41"/>
      <c r="QXE13" s="41"/>
      <c r="QXF13" s="41"/>
      <c r="QXG13" s="41"/>
      <c r="QXH13" s="41"/>
      <c r="QXI13" s="41"/>
      <c r="QXJ13" s="41"/>
      <c r="QXK13" s="41"/>
      <c r="QXL13" s="41"/>
      <c r="QXM13" s="41"/>
      <c r="QXN13" s="41"/>
      <c r="QXO13" s="41"/>
      <c r="QXP13" s="41"/>
      <c r="QXQ13" s="41"/>
      <c r="QXR13" s="41"/>
      <c r="QXS13" s="41"/>
      <c r="QXT13" s="41"/>
      <c r="QXU13" s="41"/>
      <c r="QXV13" s="41"/>
      <c r="QXW13" s="41"/>
      <c r="QXX13" s="41"/>
      <c r="QXY13" s="41"/>
      <c r="QXZ13" s="41"/>
      <c r="QYA13" s="41"/>
      <c r="QYB13" s="41"/>
      <c r="QYC13" s="41"/>
      <c r="QYD13" s="41"/>
      <c r="QYE13" s="41"/>
      <c r="QYF13" s="41"/>
      <c r="QYG13" s="41"/>
      <c r="QYH13" s="41"/>
      <c r="QYI13" s="41"/>
      <c r="QYJ13" s="41"/>
      <c r="QYK13" s="41"/>
      <c r="QYL13" s="41"/>
      <c r="QYM13" s="41"/>
      <c r="QYN13" s="41"/>
      <c r="QYO13" s="41"/>
      <c r="QYP13" s="41"/>
      <c r="QYQ13" s="41"/>
      <c r="QYR13" s="41"/>
      <c r="QYS13" s="41"/>
      <c r="QYT13" s="41"/>
      <c r="QYU13" s="41"/>
      <c r="QYV13" s="41"/>
      <c r="QYW13" s="41"/>
      <c r="QYX13" s="41"/>
      <c r="QYY13" s="41"/>
      <c r="QYZ13" s="41"/>
      <c r="QZA13" s="41"/>
      <c r="QZB13" s="41"/>
      <c r="QZC13" s="41"/>
      <c r="QZD13" s="41"/>
      <c r="QZE13" s="41"/>
      <c r="QZF13" s="41"/>
      <c r="QZG13" s="41"/>
      <c r="QZH13" s="41"/>
      <c r="QZI13" s="41"/>
      <c r="QZJ13" s="41"/>
      <c r="QZK13" s="41"/>
      <c r="QZL13" s="41"/>
      <c r="QZM13" s="41"/>
      <c r="QZN13" s="41"/>
      <c r="QZO13" s="41"/>
      <c r="QZP13" s="41"/>
      <c r="QZQ13" s="41"/>
      <c r="QZR13" s="41"/>
      <c r="QZS13" s="41"/>
      <c r="QZT13" s="41"/>
      <c r="QZU13" s="41"/>
      <c r="QZV13" s="41"/>
      <c r="QZW13" s="41"/>
      <c r="QZX13" s="41"/>
      <c r="QZY13" s="41"/>
      <c r="QZZ13" s="41"/>
      <c r="RAA13" s="41"/>
      <c r="RAB13" s="41"/>
      <c r="RAC13" s="41"/>
      <c r="RAD13" s="41"/>
      <c r="RAE13" s="41"/>
      <c r="RAF13" s="41"/>
      <c r="RAG13" s="41"/>
      <c r="RAH13" s="41"/>
      <c r="RAI13" s="41"/>
      <c r="RAJ13" s="41"/>
      <c r="RAK13" s="41"/>
      <c r="RAL13" s="41"/>
      <c r="RAM13" s="41"/>
      <c r="RAN13" s="41"/>
      <c r="RAO13" s="41"/>
      <c r="RAP13" s="41"/>
      <c r="RAQ13" s="41"/>
      <c r="RAR13" s="41"/>
      <c r="RAS13" s="41"/>
      <c r="RAT13" s="41"/>
      <c r="RAU13" s="41"/>
      <c r="RAV13" s="41"/>
      <c r="RAW13" s="41"/>
      <c r="RAX13" s="41"/>
      <c r="RAY13" s="41"/>
      <c r="RAZ13" s="41"/>
      <c r="RBA13" s="41"/>
      <c r="RBB13" s="41"/>
      <c r="RBC13" s="41"/>
      <c r="RBD13" s="41"/>
      <c r="RBE13" s="41"/>
      <c r="RBF13" s="41"/>
      <c r="RBG13" s="41"/>
      <c r="RBH13" s="41"/>
      <c r="RBI13" s="41"/>
      <c r="RBJ13" s="41"/>
      <c r="RBK13" s="41"/>
      <c r="RBL13" s="41"/>
      <c r="RBM13" s="41"/>
      <c r="RBN13" s="41"/>
      <c r="RBO13" s="41"/>
      <c r="RBP13" s="41"/>
      <c r="RBQ13" s="41"/>
      <c r="RBR13" s="41"/>
      <c r="RBS13" s="41"/>
      <c r="RBT13" s="41"/>
      <c r="RBU13" s="41"/>
      <c r="RBV13" s="41"/>
      <c r="RBW13" s="41"/>
      <c r="RBX13" s="41"/>
      <c r="RBY13" s="41"/>
      <c r="RBZ13" s="41"/>
      <c r="RCA13" s="41"/>
      <c r="RCB13" s="41"/>
      <c r="RCC13" s="41"/>
      <c r="RCD13" s="41"/>
      <c r="RCE13" s="41"/>
      <c r="RCF13" s="41"/>
      <c r="RCG13" s="41"/>
      <c r="RCH13" s="41"/>
      <c r="RCI13" s="41"/>
      <c r="RCJ13" s="41"/>
      <c r="RCK13" s="41"/>
      <c r="RCL13" s="41"/>
      <c r="RCM13" s="41"/>
      <c r="RCN13" s="41"/>
      <c r="RCO13" s="41"/>
      <c r="RCP13" s="41"/>
      <c r="RCQ13" s="41"/>
      <c r="RCR13" s="41"/>
      <c r="RCS13" s="41"/>
      <c r="RCT13" s="41"/>
      <c r="RCU13" s="41"/>
      <c r="RCV13" s="41"/>
      <c r="RCW13" s="41"/>
      <c r="RCX13" s="41"/>
      <c r="RCY13" s="41"/>
      <c r="RCZ13" s="41"/>
      <c r="RDA13" s="41"/>
      <c r="RDB13" s="41"/>
      <c r="RDC13" s="41"/>
      <c r="RDD13" s="41"/>
      <c r="RDE13" s="41"/>
      <c r="RDF13" s="41"/>
      <c r="RDG13" s="41"/>
      <c r="RDH13" s="41"/>
      <c r="RDI13" s="41"/>
      <c r="RDJ13" s="41"/>
      <c r="RDK13" s="41"/>
      <c r="RDL13" s="41"/>
      <c r="RDM13" s="41"/>
      <c r="RDN13" s="41"/>
      <c r="RDO13" s="41"/>
      <c r="RDP13" s="41"/>
      <c r="RDQ13" s="41"/>
      <c r="RDR13" s="41"/>
      <c r="RDS13" s="41"/>
      <c r="RDT13" s="41"/>
      <c r="RDU13" s="41"/>
      <c r="RDV13" s="41"/>
      <c r="RDW13" s="41"/>
      <c r="RDX13" s="41"/>
      <c r="RDY13" s="41"/>
      <c r="RDZ13" s="41"/>
      <c r="REA13" s="41"/>
      <c r="REB13" s="41"/>
      <c r="REC13" s="41"/>
      <c r="RED13" s="41"/>
      <c r="REE13" s="41"/>
      <c r="REF13" s="41"/>
      <c r="REG13" s="41"/>
      <c r="REH13" s="41"/>
      <c r="REI13" s="41"/>
      <c r="REJ13" s="41"/>
      <c r="REK13" s="41"/>
      <c r="REL13" s="41"/>
      <c r="REM13" s="41"/>
      <c r="REN13" s="41"/>
      <c r="REO13" s="41"/>
      <c r="REP13" s="41"/>
      <c r="REQ13" s="41"/>
      <c r="RER13" s="41"/>
      <c r="RES13" s="41"/>
      <c r="RET13" s="41"/>
      <c r="REU13" s="41"/>
      <c r="REV13" s="41"/>
      <c r="REW13" s="41"/>
      <c r="REX13" s="41"/>
      <c r="REY13" s="41"/>
      <c r="REZ13" s="41"/>
      <c r="RFA13" s="41"/>
      <c r="RFB13" s="41"/>
      <c r="RFC13" s="41"/>
      <c r="RFD13" s="41"/>
      <c r="RFE13" s="41"/>
      <c r="RFF13" s="41"/>
      <c r="RFG13" s="41"/>
      <c r="RFH13" s="41"/>
      <c r="RFI13" s="41"/>
      <c r="RFJ13" s="41"/>
      <c r="RFK13" s="41"/>
      <c r="RFL13" s="41"/>
      <c r="RFM13" s="41"/>
      <c r="RFN13" s="41"/>
      <c r="RFO13" s="41"/>
      <c r="RFP13" s="41"/>
      <c r="RFQ13" s="41"/>
      <c r="RFR13" s="41"/>
      <c r="RFS13" s="41"/>
      <c r="RFT13" s="41"/>
      <c r="RFU13" s="41"/>
      <c r="RFV13" s="41"/>
      <c r="RFW13" s="41"/>
      <c r="RFX13" s="41"/>
      <c r="RFY13" s="41"/>
      <c r="RFZ13" s="41"/>
      <c r="RGA13" s="41"/>
      <c r="RGB13" s="41"/>
      <c r="RGC13" s="41"/>
      <c r="RGD13" s="41"/>
      <c r="RGE13" s="41"/>
      <c r="RGF13" s="41"/>
      <c r="RGG13" s="41"/>
      <c r="RGH13" s="41"/>
      <c r="RGI13" s="41"/>
      <c r="RGJ13" s="41"/>
      <c r="RGK13" s="41"/>
      <c r="RGL13" s="41"/>
      <c r="RGM13" s="41"/>
      <c r="RGN13" s="41"/>
      <c r="RGO13" s="41"/>
      <c r="RGP13" s="41"/>
      <c r="RGQ13" s="41"/>
      <c r="RGR13" s="41"/>
      <c r="RGS13" s="41"/>
      <c r="RGT13" s="41"/>
      <c r="RGU13" s="41"/>
      <c r="RGV13" s="41"/>
      <c r="RGW13" s="41"/>
      <c r="RGX13" s="41"/>
      <c r="RGY13" s="41"/>
      <c r="RGZ13" s="41"/>
      <c r="RHA13" s="41"/>
      <c r="RHB13" s="41"/>
      <c r="RHC13" s="41"/>
      <c r="RHD13" s="41"/>
      <c r="RHE13" s="41"/>
      <c r="RHF13" s="41"/>
      <c r="RHG13" s="41"/>
      <c r="RHH13" s="41"/>
      <c r="RHI13" s="41"/>
      <c r="RHJ13" s="41"/>
      <c r="RHK13" s="41"/>
      <c r="RHL13" s="41"/>
      <c r="RHM13" s="41"/>
      <c r="RHN13" s="41"/>
      <c r="RHO13" s="41"/>
      <c r="RHP13" s="41"/>
      <c r="RHQ13" s="41"/>
      <c r="RHR13" s="41"/>
      <c r="RHS13" s="41"/>
      <c r="RHT13" s="41"/>
      <c r="RHU13" s="41"/>
      <c r="RHV13" s="41"/>
      <c r="RHW13" s="41"/>
      <c r="RHX13" s="41"/>
      <c r="RHY13" s="41"/>
      <c r="RHZ13" s="41"/>
      <c r="RIA13" s="41"/>
      <c r="RIB13" s="41"/>
      <c r="RIC13" s="41"/>
      <c r="RID13" s="41"/>
      <c r="RIE13" s="41"/>
      <c r="RIF13" s="41"/>
      <c r="RIG13" s="41"/>
      <c r="RIH13" s="41"/>
      <c r="RII13" s="41"/>
      <c r="RIJ13" s="41"/>
      <c r="RIK13" s="41"/>
      <c r="RIL13" s="41"/>
      <c r="RIM13" s="41"/>
      <c r="RIN13" s="41"/>
      <c r="RIO13" s="41"/>
      <c r="RIP13" s="41"/>
      <c r="RIQ13" s="41"/>
      <c r="RIR13" s="41"/>
      <c r="RIS13" s="41"/>
      <c r="RIT13" s="41"/>
      <c r="RIU13" s="41"/>
      <c r="RIV13" s="41"/>
      <c r="RIW13" s="41"/>
      <c r="RIX13" s="41"/>
      <c r="RIY13" s="41"/>
      <c r="RIZ13" s="41"/>
      <c r="RJA13" s="41"/>
      <c r="RJB13" s="41"/>
      <c r="RJC13" s="41"/>
      <c r="RJD13" s="41"/>
      <c r="RJE13" s="41"/>
      <c r="RJF13" s="41"/>
      <c r="RJG13" s="41"/>
      <c r="RJH13" s="41"/>
      <c r="RJI13" s="41"/>
      <c r="RJJ13" s="41"/>
      <c r="RJK13" s="41"/>
      <c r="RJL13" s="41"/>
      <c r="RJM13" s="41"/>
      <c r="RJN13" s="41"/>
      <c r="RJO13" s="41"/>
      <c r="RJP13" s="41"/>
      <c r="RJQ13" s="41"/>
      <c r="RJR13" s="41"/>
      <c r="RJS13" s="41"/>
      <c r="RJT13" s="41"/>
      <c r="RJU13" s="41"/>
      <c r="RJV13" s="41"/>
      <c r="RJW13" s="41"/>
      <c r="RJX13" s="41"/>
      <c r="RJY13" s="41"/>
      <c r="RJZ13" s="41"/>
      <c r="RKA13" s="41"/>
      <c r="RKB13" s="41"/>
      <c r="RKC13" s="41"/>
      <c r="RKD13" s="41"/>
      <c r="RKE13" s="41"/>
      <c r="RKF13" s="41"/>
      <c r="RKG13" s="41"/>
      <c r="RKH13" s="41"/>
      <c r="RKI13" s="41"/>
      <c r="RKJ13" s="41"/>
      <c r="RKK13" s="41"/>
      <c r="RKL13" s="41"/>
      <c r="RKM13" s="41"/>
      <c r="RKN13" s="41"/>
      <c r="RKO13" s="41"/>
      <c r="RKP13" s="41"/>
      <c r="RKQ13" s="41"/>
      <c r="RKR13" s="41"/>
      <c r="RKS13" s="41"/>
      <c r="RKT13" s="41"/>
      <c r="RKU13" s="41"/>
      <c r="RKV13" s="41"/>
      <c r="RKW13" s="41"/>
      <c r="RKX13" s="41"/>
      <c r="RKY13" s="41"/>
      <c r="RKZ13" s="41"/>
      <c r="RLA13" s="41"/>
      <c r="RLB13" s="41"/>
      <c r="RLC13" s="41"/>
      <c r="RLD13" s="41"/>
      <c r="RLE13" s="41"/>
      <c r="RLF13" s="41"/>
      <c r="RLG13" s="41"/>
      <c r="RLH13" s="41"/>
      <c r="RLI13" s="41"/>
      <c r="RLJ13" s="41"/>
      <c r="RLK13" s="41"/>
      <c r="RLL13" s="41"/>
      <c r="RLM13" s="41"/>
      <c r="RLN13" s="41"/>
      <c r="RLO13" s="41"/>
      <c r="RLP13" s="41"/>
      <c r="RLQ13" s="41"/>
      <c r="RLR13" s="41"/>
      <c r="RLS13" s="41"/>
      <c r="RLT13" s="41"/>
      <c r="RLU13" s="41"/>
      <c r="RLV13" s="41"/>
      <c r="RLW13" s="41"/>
      <c r="RLX13" s="41"/>
      <c r="RLY13" s="41"/>
      <c r="RLZ13" s="41"/>
      <c r="RMA13" s="41"/>
      <c r="RMB13" s="41"/>
      <c r="RMC13" s="41"/>
      <c r="RMD13" s="41"/>
      <c r="RME13" s="41"/>
      <c r="RMF13" s="41"/>
      <c r="RMG13" s="41"/>
      <c r="RMH13" s="41"/>
      <c r="RMI13" s="41"/>
      <c r="RMJ13" s="41"/>
      <c r="RMK13" s="41"/>
      <c r="RML13" s="41"/>
      <c r="RMM13" s="41"/>
      <c r="RMN13" s="41"/>
      <c r="RMO13" s="41"/>
      <c r="RMP13" s="41"/>
      <c r="RMQ13" s="41"/>
      <c r="RMR13" s="41"/>
      <c r="RMS13" s="41"/>
      <c r="RMT13" s="41"/>
      <c r="RMU13" s="41"/>
      <c r="RMV13" s="41"/>
      <c r="RMW13" s="41"/>
      <c r="RMX13" s="41"/>
      <c r="RMY13" s="41"/>
      <c r="RMZ13" s="41"/>
      <c r="RNA13" s="41"/>
      <c r="RNB13" s="41"/>
      <c r="RNC13" s="41"/>
      <c r="RND13" s="41"/>
      <c r="RNE13" s="41"/>
      <c r="RNF13" s="41"/>
      <c r="RNG13" s="41"/>
      <c r="RNH13" s="41"/>
      <c r="RNI13" s="41"/>
      <c r="RNJ13" s="41"/>
      <c r="RNK13" s="41"/>
      <c r="RNL13" s="41"/>
      <c r="RNM13" s="41"/>
      <c r="RNN13" s="41"/>
      <c r="RNO13" s="41"/>
      <c r="RNP13" s="41"/>
      <c r="RNQ13" s="41"/>
      <c r="RNR13" s="41"/>
      <c r="RNS13" s="41"/>
      <c r="RNT13" s="41"/>
      <c r="RNU13" s="41"/>
      <c r="RNV13" s="41"/>
      <c r="RNW13" s="41"/>
      <c r="RNX13" s="41"/>
      <c r="RNY13" s="41"/>
      <c r="RNZ13" s="41"/>
      <c r="ROA13" s="41"/>
      <c r="ROB13" s="41"/>
      <c r="ROC13" s="41"/>
      <c r="ROD13" s="41"/>
      <c r="ROE13" s="41"/>
      <c r="ROF13" s="41"/>
      <c r="ROG13" s="41"/>
      <c r="ROH13" s="41"/>
      <c r="ROI13" s="41"/>
      <c r="ROJ13" s="41"/>
      <c r="ROK13" s="41"/>
      <c r="ROL13" s="41"/>
      <c r="ROM13" s="41"/>
      <c r="RON13" s="41"/>
      <c r="ROO13" s="41"/>
      <c r="ROP13" s="41"/>
      <c r="ROQ13" s="41"/>
      <c r="ROR13" s="41"/>
      <c r="ROS13" s="41"/>
      <c r="ROT13" s="41"/>
      <c r="ROU13" s="41"/>
      <c r="ROV13" s="41"/>
      <c r="ROW13" s="41"/>
      <c r="ROX13" s="41"/>
      <c r="ROY13" s="41"/>
      <c r="ROZ13" s="41"/>
      <c r="RPA13" s="41"/>
      <c r="RPB13" s="41"/>
      <c r="RPC13" s="41"/>
      <c r="RPD13" s="41"/>
      <c r="RPE13" s="41"/>
      <c r="RPF13" s="41"/>
      <c r="RPG13" s="41"/>
      <c r="RPH13" s="41"/>
      <c r="RPI13" s="41"/>
      <c r="RPJ13" s="41"/>
      <c r="RPK13" s="41"/>
      <c r="RPL13" s="41"/>
      <c r="RPM13" s="41"/>
      <c r="RPN13" s="41"/>
      <c r="RPO13" s="41"/>
      <c r="RPP13" s="41"/>
      <c r="RPQ13" s="41"/>
      <c r="RPR13" s="41"/>
      <c r="RPS13" s="41"/>
      <c r="RPT13" s="41"/>
      <c r="RPU13" s="41"/>
      <c r="RPV13" s="41"/>
      <c r="RPW13" s="41"/>
      <c r="RPX13" s="41"/>
      <c r="RPY13" s="41"/>
      <c r="RPZ13" s="41"/>
      <c r="RQA13" s="41"/>
      <c r="RQB13" s="41"/>
      <c r="RQC13" s="41"/>
      <c r="RQD13" s="41"/>
      <c r="RQE13" s="41"/>
      <c r="RQF13" s="41"/>
      <c r="RQG13" s="41"/>
      <c r="RQH13" s="41"/>
      <c r="RQI13" s="41"/>
      <c r="RQJ13" s="41"/>
      <c r="RQK13" s="41"/>
      <c r="RQL13" s="41"/>
      <c r="RQM13" s="41"/>
      <c r="RQN13" s="41"/>
      <c r="RQO13" s="41"/>
      <c r="RQP13" s="41"/>
      <c r="RQQ13" s="41"/>
      <c r="RQR13" s="41"/>
      <c r="RQS13" s="41"/>
      <c r="RQT13" s="41"/>
      <c r="RQU13" s="41"/>
      <c r="RQV13" s="41"/>
      <c r="RQW13" s="41"/>
      <c r="RQX13" s="41"/>
      <c r="RQY13" s="41"/>
      <c r="RQZ13" s="41"/>
      <c r="RRA13" s="41"/>
      <c r="RRB13" s="41"/>
      <c r="RRC13" s="41"/>
      <c r="RRD13" s="41"/>
      <c r="RRE13" s="41"/>
      <c r="RRF13" s="41"/>
      <c r="RRG13" s="41"/>
      <c r="RRH13" s="41"/>
      <c r="RRI13" s="41"/>
      <c r="RRJ13" s="41"/>
      <c r="RRK13" s="41"/>
      <c r="RRL13" s="41"/>
      <c r="RRM13" s="41"/>
      <c r="RRN13" s="41"/>
      <c r="RRO13" s="41"/>
      <c r="RRP13" s="41"/>
      <c r="RRQ13" s="41"/>
      <c r="RRR13" s="41"/>
      <c r="RRS13" s="41"/>
      <c r="RRT13" s="41"/>
      <c r="RRU13" s="41"/>
      <c r="RRV13" s="41"/>
      <c r="RRW13" s="41"/>
      <c r="RRX13" s="41"/>
      <c r="RRY13" s="41"/>
      <c r="RRZ13" s="41"/>
      <c r="RSA13" s="41"/>
      <c r="RSB13" s="41"/>
      <c r="RSC13" s="41"/>
      <c r="RSD13" s="41"/>
      <c r="RSE13" s="41"/>
      <c r="RSF13" s="41"/>
      <c r="RSG13" s="41"/>
      <c r="RSH13" s="41"/>
      <c r="RSI13" s="41"/>
      <c r="RSJ13" s="41"/>
      <c r="RSK13" s="41"/>
      <c r="RSL13" s="41"/>
      <c r="RSM13" s="41"/>
      <c r="RSN13" s="41"/>
      <c r="RSO13" s="41"/>
      <c r="RSP13" s="41"/>
      <c r="RSQ13" s="41"/>
      <c r="RSR13" s="41"/>
      <c r="RSS13" s="41"/>
      <c r="RST13" s="41"/>
      <c r="RSU13" s="41"/>
      <c r="RSV13" s="41"/>
      <c r="RSW13" s="41"/>
      <c r="RSX13" s="41"/>
      <c r="RSY13" s="41"/>
      <c r="RSZ13" s="41"/>
      <c r="RTA13" s="41"/>
      <c r="RTB13" s="41"/>
      <c r="RTC13" s="41"/>
      <c r="RTD13" s="41"/>
      <c r="RTE13" s="41"/>
      <c r="RTF13" s="41"/>
      <c r="RTG13" s="41"/>
      <c r="RTH13" s="41"/>
      <c r="RTI13" s="41"/>
      <c r="RTJ13" s="41"/>
      <c r="RTK13" s="41"/>
      <c r="RTL13" s="41"/>
      <c r="RTM13" s="41"/>
      <c r="RTN13" s="41"/>
      <c r="RTO13" s="41"/>
      <c r="RTP13" s="41"/>
      <c r="RTQ13" s="41"/>
      <c r="RTR13" s="41"/>
      <c r="RTS13" s="41"/>
      <c r="RTT13" s="41"/>
      <c r="RTU13" s="41"/>
      <c r="RTV13" s="41"/>
      <c r="RTW13" s="41"/>
      <c r="RTX13" s="41"/>
      <c r="RTY13" s="41"/>
      <c r="RTZ13" s="41"/>
      <c r="RUA13" s="41"/>
      <c r="RUB13" s="41"/>
      <c r="RUC13" s="41"/>
      <c r="RUD13" s="41"/>
      <c r="RUE13" s="41"/>
      <c r="RUF13" s="41"/>
      <c r="RUG13" s="41"/>
      <c r="RUH13" s="41"/>
      <c r="RUI13" s="41"/>
      <c r="RUJ13" s="41"/>
      <c r="RUK13" s="41"/>
      <c r="RUL13" s="41"/>
      <c r="RUM13" s="41"/>
      <c r="RUN13" s="41"/>
      <c r="RUO13" s="41"/>
      <c r="RUP13" s="41"/>
      <c r="RUQ13" s="41"/>
      <c r="RUR13" s="41"/>
      <c r="RUS13" s="41"/>
      <c r="RUT13" s="41"/>
      <c r="RUU13" s="41"/>
      <c r="RUV13" s="41"/>
      <c r="RUW13" s="41"/>
      <c r="RUX13" s="41"/>
      <c r="RUY13" s="41"/>
      <c r="RUZ13" s="41"/>
      <c r="RVA13" s="41"/>
      <c r="RVB13" s="41"/>
      <c r="RVC13" s="41"/>
      <c r="RVD13" s="41"/>
      <c r="RVE13" s="41"/>
      <c r="RVF13" s="41"/>
      <c r="RVG13" s="41"/>
      <c r="RVH13" s="41"/>
      <c r="RVI13" s="41"/>
      <c r="RVJ13" s="41"/>
      <c r="RVK13" s="41"/>
      <c r="RVL13" s="41"/>
      <c r="RVM13" s="41"/>
      <c r="RVN13" s="41"/>
      <c r="RVO13" s="41"/>
      <c r="RVP13" s="41"/>
      <c r="RVQ13" s="41"/>
      <c r="RVR13" s="41"/>
      <c r="RVS13" s="41"/>
      <c r="RVT13" s="41"/>
      <c r="RVU13" s="41"/>
      <c r="RVV13" s="41"/>
      <c r="RVW13" s="41"/>
      <c r="RVX13" s="41"/>
      <c r="RVY13" s="41"/>
      <c r="RVZ13" s="41"/>
      <c r="RWA13" s="41"/>
      <c r="RWB13" s="41"/>
      <c r="RWC13" s="41"/>
      <c r="RWD13" s="41"/>
      <c r="RWE13" s="41"/>
      <c r="RWF13" s="41"/>
      <c r="RWG13" s="41"/>
      <c r="RWH13" s="41"/>
      <c r="RWI13" s="41"/>
      <c r="RWJ13" s="41"/>
      <c r="RWK13" s="41"/>
      <c r="RWL13" s="41"/>
      <c r="RWM13" s="41"/>
      <c r="RWN13" s="41"/>
      <c r="RWO13" s="41"/>
      <c r="RWP13" s="41"/>
      <c r="RWQ13" s="41"/>
      <c r="RWR13" s="41"/>
      <c r="RWS13" s="41"/>
      <c r="RWT13" s="41"/>
      <c r="RWU13" s="41"/>
      <c r="RWV13" s="41"/>
      <c r="RWW13" s="41"/>
      <c r="RWX13" s="41"/>
      <c r="RWY13" s="41"/>
      <c r="RWZ13" s="41"/>
      <c r="RXA13" s="41"/>
      <c r="RXB13" s="41"/>
      <c r="RXC13" s="41"/>
      <c r="RXD13" s="41"/>
      <c r="RXE13" s="41"/>
      <c r="RXF13" s="41"/>
      <c r="RXG13" s="41"/>
      <c r="RXH13" s="41"/>
      <c r="RXI13" s="41"/>
      <c r="RXJ13" s="41"/>
      <c r="RXK13" s="41"/>
      <c r="RXL13" s="41"/>
      <c r="RXM13" s="41"/>
      <c r="RXN13" s="41"/>
      <c r="RXO13" s="41"/>
      <c r="RXP13" s="41"/>
      <c r="RXQ13" s="41"/>
      <c r="RXR13" s="41"/>
      <c r="RXS13" s="41"/>
      <c r="RXT13" s="41"/>
      <c r="RXU13" s="41"/>
      <c r="RXV13" s="41"/>
      <c r="RXW13" s="41"/>
      <c r="RXX13" s="41"/>
      <c r="RXY13" s="41"/>
      <c r="RXZ13" s="41"/>
      <c r="RYA13" s="41"/>
      <c r="RYB13" s="41"/>
      <c r="RYC13" s="41"/>
      <c r="RYD13" s="41"/>
      <c r="RYE13" s="41"/>
      <c r="RYF13" s="41"/>
      <c r="RYG13" s="41"/>
      <c r="RYH13" s="41"/>
      <c r="RYI13" s="41"/>
      <c r="RYJ13" s="41"/>
      <c r="RYK13" s="41"/>
      <c r="RYL13" s="41"/>
      <c r="RYM13" s="41"/>
      <c r="RYN13" s="41"/>
      <c r="RYO13" s="41"/>
      <c r="RYP13" s="41"/>
      <c r="RYQ13" s="41"/>
      <c r="RYR13" s="41"/>
      <c r="RYS13" s="41"/>
      <c r="RYT13" s="41"/>
      <c r="RYU13" s="41"/>
      <c r="RYV13" s="41"/>
      <c r="RYW13" s="41"/>
      <c r="RYX13" s="41"/>
      <c r="RYY13" s="41"/>
      <c r="RYZ13" s="41"/>
      <c r="RZA13" s="41"/>
      <c r="RZB13" s="41"/>
      <c r="RZC13" s="41"/>
      <c r="RZD13" s="41"/>
      <c r="RZE13" s="41"/>
      <c r="RZF13" s="41"/>
      <c r="RZG13" s="41"/>
      <c r="RZH13" s="41"/>
      <c r="RZI13" s="41"/>
      <c r="RZJ13" s="41"/>
      <c r="RZK13" s="41"/>
      <c r="RZL13" s="41"/>
      <c r="RZM13" s="41"/>
      <c r="RZN13" s="41"/>
      <c r="RZO13" s="41"/>
      <c r="RZP13" s="41"/>
      <c r="RZQ13" s="41"/>
      <c r="RZR13" s="41"/>
      <c r="RZS13" s="41"/>
      <c r="RZT13" s="41"/>
      <c r="RZU13" s="41"/>
      <c r="RZV13" s="41"/>
      <c r="RZW13" s="41"/>
      <c r="RZX13" s="41"/>
      <c r="RZY13" s="41"/>
      <c r="RZZ13" s="41"/>
      <c r="SAA13" s="41"/>
      <c r="SAB13" s="41"/>
      <c r="SAC13" s="41"/>
      <c r="SAD13" s="41"/>
      <c r="SAE13" s="41"/>
      <c r="SAF13" s="41"/>
      <c r="SAG13" s="41"/>
      <c r="SAH13" s="41"/>
      <c r="SAI13" s="41"/>
      <c r="SAJ13" s="41"/>
      <c r="SAK13" s="41"/>
      <c r="SAL13" s="41"/>
      <c r="SAM13" s="41"/>
      <c r="SAN13" s="41"/>
      <c r="SAO13" s="41"/>
      <c r="SAP13" s="41"/>
      <c r="SAQ13" s="41"/>
      <c r="SAR13" s="41"/>
      <c r="SAS13" s="41"/>
      <c r="SAT13" s="41"/>
      <c r="SAU13" s="41"/>
      <c r="SAV13" s="41"/>
      <c r="SAW13" s="41"/>
      <c r="SAX13" s="41"/>
      <c r="SAY13" s="41"/>
      <c r="SAZ13" s="41"/>
      <c r="SBA13" s="41"/>
      <c r="SBB13" s="41"/>
      <c r="SBC13" s="41"/>
      <c r="SBD13" s="41"/>
      <c r="SBE13" s="41"/>
      <c r="SBF13" s="41"/>
      <c r="SBG13" s="41"/>
      <c r="SBH13" s="41"/>
      <c r="SBI13" s="41"/>
      <c r="SBJ13" s="41"/>
      <c r="SBK13" s="41"/>
      <c r="SBL13" s="41"/>
      <c r="SBM13" s="41"/>
      <c r="SBN13" s="41"/>
      <c r="SBO13" s="41"/>
      <c r="SBP13" s="41"/>
      <c r="SBQ13" s="41"/>
      <c r="SBR13" s="41"/>
      <c r="SBS13" s="41"/>
      <c r="SBT13" s="41"/>
      <c r="SBU13" s="41"/>
      <c r="SBV13" s="41"/>
      <c r="SBW13" s="41"/>
      <c r="SBX13" s="41"/>
      <c r="SBY13" s="41"/>
      <c r="SBZ13" s="41"/>
      <c r="SCA13" s="41"/>
      <c r="SCB13" s="41"/>
      <c r="SCC13" s="41"/>
      <c r="SCD13" s="41"/>
      <c r="SCE13" s="41"/>
      <c r="SCF13" s="41"/>
      <c r="SCG13" s="41"/>
      <c r="SCH13" s="41"/>
      <c r="SCI13" s="41"/>
      <c r="SCJ13" s="41"/>
      <c r="SCK13" s="41"/>
      <c r="SCL13" s="41"/>
      <c r="SCM13" s="41"/>
      <c r="SCN13" s="41"/>
      <c r="SCO13" s="41"/>
      <c r="SCP13" s="41"/>
      <c r="SCQ13" s="41"/>
      <c r="SCR13" s="41"/>
      <c r="SCS13" s="41"/>
      <c r="SCT13" s="41"/>
      <c r="SCU13" s="41"/>
      <c r="SCV13" s="41"/>
      <c r="SCW13" s="41"/>
      <c r="SCX13" s="41"/>
      <c r="SCY13" s="41"/>
      <c r="SCZ13" s="41"/>
      <c r="SDA13" s="41"/>
      <c r="SDB13" s="41"/>
      <c r="SDC13" s="41"/>
      <c r="SDD13" s="41"/>
      <c r="SDE13" s="41"/>
      <c r="SDF13" s="41"/>
      <c r="SDG13" s="41"/>
      <c r="SDH13" s="41"/>
      <c r="SDI13" s="41"/>
      <c r="SDJ13" s="41"/>
      <c r="SDK13" s="41"/>
      <c r="SDL13" s="41"/>
      <c r="SDM13" s="41"/>
      <c r="SDN13" s="41"/>
      <c r="SDO13" s="41"/>
      <c r="SDP13" s="41"/>
      <c r="SDQ13" s="41"/>
      <c r="SDR13" s="41"/>
      <c r="SDS13" s="41"/>
      <c r="SDT13" s="41"/>
      <c r="SDU13" s="41"/>
      <c r="SDV13" s="41"/>
      <c r="SDW13" s="41"/>
      <c r="SDX13" s="41"/>
      <c r="SDY13" s="41"/>
      <c r="SDZ13" s="41"/>
      <c r="SEA13" s="41"/>
      <c r="SEB13" s="41"/>
      <c r="SEC13" s="41"/>
      <c r="SED13" s="41"/>
      <c r="SEE13" s="41"/>
      <c r="SEF13" s="41"/>
      <c r="SEG13" s="41"/>
      <c r="SEH13" s="41"/>
      <c r="SEI13" s="41"/>
      <c r="SEJ13" s="41"/>
      <c r="SEK13" s="41"/>
      <c r="SEL13" s="41"/>
      <c r="SEM13" s="41"/>
      <c r="SEN13" s="41"/>
      <c r="SEO13" s="41"/>
      <c r="SEP13" s="41"/>
      <c r="SEQ13" s="41"/>
      <c r="SER13" s="41"/>
      <c r="SES13" s="41"/>
      <c r="SET13" s="41"/>
      <c r="SEU13" s="41"/>
      <c r="SEV13" s="41"/>
      <c r="SEW13" s="41"/>
      <c r="SEX13" s="41"/>
      <c r="SEY13" s="41"/>
      <c r="SEZ13" s="41"/>
      <c r="SFA13" s="41"/>
      <c r="SFB13" s="41"/>
      <c r="SFC13" s="41"/>
      <c r="SFD13" s="41"/>
      <c r="SFE13" s="41"/>
      <c r="SFF13" s="41"/>
      <c r="SFG13" s="41"/>
      <c r="SFH13" s="41"/>
      <c r="SFI13" s="41"/>
      <c r="SFJ13" s="41"/>
      <c r="SFK13" s="41"/>
      <c r="SFL13" s="41"/>
      <c r="SFM13" s="41"/>
      <c r="SFN13" s="41"/>
      <c r="SFO13" s="41"/>
      <c r="SFP13" s="41"/>
      <c r="SFQ13" s="41"/>
      <c r="SFR13" s="41"/>
      <c r="SFS13" s="41"/>
      <c r="SFT13" s="41"/>
      <c r="SFU13" s="41"/>
      <c r="SFV13" s="41"/>
      <c r="SFW13" s="41"/>
      <c r="SFX13" s="41"/>
      <c r="SFY13" s="41"/>
      <c r="SFZ13" s="41"/>
      <c r="SGA13" s="41"/>
      <c r="SGB13" s="41"/>
      <c r="SGC13" s="41"/>
      <c r="SGD13" s="41"/>
      <c r="SGE13" s="41"/>
      <c r="SGF13" s="41"/>
      <c r="SGG13" s="41"/>
      <c r="SGH13" s="41"/>
      <c r="SGI13" s="41"/>
      <c r="SGJ13" s="41"/>
      <c r="SGK13" s="41"/>
      <c r="SGL13" s="41"/>
      <c r="SGM13" s="41"/>
      <c r="SGN13" s="41"/>
      <c r="SGO13" s="41"/>
      <c r="SGP13" s="41"/>
      <c r="SGQ13" s="41"/>
      <c r="SGR13" s="41"/>
      <c r="SGS13" s="41"/>
      <c r="SGT13" s="41"/>
      <c r="SGU13" s="41"/>
      <c r="SGV13" s="41"/>
      <c r="SGW13" s="41"/>
      <c r="SGX13" s="41"/>
      <c r="SGY13" s="41"/>
      <c r="SGZ13" s="41"/>
      <c r="SHA13" s="41"/>
      <c r="SHB13" s="41"/>
      <c r="SHC13" s="41"/>
      <c r="SHD13" s="41"/>
      <c r="SHE13" s="41"/>
      <c r="SHF13" s="41"/>
      <c r="SHG13" s="41"/>
      <c r="SHH13" s="41"/>
      <c r="SHI13" s="41"/>
      <c r="SHJ13" s="41"/>
      <c r="SHK13" s="41"/>
      <c r="SHL13" s="41"/>
      <c r="SHM13" s="41"/>
      <c r="SHN13" s="41"/>
      <c r="SHO13" s="41"/>
      <c r="SHP13" s="41"/>
      <c r="SHQ13" s="41"/>
      <c r="SHR13" s="41"/>
      <c r="SHS13" s="41"/>
      <c r="SHT13" s="41"/>
      <c r="SHU13" s="41"/>
      <c r="SHV13" s="41"/>
      <c r="SHW13" s="41"/>
      <c r="SHX13" s="41"/>
      <c r="SHY13" s="41"/>
      <c r="SHZ13" s="41"/>
      <c r="SIA13" s="41"/>
      <c r="SIB13" s="41"/>
      <c r="SIC13" s="41"/>
      <c r="SID13" s="41"/>
      <c r="SIE13" s="41"/>
      <c r="SIF13" s="41"/>
      <c r="SIG13" s="41"/>
      <c r="SIH13" s="41"/>
      <c r="SII13" s="41"/>
      <c r="SIJ13" s="41"/>
      <c r="SIK13" s="41"/>
      <c r="SIL13" s="41"/>
      <c r="SIM13" s="41"/>
      <c r="SIN13" s="41"/>
      <c r="SIO13" s="41"/>
      <c r="SIP13" s="41"/>
      <c r="SIQ13" s="41"/>
      <c r="SIR13" s="41"/>
      <c r="SIS13" s="41"/>
      <c r="SIT13" s="41"/>
      <c r="SIU13" s="41"/>
      <c r="SIV13" s="41"/>
      <c r="SIW13" s="41"/>
      <c r="SIX13" s="41"/>
      <c r="SIY13" s="41"/>
      <c r="SIZ13" s="41"/>
      <c r="SJA13" s="41"/>
      <c r="SJB13" s="41"/>
      <c r="SJC13" s="41"/>
      <c r="SJD13" s="41"/>
      <c r="SJE13" s="41"/>
      <c r="SJF13" s="41"/>
      <c r="SJG13" s="41"/>
      <c r="SJH13" s="41"/>
      <c r="SJI13" s="41"/>
      <c r="SJJ13" s="41"/>
      <c r="SJK13" s="41"/>
      <c r="SJL13" s="41"/>
      <c r="SJM13" s="41"/>
      <c r="SJN13" s="41"/>
      <c r="SJO13" s="41"/>
      <c r="SJP13" s="41"/>
      <c r="SJQ13" s="41"/>
      <c r="SJR13" s="41"/>
      <c r="SJS13" s="41"/>
      <c r="SJT13" s="41"/>
      <c r="SJU13" s="41"/>
      <c r="SJV13" s="41"/>
      <c r="SJW13" s="41"/>
      <c r="SJX13" s="41"/>
      <c r="SJY13" s="41"/>
      <c r="SJZ13" s="41"/>
      <c r="SKA13" s="41"/>
      <c r="SKB13" s="41"/>
      <c r="SKC13" s="41"/>
      <c r="SKD13" s="41"/>
      <c r="SKE13" s="41"/>
      <c r="SKF13" s="41"/>
      <c r="SKG13" s="41"/>
      <c r="SKH13" s="41"/>
      <c r="SKI13" s="41"/>
      <c r="SKJ13" s="41"/>
      <c r="SKK13" s="41"/>
      <c r="SKL13" s="41"/>
      <c r="SKM13" s="41"/>
      <c r="SKN13" s="41"/>
      <c r="SKO13" s="41"/>
      <c r="SKP13" s="41"/>
      <c r="SKQ13" s="41"/>
      <c r="SKR13" s="41"/>
      <c r="SKS13" s="41"/>
      <c r="SKT13" s="41"/>
      <c r="SKU13" s="41"/>
      <c r="SKV13" s="41"/>
      <c r="SKW13" s="41"/>
      <c r="SKX13" s="41"/>
      <c r="SKY13" s="41"/>
      <c r="SKZ13" s="41"/>
      <c r="SLA13" s="41"/>
      <c r="SLB13" s="41"/>
      <c r="SLC13" s="41"/>
      <c r="SLD13" s="41"/>
      <c r="SLE13" s="41"/>
      <c r="SLF13" s="41"/>
      <c r="SLG13" s="41"/>
      <c r="SLH13" s="41"/>
      <c r="SLI13" s="41"/>
      <c r="SLJ13" s="41"/>
      <c r="SLK13" s="41"/>
      <c r="SLL13" s="41"/>
      <c r="SLM13" s="41"/>
      <c r="SLN13" s="41"/>
      <c r="SLO13" s="41"/>
      <c r="SLP13" s="41"/>
      <c r="SLQ13" s="41"/>
      <c r="SLR13" s="41"/>
      <c r="SLS13" s="41"/>
      <c r="SLT13" s="41"/>
      <c r="SLU13" s="41"/>
      <c r="SLV13" s="41"/>
      <c r="SLW13" s="41"/>
      <c r="SLX13" s="41"/>
      <c r="SLY13" s="41"/>
      <c r="SLZ13" s="41"/>
      <c r="SMA13" s="41"/>
      <c r="SMB13" s="41"/>
      <c r="SMC13" s="41"/>
      <c r="SMD13" s="41"/>
      <c r="SME13" s="41"/>
      <c r="SMF13" s="41"/>
      <c r="SMG13" s="41"/>
      <c r="SMH13" s="41"/>
      <c r="SMI13" s="41"/>
      <c r="SMJ13" s="41"/>
      <c r="SMK13" s="41"/>
      <c r="SML13" s="41"/>
      <c r="SMM13" s="41"/>
      <c r="SMN13" s="41"/>
      <c r="SMO13" s="41"/>
      <c r="SMP13" s="41"/>
      <c r="SMQ13" s="41"/>
      <c r="SMR13" s="41"/>
      <c r="SMS13" s="41"/>
      <c r="SMT13" s="41"/>
      <c r="SMU13" s="41"/>
      <c r="SMV13" s="41"/>
      <c r="SMW13" s="41"/>
      <c r="SMX13" s="41"/>
      <c r="SMY13" s="41"/>
      <c r="SMZ13" s="41"/>
      <c r="SNA13" s="41"/>
      <c r="SNB13" s="41"/>
      <c r="SNC13" s="41"/>
      <c r="SND13" s="41"/>
      <c r="SNE13" s="41"/>
      <c r="SNF13" s="41"/>
      <c r="SNG13" s="41"/>
      <c r="SNH13" s="41"/>
      <c r="SNI13" s="41"/>
      <c r="SNJ13" s="41"/>
      <c r="SNK13" s="41"/>
      <c r="SNL13" s="41"/>
      <c r="SNM13" s="41"/>
      <c r="SNN13" s="41"/>
      <c r="SNO13" s="41"/>
      <c r="SNP13" s="41"/>
      <c r="SNQ13" s="41"/>
      <c r="SNR13" s="41"/>
      <c r="SNS13" s="41"/>
      <c r="SNT13" s="41"/>
      <c r="SNU13" s="41"/>
      <c r="SNV13" s="41"/>
      <c r="SNW13" s="41"/>
      <c r="SNX13" s="41"/>
      <c r="SNY13" s="41"/>
      <c r="SNZ13" s="41"/>
      <c r="SOA13" s="41"/>
      <c r="SOB13" s="41"/>
      <c r="SOC13" s="41"/>
      <c r="SOD13" s="41"/>
      <c r="SOE13" s="41"/>
      <c r="SOF13" s="41"/>
      <c r="SOG13" s="41"/>
      <c r="SOH13" s="41"/>
      <c r="SOI13" s="41"/>
      <c r="SOJ13" s="41"/>
      <c r="SOK13" s="41"/>
      <c r="SOL13" s="41"/>
      <c r="SOM13" s="41"/>
      <c r="SON13" s="41"/>
      <c r="SOO13" s="41"/>
      <c r="SOP13" s="41"/>
      <c r="SOQ13" s="41"/>
      <c r="SOR13" s="41"/>
      <c r="SOS13" s="41"/>
      <c r="SOT13" s="41"/>
      <c r="SOU13" s="41"/>
      <c r="SOV13" s="41"/>
      <c r="SOW13" s="41"/>
      <c r="SOX13" s="41"/>
      <c r="SOY13" s="41"/>
      <c r="SOZ13" s="41"/>
      <c r="SPA13" s="41"/>
      <c r="SPB13" s="41"/>
      <c r="SPC13" s="41"/>
      <c r="SPD13" s="41"/>
      <c r="SPE13" s="41"/>
      <c r="SPF13" s="41"/>
      <c r="SPG13" s="41"/>
      <c r="SPH13" s="41"/>
      <c r="SPI13" s="41"/>
      <c r="SPJ13" s="41"/>
      <c r="SPK13" s="41"/>
      <c r="SPL13" s="41"/>
      <c r="SPM13" s="41"/>
      <c r="SPN13" s="41"/>
      <c r="SPO13" s="41"/>
      <c r="SPP13" s="41"/>
      <c r="SPQ13" s="41"/>
      <c r="SPR13" s="41"/>
      <c r="SPS13" s="41"/>
      <c r="SPT13" s="41"/>
      <c r="SPU13" s="41"/>
      <c r="SPV13" s="41"/>
      <c r="SPW13" s="41"/>
      <c r="SPX13" s="41"/>
      <c r="SPY13" s="41"/>
      <c r="SPZ13" s="41"/>
      <c r="SQA13" s="41"/>
      <c r="SQB13" s="41"/>
      <c r="SQC13" s="41"/>
      <c r="SQD13" s="41"/>
      <c r="SQE13" s="41"/>
      <c r="SQF13" s="41"/>
      <c r="SQG13" s="41"/>
      <c r="SQH13" s="41"/>
      <c r="SQI13" s="41"/>
      <c r="SQJ13" s="41"/>
      <c r="SQK13" s="41"/>
      <c r="SQL13" s="41"/>
      <c r="SQM13" s="41"/>
      <c r="SQN13" s="41"/>
      <c r="SQO13" s="41"/>
      <c r="SQP13" s="41"/>
      <c r="SQQ13" s="41"/>
      <c r="SQR13" s="41"/>
      <c r="SQS13" s="41"/>
      <c r="SQT13" s="41"/>
      <c r="SQU13" s="41"/>
      <c r="SQV13" s="41"/>
      <c r="SQW13" s="41"/>
      <c r="SQX13" s="41"/>
      <c r="SQY13" s="41"/>
      <c r="SQZ13" s="41"/>
      <c r="SRA13" s="41"/>
      <c r="SRB13" s="41"/>
      <c r="SRC13" s="41"/>
      <c r="SRD13" s="41"/>
      <c r="SRE13" s="41"/>
      <c r="SRF13" s="41"/>
      <c r="SRG13" s="41"/>
      <c r="SRH13" s="41"/>
      <c r="SRI13" s="41"/>
      <c r="SRJ13" s="41"/>
      <c r="SRK13" s="41"/>
      <c r="SRL13" s="41"/>
      <c r="SRM13" s="41"/>
      <c r="SRN13" s="41"/>
      <c r="SRO13" s="41"/>
      <c r="SRP13" s="41"/>
      <c r="SRQ13" s="41"/>
      <c r="SRR13" s="41"/>
      <c r="SRS13" s="41"/>
      <c r="SRT13" s="41"/>
      <c r="SRU13" s="41"/>
      <c r="SRV13" s="41"/>
      <c r="SRW13" s="41"/>
      <c r="SRX13" s="41"/>
      <c r="SRY13" s="41"/>
      <c r="SRZ13" s="41"/>
      <c r="SSA13" s="41"/>
      <c r="SSB13" s="41"/>
      <c r="SSC13" s="41"/>
      <c r="SSD13" s="41"/>
      <c r="SSE13" s="41"/>
      <c r="SSF13" s="41"/>
      <c r="SSG13" s="41"/>
      <c r="SSH13" s="41"/>
      <c r="SSI13" s="41"/>
      <c r="SSJ13" s="41"/>
      <c r="SSK13" s="41"/>
      <c r="SSL13" s="41"/>
      <c r="SSM13" s="41"/>
      <c r="SSN13" s="41"/>
      <c r="SSO13" s="41"/>
      <c r="SSP13" s="41"/>
      <c r="SSQ13" s="41"/>
      <c r="SSR13" s="41"/>
      <c r="SSS13" s="41"/>
      <c r="SST13" s="41"/>
      <c r="SSU13" s="41"/>
      <c r="SSV13" s="41"/>
      <c r="SSW13" s="41"/>
      <c r="SSX13" s="41"/>
      <c r="SSY13" s="41"/>
      <c r="SSZ13" s="41"/>
      <c r="STA13" s="41"/>
      <c r="STB13" s="41"/>
      <c r="STC13" s="41"/>
      <c r="STD13" s="41"/>
      <c r="STE13" s="41"/>
      <c r="STF13" s="41"/>
      <c r="STG13" s="41"/>
      <c r="STH13" s="41"/>
      <c r="STI13" s="41"/>
      <c r="STJ13" s="41"/>
      <c r="STK13" s="41"/>
      <c r="STL13" s="41"/>
      <c r="STM13" s="41"/>
      <c r="STN13" s="41"/>
      <c r="STO13" s="41"/>
      <c r="STP13" s="41"/>
      <c r="STQ13" s="41"/>
      <c r="STR13" s="41"/>
      <c r="STS13" s="41"/>
      <c r="STT13" s="41"/>
      <c r="STU13" s="41"/>
      <c r="STV13" s="41"/>
      <c r="STW13" s="41"/>
      <c r="STX13" s="41"/>
      <c r="STY13" s="41"/>
      <c r="STZ13" s="41"/>
      <c r="SUA13" s="41"/>
      <c r="SUB13" s="41"/>
      <c r="SUC13" s="41"/>
      <c r="SUD13" s="41"/>
      <c r="SUE13" s="41"/>
      <c r="SUF13" s="41"/>
      <c r="SUG13" s="41"/>
      <c r="SUH13" s="41"/>
      <c r="SUI13" s="41"/>
      <c r="SUJ13" s="41"/>
      <c r="SUK13" s="41"/>
      <c r="SUL13" s="41"/>
      <c r="SUM13" s="41"/>
      <c r="SUN13" s="41"/>
      <c r="SUO13" s="41"/>
      <c r="SUP13" s="41"/>
      <c r="SUQ13" s="41"/>
      <c r="SUR13" s="41"/>
      <c r="SUS13" s="41"/>
      <c r="SUT13" s="41"/>
      <c r="SUU13" s="41"/>
      <c r="SUV13" s="41"/>
      <c r="SUW13" s="41"/>
      <c r="SUX13" s="41"/>
      <c r="SUY13" s="41"/>
      <c r="SUZ13" s="41"/>
      <c r="SVA13" s="41"/>
      <c r="SVB13" s="41"/>
      <c r="SVC13" s="41"/>
      <c r="SVD13" s="41"/>
      <c r="SVE13" s="41"/>
      <c r="SVF13" s="41"/>
      <c r="SVG13" s="41"/>
      <c r="SVH13" s="41"/>
      <c r="SVI13" s="41"/>
      <c r="SVJ13" s="41"/>
      <c r="SVK13" s="41"/>
      <c r="SVL13" s="41"/>
      <c r="SVM13" s="41"/>
      <c r="SVN13" s="41"/>
      <c r="SVO13" s="41"/>
      <c r="SVP13" s="41"/>
      <c r="SVQ13" s="41"/>
      <c r="SVR13" s="41"/>
      <c r="SVS13" s="41"/>
      <c r="SVT13" s="41"/>
      <c r="SVU13" s="41"/>
      <c r="SVV13" s="41"/>
      <c r="SVW13" s="41"/>
      <c r="SVX13" s="41"/>
      <c r="SVY13" s="41"/>
      <c r="SVZ13" s="41"/>
      <c r="SWA13" s="41"/>
      <c r="SWB13" s="41"/>
      <c r="SWC13" s="41"/>
      <c r="SWD13" s="41"/>
      <c r="SWE13" s="41"/>
      <c r="SWF13" s="41"/>
      <c r="SWG13" s="41"/>
      <c r="SWH13" s="41"/>
      <c r="SWI13" s="41"/>
      <c r="SWJ13" s="41"/>
      <c r="SWK13" s="41"/>
      <c r="SWL13" s="41"/>
      <c r="SWM13" s="41"/>
      <c r="SWN13" s="41"/>
      <c r="SWO13" s="41"/>
      <c r="SWP13" s="41"/>
      <c r="SWQ13" s="41"/>
      <c r="SWR13" s="41"/>
      <c r="SWS13" s="41"/>
      <c r="SWT13" s="41"/>
      <c r="SWU13" s="41"/>
      <c r="SWV13" s="41"/>
      <c r="SWW13" s="41"/>
      <c r="SWX13" s="41"/>
      <c r="SWY13" s="41"/>
      <c r="SWZ13" s="41"/>
      <c r="SXA13" s="41"/>
      <c r="SXB13" s="41"/>
      <c r="SXC13" s="41"/>
      <c r="SXD13" s="41"/>
      <c r="SXE13" s="41"/>
      <c r="SXF13" s="41"/>
      <c r="SXG13" s="41"/>
      <c r="SXH13" s="41"/>
      <c r="SXI13" s="41"/>
      <c r="SXJ13" s="41"/>
      <c r="SXK13" s="41"/>
      <c r="SXL13" s="41"/>
      <c r="SXM13" s="41"/>
      <c r="SXN13" s="41"/>
      <c r="SXO13" s="41"/>
      <c r="SXP13" s="41"/>
      <c r="SXQ13" s="41"/>
      <c r="SXR13" s="41"/>
      <c r="SXS13" s="41"/>
      <c r="SXT13" s="41"/>
      <c r="SXU13" s="41"/>
      <c r="SXV13" s="41"/>
      <c r="SXW13" s="41"/>
      <c r="SXX13" s="41"/>
      <c r="SXY13" s="41"/>
      <c r="SXZ13" s="41"/>
      <c r="SYA13" s="41"/>
      <c r="SYB13" s="41"/>
      <c r="SYC13" s="41"/>
      <c r="SYD13" s="41"/>
      <c r="SYE13" s="41"/>
      <c r="SYF13" s="41"/>
      <c r="SYG13" s="41"/>
      <c r="SYH13" s="41"/>
      <c r="SYI13" s="41"/>
      <c r="SYJ13" s="41"/>
      <c r="SYK13" s="41"/>
      <c r="SYL13" s="41"/>
      <c r="SYM13" s="41"/>
      <c r="SYN13" s="41"/>
      <c r="SYO13" s="41"/>
      <c r="SYP13" s="41"/>
      <c r="SYQ13" s="41"/>
      <c r="SYR13" s="41"/>
      <c r="SYS13" s="41"/>
      <c r="SYT13" s="41"/>
      <c r="SYU13" s="41"/>
      <c r="SYV13" s="41"/>
      <c r="SYW13" s="41"/>
      <c r="SYX13" s="41"/>
      <c r="SYY13" s="41"/>
      <c r="SYZ13" s="41"/>
      <c r="SZA13" s="41"/>
      <c r="SZB13" s="41"/>
      <c r="SZC13" s="41"/>
      <c r="SZD13" s="41"/>
      <c r="SZE13" s="41"/>
      <c r="SZF13" s="41"/>
      <c r="SZG13" s="41"/>
      <c r="SZH13" s="41"/>
      <c r="SZI13" s="41"/>
      <c r="SZJ13" s="41"/>
      <c r="SZK13" s="41"/>
      <c r="SZL13" s="41"/>
      <c r="SZM13" s="41"/>
      <c r="SZN13" s="41"/>
      <c r="SZO13" s="41"/>
      <c r="SZP13" s="41"/>
      <c r="SZQ13" s="41"/>
      <c r="SZR13" s="41"/>
      <c r="SZS13" s="41"/>
      <c r="SZT13" s="41"/>
      <c r="SZU13" s="41"/>
      <c r="SZV13" s="41"/>
      <c r="SZW13" s="41"/>
      <c r="SZX13" s="41"/>
      <c r="SZY13" s="41"/>
      <c r="SZZ13" s="41"/>
      <c r="TAA13" s="41"/>
      <c r="TAB13" s="41"/>
      <c r="TAC13" s="41"/>
      <c r="TAD13" s="41"/>
      <c r="TAE13" s="41"/>
      <c r="TAF13" s="41"/>
      <c r="TAG13" s="41"/>
      <c r="TAH13" s="41"/>
      <c r="TAI13" s="41"/>
      <c r="TAJ13" s="41"/>
      <c r="TAK13" s="41"/>
      <c r="TAL13" s="41"/>
      <c r="TAM13" s="41"/>
      <c r="TAN13" s="41"/>
      <c r="TAO13" s="41"/>
      <c r="TAP13" s="41"/>
      <c r="TAQ13" s="41"/>
      <c r="TAR13" s="41"/>
      <c r="TAS13" s="41"/>
      <c r="TAT13" s="41"/>
      <c r="TAU13" s="41"/>
      <c r="TAV13" s="41"/>
      <c r="TAW13" s="41"/>
      <c r="TAX13" s="41"/>
      <c r="TAY13" s="41"/>
      <c r="TAZ13" s="41"/>
      <c r="TBA13" s="41"/>
      <c r="TBB13" s="41"/>
      <c r="TBC13" s="41"/>
      <c r="TBD13" s="41"/>
      <c r="TBE13" s="41"/>
      <c r="TBF13" s="41"/>
      <c r="TBG13" s="41"/>
      <c r="TBH13" s="41"/>
      <c r="TBI13" s="41"/>
      <c r="TBJ13" s="41"/>
      <c r="TBK13" s="41"/>
      <c r="TBL13" s="41"/>
      <c r="TBM13" s="41"/>
      <c r="TBN13" s="41"/>
      <c r="TBO13" s="41"/>
      <c r="TBP13" s="41"/>
      <c r="TBQ13" s="41"/>
      <c r="TBR13" s="41"/>
      <c r="TBS13" s="41"/>
      <c r="TBT13" s="41"/>
      <c r="TBU13" s="41"/>
      <c r="TBV13" s="41"/>
      <c r="TBW13" s="41"/>
      <c r="TBX13" s="41"/>
      <c r="TBY13" s="41"/>
      <c r="TBZ13" s="41"/>
      <c r="TCA13" s="41"/>
      <c r="TCB13" s="41"/>
      <c r="TCC13" s="41"/>
      <c r="TCD13" s="41"/>
      <c r="TCE13" s="41"/>
      <c r="TCF13" s="41"/>
      <c r="TCG13" s="41"/>
      <c r="TCH13" s="41"/>
      <c r="TCI13" s="41"/>
      <c r="TCJ13" s="41"/>
      <c r="TCK13" s="41"/>
      <c r="TCL13" s="41"/>
      <c r="TCM13" s="41"/>
      <c r="TCN13" s="41"/>
      <c r="TCO13" s="41"/>
      <c r="TCP13" s="41"/>
      <c r="TCQ13" s="41"/>
      <c r="TCR13" s="41"/>
      <c r="TCS13" s="41"/>
      <c r="TCT13" s="41"/>
      <c r="TCU13" s="41"/>
      <c r="TCV13" s="41"/>
      <c r="TCW13" s="41"/>
      <c r="TCX13" s="41"/>
      <c r="TCY13" s="41"/>
      <c r="TCZ13" s="41"/>
      <c r="TDA13" s="41"/>
      <c r="TDB13" s="41"/>
      <c r="TDC13" s="41"/>
      <c r="TDD13" s="41"/>
      <c r="TDE13" s="41"/>
      <c r="TDF13" s="41"/>
      <c r="TDG13" s="41"/>
      <c r="TDH13" s="41"/>
      <c r="TDI13" s="41"/>
      <c r="TDJ13" s="41"/>
      <c r="TDK13" s="41"/>
      <c r="TDL13" s="41"/>
      <c r="TDM13" s="41"/>
      <c r="TDN13" s="41"/>
      <c r="TDO13" s="41"/>
      <c r="TDP13" s="41"/>
      <c r="TDQ13" s="41"/>
      <c r="TDR13" s="41"/>
      <c r="TDS13" s="41"/>
      <c r="TDT13" s="41"/>
      <c r="TDU13" s="41"/>
      <c r="TDV13" s="41"/>
      <c r="TDW13" s="41"/>
      <c r="TDX13" s="41"/>
      <c r="TDY13" s="41"/>
      <c r="TDZ13" s="41"/>
      <c r="TEA13" s="41"/>
      <c r="TEB13" s="41"/>
      <c r="TEC13" s="41"/>
      <c r="TED13" s="41"/>
      <c r="TEE13" s="41"/>
      <c r="TEF13" s="41"/>
      <c r="TEG13" s="41"/>
      <c r="TEH13" s="41"/>
      <c r="TEI13" s="41"/>
      <c r="TEJ13" s="41"/>
      <c r="TEK13" s="41"/>
      <c r="TEL13" s="41"/>
      <c r="TEM13" s="41"/>
      <c r="TEN13" s="41"/>
      <c r="TEO13" s="41"/>
      <c r="TEP13" s="41"/>
      <c r="TEQ13" s="41"/>
      <c r="TER13" s="41"/>
      <c r="TES13" s="41"/>
      <c r="TET13" s="41"/>
      <c r="TEU13" s="41"/>
      <c r="TEV13" s="41"/>
      <c r="TEW13" s="41"/>
      <c r="TEX13" s="41"/>
      <c r="TEY13" s="41"/>
      <c r="TEZ13" s="41"/>
      <c r="TFA13" s="41"/>
      <c r="TFB13" s="41"/>
      <c r="TFC13" s="41"/>
      <c r="TFD13" s="41"/>
      <c r="TFE13" s="41"/>
      <c r="TFF13" s="41"/>
      <c r="TFG13" s="41"/>
      <c r="TFH13" s="41"/>
      <c r="TFI13" s="41"/>
      <c r="TFJ13" s="41"/>
      <c r="TFK13" s="41"/>
      <c r="TFL13" s="41"/>
      <c r="TFM13" s="41"/>
      <c r="TFN13" s="41"/>
      <c r="TFO13" s="41"/>
      <c r="TFP13" s="41"/>
      <c r="TFQ13" s="41"/>
      <c r="TFR13" s="41"/>
      <c r="TFS13" s="41"/>
      <c r="TFT13" s="41"/>
      <c r="TFU13" s="41"/>
      <c r="TFV13" s="41"/>
      <c r="TFW13" s="41"/>
      <c r="TFX13" s="41"/>
      <c r="TFY13" s="41"/>
      <c r="TFZ13" s="41"/>
      <c r="TGA13" s="41"/>
      <c r="TGB13" s="41"/>
      <c r="TGC13" s="41"/>
      <c r="TGD13" s="41"/>
      <c r="TGE13" s="41"/>
      <c r="TGF13" s="41"/>
      <c r="TGG13" s="41"/>
      <c r="TGH13" s="41"/>
      <c r="TGI13" s="41"/>
      <c r="TGJ13" s="41"/>
      <c r="TGK13" s="41"/>
      <c r="TGL13" s="41"/>
      <c r="TGM13" s="41"/>
      <c r="TGN13" s="41"/>
      <c r="TGO13" s="41"/>
      <c r="TGP13" s="41"/>
      <c r="TGQ13" s="41"/>
      <c r="TGR13" s="41"/>
      <c r="TGS13" s="41"/>
      <c r="TGT13" s="41"/>
      <c r="TGU13" s="41"/>
      <c r="TGV13" s="41"/>
      <c r="TGW13" s="41"/>
      <c r="TGX13" s="41"/>
      <c r="TGY13" s="41"/>
      <c r="TGZ13" s="41"/>
      <c r="THA13" s="41"/>
      <c r="THB13" s="41"/>
      <c r="THC13" s="41"/>
      <c r="THD13" s="41"/>
      <c r="THE13" s="41"/>
      <c r="THF13" s="41"/>
      <c r="THG13" s="41"/>
      <c r="THH13" s="41"/>
      <c r="THI13" s="41"/>
      <c r="THJ13" s="41"/>
      <c r="THK13" s="41"/>
      <c r="THL13" s="41"/>
      <c r="THM13" s="41"/>
      <c r="THN13" s="41"/>
      <c r="THO13" s="41"/>
      <c r="THP13" s="41"/>
      <c r="THQ13" s="41"/>
      <c r="THR13" s="41"/>
      <c r="THS13" s="41"/>
      <c r="THT13" s="41"/>
      <c r="THU13" s="41"/>
      <c r="THV13" s="41"/>
      <c r="THW13" s="41"/>
      <c r="THX13" s="41"/>
      <c r="THY13" s="41"/>
      <c r="THZ13" s="41"/>
      <c r="TIA13" s="41"/>
      <c r="TIB13" s="41"/>
      <c r="TIC13" s="41"/>
      <c r="TID13" s="41"/>
      <c r="TIE13" s="41"/>
      <c r="TIF13" s="41"/>
      <c r="TIG13" s="41"/>
      <c r="TIH13" s="41"/>
      <c r="TII13" s="41"/>
      <c r="TIJ13" s="41"/>
      <c r="TIK13" s="41"/>
      <c r="TIL13" s="41"/>
      <c r="TIM13" s="41"/>
      <c r="TIN13" s="41"/>
      <c r="TIO13" s="41"/>
      <c r="TIP13" s="41"/>
      <c r="TIQ13" s="41"/>
      <c r="TIR13" s="41"/>
      <c r="TIS13" s="41"/>
      <c r="TIT13" s="41"/>
      <c r="TIU13" s="41"/>
      <c r="TIV13" s="41"/>
      <c r="TIW13" s="41"/>
      <c r="TIX13" s="41"/>
      <c r="TIY13" s="41"/>
      <c r="TIZ13" s="41"/>
      <c r="TJA13" s="41"/>
      <c r="TJB13" s="41"/>
      <c r="TJC13" s="41"/>
      <c r="TJD13" s="41"/>
      <c r="TJE13" s="41"/>
      <c r="TJF13" s="41"/>
      <c r="TJG13" s="41"/>
      <c r="TJH13" s="41"/>
      <c r="TJI13" s="41"/>
      <c r="TJJ13" s="41"/>
      <c r="TJK13" s="41"/>
      <c r="TJL13" s="41"/>
      <c r="TJM13" s="41"/>
      <c r="TJN13" s="41"/>
      <c r="TJO13" s="41"/>
      <c r="TJP13" s="41"/>
      <c r="TJQ13" s="41"/>
      <c r="TJR13" s="41"/>
      <c r="TJS13" s="41"/>
      <c r="TJT13" s="41"/>
      <c r="TJU13" s="41"/>
      <c r="TJV13" s="41"/>
      <c r="TJW13" s="41"/>
      <c r="TJX13" s="41"/>
      <c r="TJY13" s="41"/>
      <c r="TJZ13" s="41"/>
      <c r="TKA13" s="41"/>
      <c r="TKB13" s="41"/>
      <c r="TKC13" s="41"/>
      <c r="TKD13" s="41"/>
      <c r="TKE13" s="41"/>
      <c r="TKF13" s="41"/>
      <c r="TKG13" s="41"/>
      <c r="TKH13" s="41"/>
      <c r="TKI13" s="41"/>
      <c r="TKJ13" s="41"/>
      <c r="TKK13" s="41"/>
      <c r="TKL13" s="41"/>
      <c r="TKM13" s="41"/>
      <c r="TKN13" s="41"/>
      <c r="TKO13" s="41"/>
      <c r="TKP13" s="41"/>
      <c r="TKQ13" s="41"/>
      <c r="TKR13" s="41"/>
      <c r="TKS13" s="41"/>
      <c r="TKT13" s="41"/>
      <c r="TKU13" s="41"/>
      <c r="TKV13" s="41"/>
      <c r="TKW13" s="41"/>
      <c r="TKX13" s="41"/>
      <c r="TKY13" s="41"/>
      <c r="TKZ13" s="41"/>
      <c r="TLA13" s="41"/>
      <c r="TLB13" s="41"/>
      <c r="TLC13" s="41"/>
      <c r="TLD13" s="41"/>
      <c r="TLE13" s="41"/>
      <c r="TLF13" s="41"/>
      <c r="TLG13" s="41"/>
      <c r="TLH13" s="41"/>
      <c r="TLI13" s="41"/>
      <c r="TLJ13" s="41"/>
      <c r="TLK13" s="41"/>
      <c r="TLL13" s="41"/>
      <c r="TLM13" s="41"/>
      <c r="TLN13" s="41"/>
      <c r="TLO13" s="41"/>
      <c r="TLP13" s="41"/>
      <c r="TLQ13" s="41"/>
      <c r="TLR13" s="41"/>
      <c r="TLS13" s="41"/>
      <c r="TLT13" s="41"/>
      <c r="TLU13" s="41"/>
      <c r="TLV13" s="41"/>
      <c r="TLW13" s="41"/>
      <c r="TLX13" s="41"/>
      <c r="TLY13" s="41"/>
      <c r="TLZ13" s="41"/>
      <c r="TMA13" s="41"/>
      <c r="TMB13" s="41"/>
      <c r="TMC13" s="41"/>
      <c r="TMD13" s="41"/>
      <c r="TME13" s="41"/>
      <c r="TMF13" s="41"/>
      <c r="TMG13" s="41"/>
      <c r="TMH13" s="41"/>
      <c r="TMI13" s="41"/>
      <c r="TMJ13" s="41"/>
      <c r="TMK13" s="41"/>
      <c r="TML13" s="41"/>
      <c r="TMM13" s="41"/>
      <c r="TMN13" s="41"/>
      <c r="TMO13" s="41"/>
      <c r="TMP13" s="41"/>
      <c r="TMQ13" s="41"/>
      <c r="TMR13" s="41"/>
      <c r="TMS13" s="41"/>
      <c r="TMT13" s="41"/>
      <c r="TMU13" s="41"/>
      <c r="TMV13" s="41"/>
      <c r="TMW13" s="41"/>
      <c r="TMX13" s="41"/>
      <c r="TMY13" s="41"/>
      <c r="TMZ13" s="41"/>
      <c r="TNA13" s="41"/>
      <c r="TNB13" s="41"/>
      <c r="TNC13" s="41"/>
      <c r="TND13" s="41"/>
      <c r="TNE13" s="41"/>
      <c r="TNF13" s="41"/>
      <c r="TNG13" s="41"/>
      <c r="TNH13" s="41"/>
      <c r="TNI13" s="41"/>
      <c r="TNJ13" s="41"/>
      <c r="TNK13" s="41"/>
      <c r="TNL13" s="41"/>
      <c r="TNM13" s="41"/>
      <c r="TNN13" s="41"/>
      <c r="TNO13" s="41"/>
      <c r="TNP13" s="41"/>
      <c r="TNQ13" s="41"/>
      <c r="TNR13" s="41"/>
      <c r="TNS13" s="41"/>
      <c r="TNT13" s="41"/>
      <c r="TNU13" s="41"/>
      <c r="TNV13" s="41"/>
      <c r="TNW13" s="41"/>
      <c r="TNX13" s="41"/>
      <c r="TNY13" s="41"/>
      <c r="TNZ13" s="41"/>
      <c r="TOA13" s="41"/>
      <c r="TOB13" s="41"/>
      <c r="TOC13" s="41"/>
      <c r="TOD13" s="41"/>
      <c r="TOE13" s="41"/>
      <c r="TOF13" s="41"/>
      <c r="TOG13" s="41"/>
      <c r="TOH13" s="41"/>
      <c r="TOI13" s="41"/>
      <c r="TOJ13" s="41"/>
      <c r="TOK13" s="41"/>
      <c r="TOL13" s="41"/>
      <c r="TOM13" s="41"/>
      <c r="TON13" s="41"/>
      <c r="TOO13" s="41"/>
      <c r="TOP13" s="41"/>
      <c r="TOQ13" s="41"/>
      <c r="TOR13" s="41"/>
      <c r="TOS13" s="41"/>
      <c r="TOT13" s="41"/>
      <c r="TOU13" s="41"/>
      <c r="TOV13" s="41"/>
      <c r="TOW13" s="41"/>
      <c r="TOX13" s="41"/>
      <c r="TOY13" s="41"/>
      <c r="TOZ13" s="41"/>
      <c r="TPA13" s="41"/>
      <c r="TPB13" s="41"/>
      <c r="TPC13" s="41"/>
      <c r="TPD13" s="41"/>
      <c r="TPE13" s="41"/>
      <c r="TPF13" s="41"/>
      <c r="TPG13" s="41"/>
      <c r="TPH13" s="41"/>
      <c r="TPI13" s="41"/>
      <c r="TPJ13" s="41"/>
      <c r="TPK13" s="41"/>
      <c r="TPL13" s="41"/>
      <c r="TPM13" s="41"/>
      <c r="TPN13" s="41"/>
      <c r="TPO13" s="41"/>
      <c r="TPP13" s="41"/>
      <c r="TPQ13" s="41"/>
      <c r="TPR13" s="41"/>
      <c r="TPS13" s="41"/>
      <c r="TPT13" s="41"/>
      <c r="TPU13" s="41"/>
      <c r="TPV13" s="41"/>
      <c r="TPW13" s="41"/>
      <c r="TPX13" s="41"/>
      <c r="TPY13" s="41"/>
      <c r="TPZ13" s="41"/>
      <c r="TQA13" s="41"/>
      <c r="TQB13" s="41"/>
      <c r="TQC13" s="41"/>
      <c r="TQD13" s="41"/>
      <c r="TQE13" s="41"/>
      <c r="TQF13" s="41"/>
      <c r="TQG13" s="41"/>
      <c r="TQH13" s="41"/>
      <c r="TQI13" s="41"/>
      <c r="TQJ13" s="41"/>
      <c r="TQK13" s="41"/>
      <c r="TQL13" s="41"/>
      <c r="TQM13" s="41"/>
      <c r="TQN13" s="41"/>
      <c r="TQO13" s="41"/>
      <c r="TQP13" s="41"/>
      <c r="TQQ13" s="41"/>
      <c r="TQR13" s="41"/>
      <c r="TQS13" s="41"/>
      <c r="TQT13" s="41"/>
      <c r="TQU13" s="41"/>
      <c r="TQV13" s="41"/>
      <c r="TQW13" s="41"/>
      <c r="TQX13" s="41"/>
      <c r="TQY13" s="41"/>
      <c r="TQZ13" s="41"/>
      <c r="TRA13" s="41"/>
      <c r="TRB13" s="41"/>
      <c r="TRC13" s="41"/>
      <c r="TRD13" s="41"/>
      <c r="TRE13" s="41"/>
      <c r="TRF13" s="41"/>
      <c r="TRG13" s="41"/>
      <c r="TRH13" s="41"/>
      <c r="TRI13" s="41"/>
      <c r="TRJ13" s="41"/>
      <c r="TRK13" s="41"/>
      <c r="TRL13" s="41"/>
      <c r="TRM13" s="41"/>
      <c r="TRN13" s="41"/>
      <c r="TRO13" s="41"/>
      <c r="TRP13" s="41"/>
      <c r="TRQ13" s="41"/>
      <c r="TRR13" s="41"/>
      <c r="TRS13" s="41"/>
      <c r="TRT13" s="41"/>
      <c r="TRU13" s="41"/>
      <c r="TRV13" s="41"/>
      <c r="TRW13" s="41"/>
      <c r="TRX13" s="41"/>
      <c r="TRY13" s="41"/>
      <c r="TRZ13" s="41"/>
      <c r="TSA13" s="41"/>
      <c r="TSB13" s="41"/>
      <c r="TSC13" s="41"/>
      <c r="TSD13" s="41"/>
      <c r="TSE13" s="41"/>
      <c r="TSF13" s="41"/>
      <c r="TSG13" s="41"/>
      <c r="TSH13" s="41"/>
      <c r="TSI13" s="41"/>
      <c r="TSJ13" s="41"/>
      <c r="TSK13" s="41"/>
      <c r="TSL13" s="41"/>
      <c r="TSM13" s="41"/>
      <c r="TSN13" s="41"/>
      <c r="TSO13" s="41"/>
      <c r="TSP13" s="41"/>
      <c r="TSQ13" s="41"/>
      <c r="TSR13" s="41"/>
      <c r="TSS13" s="41"/>
      <c r="TST13" s="41"/>
      <c r="TSU13" s="41"/>
      <c r="TSV13" s="41"/>
      <c r="TSW13" s="41"/>
      <c r="TSX13" s="41"/>
      <c r="TSY13" s="41"/>
      <c r="TSZ13" s="41"/>
      <c r="TTA13" s="41"/>
      <c r="TTB13" s="41"/>
      <c r="TTC13" s="41"/>
      <c r="TTD13" s="41"/>
      <c r="TTE13" s="41"/>
      <c r="TTF13" s="41"/>
      <c r="TTG13" s="41"/>
      <c r="TTH13" s="41"/>
      <c r="TTI13" s="41"/>
      <c r="TTJ13" s="41"/>
      <c r="TTK13" s="41"/>
      <c r="TTL13" s="41"/>
      <c r="TTM13" s="41"/>
      <c r="TTN13" s="41"/>
      <c r="TTO13" s="41"/>
      <c r="TTP13" s="41"/>
      <c r="TTQ13" s="41"/>
      <c r="TTR13" s="41"/>
      <c r="TTS13" s="41"/>
      <c r="TTT13" s="41"/>
      <c r="TTU13" s="41"/>
      <c r="TTV13" s="41"/>
      <c r="TTW13" s="41"/>
      <c r="TTX13" s="41"/>
      <c r="TTY13" s="41"/>
      <c r="TTZ13" s="41"/>
      <c r="TUA13" s="41"/>
      <c r="TUB13" s="41"/>
      <c r="TUC13" s="41"/>
      <c r="TUD13" s="41"/>
      <c r="TUE13" s="41"/>
      <c r="TUF13" s="41"/>
      <c r="TUG13" s="41"/>
      <c r="TUH13" s="41"/>
      <c r="TUI13" s="41"/>
      <c r="TUJ13" s="41"/>
      <c r="TUK13" s="41"/>
      <c r="TUL13" s="41"/>
      <c r="TUM13" s="41"/>
      <c r="TUN13" s="41"/>
      <c r="TUO13" s="41"/>
      <c r="TUP13" s="41"/>
      <c r="TUQ13" s="41"/>
      <c r="TUR13" s="41"/>
      <c r="TUS13" s="41"/>
      <c r="TUT13" s="41"/>
      <c r="TUU13" s="41"/>
      <c r="TUV13" s="41"/>
      <c r="TUW13" s="41"/>
      <c r="TUX13" s="41"/>
      <c r="TUY13" s="41"/>
      <c r="TUZ13" s="41"/>
      <c r="TVA13" s="41"/>
      <c r="TVB13" s="41"/>
      <c r="TVC13" s="41"/>
      <c r="TVD13" s="41"/>
      <c r="TVE13" s="41"/>
      <c r="TVF13" s="41"/>
      <c r="TVG13" s="41"/>
      <c r="TVH13" s="41"/>
      <c r="TVI13" s="41"/>
      <c r="TVJ13" s="41"/>
      <c r="TVK13" s="41"/>
      <c r="TVL13" s="41"/>
      <c r="TVM13" s="41"/>
      <c r="TVN13" s="41"/>
      <c r="TVO13" s="41"/>
      <c r="TVP13" s="41"/>
      <c r="TVQ13" s="41"/>
      <c r="TVR13" s="41"/>
      <c r="TVS13" s="41"/>
      <c r="TVT13" s="41"/>
      <c r="TVU13" s="41"/>
      <c r="TVV13" s="41"/>
      <c r="TVW13" s="41"/>
      <c r="TVX13" s="41"/>
      <c r="TVY13" s="41"/>
      <c r="TVZ13" s="41"/>
      <c r="TWA13" s="41"/>
      <c r="TWB13" s="41"/>
      <c r="TWC13" s="41"/>
      <c r="TWD13" s="41"/>
      <c r="TWE13" s="41"/>
      <c r="TWF13" s="41"/>
      <c r="TWG13" s="41"/>
      <c r="TWH13" s="41"/>
      <c r="TWI13" s="41"/>
      <c r="TWJ13" s="41"/>
      <c r="TWK13" s="41"/>
      <c r="TWL13" s="41"/>
      <c r="TWM13" s="41"/>
      <c r="TWN13" s="41"/>
      <c r="TWO13" s="41"/>
      <c r="TWP13" s="41"/>
      <c r="TWQ13" s="41"/>
      <c r="TWR13" s="41"/>
      <c r="TWS13" s="41"/>
      <c r="TWT13" s="41"/>
      <c r="TWU13" s="41"/>
      <c r="TWV13" s="41"/>
      <c r="TWW13" s="41"/>
      <c r="TWX13" s="41"/>
      <c r="TWY13" s="41"/>
      <c r="TWZ13" s="41"/>
      <c r="TXA13" s="41"/>
      <c r="TXB13" s="41"/>
      <c r="TXC13" s="41"/>
      <c r="TXD13" s="41"/>
      <c r="TXE13" s="41"/>
      <c r="TXF13" s="41"/>
      <c r="TXG13" s="41"/>
      <c r="TXH13" s="41"/>
      <c r="TXI13" s="41"/>
      <c r="TXJ13" s="41"/>
      <c r="TXK13" s="41"/>
      <c r="TXL13" s="41"/>
      <c r="TXM13" s="41"/>
      <c r="TXN13" s="41"/>
      <c r="TXO13" s="41"/>
      <c r="TXP13" s="41"/>
      <c r="TXQ13" s="41"/>
      <c r="TXR13" s="41"/>
      <c r="TXS13" s="41"/>
      <c r="TXT13" s="41"/>
      <c r="TXU13" s="41"/>
      <c r="TXV13" s="41"/>
      <c r="TXW13" s="41"/>
      <c r="TXX13" s="41"/>
      <c r="TXY13" s="41"/>
      <c r="TXZ13" s="41"/>
      <c r="TYA13" s="41"/>
      <c r="TYB13" s="41"/>
      <c r="TYC13" s="41"/>
      <c r="TYD13" s="41"/>
      <c r="TYE13" s="41"/>
      <c r="TYF13" s="41"/>
      <c r="TYG13" s="41"/>
      <c r="TYH13" s="41"/>
      <c r="TYI13" s="41"/>
      <c r="TYJ13" s="41"/>
      <c r="TYK13" s="41"/>
      <c r="TYL13" s="41"/>
      <c r="TYM13" s="41"/>
      <c r="TYN13" s="41"/>
      <c r="TYO13" s="41"/>
      <c r="TYP13" s="41"/>
      <c r="TYQ13" s="41"/>
      <c r="TYR13" s="41"/>
      <c r="TYS13" s="41"/>
      <c r="TYT13" s="41"/>
      <c r="TYU13" s="41"/>
      <c r="TYV13" s="41"/>
      <c r="TYW13" s="41"/>
      <c r="TYX13" s="41"/>
      <c r="TYY13" s="41"/>
      <c r="TYZ13" s="41"/>
      <c r="TZA13" s="41"/>
      <c r="TZB13" s="41"/>
      <c r="TZC13" s="41"/>
      <c r="TZD13" s="41"/>
      <c r="TZE13" s="41"/>
      <c r="TZF13" s="41"/>
      <c r="TZG13" s="41"/>
      <c r="TZH13" s="41"/>
      <c r="TZI13" s="41"/>
      <c r="TZJ13" s="41"/>
      <c r="TZK13" s="41"/>
      <c r="TZL13" s="41"/>
      <c r="TZM13" s="41"/>
      <c r="TZN13" s="41"/>
      <c r="TZO13" s="41"/>
      <c r="TZP13" s="41"/>
      <c r="TZQ13" s="41"/>
      <c r="TZR13" s="41"/>
      <c r="TZS13" s="41"/>
      <c r="TZT13" s="41"/>
      <c r="TZU13" s="41"/>
      <c r="TZV13" s="41"/>
      <c r="TZW13" s="41"/>
      <c r="TZX13" s="41"/>
      <c r="TZY13" s="41"/>
      <c r="TZZ13" s="41"/>
      <c r="UAA13" s="41"/>
      <c r="UAB13" s="41"/>
      <c r="UAC13" s="41"/>
      <c r="UAD13" s="41"/>
      <c r="UAE13" s="41"/>
      <c r="UAF13" s="41"/>
      <c r="UAG13" s="41"/>
      <c r="UAH13" s="41"/>
      <c r="UAI13" s="41"/>
      <c r="UAJ13" s="41"/>
      <c r="UAK13" s="41"/>
      <c r="UAL13" s="41"/>
      <c r="UAM13" s="41"/>
      <c r="UAN13" s="41"/>
      <c r="UAO13" s="41"/>
      <c r="UAP13" s="41"/>
      <c r="UAQ13" s="41"/>
      <c r="UAR13" s="41"/>
      <c r="UAS13" s="41"/>
      <c r="UAT13" s="41"/>
      <c r="UAU13" s="41"/>
      <c r="UAV13" s="41"/>
      <c r="UAW13" s="41"/>
      <c r="UAX13" s="41"/>
      <c r="UAY13" s="41"/>
      <c r="UAZ13" s="41"/>
      <c r="UBA13" s="41"/>
      <c r="UBB13" s="41"/>
      <c r="UBC13" s="41"/>
      <c r="UBD13" s="41"/>
      <c r="UBE13" s="41"/>
      <c r="UBF13" s="41"/>
      <c r="UBG13" s="41"/>
      <c r="UBH13" s="41"/>
      <c r="UBI13" s="41"/>
      <c r="UBJ13" s="41"/>
      <c r="UBK13" s="41"/>
      <c r="UBL13" s="41"/>
      <c r="UBM13" s="41"/>
      <c r="UBN13" s="41"/>
      <c r="UBO13" s="41"/>
      <c r="UBP13" s="41"/>
      <c r="UBQ13" s="41"/>
      <c r="UBR13" s="41"/>
      <c r="UBS13" s="41"/>
      <c r="UBT13" s="41"/>
      <c r="UBU13" s="41"/>
      <c r="UBV13" s="41"/>
      <c r="UBW13" s="41"/>
      <c r="UBX13" s="41"/>
      <c r="UBY13" s="41"/>
      <c r="UBZ13" s="41"/>
      <c r="UCA13" s="41"/>
      <c r="UCB13" s="41"/>
      <c r="UCC13" s="41"/>
      <c r="UCD13" s="41"/>
      <c r="UCE13" s="41"/>
      <c r="UCF13" s="41"/>
      <c r="UCG13" s="41"/>
      <c r="UCH13" s="41"/>
      <c r="UCI13" s="41"/>
      <c r="UCJ13" s="41"/>
      <c r="UCK13" s="41"/>
      <c r="UCL13" s="41"/>
      <c r="UCM13" s="41"/>
      <c r="UCN13" s="41"/>
      <c r="UCO13" s="41"/>
      <c r="UCP13" s="41"/>
      <c r="UCQ13" s="41"/>
      <c r="UCR13" s="41"/>
      <c r="UCS13" s="41"/>
      <c r="UCT13" s="41"/>
      <c r="UCU13" s="41"/>
      <c r="UCV13" s="41"/>
      <c r="UCW13" s="41"/>
      <c r="UCX13" s="41"/>
      <c r="UCY13" s="41"/>
      <c r="UCZ13" s="41"/>
      <c r="UDA13" s="41"/>
      <c r="UDB13" s="41"/>
      <c r="UDC13" s="41"/>
      <c r="UDD13" s="41"/>
      <c r="UDE13" s="41"/>
      <c r="UDF13" s="41"/>
      <c r="UDG13" s="41"/>
      <c r="UDH13" s="41"/>
      <c r="UDI13" s="41"/>
      <c r="UDJ13" s="41"/>
      <c r="UDK13" s="41"/>
      <c r="UDL13" s="41"/>
      <c r="UDM13" s="41"/>
      <c r="UDN13" s="41"/>
      <c r="UDO13" s="41"/>
      <c r="UDP13" s="41"/>
      <c r="UDQ13" s="41"/>
      <c r="UDR13" s="41"/>
      <c r="UDS13" s="41"/>
      <c r="UDT13" s="41"/>
      <c r="UDU13" s="41"/>
      <c r="UDV13" s="41"/>
      <c r="UDW13" s="41"/>
      <c r="UDX13" s="41"/>
      <c r="UDY13" s="41"/>
      <c r="UDZ13" s="41"/>
      <c r="UEA13" s="41"/>
      <c r="UEB13" s="41"/>
      <c r="UEC13" s="41"/>
      <c r="UED13" s="41"/>
      <c r="UEE13" s="41"/>
      <c r="UEF13" s="41"/>
      <c r="UEG13" s="41"/>
      <c r="UEH13" s="41"/>
      <c r="UEI13" s="41"/>
      <c r="UEJ13" s="41"/>
      <c r="UEK13" s="41"/>
      <c r="UEL13" s="41"/>
      <c r="UEM13" s="41"/>
      <c r="UEN13" s="41"/>
      <c r="UEO13" s="41"/>
      <c r="UEP13" s="41"/>
      <c r="UEQ13" s="41"/>
      <c r="UER13" s="41"/>
      <c r="UES13" s="41"/>
      <c r="UET13" s="41"/>
      <c r="UEU13" s="41"/>
      <c r="UEV13" s="41"/>
      <c r="UEW13" s="41"/>
      <c r="UEX13" s="41"/>
      <c r="UEY13" s="41"/>
      <c r="UEZ13" s="41"/>
      <c r="UFA13" s="41"/>
      <c r="UFB13" s="41"/>
      <c r="UFC13" s="41"/>
      <c r="UFD13" s="41"/>
      <c r="UFE13" s="41"/>
      <c r="UFF13" s="41"/>
      <c r="UFG13" s="41"/>
      <c r="UFH13" s="41"/>
      <c r="UFI13" s="41"/>
      <c r="UFJ13" s="41"/>
      <c r="UFK13" s="41"/>
      <c r="UFL13" s="41"/>
      <c r="UFM13" s="41"/>
      <c r="UFN13" s="41"/>
      <c r="UFO13" s="41"/>
      <c r="UFP13" s="41"/>
      <c r="UFQ13" s="41"/>
      <c r="UFR13" s="41"/>
      <c r="UFS13" s="41"/>
      <c r="UFT13" s="41"/>
      <c r="UFU13" s="41"/>
      <c r="UFV13" s="41"/>
      <c r="UFW13" s="41"/>
      <c r="UFX13" s="41"/>
      <c r="UFY13" s="41"/>
      <c r="UFZ13" s="41"/>
      <c r="UGA13" s="41"/>
      <c r="UGB13" s="41"/>
      <c r="UGC13" s="41"/>
      <c r="UGD13" s="41"/>
      <c r="UGE13" s="41"/>
      <c r="UGF13" s="41"/>
      <c r="UGG13" s="41"/>
      <c r="UGH13" s="41"/>
      <c r="UGI13" s="41"/>
      <c r="UGJ13" s="41"/>
      <c r="UGK13" s="41"/>
      <c r="UGL13" s="41"/>
      <c r="UGM13" s="41"/>
      <c r="UGN13" s="41"/>
      <c r="UGO13" s="41"/>
      <c r="UGP13" s="41"/>
      <c r="UGQ13" s="41"/>
      <c r="UGR13" s="41"/>
      <c r="UGS13" s="41"/>
      <c r="UGT13" s="41"/>
      <c r="UGU13" s="41"/>
      <c r="UGV13" s="41"/>
      <c r="UGW13" s="41"/>
      <c r="UGX13" s="41"/>
      <c r="UGY13" s="41"/>
      <c r="UGZ13" s="41"/>
      <c r="UHA13" s="41"/>
      <c r="UHB13" s="41"/>
      <c r="UHC13" s="41"/>
      <c r="UHD13" s="41"/>
      <c r="UHE13" s="41"/>
      <c r="UHF13" s="41"/>
      <c r="UHG13" s="41"/>
      <c r="UHH13" s="41"/>
      <c r="UHI13" s="41"/>
      <c r="UHJ13" s="41"/>
      <c r="UHK13" s="41"/>
      <c r="UHL13" s="41"/>
      <c r="UHM13" s="41"/>
      <c r="UHN13" s="41"/>
      <c r="UHO13" s="41"/>
      <c r="UHP13" s="41"/>
      <c r="UHQ13" s="41"/>
      <c r="UHR13" s="41"/>
      <c r="UHS13" s="41"/>
      <c r="UHT13" s="41"/>
      <c r="UHU13" s="41"/>
      <c r="UHV13" s="41"/>
      <c r="UHW13" s="41"/>
      <c r="UHX13" s="41"/>
      <c r="UHY13" s="41"/>
      <c r="UHZ13" s="41"/>
      <c r="UIA13" s="41"/>
      <c r="UIB13" s="41"/>
      <c r="UIC13" s="41"/>
      <c r="UID13" s="41"/>
      <c r="UIE13" s="41"/>
      <c r="UIF13" s="41"/>
      <c r="UIG13" s="41"/>
      <c r="UIH13" s="41"/>
      <c r="UII13" s="41"/>
      <c r="UIJ13" s="41"/>
      <c r="UIK13" s="41"/>
      <c r="UIL13" s="41"/>
      <c r="UIM13" s="41"/>
      <c r="UIN13" s="41"/>
      <c r="UIO13" s="41"/>
      <c r="UIP13" s="41"/>
      <c r="UIQ13" s="41"/>
      <c r="UIR13" s="41"/>
      <c r="UIS13" s="41"/>
      <c r="UIT13" s="41"/>
      <c r="UIU13" s="41"/>
      <c r="UIV13" s="41"/>
      <c r="UIW13" s="41"/>
      <c r="UIX13" s="41"/>
      <c r="UIY13" s="41"/>
      <c r="UIZ13" s="41"/>
      <c r="UJA13" s="41"/>
      <c r="UJB13" s="41"/>
      <c r="UJC13" s="41"/>
      <c r="UJD13" s="41"/>
      <c r="UJE13" s="41"/>
      <c r="UJF13" s="41"/>
      <c r="UJG13" s="41"/>
      <c r="UJH13" s="41"/>
      <c r="UJI13" s="41"/>
      <c r="UJJ13" s="41"/>
      <c r="UJK13" s="41"/>
      <c r="UJL13" s="41"/>
      <c r="UJM13" s="41"/>
      <c r="UJN13" s="41"/>
      <c r="UJO13" s="41"/>
      <c r="UJP13" s="41"/>
      <c r="UJQ13" s="41"/>
      <c r="UJR13" s="41"/>
      <c r="UJS13" s="41"/>
      <c r="UJT13" s="41"/>
      <c r="UJU13" s="41"/>
      <c r="UJV13" s="41"/>
      <c r="UJW13" s="41"/>
      <c r="UJX13" s="41"/>
      <c r="UJY13" s="41"/>
      <c r="UJZ13" s="41"/>
      <c r="UKA13" s="41"/>
      <c r="UKB13" s="41"/>
      <c r="UKC13" s="41"/>
      <c r="UKD13" s="41"/>
      <c r="UKE13" s="41"/>
      <c r="UKF13" s="41"/>
      <c r="UKG13" s="41"/>
      <c r="UKH13" s="41"/>
      <c r="UKI13" s="41"/>
      <c r="UKJ13" s="41"/>
      <c r="UKK13" s="41"/>
      <c r="UKL13" s="41"/>
      <c r="UKM13" s="41"/>
      <c r="UKN13" s="41"/>
      <c r="UKO13" s="41"/>
      <c r="UKP13" s="41"/>
      <c r="UKQ13" s="41"/>
      <c r="UKR13" s="41"/>
      <c r="UKS13" s="41"/>
      <c r="UKT13" s="41"/>
      <c r="UKU13" s="41"/>
      <c r="UKV13" s="41"/>
      <c r="UKW13" s="41"/>
      <c r="UKX13" s="41"/>
      <c r="UKY13" s="41"/>
      <c r="UKZ13" s="41"/>
      <c r="ULA13" s="41"/>
      <c r="ULB13" s="41"/>
      <c r="ULC13" s="41"/>
      <c r="ULD13" s="41"/>
      <c r="ULE13" s="41"/>
      <c r="ULF13" s="41"/>
      <c r="ULG13" s="41"/>
      <c r="ULH13" s="41"/>
      <c r="ULI13" s="41"/>
      <c r="ULJ13" s="41"/>
      <c r="ULK13" s="41"/>
      <c r="ULL13" s="41"/>
      <c r="ULM13" s="41"/>
      <c r="ULN13" s="41"/>
      <c r="ULO13" s="41"/>
      <c r="ULP13" s="41"/>
      <c r="ULQ13" s="41"/>
      <c r="ULR13" s="41"/>
      <c r="ULS13" s="41"/>
      <c r="ULT13" s="41"/>
      <c r="ULU13" s="41"/>
      <c r="ULV13" s="41"/>
      <c r="ULW13" s="41"/>
      <c r="ULX13" s="41"/>
      <c r="ULY13" s="41"/>
      <c r="ULZ13" s="41"/>
      <c r="UMA13" s="41"/>
      <c r="UMB13" s="41"/>
      <c r="UMC13" s="41"/>
      <c r="UMD13" s="41"/>
      <c r="UME13" s="41"/>
      <c r="UMF13" s="41"/>
      <c r="UMG13" s="41"/>
      <c r="UMH13" s="41"/>
      <c r="UMI13" s="41"/>
      <c r="UMJ13" s="41"/>
      <c r="UMK13" s="41"/>
      <c r="UML13" s="41"/>
      <c r="UMM13" s="41"/>
      <c r="UMN13" s="41"/>
      <c r="UMO13" s="41"/>
      <c r="UMP13" s="41"/>
      <c r="UMQ13" s="41"/>
      <c r="UMR13" s="41"/>
      <c r="UMS13" s="41"/>
      <c r="UMT13" s="41"/>
      <c r="UMU13" s="41"/>
      <c r="UMV13" s="41"/>
      <c r="UMW13" s="41"/>
      <c r="UMX13" s="41"/>
      <c r="UMY13" s="41"/>
      <c r="UMZ13" s="41"/>
      <c r="UNA13" s="41"/>
      <c r="UNB13" s="41"/>
      <c r="UNC13" s="41"/>
      <c r="UND13" s="41"/>
      <c r="UNE13" s="41"/>
      <c r="UNF13" s="41"/>
      <c r="UNG13" s="41"/>
      <c r="UNH13" s="41"/>
      <c r="UNI13" s="41"/>
      <c r="UNJ13" s="41"/>
      <c r="UNK13" s="41"/>
      <c r="UNL13" s="41"/>
      <c r="UNM13" s="41"/>
      <c r="UNN13" s="41"/>
      <c r="UNO13" s="41"/>
      <c r="UNP13" s="41"/>
      <c r="UNQ13" s="41"/>
      <c r="UNR13" s="41"/>
      <c r="UNS13" s="41"/>
      <c r="UNT13" s="41"/>
      <c r="UNU13" s="41"/>
      <c r="UNV13" s="41"/>
      <c r="UNW13" s="41"/>
      <c r="UNX13" s="41"/>
      <c r="UNY13" s="41"/>
      <c r="UNZ13" s="41"/>
      <c r="UOA13" s="41"/>
      <c r="UOB13" s="41"/>
      <c r="UOC13" s="41"/>
      <c r="UOD13" s="41"/>
      <c r="UOE13" s="41"/>
      <c r="UOF13" s="41"/>
      <c r="UOG13" s="41"/>
      <c r="UOH13" s="41"/>
      <c r="UOI13" s="41"/>
      <c r="UOJ13" s="41"/>
      <c r="UOK13" s="41"/>
      <c r="UOL13" s="41"/>
      <c r="UOM13" s="41"/>
      <c r="UON13" s="41"/>
      <c r="UOO13" s="41"/>
      <c r="UOP13" s="41"/>
      <c r="UOQ13" s="41"/>
      <c r="UOR13" s="41"/>
      <c r="UOS13" s="41"/>
      <c r="UOT13" s="41"/>
      <c r="UOU13" s="41"/>
      <c r="UOV13" s="41"/>
      <c r="UOW13" s="41"/>
      <c r="UOX13" s="41"/>
      <c r="UOY13" s="41"/>
      <c r="UOZ13" s="41"/>
      <c r="UPA13" s="41"/>
      <c r="UPB13" s="41"/>
      <c r="UPC13" s="41"/>
      <c r="UPD13" s="41"/>
      <c r="UPE13" s="41"/>
      <c r="UPF13" s="41"/>
      <c r="UPG13" s="41"/>
      <c r="UPH13" s="41"/>
      <c r="UPI13" s="41"/>
      <c r="UPJ13" s="41"/>
      <c r="UPK13" s="41"/>
      <c r="UPL13" s="41"/>
      <c r="UPM13" s="41"/>
      <c r="UPN13" s="41"/>
      <c r="UPO13" s="41"/>
      <c r="UPP13" s="41"/>
      <c r="UPQ13" s="41"/>
      <c r="UPR13" s="41"/>
      <c r="UPS13" s="41"/>
      <c r="UPT13" s="41"/>
      <c r="UPU13" s="41"/>
      <c r="UPV13" s="41"/>
      <c r="UPW13" s="41"/>
      <c r="UPX13" s="41"/>
      <c r="UPY13" s="41"/>
      <c r="UPZ13" s="41"/>
      <c r="UQA13" s="41"/>
      <c r="UQB13" s="41"/>
      <c r="UQC13" s="41"/>
      <c r="UQD13" s="41"/>
      <c r="UQE13" s="41"/>
      <c r="UQF13" s="41"/>
      <c r="UQG13" s="41"/>
      <c r="UQH13" s="41"/>
      <c r="UQI13" s="41"/>
      <c r="UQJ13" s="41"/>
      <c r="UQK13" s="41"/>
      <c r="UQL13" s="41"/>
      <c r="UQM13" s="41"/>
      <c r="UQN13" s="41"/>
      <c r="UQO13" s="41"/>
      <c r="UQP13" s="41"/>
      <c r="UQQ13" s="41"/>
      <c r="UQR13" s="41"/>
      <c r="UQS13" s="41"/>
      <c r="UQT13" s="41"/>
      <c r="UQU13" s="41"/>
      <c r="UQV13" s="41"/>
      <c r="UQW13" s="41"/>
      <c r="UQX13" s="41"/>
      <c r="UQY13" s="41"/>
      <c r="UQZ13" s="41"/>
      <c r="URA13" s="41"/>
      <c r="URB13" s="41"/>
      <c r="URC13" s="41"/>
      <c r="URD13" s="41"/>
      <c r="URE13" s="41"/>
      <c r="URF13" s="41"/>
      <c r="URG13" s="41"/>
      <c r="URH13" s="41"/>
      <c r="URI13" s="41"/>
      <c r="URJ13" s="41"/>
      <c r="URK13" s="41"/>
      <c r="URL13" s="41"/>
      <c r="URM13" s="41"/>
      <c r="URN13" s="41"/>
      <c r="URO13" s="41"/>
      <c r="URP13" s="41"/>
      <c r="URQ13" s="41"/>
      <c r="URR13" s="41"/>
      <c r="URS13" s="41"/>
      <c r="URT13" s="41"/>
      <c r="URU13" s="41"/>
      <c r="URV13" s="41"/>
      <c r="URW13" s="41"/>
      <c r="URX13" s="41"/>
      <c r="URY13" s="41"/>
      <c r="URZ13" s="41"/>
      <c r="USA13" s="41"/>
      <c r="USB13" s="41"/>
      <c r="USC13" s="41"/>
      <c r="USD13" s="41"/>
      <c r="USE13" s="41"/>
      <c r="USF13" s="41"/>
      <c r="USG13" s="41"/>
      <c r="USH13" s="41"/>
      <c r="USI13" s="41"/>
      <c r="USJ13" s="41"/>
      <c r="USK13" s="41"/>
      <c r="USL13" s="41"/>
      <c r="USM13" s="41"/>
      <c r="USN13" s="41"/>
      <c r="USO13" s="41"/>
      <c r="USP13" s="41"/>
      <c r="USQ13" s="41"/>
      <c r="USR13" s="41"/>
      <c r="USS13" s="41"/>
      <c r="UST13" s="41"/>
      <c r="USU13" s="41"/>
      <c r="USV13" s="41"/>
      <c r="USW13" s="41"/>
      <c r="USX13" s="41"/>
      <c r="USY13" s="41"/>
      <c r="USZ13" s="41"/>
      <c r="UTA13" s="41"/>
      <c r="UTB13" s="41"/>
      <c r="UTC13" s="41"/>
      <c r="UTD13" s="41"/>
      <c r="UTE13" s="41"/>
      <c r="UTF13" s="41"/>
      <c r="UTG13" s="41"/>
      <c r="UTH13" s="41"/>
      <c r="UTI13" s="41"/>
      <c r="UTJ13" s="41"/>
      <c r="UTK13" s="41"/>
      <c r="UTL13" s="41"/>
      <c r="UTM13" s="41"/>
      <c r="UTN13" s="41"/>
      <c r="UTO13" s="41"/>
      <c r="UTP13" s="41"/>
      <c r="UTQ13" s="41"/>
      <c r="UTR13" s="41"/>
      <c r="UTS13" s="41"/>
      <c r="UTT13" s="41"/>
      <c r="UTU13" s="41"/>
      <c r="UTV13" s="41"/>
      <c r="UTW13" s="41"/>
      <c r="UTX13" s="41"/>
      <c r="UTY13" s="41"/>
      <c r="UTZ13" s="41"/>
      <c r="UUA13" s="41"/>
      <c r="UUB13" s="41"/>
      <c r="UUC13" s="41"/>
      <c r="UUD13" s="41"/>
      <c r="UUE13" s="41"/>
      <c r="UUF13" s="41"/>
      <c r="UUG13" s="41"/>
      <c r="UUH13" s="41"/>
      <c r="UUI13" s="41"/>
      <c r="UUJ13" s="41"/>
      <c r="UUK13" s="41"/>
      <c r="UUL13" s="41"/>
      <c r="UUM13" s="41"/>
      <c r="UUN13" s="41"/>
      <c r="UUO13" s="41"/>
      <c r="UUP13" s="41"/>
      <c r="UUQ13" s="41"/>
      <c r="UUR13" s="41"/>
      <c r="UUS13" s="41"/>
      <c r="UUT13" s="41"/>
      <c r="UUU13" s="41"/>
      <c r="UUV13" s="41"/>
      <c r="UUW13" s="41"/>
      <c r="UUX13" s="41"/>
      <c r="UUY13" s="41"/>
      <c r="UUZ13" s="41"/>
      <c r="UVA13" s="41"/>
      <c r="UVB13" s="41"/>
      <c r="UVC13" s="41"/>
      <c r="UVD13" s="41"/>
      <c r="UVE13" s="41"/>
      <c r="UVF13" s="41"/>
      <c r="UVG13" s="41"/>
      <c r="UVH13" s="41"/>
      <c r="UVI13" s="41"/>
      <c r="UVJ13" s="41"/>
      <c r="UVK13" s="41"/>
      <c r="UVL13" s="41"/>
      <c r="UVM13" s="41"/>
      <c r="UVN13" s="41"/>
      <c r="UVO13" s="41"/>
      <c r="UVP13" s="41"/>
      <c r="UVQ13" s="41"/>
      <c r="UVR13" s="41"/>
      <c r="UVS13" s="41"/>
      <c r="UVT13" s="41"/>
      <c r="UVU13" s="41"/>
      <c r="UVV13" s="41"/>
      <c r="UVW13" s="41"/>
      <c r="UVX13" s="41"/>
      <c r="UVY13" s="41"/>
      <c r="UVZ13" s="41"/>
      <c r="UWA13" s="41"/>
      <c r="UWB13" s="41"/>
      <c r="UWC13" s="41"/>
      <c r="UWD13" s="41"/>
      <c r="UWE13" s="41"/>
      <c r="UWF13" s="41"/>
      <c r="UWG13" s="41"/>
      <c r="UWH13" s="41"/>
      <c r="UWI13" s="41"/>
      <c r="UWJ13" s="41"/>
      <c r="UWK13" s="41"/>
      <c r="UWL13" s="41"/>
      <c r="UWM13" s="41"/>
      <c r="UWN13" s="41"/>
      <c r="UWO13" s="41"/>
      <c r="UWP13" s="41"/>
      <c r="UWQ13" s="41"/>
      <c r="UWR13" s="41"/>
      <c r="UWS13" s="41"/>
      <c r="UWT13" s="41"/>
      <c r="UWU13" s="41"/>
      <c r="UWV13" s="41"/>
      <c r="UWW13" s="41"/>
      <c r="UWX13" s="41"/>
      <c r="UWY13" s="41"/>
      <c r="UWZ13" s="41"/>
      <c r="UXA13" s="41"/>
      <c r="UXB13" s="41"/>
      <c r="UXC13" s="41"/>
      <c r="UXD13" s="41"/>
      <c r="UXE13" s="41"/>
      <c r="UXF13" s="41"/>
      <c r="UXG13" s="41"/>
      <c r="UXH13" s="41"/>
      <c r="UXI13" s="41"/>
      <c r="UXJ13" s="41"/>
      <c r="UXK13" s="41"/>
      <c r="UXL13" s="41"/>
      <c r="UXM13" s="41"/>
      <c r="UXN13" s="41"/>
      <c r="UXO13" s="41"/>
      <c r="UXP13" s="41"/>
      <c r="UXQ13" s="41"/>
      <c r="UXR13" s="41"/>
      <c r="UXS13" s="41"/>
      <c r="UXT13" s="41"/>
      <c r="UXU13" s="41"/>
      <c r="UXV13" s="41"/>
      <c r="UXW13" s="41"/>
      <c r="UXX13" s="41"/>
      <c r="UXY13" s="41"/>
      <c r="UXZ13" s="41"/>
      <c r="UYA13" s="41"/>
      <c r="UYB13" s="41"/>
      <c r="UYC13" s="41"/>
      <c r="UYD13" s="41"/>
      <c r="UYE13" s="41"/>
      <c r="UYF13" s="41"/>
      <c r="UYG13" s="41"/>
      <c r="UYH13" s="41"/>
      <c r="UYI13" s="41"/>
      <c r="UYJ13" s="41"/>
      <c r="UYK13" s="41"/>
      <c r="UYL13" s="41"/>
      <c r="UYM13" s="41"/>
      <c r="UYN13" s="41"/>
      <c r="UYO13" s="41"/>
      <c r="UYP13" s="41"/>
      <c r="UYQ13" s="41"/>
      <c r="UYR13" s="41"/>
      <c r="UYS13" s="41"/>
      <c r="UYT13" s="41"/>
      <c r="UYU13" s="41"/>
      <c r="UYV13" s="41"/>
      <c r="UYW13" s="41"/>
      <c r="UYX13" s="41"/>
      <c r="UYY13" s="41"/>
      <c r="UYZ13" s="41"/>
      <c r="UZA13" s="41"/>
      <c r="UZB13" s="41"/>
      <c r="UZC13" s="41"/>
      <c r="UZD13" s="41"/>
      <c r="UZE13" s="41"/>
      <c r="UZF13" s="41"/>
      <c r="UZG13" s="41"/>
      <c r="UZH13" s="41"/>
      <c r="UZI13" s="41"/>
      <c r="UZJ13" s="41"/>
      <c r="UZK13" s="41"/>
      <c r="UZL13" s="41"/>
      <c r="UZM13" s="41"/>
      <c r="UZN13" s="41"/>
      <c r="UZO13" s="41"/>
      <c r="UZP13" s="41"/>
      <c r="UZQ13" s="41"/>
      <c r="UZR13" s="41"/>
      <c r="UZS13" s="41"/>
      <c r="UZT13" s="41"/>
      <c r="UZU13" s="41"/>
      <c r="UZV13" s="41"/>
      <c r="UZW13" s="41"/>
      <c r="UZX13" s="41"/>
      <c r="UZY13" s="41"/>
      <c r="UZZ13" s="41"/>
      <c r="VAA13" s="41"/>
      <c r="VAB13" s="41"/>
      <c r="VAC13" s="41"/>
      <c r="VAD13" s="41"/>
      <c r="VAE13" s="41"/>
      <c r="VAF13" s="41"/>
      <c r="VAG13" s="41"/>
      <c r="VAH13" s="41"/>
      <c r="VAI13" s="41"/>
      <c r="VAJ13" s="41"/>
      <c r="VAK13" s="41"/>
      <c r="VAL13" s="41"/>
      <c r="VAM13" s="41"/>
      <c r="VAN13" s="41"/>
      <c r="VAO13" s="41"/>
      <c r="VAP13" s="41"/>
      <c r="VAQ13" s="41"/>
      <c r="VAR13" s="41"/>
      <c r="VAS13" s="41"/>
      <c r="VAT13" s="41"/>
      <c r="VAU13" s="41"/>
      <c r="VAV13" s="41"/>
      <c r="VAW13" s="41"/>
      <c r="VAX13" s="41"/>
      <c r="VAY13" s="41"/>
      <c r="VAZ13" s="41"/>
      <c r="VBA13" s="41"/>
      <c r="VBB13" s="41"/>
      <c r="VBC13" s="41"/>
      <c r="VBD13" s="41"/>
      <c r="VBE13" s="41"/>
      <c r="VBF13" s="41"/>
      <c r="VBG13" s="41"/>
      <c r="VBH13" s="41"/>
      <c r="VBI13" s="41"/>
      <c r="VBJ13" s="41"/>
      <c r="VBK13" s="41"/>
      <c r="VBL13" s="41"/>
      <c r="VBM13" s="41"/>
      <c r="VBN13" s="41"/>
      <c r="VBO13" s="41"/>
      <c r="VBP13" s="41"/>
      <c r="VBQ13" s="41"/>
      <c r="VBR13" s="41"/>
      <c r="VBS13" s="41"/>
      <c r="VBT13" s="41"/>
      <c r="VBU13" s="41"/>
      <c r="VBV13" s="41"/>
      <c r="VBW13" s="41"/>
      <c r="VBX13" s="41"/>
      <c r="VBY13" s="41"/>
      <c r="VBZ13" s="41"/>
      <c r="VCA13" s="41"/>
      <c r="VCB13" s="41"/>
      <c r="VCC13" s="41"/>
      <c r="VCD13" s="41"/>
      <c r="VCE13" s="41"/>
      <c r="VCF13" s="41"/>
      <c r="VCG13" s="41"/>
      <c r="VCH13" s="41"/>
      <c r="VCI13" s="41"/>
      <c r="VCJ13" s="41"/>
      <c r="VCK13" s="41"/>
      <c r="VCL13" s="41"/>
      <c r="VCM13" s="41"/>
      <c r="VCN13" s="41"/>
      <c r="VCO13" s="41"/>
      <c r="VCP13" s="41"/>
      <c r="VCQ13" s="41"/>
      <c r="VCR13" s="41"/>
      <c r="VCS13" s="41"/>
      <c r="VCT13" s="41"/>
      <c r="VCU13" s="41"/>
      <c r="VCV13" s="41"/>
      <c r="VCW13" s="41"/>
      <c r="VCX13" s="41"/>
      <c r="VCY13" s="41"/>
      <c r="VCZ13" s="41"/>
      <c r="VDA13" s="41"/>
      <c r="VDB13" s="41"/>
      <c r="VDC13" s="41"/>
      <c r="VDD13" s="41"/>
      <c r="VDE13" s="41"/>
      <c r="VDF13" s="41"/>
      <c r="VDG13" s="41"/>
      <c r="VDH13" s="41"/>
      <c r="VDI13" s="41"/>
      <c r="VDJ13" s="41"/>
      <c r="VDK13" s="41"/>
      <c r="VDL13" s="41"/>
      <c r="VDM13" s="41"/>
      <c r="VDN13" s="41"/>
      <c r="VDO13" s="41"/>
      <c r="VDP13" s="41"/>
      <c r="VDQ13" s="41"/>
      <c r="VDR13" s="41"/>
      <c r="VDS13" s="41"/>
      <c r="VDT13" s="41"/>
      <c r="VDU13" s="41"/>
      <c r="VDV13" s="41"/>
      <c r="VDW13" s="41"/>
      <c r="VDX13" s="41"/>
      <c r="VDY13" s="41"/>
      <c r="VDZ13" s="41"/>
      <c r="VEA13" s="41"/>
      <c r="VEB13" s="41"/>
      <c r="VEC13" s="41"/>
      <c r="VED13" s="41"/>
      <c r="VEE13" s="41"/>
      <c r="VEF13" s="41"/>
      <c r="VEG13" s="41"/>
      <c r="VEH13" s="41"/>
      <c r="VEI13" s="41"/>
      <c r="VEJ13" s="41"/>
      <c r="VEK13" s="41"/>
      <c r="VEL13" s="41"/>
      <c r="VEM13" s="41"/>
      <c r="VEN13" s="41"/>
      <c r="VEO13" s="41"/>
      <c r="VEP13" s="41"/>
      <c r="VEQ13" s="41"/>
      <c r="VER13" s="41"/>
      <c r="VES13" s="41"/>
      <c r="VET13" s="41"/>
      <c r="VEU13" s="41"/>
      <c r="VEV13" s="41"/>
      <c r="VEW13" s="41"/>
      <c r="VEX13" s="41"/>
      <c r="VEY13" s="41"/>
      <c r="VEZ13" s="41"/>
      <c r="VFA13" s="41"/>
      <c r="VFB13" s="41"/>
      <c r="VFC13" s="41"/>
      <c r="VFD13" s="41"/>
      <c r="VFE13" s="41"/>
      <c r="VFF13" s="41"/>
      <c r="VFG13" s="41"/>
      <c r="VFH13" s="41"/>
      <c r="VFI13" s="41"/>
      <c r="VFJ13" s="41"/>
      <c r="VFK13" s="41"/>
      <c r="VFL13" s="41"/>
      <c r="VFM13" s="41"/>
      <c r="VFN13" s="41"/>
      <c r="VFO13" s="41"/>
      <c r="VFP13" s="41"/>
      <c r="VFQ13" s="41"/>
      <c r="VFR13" s="41"/>
      <c r="VFS13" s="41"/>
      <c r="VFT13" s="41"/>
      <c r="VFU13" s="41"/>
      <c r="VFV13" s="41"/>
      <c r="VFW13" s="41"/>
      <c r="VFX13" s="41"/>
      <c r="VFY13" s="41"/>
      <c r="VFZ13" s="41"/>
      <c r="VGA13" s="41"/>
      <c r="VGB13" s="41"/>
      <c r="VGC13" s="41"/>
      <c r="VGD13" s="41"/>
      <c r="VGE13" s="41"/>
      <c r="VGF13" s="41"/>
      <c r="VGG13" s="41"/>
      <c r="VGH13" s="41"/>
      <c r="VGI13" s="41"/>
      <c r="VGJ13" s="41"/>
      <c r="VGK13" s="41"/>
      <c r="VGL13" s="41"/>
      <c r="VGM13" s="41"/>
      <c r="VGN13" s="41"/>
      <c r="VGO13" s="41"/>
      <c r="VGP13" s="41"/>
      <c r="VGQ13" s="41"/>
      <c r="VGR13" s="41"/>
      <c r="VGS13" s="41"/>
      <c r="VGT13" s="41"/>
      <c r="VGU13" s="41"/>
      <c r="VGV13" s="41"/>
      <c r="VGW13" s="41"/>
      <c r="VGX13" s="41"/>
      <c r="VGY13" s="41"/>
      <c r="VGZ13" s="41"/>
      <c r="VHA13" s="41"/>
      <c r="VHB13" s="41"/>
      <c r="VHC13" s="41"/>
      <c r="VHD13" s="41"/>
      <c r="VHE13" s="41"/>
      <c r="VHF13" s="41"/>
      <c r="VHG13" s="41"/>
      <c r="VHH13" s="41"/>
      <c r="VHI13" s="41"/>
      <c r="VHJ13" s="41"/>
      <c r="VHK13" s="41"/>
      <c r="VHL13" s="41"/>
      <c r="VHM13" s="41"/>
      <c r="VHN13" s="41"/>
      <c r="VHO13" s="41"/>
      <c r="VHP13" s="41"/>
      <c r="VHQ13" s="41"/>
      <c r="VHR13" s="41"/>
      <c r="VHS13" s="41"/>
      <c r="VHT13" s="41"/>
      <c r="VHU13" s="41"/>
      <c r="VHV13" s="41"/>
      <c r="VHW13" s="41"/>
      <c r="VHX13" s="41"/>
      <c r="VHY13" s="41"/>
      <c r="VHZ13" s="41"/>
      <c r="VIA13" s="41"/>
      <c r="VIB13" s="41"/>
      <c r="VIC13" s="41"/>
      <c r="VID13" s="41"/>
      <c r="VIE13" s="41"/>
      <c r="VIF13" s="41"/>
      <c r="VIG13" s="41"/>
      <c r="VIH13" s="41"/>
      <c r="VII13" s="41"/>
      <c r="VIJ13" s="41"/>
      <c r="VIK13" s="41"/>
      <c r="VIL13" s="41"/>
      <c r="VIM13" s="41"/>
      <c r="VIN13" s="41"/>
      <c r="VIO13" s="41"/>
      <c r="VIP13" s="41"/>
      <c r="VIQ13" s="41"/>
      <c r="VIR13" s="41"/>
      <c r="VIS13" s="41"/>
      <c r="VIT13" s="41"/>
      <c r="VIU13" s="41"/>
      <c r="VIV13" s="41"/>
      <c r="VIW13" s="41"/>
      <c r="VIX13" s="41"/>
      <c r="VIY13" s="41"/>
      <c r="VIZ13" s="41"/>
      <c r="VJA13" s="41"/>
      <c r="VJB13" s="41"/>
      <c r="VJC13" s="41"/>
      <c r="VJD13" s="41"/>
      <c r="VJE13" s="41"/>
      <c r="VJF13" s="41"/>
      <c r="VJG13" s="41"/>
      <c r="VJH13" s="41"/>
      <c r="VJI13" s="41"/>
      <c r="VJJ13" s="41"/>
      <c r="VJK13" s="41"/>
      <c r="VJL13" s="41"/>
      <c r="VJM13" s="41"/>
      <c r="VJN13" s="41"/>
      <c r="VJO13" s="41"/>
      <c r="VJP13" s="41"/>
      <c r="VJQ13" s="41"/>
      <c r="VJR13" s="41"/>
      <c r="VJS13" s="41"/>
      <c r="VJT13" s="41"/>
      <c r="VJU13" s="41"/>
      <c r="VJV13" s="41"/>
      <c r="VJW13" s="41"/>
      <c r="VJX13" s="41"/>
      <c r="VJY13" s="41"/>
      <c r="VJZ13" s="41"/>
      <c r="VKA13" s="41"/>
      <c r="VKB13" s="41"/>
      <c r="VKC13" s="41"/>
      <c r="VKD13" s="41"/>
      <c r="VKE13" s="41"/>
      <c r="VKF13" s="41"/>
      <c r="VKG13" s="41"/>
      <c r="VKH13" s="41"/>
      <c r="VKI13" s="41"/>
      <c r="VKJ13" s="41"/>
      <c r="VKK13" s="41"/>
      <c r="VKL13" s="41"/>
      <c r="VKM13" s="41"/>
      <c r="VKN13" s="41"/>
      <c r="VKO13" s="41"/>
      <c r="VKP13" s="41"/>
      <c r="VKQ13" s="41"/>
      <c r="VKR13" s="41"/>
      <c r="VKS13" s="41"/>
      <c r="VKT13" s="41"/>
      <c r="VKU13" s="41"/>
      <c r="VKV13" s="41"/>
      <c r="VKW13" s="41"/>
      <c r="VKX13" s="41"/>
      <c r="VKY13" s="41"/>
      <c r="VKZ13" s="41"/>
      <c r="VLA13" s="41"/>
      <c r="VLB13" s="41"/>
      <c r="VLC13" s="41"/>
      <c r="VLD13" s="41"/>
      <c r="VLE13" s="41"/>
      <c r="VLF13" s="41"/>
      <c r="VLG13" s="41"/>
      <c r="VLH13" s="41"/>
      <c r="VLI13" s="41"/>
      <c r="VLJ13" s="41"/>
      <c r="VLK13" s="41"/>
      <c r="VLL13" s="41"/>
      <c r="VLM13" s="41"/>
      <c r="VLN13" s="41"/>
      <c r="VLO13" s="41"/>
      <c r="VLP13" s="41"/>
      <c r="VLQ13" s="41"/>
      <c r="VLR13" s="41"/>
      <c r="VLS13" s="41"/>
      <c r="VLT13" s="41"/>
      <c r="VLU13" s="41"/>
      <c r="VLV13" s="41"/>
      <c r="VLW13" s="41"/>
      <c r="VLX13" s="41"/>
      <c r="VLY13" s="41"/>
      <c r="VLZ13" s="41"/>
      <c r="VMA13" s="41"/>
      <c r="VMB13" s="41"/>
      <c r="VMC13" s="41"/>
      <c r="VMD13" s="41"/>
      <c r="VME13" s="41"/>
      <c r="VMF13" s="41"/>
      <c r="VMG13" s="41"/>
      <c r="VMH13" s="41"/>
      <c r="VMI13" s="41"/>
      <c r="VMJ13" s="41"/>
      <c r="VMK13" s="41"/>
      <c r="VML13" s="41"/>
      <c r="VMM13" s="41"/>
      <c r="VMN13" s="41"/>
      <c r="VMO13" s="41"/>
      <c r="VMP13" s="41"/>
      <c r="VMQ13" s="41"/>
      <c r="VMR13" s="41"/>
      <c r="VMS13" s="41"/>
      <c r="VMT13" s="41"/>
      <c r="VMU13" s="41"/>
      <c r="VMV13" s="41"/>
      <c r="VMW13" s="41"/>
      <c r="VMX13" s="41"/>
      <c r="VMY13" s="41"/>
      <c r="VMZ13" s="41"/>
      <c r="VNA13" s="41"/>
      <c r="VNB13" s="41"/>
      <c r="VNC13" s="41"/>
      <c r="VND13" s="41"/>
      <c r="VNE13" s="41"/>
      <c r="VNF13" s="41"/>
      <c r="VNG13" s="41"/>
      <c r="VNH13" s="41"/>
      <c r="VNI13" s="41"/>
      <c r="VNJ13" s="41"/>
      <c r="VNK13" s="41"/>
      <c r="VNL13" s="41"/>
      <c r="VNM13" s="41"/>
      <c r="VNN13" s="41"/>
      <c r="VNO13" s="41"/>
      <c r="VNP13" s="41"/>
      <c r="VNQ13" s="41"/>
      <c r="VNR13" s="41"/>
      <c r="VNS13" s="41"/>
      <c r="VNT13" s="41"/>
      <c r="VNU13" s="41"/>
      <c r="VNV13" s="41"/>
      <c r="VNW13" s="41"/>
      <c r="VNX13" s="41"/>
      <c r="VNY13" s="41"/>
      <c r="VNZ13" s="41"/>
      <c r="VOA13" s="41"/>
      <c r="VOB13" s="41"/>
      <c r="VOC13" s="41"/>
      <c r="VOD13" s="41"/>
      <c r="VOE13" s="41"/>
      <c r="VOF13" s="41"/>
      <c r="VOG13" s="41"/>
      <c r="VOH13" s="41"/>
      <c r="VOI13" s="41"/>
      <c r="VOJ13" s="41"/>
      <c r="VOK13" s="41"/>
      <c r="VOL13" s="41"/>
      <c r="VOM13" s="41"/>
      <c r="VON13" s="41"/>
      <c r="VOO13" s="41"/>
      <c r="VOP13" s="41"/>
      <c r="VOQ13" s="41"/>
      <c r="VOR13" s="41"/>
      <c r="VOS13" s="41"/>
      <c r="VOT13" s="41"/>
      <c r="VOU13" s="41"/>
      <c r="VOV13" s="41"/>
      <c r="VOW13" s="41"/>
      <c r="VOX13" s="41"/>
      <c r="VOY13" s="41"/>
      <c r="VOZ13" s="41"/>
      <c r="VPA13" s="41"/>
      <c r="VPB13" s="41"/>
      <c r="VPC13" s="41"/>
      <c r="VPD13" s="41"/>
      <c r="VPE13" s="41"/>
      <c r="VPF13" s="41"/>
      <c r="VPG13" s="41"/>
      <c r="VPH13" s="41"/>
      <c r="VPI13" s="41"/>
      <c r="VPJ13" s="41"/>
      <c r="VPK13" s="41"/>
      <c r="VPL13" s="41"/>
      <c r="VPM13" s="41"/>
      <c r="VPN13" s="41"/>
      <c r="VPO13" s="41"/>
      <c r="VPP13" s="41"/>
      <c r="VPQ13" s="41"/>
      <c r="VPR13" s="41"/>
      <c r="VPS13" s="41"/>
      <c r="VPT13" s="41"/>
      <c r="VPU13" s="41"/>
      <c r="VPV13" s="41"/>
      <c r="VPW13" s="41"/>
      <c r="VPX13" s="41"/>
      <c r="VPY13" s="41"/>
      <c r="VPZ13" s="41"/>
      <c r="VQA13" s="41"/>
      <c r="VQB13" s="41"/>
      <c r="VQC13" s="41"/>
      <c r="VQD13" s="41"/>
      <c r="VQE13" s="41"/>
      <c r="VQF13" s="41"/>
      <c r="VQG13" s="41"/>
      <c r="VQH13" s="41"/>
      <c r="VQI13" s="41"/>
      <c r="VQJ13" s="41"/>
      <c r="VQK13" s="41"/>
      <c r="VQL13" s="41"/>
      <c r="VQM13" s="41"/>
      <c r="VQN13" s="41"/>
      <c r="VQO13" s="41"/>
      <c r="VQP13" s="41"/>
      <c r="VQQ13" s="41"/>
      <c r="VQR13" s="41"/>
      <c r="VQS13" s="41"/>
      <c r="VQT13" s="41"/>
      <c r="VQU13" s="41"/>
      <c r="VQV13" s="41"/>
      <c r="VQW13" s="41"/>
      <c r="VQX13" s="41"/>
      <c r="VQY13" s="41"/>
      <c r="VQZ13" s="41"/>
      <c r="VRA13" s="41"/>
      <c r="VRB13" s="41"/>
      <c r="VRC13" s="41"/>
      <c r="VRD13" s="41"/>
      <c r="VRE13" s="41"/>
      <c r="VRF13" s="41"/>
      <c r="VRG13" s="41"/>
      <c r="VRH13" s="41"/>
      <c r="VRI13" s="41"/>
      <c r="VRJ13" s="41"/>
      <c r="VRK13" s="41"/>
      <c r="VRL13" s="41"/>
      <c r="VRM13" s="41"/>
      <c r="VRN13" s="41"/>
      <c r="VRO13" s="41"/>
      <c r="VRP13" s="41"/>
      <c r="VRQ13" s="41"/>
      <c r="VRR13" s="41"/>
      <c r="VRS13" s="41"/>
      <c r="VRT13" s="41"/>
      <c r="VRU13" s="41"/>
      <c r="VRV13" s="41"/>
      <c r="VRW13" s="41"/>
      <c r="VRX13" s="41"/>
      <c r="VRY13" s="41"/>
      <c r="VRZ13" s="41"/>
      <c r="VSA13" s="41"/>
      <c r="VSB13" s="41"/>
      <c r="VSC13" s="41"/>
      <c r="VSD13" s="41"/>
      <c r="VSE13" s="41"/>
      <c r="VSF13" s="41"/>
      <c r="VSG13" s="41"/>
      <c r="VSH13" s="41"/>
      <c r="VSI13" s="41"/>
      <c r="VSJ13" s="41"/>
      <c r="VSK13" s="41"/>
      <c r="VSL13" s="41"/>
      <c r="VSM13" s="41"/>
      <c r="VSN13" s="41"/>
      <c r="VSO13" s="41"/>
      <c r="VSP13" s="41"/>
      <c r="VSQ13" s="41"/>
      <c r="VSR13" s="41"/>
      <c r="VSS13" s="41"/>
      <c r="VST13" s="41"/>
      <c r="VSU13" s="41"/>
      <c r="VSV13" s="41"/>
      <c r="VSW13" s="41"/>
      <c r="VSX13" s="41"/>
      <c r="VSY13" s="41"/>
      <c r="VSZ13" s="41"/>
      <c r="VTA13" s="41"/>
      <c r="VTB13" s="41"/>
      <c r="VTC13" s="41"/>
      <c r="VTD13" s="41"/>
      <c r="VTE13" s="41"/>
      <c r="VTF13" s="41"/>
      <c r="VTG13" s="41"/>
      <c r="VTH13" s="41"/>
      <c r="VTI13" s="41"/>
      <c r="VTJ13" s="41"/>
      <c r="VTK13" s="41"/>
      <c r="VTL13" s="41"/>
      <c r="VTM13" s="41"/>
      <c r="VTN13" s="41"/>
      <c r="VTO13" s="41"/>
      <c r="VTP13" s="41"/>
      <c r="VTQ13" s="41"/>
      <c r="VTR13" s="41"/>
      <c r="VTS13" s="41"/>
      <c r="VTT13" s="41"/>
      <c r="VTU13" s="41"/>
      <c r="VTV13" s="41"/>
      <c r="VTW13" s="41"/>
      <c r="VTX13" s="41"/>
      <c r="VTY13" s="41"/>
      <c r="VTZ13" s="41"/>
      <c r="VUA13" s="41"/>
      <c r="VUB13" s="41"/>
      <c r="VUC13" s="41"/>
      <c r="VUD13" s="41"/>
      <c r="VUE13" s="41"/>
      <c r="VUF13" s="41"/>
      <c r="VUG13" s="41"/>
      <c r="VUH13" s="41"/>
      <c r="VUI13" s="41"/>
      <c r="VUJ13" s="41"/>
      <c r="VUK13" s="41"/>
      <c r="VUL13" s="41"/>
      <c r="VUM13" s="41"/>
      <c r="VUN13" s="41"/>
      <c r="VUO13" s="41"/>
      <c r="VUP13" s="41"/>
      <c r="VUQ13" s="41"/>
      <c r="VUR13" s="41"/>
      <c r="VUS13" s="41"/>
      <c r="VUT13" s="41"/>
      <c r="VUU13" s="41"/>
      <c r="VUV13" s="41"/>
      <c r="VUW13" s="41"/>
      <c r="VUX13" s="41"/>
      <c r="VUY13" s="41"/>
      <c r="VUZ13" s="41"/>
      <c r="VVA13" s="41"/>
      <c r="VVB13" s="41"/>
      <c r="VVC13" s="41"/>
      <c r="VVD13" s="41"/>
      <c r="VVE13" s="41"/>
      <c r="VVF13" s="41"/>
      <c r="VVG13" s="41"/>
      <c r="VVH13" s="41"/>
      <c r="VVI13" s="41"/>
      <c r="VVJ13" s="41"/>
      <c r="VVK13" s="41"/>
      <c r="VVL13" s="41"/>
      <c r="VVM13" s="41"/>
      <c r="VVN13" s="41"/>
      <c r="VVO13" s="41"/>
      <c r="VVP13" s="41"/>
      <c r="VVQ13" s="41"/>
      <c r="VVR13" s="41"/>
      <c r="VVS13" s="41"/>
      <c r="VVT13" s="41"/>
      <c r="VVU13" s="41"/>
      <c r="VVV13" s="41"/>
      <c r="VVW13" s="41"/>
      <c r="VVX13" s="41"/>
      <c r="VVY13" s="41"/>
      <c r="VVZ13" s="41"/>
      <c r="VWA13" s="41"/>
      <c r="VWB13" s="41"/>
      <c r="VWC13" s="41"/>
      <c r="VWD13" s="41"/>
      <c r="VWE13" s="41"/>
      <c r="VWF13" s="41"/>
      <c r="VWG13" s="41"/>
      <c r="VWH13" s="41"/>
      <c r="VWI13" s="41"/>
      <c r="VWJ13" s="41"/>
      <c r="VWK13" s="41"/>
      <c r="VWL13" s="41"/>
      <c r="VWM13" s="41"/>
      <c r="VWN13" s="41"/>
      <c r="VWO13" s="41"/>
      <c r="VWP13" s="41"/>
      <c r="VWQ13" s="41"/>
      <c r="VWR13" s="41"/>
      <c r="VWS13" s="41"/>
      <c r="VWT13" s="41"/>
      <c r="VWU13" s="41"/>
      <c r="VWV13" s="41"/>
      <c r="VWW13" s="41"/>
      <c r="VWX13" s="41"/>
      <c r="VWY13" s="41"/>
      <c r="VWZ13" s="41"/>
      <c r="VXA13" s="41"/>
      <c r="VXB13" s="41"/>
      <c r="VXC13" s="41"/>
      <c r="VXD13" s="41"/>
      <c r="VXE13" s="41"/>
      <c r="VXF13" s="41"/>
      <c r="VXG13" s="41"/>
      <c r="VXH13" s="41"/>
      <c r="VXI13" s="41"/>
      <c r="VXJ13" s="41"/>
      <c r="VXK13" s="41"/>
      <c r="VXL13" s="41"/>
      <c r="VXM13" s="41"/>
      <c r="VXN13" s="41"/>
      <c r="VXO13" s="41"/>
      <c r="VXP13" s="41"/>
      <c r="VXQ13" s="41"/>
      <c r="VXR13" s="41"/>
      <c r="VXS13" s="41"/>
      <c r="VXT13" s="41"/>
      <c r="VXU13" s="41"/>
      <c r="VXV13" s="41"/>
      <c r="VXW13" s="41"/>
      <c r="VXX13" s="41"/>
      <c r="VXY13" s="41"/>
      <c r="VXZ13" s="41"/>
      <c r="VYA13" s="41"/>
      <c r="VYB13" s="41"/>
      <c r="VYC13" s="41"/>
      <c r="VYD13" s="41"/>
      <c r="VYE13" s="41"/>
      <c r="VYF13" s="41"/>
      <c r="VYG13" s="41"/>
      <c r="VYH13" s="41"/>
      <c r="VYI13" s="41"/>
      <c r="VYJ13" s="41"/>
      <c r="VYK13" s="41"/>
      <c r="VYL13" s="41"/>
      <c r="VYM13" s="41"/>
      <c r="VYN13" s="41"/>
      <c r="VYO13" s="41"/>
      <c r="VYP13" s="41"/>
      <c r="VYQ13" s="41"/>
      <c r="VYR13" s="41"/>
      <c r="VYS13" s="41"/>
      <c r="VYT13" s="41"/>
      <c r="VYU13" s="41"/>
      <c r="VYV13" s="41"/>
      <c r="VYW13" s="41"/>
      <c r="VYX13" s="41"/>
      <c r="VYY13" s="41"/>
      <c r="VYZ13" s="41"/>
      <c r="VZA13" s="41"/>
      <c r="VZB13" s="41"/>
      <c r="VZC13" s="41"/>
      <c r="VZD13" s="41"/>
      <c r="VZE13" s="41"/>
      <c r="VZF13" s="41"/>
      <c r="VZG13" s="41"/>
      <c r="VZH13" s="41"/>
      <c r="VZI13" s="41"/>
      <c r="VZJ13" s="41"/>
      <c r="VZK13" s="41"/>
      <c r="VZL13" s="41"/>
      <c r="VZM13" s="41"/>
      <c r="VZN13" s="41"/>
      <c r="VZO13" s="41"/>
      <c r="VZP13" s="41"/>
      <c r="VZQ13" s="41"/>
      <c r="VZR13" s="41"/>
      <c r="VZS13" s="41"/>
      <c r="VZT13" s="41"/>
      <c r="VZU13" s="41"/>
      <c r="VZV13" s="41"/>
      <c r="VZW13" s="41"/>
      <c r="VZX13" s="41"/>
      <c r="VZY13" s="41"/>
      <c r="VZZ13" s="41"/>
      <c r="WAA13" s="41"/>
      <c r="WAB13" s="41"/>
      <c r="WAC13" s="41"/>
      <c r="WAD13" s="41"/>
      <c r="WAE13" s="41"/>
      <c r="WAF13" s="41"/>
      <c r="WAG13" s="41"/>
      <c r="WAH13" s="41"/>
      <c r="WAI13" s="41"/>
      <c r="WAJ13" s="41"/>
      <c r="WAK13" s="41"/>
      <c r="WAL13" s="41"/>
      <c r="WAM13" s="41"/>
      <c r="WAN13" s="41"/>
      <c r="WAO13" s="41"/>
      <c r="WAP13" s="41"/>
      <c r="WAQ13" s="41"/>
      <c r="WAR13" s="41"/>
      <c r="WAS13" s="41"/>
      <c r="WAT13" s="41"/>
      <c r="WAU13" s="41"/>
      <c r="WAV13" s="41"/>
      <c r="WAW13" s="41"/>
      <c r="WAX13" s="41"/>
      <c r="WAY13" s="41"/>
      <c r="WAZ13" s="41"/>
      <c r="WBA13" s="41"/>
      <c r="WBB13" s="41"/>
      <c r="WBC13" s="41"/>
      <c r="WBD13" s="41"/>
      <c r="WBE13" s="41"/>
      <c r="WBF13" s="41"/>
      <c r="WBG13" s="41"/>
      <c r="WBH13" s="41"/>
      <c r="WBI13" s="41"/>
      <c r="WBJ13" s="41"/>
      <c r="WBK13" s="41"/>
      <c r="WBL13" s="41"/>
      <c r="WBM13" s="41"/>
      <c r="WBN13" s="41"/>
      <c r="WBO13" s="41"/>
      <c r="WBP13" s="41"/>
      <c r="WBQ13" s="41"/>
      <c r="WBR13" s="41"/>
      <c r="WBS13" s="41"/>
      <c r="WBT13" s="41"/>
      <c r="WBU13" s="41"/>
      <c r="WBV13" s="41"/>
      <c r="WBW13" s="41"/>
      <c r="WBX13" s="41"/>
      <c r="WBY13" s="41"/>
      <c r="WBZ13" s="41"/>
      <c r="WCA13" s="41"/>
      <c r="WCB13" s="41"/>
      <c r="WCC13" s="41"/>
      <c r="WCD13" s="41"/>
      <c r="WCE13" s="41"/>
      <c r="WCF13" s="41"/>
      <c r="WCG13" s="41"/>
      <c r="WCH13" s="41"/>
      <c r="WCI13" s="41"/>
      <c r="WCJ13" s="41"/>
      <c r="WCK13" s="41"/>
      <c r="WCL13" s="41"/>
      <c r="WCM13" s="41"/>
      <c r="WCN13" s="41"/>
      <c r="WCO13" s="41"/>
      <c r="WCP13" s="41"/>
      <c r="WCQ13" s="41"/>
      <c r="WCR13" s="41"/>
      <c r="WCS13" s="41"/>
      <c r="WCT13" s="41"/>
      <c r="WCU13" s="41"/>
      <c r="WCV13" s="41"/>
      <c r="WCW13" s="41"/>
      <c r="WCX13" s="41"/>
      <c r="WCY13" s="41"/>
      <c r="WCZ13" s="41"/>
      <c r="WDA13" s="41"/>
      <c r="WDB13" s="41"/>
      <c r="WDC13" s="41"/>
      <c r="WDD13" s="41"/>
      <c r="WDE13" s="41"/>
      <c r="WDF13" s="41"/>
      <c r="WDG13" s="41"/>
      <c r="WDH13" s="41"/>
      <c r="WDI13" s="41"/>
      <c r="WDJ13" s="41"/>
      <c r="WDK13" s="41"/>
      <c r="WDL13" s="41"/>
      <c r="WDM13" s="41"/>
      <c r="WDN13" s="41"/>
      <c r="WDO13" s="41"/>
      <c r="WDP13" s="41"/>
      <c r="WDQ13" s="41"/>
      <c r="WDR13" s="41"/>
      <c r="WDS13" s="41"/>
      <c r="WDT13" s="41"/>
      <c r="WDU13" s="41"/>
      <c r="WDV13" s="41"/>
      <c r="WDW13" s="41"/>
      <c r="WDX13" s="41"/>
      <c r="WDY13" s="41"/>
      <c r="WDZ13" s="41"/>
      <c r="WEA13" s="41"/>
      <c r="WEB13" s="41"/>
      <c r="WEC13" s="41"/>
      <c r="WED13" s="41"/>
      <c r="WEE13" s="41"/>
      <c r="WEF13" s="41"/>
      <c r="WEG13" s="41"/>
      <c r="WEH13" s="41"/>
      <c r="WEI13" s="41"/>
      <c r="WEJ13" s="41"/>
      <c r="WEK13" s="41"/>
      <c r="WEL13" s="41"/>
      <c r="WEM13" s="41"/>
      <c r="WEN13" s="41"/>
      <c r="WEO13" s="41"/>
      <c r="WEP13" s="41"/>
      <c r="WEQ13" s="41"/>
      <c r="WER13" s="41"/>
      <c r="WES13" s="41"/>
      <c r="WET13" s="41"/>
      <c r="WEU13" s="41"/>
      <c r="WEV13" s="41"/>
      <c r="WEW13" s="41"/>
      <c r="WEX13" s="41"/>
      <c r="WEY13" s="41"/>
      <c r="WEZ13" s="41"/>
      <c r="WFA13" s="41"/>
      <c r="WFB13" s="41"/>
      <c r="WFC13" s="41"/>
      <c r="WFD13" s="41"/>
      <c r="WFE13" s="41"/>
      <c r="WFF13" s="41"/>
      <c r="WFG13" s="41"/>
      <c r="WFH13" s="41"/>
      <c r="WFI13" s="41"/>
      <c r="WFJ13" s="41"/>
      <c r="WFK13" s="41"/>
      <c r="WFL13" s="41"/>
      <c r="WFM13" s="41"/>
      <c r="WFN13" s="41"/>
      <c r="WFO13" s="41"/>
      <c r="WFP13" s="41"/>
      <c r="WFQ13" s="41"/>
      <c r="WFR13" s="41"/>
      <c r="WFS13" s="41"/>
      <c r="WFT13" s="41"/>
      <c r="WFU13" s="41"/>
      <c r="WFV13" s="41"/>
      <c r="WFW13" s="41"/>
      <c r="WFX13" s="41"/>
      <c r="WFY13" s="41"/>
      <c r="WFZ13" s="41"/>
      <c r="WGA13" s="41"/>
      <c r="WGB13" s="41"/>
      <c r="WGC13" s="41"/>
      <c r="WGD13" s="41"/>
      <c r="WGE13" s="41"/>
      <c r="WGF13" s="41"/>
      <c r="WGG13" s="41"/>
      <c r="WGH13" s="41"/>
      <c r="WGI13" s="41"/>
      <c r="WGJ13" s="41"/>
      <c r="WGK13" s="41"/>
      <c r="WGL13" s="41"/>
      <c r="WGM13" s="41"/>
      <c r="WGN13" s="41"/>
      <c r="WGO13" s="41"/>
      <c r="WGP13" s="41"/>
      <c r="WGQ13" s="41"/>
      <c r="WGR13" s="41"/>
      <c r="WGS13" s="41"/>
      <c r="WGT13" s="41"/>
      <c r="WGU13" s="41"/>
      <c r="WGV13" s="41"/>
      <c r="WGW13" s="41"/>
      <c r="WGX13" s="41"/>
      <c r="WGY13" s="41"/>
      <c r="WGZ13" s="41"/>
      <c r="WHA13" s="41"/>
      <c r="WHB13" s="41"/>
      <c r="WHC13" s="41"/>
      <c r="WHD13" s="41"/>
      <c r="WHE13" s="41"/>
      <c r="WHF13" s="41"/>
      <c r="WHG13" s="41"/>
      <c r="WHH13" s="41"/>
      <c r="WHI13" s="41"/>
      <c r="WHJ13" s="41"/>
      <c r="WHK13" s="41"/>
      <c r="WHL13" s="41"/>
      <c r="WHM13" s="41"/>
      <c r="WHN13" s="41"/>
      <c r="WHO13" s="41"/>
      <c r="WHP13" s="41"/>
      <c r="WHQ13" s="41"/>
      <c r="WHR13" s="41"/>
      <c r="WHS13" s="41"/>
      <c r="WHT13" s="41"/>
      <c r="WHU13" s="41"/>
      <c r="WHV13" s="41"/>
      <c r="WHW13" s="41"/>
      <c r="WHX13" s="41"/>
      <c r="WHY13" s="41"/>
      <c r="WHZ13" s="41"/>
      <c r="WIA13" s="41"/>
      <c r="WIB13" s="41"/>
      <c r="WIC13" s="41"/>
      <c r="WID13" s="41"/>
      <c r="WIE13" s="41"/>
      <c r="WIF13" s="41"/>
      <c r="WIG13" s="41"/>
      <c r="WIH13" s="41"/>
      <c r="WII13" s="41"/>
      <c r="WIJ13" s="41"/>
      <c r="WIK13" s="41"/>
      <c r="WIL13" s="41"/>
      <c r="WIM13" s="41"/>
      <c r="WIN13" s="41"/>
      <c r="WIO13" s="41"/>
      <c r="WIP13" s="41"/>
      <c r="WIQ13" s="41"/>
      <c r="WIR13" s="41"/>
      <c r="WIS13" s="41"/>
      <c r="WIT13" s="41"/>
      <c r="WIU13" s="41"/>
      <c r="WIV13" s="41"/>
      <c r="WIW13" s="41"/>
      <c r="WIX13" s="41"/>
      <c r="WIY13" s="41"/>
      <c r="WIZ13" s="41"/>
      <c r="WJA13" s="41"/>
      <c r="WJB13" s="41"/>
      <c r="WJC13" s="41"/>
      <c r="WJD13" s="41"/>
      <c r="WJE13" s="41"/>
      <c r="WJF13" s="41"/>
      <c r="WJG13" s="41"/>
      <c r="WJH13" s="41"/>
      <c r="WJI13" s="41"/>
      <c r="WJJ13" s="41"/>
      <c r="WJK13" s="41"/>
      <c r="WJL13" s="41"/>
      <c r="WJM13" s="41"/>
      <c r="WJN13" s="41"/>
      <c r="WJO13" s="41"/>
      <c r="WJP13" s="41"/>
      <c r="WJQ13" s="41"/>
      <c r="WJR13" s="41"/>
      <c r="WJS13" s="41"/>
      <c r="WJT13" s="41"/>
      <c r="WJU13" s="41"/>
      <c r="WJV13" s="41"/>
      <c r="WJW13" s="41"/>
      <c r="WJX13" s="41"/>
      <c r="WJY13" s="41"/>
      <c r="WJZ13" s="41"/>
      <c r="WKA13" s="41"/>
      <c r="WKB13" s="41"/>
      <c r="WKC13" s="41"/>
      <c r="WKD13" s="41"/>
      <c r="WKE13" s="41"/>
      <c r="WKF13" s="41"/>
      <c r="WKG13" s="41"/>
      <c r="WKH13" s="41"/>
      <c r="WKI13" s="41"/>
      <c r="WKJ13" s="41"/>
      <c r="WKK13" s="41"/>
      <c r="WKL13" s="41"/>
      <c r="WKM13" s="41"/>
      <c r="WKN13" s="41"/>
      <c r="WKO13" s="41"/>
      <c r="WKP13" s="41"/>
      <c r="WKQ13" s="41"/>
      <c r="WKR13" s="41"/>
      <c r="WKS13" s="41"/>
      <c r="WKT13" s="41"/>
      <c r="WKU13" s="41"/>
      <c r="WKV13" s="41"/>
      <c r="WKW13" s="41"/>
      <c r="WKX13" s="41"/>
      <c r="WKY13" s="41"/>
      <c r="WKZ13" s="41"/>
      <c r="WLA13" s="41"/>
      <c r="WLB13" s="41"/>
      <c r="WLC13" s="41"/>
      <c r="WLD13" s="41"/>
      <c r="WLE13" s="41"/>
      <c r="WLF13" s="41"/>
      <c r="WLG13" s="41"/>
      <c r="WLH13" s="41"/>
      <c r="WLI13" s="41"/>
      <c r="WLJ13" s="41"/>
      <c r="WLK13" s="41"/>
      <c r="WLL13" s="41"/>
      <c r="WLM13" s="41"/>
      <c r="WLN13" s="41"/>
      <c r="WLO13" s="41"/>
      <c r="WLP13" s="41"/>
      <c r="WLQ13" s="41"/>
      <c r="WLR13" s="41"/>
      <c r="WLS13" s="41"/>
      <c r="WLT13" s="41"/>
      <c r="WLU13" s="41"/>
      <c r="WLV13" s="41"/>
      <c r="WLW13" s="41"/>
      <c r="WLX13" s="41"/>
      <c r="WLY13" s="41"/>
      <c r="WLZ13" s="41"/>
      <c r="WMA13" s="41"/>
      <c r="WMB13" s="41"/>
      <c r="WMC13" s="41"/>
      <c r="WMD13" s="41"/>
      <c r="WME13" s="41"/>
      <c r="WMF13" s="41"/>
      <c r="WMG13" s="41"/>
      <c r="WMH13" s="41"/>
      <c r="WMI13" s="41"/>
      <c r="WMJ13" s="41"/>
      <c r="WMK13" s="41"/>
      <c r="WML13" s="41"/>
      <c r="WMM13" s="41"/>
      <c r="WMN13" s="41"/>
      <c r="WMO13" s="41"/>
      <c r="WMP13" s="41"/>
      <c r="WMQ13" s="41"/>
      <c r="WMR13" s="41"/>
      <c r="WMS13" s="41"/>
      <c r="WMT13" s="41"/>
      <c r="WMU13" s="41"/>
      <c r="WMV13" s="41"/>
      <c r="WMW13" s="41"/>
      <c r="WMX13" s="41"/>
      <c r="WMY13" s="41"/>
      <c r="WMZ13" s="41"/>
      <c r="WNA13" s="41"/>
      <c r="WNB13" s="41"/>
      <c r="WNC13" s="41"/>
      <c r="WND13" s="41"/>
      <c r="WNE13" s="41"/>
      <c r="WNF13" s="41"/>
      <c r="WNG13" s="41"/>
      <c r="WNH13" s="41"/>
      <c r="WNI13" s="41"/>
      <c r="WNJ13" s="41"/>
      <c r="WNK13" s="41"/>
      <c r="WNL13" s="41"/>
      <c r="WNM13" s="41"/>
      <c r="WNN13" s="41"/>
      <c r="WNO13" s="41"/>
      <c r="WNP13" s="41"/>
      <c r="WNQ13" s="41"/>
      <c r="WNR13" s="41"/>
      <c r="WNS13" s="41"/>
      <c r="WNT13" s="41"/>
      <c r="WNU13" s="41"/>
      <c r="WNV13" s="41"/>
      <c r="WNW13" s="41"/>
      <c r="WNX13" s="41"/>
      <c r="WNY13" s="41"/>
      <c r="WNZ13" s="41"/>
      <c r="WOA13" s="41"/>
      <c r="WOB13" s="41"/>
      <c r="WOC13" s="41"/>
      <c r="WOD13" s="41"/>
      <c r="WOE13" s="41"/>
      <c r="WOF13" s="41"/>
      <c r="WOG13" s="41"/>
      <c r="WOH13" s="41"/>
      <c r="WOI13" s="41"/>
      <c r="WOJ13" s="41"/>
      <c r="WOK13" s="41"/>
      <c r="WOL13" s="41"/>
      <c r="WOM13" s="41"/>
      <c r="WON13" s="41"/>
      <c r="WOO13" s="41"/>
      <c r="WOP13" s="41"/>
      <c r="WOQ13" s="41"/>
      <c r="WOR13" s="41"/>
      <c r="WOS13" s="41"/>
      <c r="WOT13" s="41"/>
      <c r="WOU13" s="41"/>
      <c r="WOV13" s="41"/>
      <c r="WOW13" s="41"/>
      <c r="WOX13" s="41"/>
      <c r="WOY13" s="41"/>
      <c r="WOZ13" s="41"/>
      <c r="WPA13" s="41"/>
      <c r="WPB13" s="41"/>
      <c r="WPC13" s="41"/>
      <c r="WPD13" s="41"/>
      <c r="WPE13" s="41"/>
      <c r="WPF13" s="41"/>
      <c r="WPG13" s="41"/>
      <c r="WPH13" s="41"/>
      <c r="WPI13" s="41"/>
      <c r="WPJ13" s="41"/>
      <c r="WPK13" s="41"/>
      <c r="WPL13" s="41"/>
      <c r="WPM13" s="41"/>
      <c r="WPN13" s="41"/>
      <c r="WPO13" s="41"/>
      <c r="WPP13" s="41"/>
      <c r="WPQ13" s="41"/>
      <c r="WPR13" s="41"/>
      <c r="WPS13" s="41"/>
      <c r="WPT13" s="41"/>
      <c r="WPU13" s="41"/>
      <c r="WPV13" s="41"/>
      <c r="WPW13" s="41"/>
      <c r="WPX13" s="41"/>
      <c r="WPY13" s="41"/>
      <c r="WPZ13" s="41"/>
      <c r="WQA13" s="41"/>
      <c r="WQB13" s="41"/>
      <c r="WQC13" s="41"/>
      <c r="WQD13" s="41"/>
      <c r="WQE13" s="41"/>
      <c r="WQF13" s="41"/>
      <c r="WQG13" s="41"/>
      <c r="WQH13" s="41"/>
      <c r="WQI13" s="41"/>
      <c r="WQJ13" s="41"/>
      <c r="WQK13" s="41"/>
      <c r="WQL13" s="41"/>
      <c r="WQM13" s="41"/>
      <c r="WQN13" s="41"/>
      <c r="WQO13" s="41"/>
      <c r="WQP13" s="41"/>
      <c r="WQQ13" s="41"/>
      <c r="WQR13" s="41"/>
      <c r="WQS13" s="41"/>
      <c r="WQT13" s="41"/>
      <c r="WQU13" s="41"/>
      <c r="WQV13" s="41"/>
      <c r="WQW13" s="41"/>
      <c r="WQX13" s="41"/>
      <c r="WQY13" s="41"/>
      <c r="WQZ13" s="41"/>
      <c r="WRA13" s="41"/>
      <c r="WRB13" s="41"/>
      <c r="WRC13" s="41"/>
      <c r="WRD13" s="41"/>
      <c r="WRE13" s="41"/>
      <c r="WRF13" s="41"/>
      <c r="WRG13" s="41"/>
      <c r="WRH13" s="41"/>
      <c r="WRI13" s="41"/>
      <c r="WRJ13" s="41"/>
      <c r="WRK13" s="41"/>
      <c r="WRL13" s="41"/>
      <c r="WRM13" s="41"/>
      <c r="WRN13" s="41"/>
      <c r="WRO13" s="41"/>
      <c r="WRP13" s="41"/>
      <c r="WRQ13" s="41"/>
      <c r="WRR13" s="41"/>
      <c r="WRS13" s="41"/>
      <c r="WRT13" s="41"/>
      <c r="WRU13" s="41"/>
      <c r="WRV13" s="41"/>
      <c r="WRW13" s="41"/>
      <c r="WRX13" s="41"/>
      <c r="WRY13" s="41"/>
      <c r="WRZ13" s="41"/>
      <c r="WSA13" s="41"/>
      <c r="WSB13" s="41"/>
      <c r="WSC13" s="41"/>
      <c r="WSD13" s="41"/>
      <c r="WSE13" s="41"/>
      <c r="WSF13" s="41"/>
      <c r="WSG13" s="41"/>
      <c r="WSH13" s="41"/>
      <c r="WSI13" s="41"/>
      <c r="WSJ13" s="41"/>
      <c r="WSK13" s="41"/>
      <c r="WSL13" s="41"/>
      <c r="WSM13" s="41"/>
      <c r="WSN13" s="41"/>
      <c r="WSO13" s="41"/>
      <c r="WSP13" s="41"/>
      <c r="WSQ13" s="41"/>
      <c r="WSR13" s="41"/>
      <c r="WSS13" s="41"/>
      <c r="WST13" s="41"/>
      <c r="WSU13" s="41"/>
      <c r="WSV13" s="41"/>
      <c r="WSW13" s="41"/>
      <c r="WSX13" s="41"/>
      <c r="WSY13" s="41"/>
      <c r="WSZ13" s="41"/>
      <c r="WTA13" s="41"/>
      <c r="WTB13" s="41"/>
      <c r="WTC13" s="41"/>
      <c r="WTD13" s="41"/>
      <c r="WTE13" s="41"/>
      <c r="WTF13" s="41"/>
      <c r="WTG13" s="41"/>
      <c r="WTH13" s="41"/>
      <c r="WTI13" s="41"/>
      <c r="WTJ13" s="41"/>
      <c r="WTK13" s="41"/>
      <c r="WTL13" s="41"/>
      <c r="WTM13" s="41"/>
      <c r="WTN13" s="41"/>
      <c r="WTO13" s="41"/>
      <c r="WTP13" s="41"/>
      <c r="WTQ13" s="41"/>
      <c r="WTR13" s="41"/>
      <c r="WTS13" s="41"/>
      <c r="WTT13" s="41"/>
      <c r="WTU13" s="41"/>
      <c r="WTV13" s="41"/>
      <c r="WTW13" s="41"/>
      <c r="WTX13" s="41"/>
      <c r="WTY13" s="41"/>
      <c r="WTZ13" s="41"/>
      <c r="WUA13" s="41"/>
      <c r="WUB13" s="41"/>
      <c r="WUC13" s="41"/>
      <c r="WUD13" s="41"/>
      <c r="WUE13" s="41"/>
      <c r="WUF13" s="41"/>
      <c r="WUG13" s="41"/>
      <c r="WUH13" s="41"/>
      <c r="WUI13" s="41"/>
      <c r="WUJ13" s="41"/>
      <c r="WUK13" s="41"/>
      <c r="WUL13" s="41"/>
      <c r="WUM13" s="41"/>
      <c r="WUN13" s="41"/>
      <c r="WUO13" s="41"/>
      <c r="WUP13" s="41"/>
      <c r="WUQ13" s="41"/>
      <c r="WUR13" s="41"/>
      <c r="WUS13" s="41"/>
      <c r="WUT13" s="41"/>
      <c r="WUU13" s="41"/>
      <c r="WUV13" s="41"/>
      <c r="WUW13" s="41"/>
      <c r="WUX13" s="41"/>
      <c r="WUY13" s="41"/>
      <c r="WUZ13" s="41"/>
      <c r="WVA13" s="41"/>
      <c r="WVB13" s="41"/>
      <c r="WVC13" s="41"/>
      <c r="WVD13" s="41"/>
      <c r="WVE13" s="41"/>
      <c r="WVF13" s="41"/>
      <c r="WVG13" s="41"/>
      <c r="WVH13" s="41"/>
      <c r="WVI13" s="41"/>
      <c r="WVJ13" s="41"/>
      <c r="WVK13" s="41"/>
      <c r="WVL13" s="41"/>
      <c r="WVM13" s="41"/>
      <c r="WVN13" s="41"/>
      <c r="WVO13" s="41"/>
      <c r="WVP13" s="41"/>
      <c r="WVQ13" s="41"/>
      <c r="WVR13" s="41"/>
      <c r="WVS13" s="41"/>
      <c r="WVT13" s="41"/>
      <c r="WVU13" s="41"/>
      <c r="WVV13" s="41"/>
      <c r="WVW13" s="41"/>
      <c r="WVX13" s="41"/>
      <c r="WVY13" s="41"/>
      <c r="WVZ13" s="41"/>
      <c r="WWA13" s="41"/>
      <c r="WWB13" s="41"/>
      <c r="WWC13" s="41"/>
      <c r="WWD13" s="41"/>
      <c r="WWE13" s="41"/>
      <c r="WWF13" s="41"/>
      <c r="WWG13" s="41"/>
      <c r="WWH13" s="41"/>
      <c r="WWI13" s="41"/>
      <c r="WWJ13" s="41"/>
      <c r="WWK13" s="41"/>
      <c r="WWL13" s="41"/>
      <c r="WWM13" s="41"/>
      <c r="WWN13" s="41"/>
      <c r="WWO13" s="41"/>
      <c r="WWP13" s="41"/>
      <c r="WWQ13" s="41"/>
      <c r="WWR13" s="41"/>
      <c r="WWS13" s="41"/>
      <c r="WWT13" s="41"/>
      <c r="WWU13" s="41"/>
      <c r="WWV13" s="41"/>
      <c r="WWW13" s="41"/>
      <c r="WWX13" s="41"/>
      <c r="WWY13" s="41"/>
      <c r="WWZ13" s="41"/>
      <c r="WXA13" s="41"/>
      <c r="WXB13" s="41"/>
      <c r="WXC13" s="41"/>
      <c r="WXD13" s="41"/>
      <c r="WXE13" s="41"/>
      <c r="WXF13" s="41"/>
      <c r="WXG13" s="41"/>
      <c r="WXH13" s="41"/>
      <c r="WXI13" s="41"/>
      <c r="WXJ13" s="41"/>
      <c r="WXK13" s="41"/>
      <c r="WXL13" s="41"/>
      <c r="WXM13" s="41"/>
      <c r="WXN13" s="41"/>
      <c r="WXO13" s="41"/>
      <c r="WXP13" s="41"/>
      <c r="WXQ13" s="41"/>
      <c r="WXR13" s="41"/>
      <c r="WXS13" s="41"/>
      <c r="WXT13" s="41"/>
      <c r="WXU13" s="41"/>
      <c r="WXV13" s="41"/>
      <c r="WXW13" s="41"/>
      <c r="WXX13" s="41"/>
      <c r="WXY13" s="41"/>
      <c r="WXZ13" s="41"/>
      <c r="WYA13" s="41"/>
      <c r="WYB13" s="41"/>
      <c r="WYC13" s="41"/>
      <c r="WYD13" s="41"/>
      <c r="WYE13" s="41"/>
      <c r="WYF13" s="41"/>
      <c r="WYG13" s="41"/>
      <c r="WYH13" s="41"/>
      <c r="WYI13" s="41"/>
      <c r="WYJ13" s="41"/>
      <c r="WYK13" s="41"/>
      <c r="WYL13" s="41"/>
      <c r="WYM13" s="41"/>
      <c r="WYN13" s="41"/>
      <c r="WYO13" s="41"/>
      <c r="WYP13" s="41"/>
      <c r="WYQ13" s="41"/>
      <c r="WYR13" s="41"/>
      <c r="WYS13" s="41"/>
      <c r="WYT13" s="41"/>
      <c r="WYU13" s="41"/>
      <c r="WYV13" s="41"/>
      <c r="WYW13" s="41"/>
      <c r="WYX13" s="41"/>
      <c r="WYY13" s="41"/>
      <c r="WYZ13" s="41"/>
      <c r="WZA13" s="41"/>
      <c r="WZB13" s="41"/>
      <c r="WZC13" s="41"/>
      <c r="WZD13" s="41"/>
      <c r="WZE13" s="41"/>
      <c r="WZF13" s="41"/>
      <c r="WZG13" s="41"/>
      <c r="WZH13" s="41"/>
      <c r="WZI13" s="41"/>
      <c r="WZJ13" s="41"/>
      <c r="WZK13" s="41"/>
      <c r="WZL13" s="41"/>
      <c r="WZM13" s="41"/>
      <c r="WZN13" s="41"/>
      <c r="WZO13" s="41"/>
      <c r="WZP13" s="41"/>
      <c r="WZQ13" s="41"/>
      <c r="WZR13" s="41"/>
      <c r="WZS13" s="41"/>
      <c r="WZT13" s="41"/>
      <c r="WZU13" s="41"/>
      <c r="WZV13" s="41"/>
      <c r="WZW13" s="41"/>
      <c r="WZX13" s="41"/>
      <c r="WZY13" s="41"/>
      <c r="WZZ13" s="41"/>
      <c r="XAA13" s="41"/>
      <c r="XAB13" s="41"/>
      <c r="XAC13" s="41"/>
      <c r="XAD13" s="41"/>
      <c r="XAE13" s="41"/>
      <c r="XAF13" s="41"/>
      <c r="XAG13" s="41"/>
      <c r="XAH13" s="41"/>
      <c r="XAI13" s="41"/>
      <c r="XAJ13" s="41"/>
      <c r="XAK13" s="41"/>
      <c r="XAL13" s="41"/>
      <c r="XAM13" s="41"/>
      <c r="XAN13" s="41"/>
      <c r="XAO13" s="41"/>
      <c r="XAP13" s="41"/>
      <c r="XAQ13" s="41"/>
      <c r="XAR13" s="41"/>
      <c r="XAS13" s="41"/>
      <c r="XAT13" s="41"/>
      <c r="XAU13" s="41"/>
      <c r="XAV13" s="41"/>
      <c r="XAW13" s="41"/>
      <c r="XAX13" s="41"/>
      <c r="XAY13" s="41"/>
      <c r="XAZ13" s="41"/>
      <c r="XBA13" s="41"/>
      <c r="XBB13" s="41"/>
      <c r="XBC13" s="41"/>
      <c r="XBD13" s="41"/>
      <c r="XBE13" s="41"/>
      <c r="XBF13" s="41"/>
      <c r="XBG13" s="41"/>
      <c r="XBH13" s="41"/>
      <c r="XBI13" s="41"/>
      <c r="XBJ13" s="41"/>
      <c r="XBK13" s="41"/>
      <c r="XBL13" s="41"/>
      <c r="XBM13" s="41"/>
      <c r="XBN13" s="41"/>
      <c r="XBO13" s="41"/>
      <c r="XBP13" s="41"/>
      <c r="XBQ13" s="41"/>
      <c r="XBR13" s="41"/>
      <c r="XBS13" s="41"/>
      <c r="XBT13" s="41"/>
      <c r="XBU13" s="41"/>
      <c r="XBV13" s="41"/>
      <c r="XBW13" s="41"/>
      <c r="XBX13" s="41"/>
      <c r="XBY13" s="41"/>
      <c r="XBZ13" s="41"/>
      <c r="XCA13" s="41"/>
      <c r="XCB13" s="41"/>
      <c r="XCC13" s="41"/>
      <c r="XCD13" s="41"/>
      <c r="XCE13" s="41"/>
      <c r="XCF13" s="41"/>
      <c r="XCG13" s="41"/>
      <c r="XCH13" s="41"/>
      <c r="XCI13" s="41"/>
      <c r="XCJ13" s="41"/>
      <c r="XCK13" s="41"/>
      <c r="XCL13" s="41"/>
      <c r="XCM13" s="41"/>
      <c r="XCN13" s="41"/>
      <c r="XCO13" s="41"/>
      <c r="XCP13" s="41"/>
      <c r="XCQ13" s="41"/>
      <c r="XCR13" s="41"/>
      <c r="XCS13" s="41"/>
      <c r="XCT13" s="41"/>
      <c r="XCU13" s="41"/>
      <c r="XCV13" s="41"/>
      <c r="XCW13" s="41"/>
      <c r="XCX13" s="41"/>
      <c r="XCY13" s="41"/>
      <c r="XCZ13" s="41"/>
      <c r="XDA13" s="41"/>
      <c r="XDB13" s="41"/>
      <c r="XDC13" s="41"/>
      <c r="XDD13" s="41"/>
      <c r="XDE13" s="41"/>
      <c r="XDF13" s="41"/>
      <c r="XDG13" s="41"/>
      <c r="XDH13" s="41"/>
      <c r="XDI13" s="41"/>
      <c r="XDJ13" s="41"/>
      <c r="XDK13" s="41"/>
      <c r="XDL13" s="41"/>
      <c r="XDM13" s="41"/>
      <c r="XDN13" s="41"/>
      <c r="XDO13" s="41"/>
      <c r="XDP13" s="41"/>
      <c r="XDQ13" s="41"/>
      <c r="XDR13" s="41"/>
      <c r="XDS13" s="41"/>
      <c r="XDT13" s="41"/>
      <c r="XDU13" s="41"/>
      <c r="XDV13" s="41"/>
      <c r="XDW13" s="41"/>
      <c r="XDX13" s="41"/>
      <c r="XDY13" s="41"/>
      <c r="XDZ13" s="41"/>
      <c r="XEA13" s="41"/>
      <c r="XEB13" s="41"/>
      <c r="XEC13" s="41"/>
      <c r="XED13" s="41"/>
      <c r="XEE13" s="41"/>
      <c r="XEF13" s="41"/>
      <c r="XEG13" s="41"/>
      <c r="XEH13" s="41"/>
      <c r="XEI13" s="41"/>
      <c r="XEJ13" s="41"/>
      <c r="XEK13" s="41"/>
      <c r="XEL13" s="41"/>
      <c r="XEM13" s="41"/>
      <c r="XEN13" s="41"/>
      <c r="XEO13" s="41"/>
      <c r="XEP13" s="41"/>
      <c r="XEQ13" s="41"/>
      <c r="XER13" s="41"/>
      <c r="XES13" s="41"/>
      <c r="XET13" s="41"/>
      <c r="XEU13" s="41"/>
      <c r="XEV13" s="41"/>
      <c r="XEW13" s="41"/>
      <c r="XEX13" s="41"/>
      <c r="XEY13" s="41"/>
    </row>
    <row r="14" spans="1:16379" s="130" customFormat="1" ht="15.75" customHeight="1" x14ac:dyDescent="0.25">
      <c r="A14" s="115"/>
      <c r="B14" s="115" t="s">
        <v>417</v>
      </c>
      <c r="C14" s="116"/>
      <c r="D14" s="117" t="s">
        <v>374</v>
      </c>
      <c r="E14" s="118" t="s">
        <v>341</v>
      </c>
      <c r="F14" s="119" t="s">
        <v>342</v>
      </c>
      <c r="G14" s="119" t="s">
        <v>342</v>
      </c>
      <c r="H14" s="118"/>
      <c r="I14" s="118">
        <f t="shared" si="0"/>
        <v>17</v>
      </c>
      <c r="J14" s="118" t="str">
        <f t="shared" si="1"/>
        <v>ТЗНП 2ст. на сигн</v>
      </c>
      <c r="K14" s="115" t="s">
        <v>318</v>
      </c>
      <c r="L14" s="120" t="s">
        <v>72</v>
      </c>
      <c r="M14" s="116" t="s">
        <v>63</v>
      </c>
      <c r="N14" s="116" t="s">
        <v>64</v>
      </c>
      <c r="O14" s="116"/>
      <c r="P14" s="121"/>
      <c r="Q14" s="121"/>
      <c r="R14" s="116" t="s">
        <v>66</v>
      </c>
      <c r="S14" s="116" t="s">
        <v>66</v>
      </c>
      <c r="T14" s="116" t="s">
        <v>66</v>
      </c>
      <c r="U14" s="116" t="s">
        <v>66</v>
      </c>
      <c r="V14" s="116"/>
      <c r="W14" s="116"/>
      <c r="X14" s="116" t="s">
        <v>66</v>
      </c>
      <c r="Y14" s="116">
        <v>0</v>
      </c>
      <c r="Z14" s="122"/>
      <c r="AA14" s="123">
        <v>0</v>
      </c>
      <c r="AB14" s="123"/>
      <c r="AC14" s="123"/>
      <c r="AD14" s="123"/>
      <c r="AE14" s="123"/>
      <c r="AF14" s="123">
        <v>0</v>
      </c>
      <c r="AG14" s="123">
        <v>0</v>
      </c>
      <c r="AH14" s="123">
        <v>0</v>
      </c>
      <c r="AI14" s="124"/>
      <c r="AJ14" s="125"/>
      <c r="AK14" s="125"/>
      <c r="AL14" s="125"/>
      <c r="AM14" s="125"/>
      <c r="AN14" s="125"/>
      <c r="AO14" s="125"/>
      <c r="AP14" s="125"/>
      <c r="AQ14" s="125"/>
      <c r="AR14" s="123">
        <v>0</v>
      </c>
      <c r="AS14" s="123">
        <v>0</v>
      </c>
      <c r="AT14" s="135">
        <v>1</v>
      </c>
      <c r="AU14" s="63">
        <v>0</v>
      </c>
      <c r="AV14" s="135">
        <v>1</v>
      </c>
      <c r="AW14" s="135">
        <v>1</v>
      </c>
      <c r="AX14" s="135">
        <v>1</v>
      </c>
      <c r="AY14" s="123"/>
      <c r="AZ14" s="121"/>
      <c r="BA14" s="123"/>
      <c r="BB14" s="123"/>
      <c r="BC14" s="126"/>
      <c r="BD14" s="123"/>
      <c r="BE14" s="127"/>
      <c r="BF14" s="123"/>
      <c r="BG14" s="128" t="str">
        <f t="shared" si="3"/>
        <v>description: "ТЗНП 2ст. на сигн", note: "Перевод ТЗНП 2 ступени на сигнал", group: "control", minValue: null, maxValue: null, step: null, units: "null", defaultValue: null, eventRegistration: 0</v>
      </c>
      <c r="BH14" s="129"/>
    </row>
    <row r="15" spans="1:16379" s="130" customFormat="1" ht="15.75" customHeight="1" x14ac:dyDescent="0.25">
      <c r="A15" s="115"/>
      <c r="B15" s="115" t="s">
        <v>417</v>
      </c>
      <c r="C15" s="116"/>
      <c r="D15" s="131"/>
      <c r="E15" s="118" t="s">
        <v>290</v>
      </c>
      <c r="F15" s="119" t="s">
        <v>282</v>
      </c>
      <c r="G15" s="119" t="s">
        <v>282</v>
      </c>
      <c r="H15" s="118"/>
      <c r="I15" s="118">
        <f t="shared" si="0"/>
        <v>12</v>
      </c>
      <c r="J15" s="118" t="str">
        <f t="shared" si="1"/>
        <v>Ввод ОУ ТЗНП</v>
      </c>
      <c r="K15" s="115" t="s">
        <v>283</v>
      </c>
      <c r="L15" s="120" t="s">
        <v>72</v>
      </c>
      <c r="M15" s="116" t="s">
        <v>63</v>
      </c>
      <c r="N15" s="116" t="s">
        <v>64</v>
      </c>
      <c r="O15" s="116"/>
      <c r="P15" s="121"/>
      <c r="Q15" s="121"/>
      <c r="R15" s="116" t="s">
        <v>66</v>
      </c>
      <c r="S15" s="116" t="s">
        <v>66</v>
      </c>
      <c r="T15" s="116" t="s">
        <v>66</v>
      </c>
      <c r="U15" s="116" t="s">
        <v>66</v>
      </c>
      <c r="V15" s="116"/>
      <c r="W15" s="116"/>
      <c r="X15" s="116" t="s">
        <v>66</v>
      </c>
      <c r="Y15" s="116">
        <v>0</v>
      </c>
      <c r="Z15" s="122"/>
      <c r="AA15" s="123">
        <v>0</v>
      </c>
      <c r="AB15" s="123"/>
      <c r="AC15" s="123"/>
      <c r="AD15" s="123"/>
      <c r="AE15" s="123"/>
      <c r="AF15" s="123">
        <v>0</v>
      </c>
      <c r="AG15" s="123">
        <v>0</v>
      </c>
      <c r="AH15" s="123">
        <v>0</v>
      </c>
      <c r="AI15" s="134"/>
      <c r="AJ15" s="125"/>
      <c r="AK15" s="125"/>
      <c r="AL15" s="125"/>
      <c r="AM15" s="125"/>
      <c r="AN15" s="125"/>
      <c r="AO15" s="125"/>
      <c r="AP15" s="125"/>
      <c r="AQ15" s="125"/>
      <c r="AR15" s="123">
        <v>0</v>
      </c>
      <c r="AS15" s="123">
        <v>0</v>
      </c>
      <c r="AT15" s="135">
        <v>1</v>
      </c>
      <c r="AU15" s="63">
        <v>0</v>
      </c>
      <c r="AV15" s="135">
        <v>1</v>
      </c>
      <c r="AW15" s="135">
        <v>1</v>
      </c>
      <c r="AX15" s="135">
        <v>1</v>
      </c>
      <c r="AY15" s="123"/>
      <c r="AZ15" s="121"/>
      <c r="BA15" s="123"/>
      <c r="BB15" s="123"/>
      <c r="BC15" s="126"/>
      <c r="BD15" s="123"/>
      <c r="BE15" s="127"/>
      <c r="BF15" s="123"/>
      <c r="BG15" s="128" t="str">
        <f t="shared" si="3"/>
        <v>description: "Ввод ОУ ТЗНП", note: "Сигнал ввода оперативного ускорения ТЗНП", group: "control", minValue: null, maxValue: null, step: null, units: "null", defaultValue: null, eventRegistration: 0</v>
      </c>
      <c r="BH15" s="132"/>
      <c r="BI15" s="133"/>
      <c r="BJ15" s="133"/>
      <c r="BK15" s="133"/>
      <c r="BL15" s="133"/>
      <c r="BM15" s="133"/>
      <c r="BN15" s="133"/>
      <c r="BO15" s="133"/>
      <c r="BP15" s="133"/>
      <c r="BQ15" s="133"/>
      <c r="BR15" s="133"/>
      <c r="BS15" s="133"/>
      <c r="BT15" s="133"/>
      <c r="BU15" s="133"/>
      <c r="BV15" s="133"/>
      <c r="BW15" s="133"/>
      <c r="BX15" s="133"/>
      <c r="BY15" s="133"/>
      <c r="BZ15" s="133"/>
      <c r="CA15" s="133"/>
      <c r="CB15" s="133"/>
      <c r="CC15" s="133"/>
      <c r="CD15" s="133"/>
      <c r="CE15" s="133"/>
      <c r="CF15" s="133"/>
      <c r="CG15" s="133"/>
      <c r="CH15" s="133"/>
      <c r="CI15" s="133"/>
      <c r="CJ15" s="133"/>
      <c r="CK15" s="133"/>
      <c r="CL15" s="133"/>
      <c r="CM15" s="133"/>
      <c r="CN15" s="133"/>
      <c r="CO15" s="133"/>
      <c r="CP15" s="133"/>
      <c r="CQ15" s="133"/>
      <c r="CR15" s="133"/>
      <c r="CS15" s="133"/>
      <c r="CT15" s="133"/>
      <c r="CU15" s="133"/>
      <c r="CV15" s="133"/>
      <c r="CW15" s="133"/>
      <c r="CX15" s="133"/>
      <c r="CY15" s="133"/>
      <c r="CZ15" s="133"/>
      <c r="DA15" s="133"/>
      <c r="DB15" s="133"/>
      <c r="DC15" s="133"/>
      <c r="DD15" s="133"/>
      <c r="DE15" s="133"/>
      <c r="DF15" s="133"/>
      <c r="DG15" s="133"/>
      <c r="DH15" s="133"/>
      <c r="DI15" s="133"/>
      <c r="DJ15" s="133"/>
      <c r="DK15" s="133"/>
      <c r="DL15" s="133"/>
      <c r="DM15" s="133"/>
      <c r="DN15" s="133"/>
      <c r="DO15" s="133"/>
      <c r="DP15" s="133"/>
      <c r="DQ15" s="133"/>
      <c r="DR15" s="133"/>
      <c r="DS15" s="133"/>
      <c r="DT15" s="133"/>
      <c r="DU15" s="133"/>
      <c r="DV15" s="133"/>
      <c r="DW15" s="133"/>
      <c r="DX15" s="133"/>
      <c r="DY15" s="133"/>
      <c r="DZ15" s="133"/>
      <c r="EA15" s="133"/>
      <c r="EB15" s="133"/>
      <c r="EC15" s="133"/>
      <c r="ED15" s="133"/>
      <c r="EE15" s="133"/>
      <c r="EF15" s="133"/>
      <c r="EG15" s="133"/>
      <c r="EH15" s="133"/>
      <c r="EI15" s="133"/>
      <c r="EJ15" s="133"/>
      <c r="EK15" s="133"/>
      <c r="EL15" s="133"/>
      <c r="EM15" s="133"/>
      <c r="EN15" s="133"/>
      <c r="EO15" s="133"/>
      <c r="EP15" s="133"/>
      <c r="EQ15" s="133"/>
      <c r="ER15" s="133"/>
      <c r="ES15" s="133"/>
      <c r="ET15" s="133"/>
      <c r="EU15" s="133"/>
      <c r="EV15" s="133"/>
      <c r="EW15" s="133"/>
      <c r="EX15" s="133"/>
      <c r="EY15" s="133"/>
      <c r="EZ15" s="133"/>
      <c r="FA15" s="133"/>
      <c r="FB15" s="133"/>
      <c r="FC15" s="133"/>
      <c r="FD15" s="133"/>
      <c r="FE15" s="133"/>
      <c r="FF15" s="133"/>
      <c r="FG15" s="133"/>
      <c r="FH15" s="133"/>
      <c r="FI15" s="133"/>
      <c r="FJ15" s="133"/>
      <c r="FK15" s="133"/>
      <c r="FL15" s="133"/>
      <c r="FM15" s="133"/>
      <c r="FN15" s="133"/>
      <c r="FO15" s="133"/>
      <c r="FP15" s="133"/>
      <c r="FQ15" s="133"/>
      <c r="FR15" s="133"/>
      <c r="FS15" s="133"/>
      <c r="FT15" s="133"/>
      <c r="FU15" s="133"/>
      <c r="FV15" s="133"/>
      <c r="FW15" s="133"/>
      <c r="FX15" s="133"/>
      <c r="FY15" s="133"/>
      <c r="FZ15" s="133"/>
      <c r="GA15" s="133"/>
      <c r="GB15" s="133"/>
      <c r="GC15" s="133"/>
      <c r="GD15" s="133"/>
      <c r="GE15" s="133"/>
      <c r="GF15" s="133"/>
      <c r="GG15" s="133"/>
      <c r="GH15" s="133"/>
      <c r="GI15" s="133"/>
      <c r="GJ15" s="133"/>
      <c r="GK15" s="133"/>
      <c r="GL15" s="133"/>
      <c r="GM15" s="133"/>
      <c r="GN15" s="133"/>
      <c r="GO15" s="133"/>
      <c r="GP15" s="133"/>
      <c r="GQ15" s="133"/>
      <c r="GR15" s="133"/>
      <c r="GS15" s="133"/>
      <c r="GT15" s="133"/>
      <c r="GU15" s="133"/>
      <c r="GV15" s="133"/>
      <c r="GW15" s="133"/>
      <c r="GX15" s="133"/>
      <c r="GY15" s="133"/>
      <c r="GZ15" s="133"/>
      <c r="HA15" s="133"/>
      <c r="HB15" s="133"/>
      <c r="HC15" s="133"/>
      <c r="HD15" s="133"/>
      <c r="HE15" s="133"/>
      <c r="HF15" s="133"/>
      <c r="HG15" s="133"/>
      <c r="HH15" s="133"/>
      <c r="HI15" s="133"/>
      <c r="HJ15" s="133"/>
      <c r="HK15" s="133"/>
      <c r="HL15" s="133"/>
      <c r="HM15" s="133"/>
      <c r="HN15" s="133"/>
      <c r="HO15" s="133"/>
      <c r="HP15" s="133"/>
      <c r="HQ15" s="133"/>
      <c r="HR15" s="133"/>
      <c r="HS15" s="133"/>
      <c r="HT15" s="133"/>
      <c r="HU15" s="133"/>
      <c r="HV15" s="133"/>
      <c r="HW15" s="133"/>
      <c r="HX15" s="133"/>
      <c r="HY15" s="133"/>
      <c r="HZ15" s="133"/>
      <c r="IA15" s="133"/>
      <c r="IB15" s="133"/>
      <c r="IC15" s="133"/>
      <c r="ID15" s="133"/>
      <c r="IE15" s="133"/>
      <c r="IF15" s="133"/>
      <c r="IG15" s="133"/>
      <c r="IH15" s="133"/>
      <c r="II15" s="133"/>
      <c r="IJ15" s="133"/>
      <c r="IK15" s="133"/>
      <c r="IL15" s="133"/>
      <c r="IM15" s="133"/>
      <c r="IN15" s="133"/>
      <c r="IO15" s="133"/>
      <c r="IP15" s="133"/>
      <c r="IQ15" s="133"/>
      <c r="IR15" s="133"/>
      <c r="IS15" s="133"/>
      <c r="IT15" s="133"/>
      <c r="IU15" s="133"/>
      <c r="IV15" s="133"/>
      <c r="IW15" s="133"/>
      <c r="IX15" s="133"/>
      <c r="IY15" s="133"/>
      <c r="IZ15" s="133"/>
      <c r="JA15" s="133"/>
      <c r="JB15" s="133"/>
      <c r="JC15" s="133"/>
      <c r="JD15" s="133"/>
      <c r="JE15" s="133"/>
      <c r="JF15" s="133"/>
      <c r="JG15" s="133"/>
      <c r="JH15" s="133"/>
      <c r="JI15" s="133"/>
      <c r="JJ15" s="133"/>
      <c r="JK15" s="133"/>
      <c r="JL15" s="133"/>
      <c r="JM15" s="133"/>
      <c r="JN15" s="133"/>
      <c r="JO15" s="133"/>
      <c r="JP15" s="133"/>
      <c r="JQ15" s="133"/>
      <c r="JR15" s="133"/>
      <c r="JS15" s="133"/>
      <c r="JT15" s="133"/>
      <c r="JU15" s="133"/>
      <c r="JV15" s="133"/>
      <c r="JW15" s="133"/>
      <c r="JX15" s="133"/>
      <c r="JY15" s="133"/>
      <c r="JZ15" s="133"/>
      <c r="KA15" s="133"/>
      <c r="KB15" s="133"/>
      <c r="KC15" s="133"/>
      <c r="KD15" s="133"/>
      <c r="KE15" s="133"/>
      <c r="KF15" s="133"/>
      <c r="KG15" s="133"/>
      <c r="KH15" s="133"/>
      <c r="KI15" s="133"/>
      <c r="KJ15" s="133"/>
      <c r="KK15" s="133"/>
      <c r="KL15" s="133"/>
      <c r="KM15" s="133"/>
      <c r="KN15" s="133"/>
      <c r="KO15" s="133"/>
      <c r="KP15" s="133"/>
      <c r="KQ15" s="133"/>
      <c r="KR15" s="133"/>
      <c r="KS15" s="133"/>
      <c r="KT15" s="133"/>
      <c r="KU15" s="133"/>
      <c r="KV15" s="133"/>
      <c r="KW15" s="133"/>
      <c r="KX15" s="133"/>
      <c r="KY15" s="133"/>
      <c r="KZ15" s="133"/>
      <c r="LA15" s="133"/>
      <c r="LB15" s="133"/>
      <c r="LC15" s="133"/>
      <c r="LD15" s="133"/>
      <c r="LE15" s="133"/>
      <c r="LF15" s="133"/>
      <c r="LG15" s="133"/>
      <c r="LH15" s="133"/>
      <c r="LI15" s="133"/>
      <c r="LJ15" s="133"/>
      <c r="LK15" s="133"/>
      <c r="LL15" s="133"/>
      <c r="LM15" s="133"/>
      <c r="LN15" s="133"/>
      <c r="LO15" s="133"/>
      <c r="LP15" s="133"/>
      <c r="LQ15" s="133"/>
      <c r="LR15" s="133"/>
      <c r="LS15" s="133"/>
      <c r="LT15" s="133"/>
      <c r="LU15" s="133"/>
      <c r="LV15" s="133"/>
      <c r="LW15" s="133"/>
      <c r="LX15" s="133"/>
      <c r="LY15" s="133"/>
      <c r="LZ15" s="133"/>
      <c r="MA15" s="133"/>
      <c r="MB15" s="133"/>
      <c r="MC15" s="133"/>
      <c r="MD15" s="133"/>
      <c r="ME15" s="133"/>
      <c r="MF15" s="133"/>
      <c r="MG15" s="133"/>
      <c r="MH15" s="133"/>
      <c r="MI15" s="133"/>
      <c r="MJ15" s="133"/>
      <c r="MK15" s="133"/>
      <c r="ML15" s="133"/>
      <c r="MM15" s="133"/>
      <c r="MN15" s="133"/>
      <c r="MO15" s="133"/>
      <c r="MP15" s="133"/>
      <c r="MQ15" s="133"/>
      <c r="MR15" s="133"/>
      <c r="MS15" s="133"/>
      <c r="MT15" s="133"/>
      <c r="MU15" s="133"/>
      <c r="MV15" s="133"/>
      <c r="MW15" s="133"/>
      <c r="MX15" s="133"/>
      <c r="MY15" s="133"/>
      <c r="MZ15" s="133"/>
      <c r="NA15" s="133"/>
      <c r="NB15" s="133"/>
      <c r="NC15" s="133"/>
      <c r="ND15" s="133"/>
      <c r="NE15" s="133"/>
      <c r="NF15" s="133"/>
      <c r="NG15" s="133"/>
      <c r="NH15" s="133"/>
      <c r="NI15" s="133"/>
      <c r="NJ15" s="133"/>
      <c r="NK15" s="133"/>
      <c r="NL15" s="133"/>
      <c r="NM15" s="133"/>
      <c r="NN15" s="133"/>
      <c r="NO15" s="133"/>
      <c r="NP15" s="133"/>
      <c r="NQ15" s="133"/>
      <c r="NR15" s="133"/>
      <c r="NS15" s="133"/>
      <c r="NT15" s="133"/>
      <c r="NU15" s="133"/>
      <c r="NV15" s="133"/>
      <c r="NW15" s="133"/>
      <c r="NX15" s="133"/>
      <c r="NY15" s="133"/>
      <c r="NZ15" s="133"/>
      <c r="OA15" s="133"/>
      <c r="OB15" s="133"/>
      <c r="OC15" s="133"/>
      <c r="OD15" s="133"/>
      <c r="OE15" s="133"/>
      <c r="OF15" s="133"/>
      <c r="OG15" s="133"/>
      <c r="OH15" s="133"/>
      <c r="OI15" s="133"/>
      <c r="OJ15" s="133"/>
      <c r="OK15" s="133"/>
      <c r="OL15" s="133"/>
      <c r="OM15" s="133"/>
      <c r="ON15" s="133"/>
      <c r="OO15" s="133"/>
      <c r="OP15" s="133"/>
      <c r="OQ15" s="133"/>
      <c r="OR15" s="133"/>
      <c r="OS15" s="133"/>
      <c r="OT15" s="133"/>
      <c r="OU15" s="133"/>
      <c r="OV15" s="133"/>
      <c r="OW15" s="133"/>
      <c r="OX15" s="133"/>
      <c r="OY15" s="133"/>
      <c r="OZ15" s="133"/>
      <c r="PA15" s="133"/>
      <c r="PB15" s="133"/>
      <c r="PC15" s="133"/>
      <c r="PD15" s="133"/>
      <c r="PE15" s="133"/>
      <c r="PF15" s="133"/>
      <c r="PG15" s="133"/>
      <c r="PH15" s="133"/>
      <c r="PI15" s="133"/>
      <c r="PJ15" s="133"/>
      <c r="PK15" s="133"/>
      <c r="PL15" s="133"/>
      <c r="PM15" s="133"/>
      <c r="PN15" s="133"/>
      <c r="PO15" s="133"/>
      <c r="PP15" s="133"/>
      <c r="PQ15" s="133"/>
      <c r="PR15" s="133"/>
      <c r="PS15" s="133"/>
      <c r="PT15" s="133"/>
      <c r="PU15" s="133"/>
      <c r="PV15" s="133"/>
      <c r="PW15" s="133"/>
      <c r="PX15" s="133"/>
      <c r="PY15" s="133"/>
      <c r="PZ15" s="133"/>
      <c r="QA15" s="133"/>
      <c r="QB15" s="133"/>
      <c r="QC15" s="133"/>
      <c r="QD15" s="133"/>
      <c r="QE15" s="133"/>
      <c r="QF15" s="133"/>
      <c r="QG15" s="133"/>
      <c r="QH15" s="133"/>
      <c r="QI15" s="133"/>
      <c r="QJ15" s="133"/>
      <c r="QK15" s="133"/>
      <c r="QL15" s="133"/>
      <c r="QM15" s="133"/>
      <c r="QN15" s="133"/>
      <c r="QO15" s="133"/>
      <c r="QP15" s="133"/>
      <c r="QQ15" s="133"/>
      <c r="QR15" s="133"/>
      <c r="QS15" s="133"/>
      <c r="QT15" s="133"/>
      <c r="QU15" s="133"/>
      <c r="QV15" s="133"/>
      <c r="QW15" s="133"/>
      <c r="QX15" s="133"/>
      <c r="QY15" s="133"/>
      <c r="QZ15" s="133"/>
      <c r="RA15" s="133"/>
      <c r="RB15" s="133"/>
      <c r="RC15" s="133"/>
      <c r="RD15" s="133"/>
      <c r="RE15" s="133"/>
      <c r="RF15" s="133"/>
      <c r="RG15" s="133"/>
      <c r="RH15" s="133"/>
      <c r="RI15" s="133"/>
      <c r="RJ15" s="133"/>
      <c r="RK15" s="133"/>
      <c r="RL15" s="133"/>
      <c r="RM15" s="133"/>
      <c r="RN15" s="133"/>
      <c r="RO15" s="133"/>
      <c r="RP15" s="133"/>
      <c r="RQ15" s="133"/>
      <c r="RR15" s="133"/>
      <c r="RS15" s="133"/>
      <c r="RT15" s="133"/>
      <c r="RU15" s="133"/>
      <c r="RV15" s="133"/>
      <c r="RW15" s="133"/>
      <c r="RX15" s="133"/>
      <c r="RY15" s="133"/>
      <c r="RZ15" s="133"/>
      <c r="SA15" s="133"/>
      <c r="SB15" s="133"/>
      <c r="SC15" s="133"/>
      <c r="SD15" s="133"/>
      <c r="SE15" s="133"/>
      <c r="SF15" s="133"/>
      <c r="SG15" s="133"/>
      <c r="SH15" s="133"/>
      <c r="SI15" s="133"/>
      <c r="SJ15" s="133"/>
      <c r="SK15" s="133"/>
      <c r="SL15" s="133"/>
      <c r="SM15" s="133"/>
      <c r="SN15" s="133"/>
      <c r="SO15" s="133"/>
      <c r="SP15" s="133"/>
      <c r="SQ15" s="133"/>
      <c r="SR15" s="133"/>
      <c r="SS15" s="133"/>
      <c r="ST15" s="133"/>
      <c r="SU15" s="133"/>
      <c r="SV15" s="133"/>
      <c r="SW15" s="133"/>
      <c r="SX15" s="133"/>
      <c r="SY15" s="133"/>
      <c r="SZ15" s="133"/>
      <c r="TA15" s="133"/>
      <c r="TB15" s="133"/>
      <c r="TC15" s="133"/>
      <c r="TD15" s="133"/>
      <c r="TE15" s="133"/>
      <c r="TF15" s="133"/>
      <c r="TG15" s="133"/>
      <c r="TH15" s="133"/>
      <c r="TI15" s="133"/>
      <c r="TJ15" s="133"/>
      <c r="TK15" s="133"/>
      <c r="TL15" s="133"/>
      <c r="TM15" s="133"/>
      <c r="TN15" s="133"/>
      <c r="TO15" s="133"/>
      <c r="TP15" s="133"/>
      <c r="TQ15" s="133"/>
      <c r="TR15" s="133"/>
      <c r="TS15" s="133"/>
      <c r="TT15" s="133"/>
      <c r="TU15" s="133"/>
      <c r="TV15" s="133"/>
      <c r="TW15" s="133"/>
      <c r="TX15" s="133"/>
      <c r="TY15" s="133"/>
      <c r="TZ15" s="133"/>
      <c r="UA15" s="133"/>
      <c r="UB15" s="133"/>
      <c r="UC15" s="133"/>
      <c r="UD15" s="133"/>
      <c r="UE15" s="133"/>
      <c r="UF15" s="133"/>
      <c r="UG15" s="133"/>
      <c r="UH15" s="133"/>
      <c r="UI15" s="133"/>
      <c r="UJ15" s="133"/>
      <c r="UK15" s="133"/>
      <c r="UL15" s="133"/>
      <c r="UM15" s="133"/>
      <c r="UN15" s="133"/>
      <c r="UO15" s="133"/>
      <c r="UP15" s="133"/>
      <c r="UQ15" s="133"/>
      <c r="UR15" s="133"/>
      <c r="US15" s="133"/>
      <c r="UT15" s="133"/>
      <c r="UU15" s="133"/>
      <c r="UV15" s="133"/>
      <c r="UW15" s="133"/>
      <c r="UX15" s="133"/>
      <c r="UY15" s="133"/>
      <c r="UZ15" s="133"/>
      <c r="VA15" s="133"/>
      <c r="VB15" s="133"/>
      <c r="VC15" s="133"/>
      <c r="VD15" s="133"/>
      <c r="VE15" s="133"/>
      <c r="VF15" s="133"/>
      <c r="VG15" s="133"/>
      <c r="VH15" s="133"/>
      <c r="VI15" s="133"/>
      <c r="VJ15" s="133"/>
      <c r="VK15" s="133"/>
      <c r="VL15" s="133"/>
      <c r="VM15" s="133"/>
      <c r="VN15" s="133"/>
      <c r="VO15" s="133"/>
      <c r="VP15" s="133"/>
      <c r="VQ15" s="133"/>
      <c r="VR15" s="133"/>
      <c r="VS15" s="133"/>
      <c r="VT15" s="133"/>
      <c r="VU15" s="133"/>
      <c r="VV15" s="133"/>
      <c r="VW15" s="133"/>
      <c r="VX15" s="133"/>
      <c r="VY15" s="133"/>
      <c r="VZ15" s="133"/>
      <c r="WA15" s="133"/>
      <c r="WB15" s="133"/>
      <c r="WC15" s="133"/>
      <c r="WD15" s="133"/>
      <c r="WE15" s="133"/>
      <c r="WF15" s="133"/>
      <c r="WG15" s="133"/>
      <c r="WH15" s="133"/>
      <c r="WI15" s="133"/>
      <c r="WJ15" s="133"/>
      <c r="WK15" s="133"/>
      <c r="WL15" s="133"/>
      <c r="WM15" s="133"/>
      <c r="WN15" s="133"/>
      <c r="WO15" s="133"/>
      <c r="WP15" s="133"/>
      <c r="WQ15" s="133"/>
      <c r="WR15" s="133"/>
      <c r="WS15" s="133"/>
      <c r="WT15" s="133"/>
      <c r="WU15" s="133"/>
      <c r="WV15" s="133"/>
      <c r="WW15" s="133"/>
      <c r="WX15" s="133"/>
      <c r="WY15" s="133"/>
      <c r="WZ15" s="133"/>
      <c r="XA15" s="133"/>
      <c r="XB15" s="133"/>
      <c r="XC15" s="133"/>
      <c r="XD15" s="133"/>
      <c r="XE15" s="133"/>
      <c r="XF15" s="133"/>
      <c r="XG15" s="133"/>
      <c r="XH15" s="133"/>
      <c r="XI15" s="133"/>
      <c r="XJ15" s="133"/>
      <c r="XK15" s="133"/>
      <c r="XL15" s="133"/>
      <c r="XM15" s="133"/>
      <c r="XN15" s="133"/>
      <c r="XO15" s="133"/>
      <c r="XP15" s="133"/>
      <c r="XQ15" s="133"/>
      <c r="XR15" s="133"/>
      <c r="XS15" s="133"/>
      <c r="XT15" s="133"/>
      <c r="XU15" s="133"/>
      <c r="XV15" s="133"/>
      <c r="XW15" s="133"/>
      <c r="XX15" s="133"/>
      <c r="XY15" s="133"/>
      <c r="XZ15" s="133"/>
      <c r="YA15" s="133"/>
      <c r="YB15" s="133"/>
      <c r="YC15" s="133"/>
      <c r="YD15" s="133"/>
      <c r="YE15" s="133"/>
      <c r="YF15" s="133"/>
      <c r="YG15" s="133"/>
      <c r="YH15" s="133"/>
      <c r="YI15" s="133"/>
      <c r="YJ15" s="133"/>
      <c r="YK15" s="133"/>
      <c r="YL15" s="133"/>
      <c r="YM15" s="133"/>
      <c r="YN15" s="133"/>
      <c r="YO15" s="133"/>
      <c r="YP15" s="133"/>
      <c r="YQ15" s="133"/>
      <c r="YR15" s="133"/>
      <c r="YS15" s="133"/>
      <c r="YT15" s="133"/>
      <c r="YU15" s="133"/>
      <c r="YV15" s="133"/>
      <c r="YW15" s="133"/>
      <c r="YX15" s="133"/>
      <c r="YY15" s="133"/>
      <c r="YZ15" s="133"/>
      <c r="ZA15" s="133"/>
      <c r="ZB15" s="133"/>
      <c r="ZC15" s="133"/>
      <c r="ZD15" s="133"/>
      <c r="ZE15" s="133"/>
      <c r="ZF15" s="133"/>
      <c r="ZG15" s="133"/>
      <c r="ZH15" s="133"/>
      <c r="ZI15" s="133"/>
      <c r="ZJ15" s="133"/>
      <c r="ZK15" s="133"/>
      <c r="ZL15" s="133"/>
      <c r="ZM15" s="133"/>
      <c r="ZN15" s="133"/>
      <c r="ZO15" s="133"/>
      <c r="ZP15" s="133"/>
      <c r="ZQ15" s="133"/>
      <c r="ZR15" s="133"/>
      <c r="ZS15" s="133"/>
      <c r="ZT15" s="133"/>
      <c r="ZU15" s="133"/>
      <c r="ZV15" s="133"/>
      <c r="ZW15" s="133"/>
      <c r="ZX15" s="133"/>
      <c r="ZY15" s="133"/>
      <c r="ZZ15" s="133"/>
      <c r="AAA15" s="133"/>
      <c r="AAB15" s="133"/>
      <c r="AAC15" s="133"/>
      <c r="AAD15" s="133"/>
      <c r="AAE15" s="133"/>
      <c r="AAF15" s="133"/>
      <c r="AAG15" s="133"/>
      <c r="AAH15" s="133"/>
      <c r="AAI15" s="133"/>
      <c r="AAJ15" s="133"/>
      <c r="AAK15" s="133"/>
      <c r="AAL15" s="133"/>
      <c r="AAM15" s="133"/>
      <c r="AAN15" s="133"/>
      <c r="AAO15" s="133"/>
      <c r="AAP15" s="133"/>
      <c r="AAQ15" s="133"/>
      <c r="AAR15" s="133"/>
      <c r="AAS15" s="133"/>
      <c r="AAT15" s="133"/>
      <c r="AAU15" s="133"/>
      <c r="AAV15" s="133"/>
      <c r="AAW15" s="133"/>
      <c r="AAX15" s="133"/>
      <c r="AAY15" s="133"/>
      <c r="AAZ15" s="133"/>
      <c r="ABA15" s="133"/>
      <c r="ABB15" s="133"/>
      <c r="ABC15" s="133"/>
      <c r="ABD15" s="133"/>
      <c r="ABE15" s="133"/>
      <c r="ABF15" s="133"/>
      <c r="ABG15" s="133"/>
      <c r="ABH15" s="133"/>
      <c r="ABI15" s="133"/>
      <c r="ABJ15" s="133"/>
      <c r="ABK15" s="133"/>
      <c r="ABL15" s="133"/>
      <c r="ABM15" s="133"/>
      <c r="ABN15" s="133"/>
      <c r="ABO15" s="133"/>
      <c r="ABP15" s="133"/>
      <c r="ABQ15" s="133"/>
      <c r="ABR15" s="133"/>
      <c r="ABS15" s="133"/>
      <c r="ABT15" s="133"/>
      <c r="ABU15" s="133"/>
      <c r="ABV15" s="133"/>
      <c r="ABW15" s="133"/>
      <c r="ABX15" s="133"/>
      <c r="ABY15" s="133"/>
      <c r="ABZ15" s="133"/>
      <c r="ACA15" s="133"/>
      <c r="ACB15" s="133"/>
      <c r="ACC15" s="133"/>
      <c r="ACD15" s="133"/>
      <c r="ACE15" s="133"/>
      <c r="ACF15" s="133"/>
      <c r="ACG15" s="133"/>
      <c r="ACH15" s="133"/>
      <c r="ACI15" s="133"/>
      <c r="ACJ15" s="133"/>
      <c r="ACK15" s="133"/>
      <c r="ACL15" s="133"/>
      <c r="ACM15" s="133"/>
      <c r="ACN15" s="133"/>
      <c r="ACO15" s="133"/>
      <c r="ACP15" s="133"/>
      <c r="ACQ15" s="133"/>
      <c r="ACR15" s="133"/>
      <c r="ACS15" s="133"/>
      <c r="ACT15" s="133"/>
      <c r="ACU15" s="133"/>
      <c r="ACV15" s="133"/>
      <c r="ACW15" s="133"/>
      <c r="ACX15" s="133"/>
      <c r="ACY15" s="133"/>
      <c r="ACZ15" s="133"/>
      <c r="ADA15" s="133"/>
      <c r="ADB15" s="133"/>
      <c r="ADC15" s="133"/>
      <c r="ADD15" s="133"/>
      <c r="ADE15" s="133"/>
      <c r="ADF15" s="133"/>
      <c r="ADG15" s="133"/>
      <c r="ADH15" s="133"/>
      <c r="ADI15" s="133"/>
      <c r="ADJ15" s="133"/>
      <c r="ADK15" s="133"/>
      <c r="ADL15" s="133"/>
      <c r="ADM15" s="133"/>
      <c r="ADN15" s="133"/>
      <c r="ADO15" s="133"/>
      <c r="ADP15" s="133"/>
      <c r="ADQ15" s="133"/>
      <c r="ADR15" s="133"/>
      <c r="ADS15" s="133"/>
      <c r="ADT15" s="133"/>
      <c r="ADU15" s="133"/>
      <c r="ADV15" s="133"/>
      <c r="ADW15" s="133"/>
      <c r="ADX15" s="133"/>
      <c r="ADY15" s="133"/>
      <c r="ADZ15" s="133"/>
      <c r="AEA15" s="133"/>
      <c r="AEB15" s="133"/>
      <c r="AEC15" s="133"/>
      <c r="AED15" s="133"/>
      <c r="AEE15" s="133"/>
      <c r="AEF15" s="133"/>
      <c r="AEG15" s="133"/>
      <c r="AEH15" s="133"/>
      <c r="AEI15" s="133"/>
      <c r="AEJ15" s="133"/>
      <c r="AEK15" s="133"/>
      <c r="AEL15" s="133"/>
      <c r="AEM15" s="133"/>
      <c r="AEN15" s="133"/>
      <c r="AEO15" s="133"/>
      <c r="AEP15" s="133"/>
      <c r="AEQ15" s="133"/>
      <c r="AER15" s="133"/>
      <c r="AES15" s="133"/>
      <c r="AET15" s="133"/>
      <c r="AEU15" s="133"/>
      <c r="AEV15" s="133"/>
      <c r="AEW15" s="133"/>
      <c r="AEX15" s="133"/>
      <c r="AEY15" s="133"/>
      <c r="AEZ15" s="133"/>
      <c r="AFA15" s="133"/>
      <c r="AFB15" s="133"/>
      <c r="AFC15" s="133"/>
      <c r="AFD15" s="133"/>
      <c r="AFE15" s="133"/>
      <c r="AFF15" s="133"/>
      <c r="AFG15" s="133"/>
      <c r="AFH15" s="133"/>
      <c r="AFI15" s="133"/>
      <c r="AFJ15" s="133"/>
      <c r="AFK15" s="133"/>
      <c r="AFL15" s="133"/>
      <c r="AFM15" s="133"/>
      <c r="AFN15" s="133"/>
      <c r="AFO15" s="133"/>
      <c r="AFP15" s="133"/>
      <c r="AFQ15" s="133"/>
      <c r="AFR15" s="133"/>
      <c r="AFS15" s="133"/>
      <c r="AFT15" s="133"/>
      <c r="AFU15" s="133"/>
      <c r="AFV15" s="133"/>
      <c r="AFW15" s="133"/>
      <c r="AFX15" s="133"/>
      <c r="AFY15" s="133"/>
      <c r="AFZ15" s="133"/>
      <c r="AGA15" s="133"/>
      <c r="AGB15" s="133"/>
      <c r="AGC15" s="133"/>
      <c r="AGD15" s="133"/>
      <c r="AGE15" s="133"/>
      <c r="AGF15" s="133"/>
      <c r="AGG15" s="133"/>
      <c r="AGH15" s="133"/>
      <c r="AGI15" s="133"/>
      <c r="AGJ15" s="133"/>
      <c r="AGK15" s="133"/>
      <c r="AGL15" s="133"/>
      <c r="AGM15" s="133"/>
      <c r="AGN15" s="133"/>
      <c r="AGO15" s="133"/>
      <c r="AGP15" s="133"/>
      <c r="AGQ15" s="133"/>
      <c r="AGR15" s="133"/>
      <c r="AGS15" s="133"/>
      <c r="AGT15" s="133"/>
      <c r="AGU15" s="133"/>
      <c r="AGV15" s="133"/>
      <c r="AGW15" s="133"/>
      <c r="AGX15" s="133"/>
      <c r="AGY15" s="133"/>
      <c r="AGZ15" s="133"/>
      <c r="AHA15" s="133"/>
      <c r="AHB15" s="133"/>
      <c r="AHC15" s="133"/>
      <c r="AHD15" s="133"/>
      <c r="AHE15" s="133"/>
      <c r="AHF15" s="133"/>
      <c r="AHG15" s="133"/>
      <c r="AHH15" s="133"/>
      <c r="AHI15" s="133"/>
      <c r="AHJ15" s="133"/>
      <c r="AHK15" s="133"/>
      <c r="AHL15" s="133"/>
      <c r="AHM15" s="133"/>
      <c r="AHN15" s="133"/>
      <c r="AHO15" s="133"/>
      <c r="AHP15" s="133"/>
      <c r="AHQ15" s="133"/>
      <c r="AHR15" s="133"/>
      <c r="AHS15" s="133"/>
      <c r="AHT15" s="133"/>
      <c r="AHU15" s="133"/>
      <c r="AHV15" s="133"/>
      <c r="AHW15" s="133"/>
      <c r="AHX15" s="133"/>
      <c r="AHY15" s="133"/>
      <c r="AHZ15" s="133"/>
      <c r="AIA15" s="133"/>
      <c r="AIB15" s="133"/>
      <c r="AIC15" s="133"/>
      <c r="AID15" s="133"/>
      <c r="AIE15" s="133"/>
      <c r="AIF15" s="133"/>
      <c r="AIG15" s="133"/>
      <c r="AIH15" s="133"/>
      <c r="AII15" s="133"/>
      <c r="AIJ15" s="133"/>
      <c r="AIK15" s="133"/>
      <c r="AIL15" s="133"/>
      <c r="AIM15" s="133"/>
      <c r="AIN15" s="133"/>
      <c r="AIO15" s="133"/>
      <c r="AIP15" s="133"/>
      <c r="AIQ15" s="133"/>
      <c r="AIR15" s="133"/>
      <c r="AIS15" s="133"/>
      <c r="AIT15" s="133"/>
      <c r="AIU15" s="133"/>
      <c r="AIV15" s="133"/>
      <c r="AIW15" s="133"/>
      <c r="AIX15" s="133"/>
      <c r="AIY15" s="133"/>
      <c r="AIZ15" s="133"/>
      <c r="AJA15" s="133"/>
      <c r="AJB15" s="133"/>
      <c r="AJC15" s="133"/>
      <c r="AJD15" s="133"/>
      <c r="AJE15" s="133"/>
      <c r="AJF15" s="133"/>
      <c r="AJG15" s="133"/>
      <c r="AJH15" s="133"/>
      <c r="AJI15" s="133"/>
      <c r="AJJ15" s="133"/>
      <c r="AJK15" s="133"/>
      <c r="AJL15" s="133"/>
      <c r="AJM15" s="133"/>
      <c r="AJN15" s="133"/>
      <c r="AJO15" s="133"/>
      <c r="AJP15" s="133"/>
      <c r="AJQ15" s="133"/>
      <c r="AJR15" s="133"/>
      <c r="AJS15" s="133"/>
      <c r="AJT15" s="133"/>
      <c r="AJU15" s="133"/>
      <c r="AJV15" s="133"/>
      <c r="AJW15" s="133"/>
      <c r="AJX15" s="133"/>
      <c r="AJY15" s="133"/>
      <c r="AJZ15" s="133"/>
      <c r="AKA15" s="133"/>
      <c r="AKB15" s="133"/>
      <c r="AKC15" s="133"/>
      <c r="AKD15" s="133"/>
      <c r="AKE15" s="133"/>
      <c r="AKF15" s="133"/>
      <c r="AKG15" s="133"/>
      <c r="AKH15" s="133"/>
      <c r="AKI15" s="133"/>
      <c r="AKJ15" s="133"/>
      <c r="AKK15" s="133"/>
      <c r="AKL15" s="133"/>
      <c r="AKM15" s="133"/>
      <c r="AKN15" s="133"/>
      <c r="AKO15" s="133"/>
      <c r="AKP15" s="133"/>
      <c r="AKQ15" s="133"/>
      <c r="AKR15" s="133"/>
      <c r="AKS15" s="133"/>
      <c r="AKT15" s="133"/>
      <c r="AKU15" s="133"/>
      <c r="AKV15" s="133"/>
      <c r="AKW15" s="133"/>
      <c r="AKX15" s="133"/>
      <c r="AKY15" s="133"/>
      <c r="AKZ15" s="133"/>
      <c r="ALA15" s="133"/>
      <c r="ALB15" s="133"/>
      <c r="ALC15" s="133"/>
      <c r="ALD15" s="133"/>
      <c r="ALE15" s="133"/>
      <c r="ALF15" s="133"/>
      <c r="ALG15" s="133"/>
      <c r="ALH15" s="133"/>
      <c r="ALI15" s="133"/>
      <c r="ALJ15" s="133"/>
      <c r="ALK15" s="133"/>
      <c r="ALL15" s="133"/>
      <c r="ALM15" s="133"/>
      <c r="ALN15" s="133"/>
      <c r="ALO15" s="133"/>
      <c r="ALP15" s="133"/>
      <c r="ALQ15" s="133"/>
      <c r="ALR15" s="133"/>
      <c r="ALS15" s="133"/>
      <c r="ALT15" s="133"/>
      <c r="ALU15" s="133"/>
      <c r="ALV15" s="133"/>
      <c r="ALW15" s="133"/>
      <c r="ALX15" s="133"/>
      <c r="ALY15" s="133"/>
      <c r="ALZ15" s="133"/>
      <c r="AMA15" s="133"/>
      <c r="AMB15" s="133"/>
      <c r="AMC15" s="133"/>
      <c r="AMD15" s="133"/>
      <c r="AME15" s="133"/>
      <c r="AMF15" s="133"/>
      <c r="AMG15" s="133"/>
      <c r="AMH15" s="133"/>
      <c r="AMI15" s="133"/>
      <c r="AMJ15" s="133"/>
      <c r="AMK15" s="133"/>
      <c r="AML15" s="133"/>
      <c r="AMM15" s="133"/>
      <c r="AMN15" s="133"/>
      <c r="AMO15" s="133"/>
      <c r="AMP15" s="133"/>
      <c r="AMQ15" s="133"/>
      <c r="AMR15" s="133"/>
      <c r="AMS15" s="133"/>
      <c r="AMT15" s="133"/>
      <c r="AMU15" s="133"/>
      <c r="AMV15" s="133"/>
      <c r="AMW15" s="133"/>
      <c r="AMX15" s="133"/>
      <c r="AMY15" s="133"/>
      <c r="AMZ15" s="133"/>
      <c r="ANA15" s="133"/>
      <c r="ANB15" s="133"/>
      <c r="ANC15" s="133"/>
      <c r="AND15" s="133"/>
      <c r="ANE15" s="133"/>
      <c r="ANF15" s="133"/>
      <c r="ANG15" s="133"/>
      <c r="ANH15" s="133"/>
      <c r="ANI15" s="133"/>
      <c r="ANJ15" s="133"/>
      <c r="ANK15" s="133"/>
      <c r="ANL15" s="133"/>
      <c r="ANM15" s="133"/>
      <c r="ANN15" s="133"/>
      <c r="ANO15" s="133"/>
      <c r="ANP15" s="133"/>
      <c r="ANQ15" s="133"/>
      <c r="ANR15" s="133"/>
      <c r="ANS15" s="133"/>
      <c r="ANT15" s="133"/>
      <c r="ANU15" s="133"/>
      <c r="ANV15" s="133"/>
      <c r="ANW15" s="133"/>
      <c r="ANX15" s="133"/>
      <c r="ANY15" s="133"/>
      <c r="ANZ15" s="133"/>
      <c r="AOA15" s="133"/>
      <c r="AOB15" s="133"/>
      <c r="AOC15" s="133"/>
      <c r="AOD15" s="133"/>
      <c r="AOE15" s="133"/>
      <c r="AOF15" s="133"/>
      <c r="AOG15" s="133"/>
      <c r="AOH15" s="133"/>
      <c r="AOI15" s="133"/>
      <c r="AOJ15" s="133"/>
      <c r="AOK15" s="133"/>
      <c r="AOL15" s="133"/>
      <c r="AOM15" s="133"/>
      <c r="AON15" s="133"/>
      <c r="AOO15" s="133"/>
      <c r="AOP15" s="133"/>
      <c r="AOQ15" s="133"/>
      <c r="AOR15" s="133"/>
      <c r="AOS15" s="133"/>
      <c r="AOT15" s="133"/>
      <c r="AOU15" s="133"/>
      <c r="AOV15" s="133"/>
      <c r="AOW15" s="133"/>
      <c r="AOX15" s="133"/>
      <c r="AOY15" s="133"/>
      <c r="AOZ15" s="133"/>
      <c r="APA15" s="133"/>
      <c r="APB15" s="133"/>
      <c r="APC15" s="133"/>
      <c r="APD15" s="133"/>
      <c r="APE15" s="133"/>
      <c r="APF15" s="133"/>
      <c r="APG15" s="133"/>
      <c r="APH15" s="133"/>
      <c r="API15" s="133"/>
      <c r="APJ15" s="133"/>
      <c r="APK15" s="133"/>
      <c r="APL15" s="133"/>
      <c r="APM15" s="133"/>
      <c r="APN15" s="133"/>
      <c r="APO15" s="133"/>
      <c r="APP15" s="133"/>
      <c r="APQ15" s="133"/>
      <c r="APR15" s="133"/>
      <c r="APS15" s="133"/>
      <c r="APT15" s="133"/>
      <c r="APU15" s="133"/>
      <c r="APV15" s="133"/>
      <c r="APW15" s="133"/>
      <c r="APX15" s="133"/>
      <c r="APY15" s="133"/>
      <c r="APZ15" s="133"/>
      <c r="AQA15" s="133"/>
      <c r="AQB15" s="133"/>
      <c r="AQC15" s="133"/>
      <c r="AQD15" s="133"/>
      <c r="AQE15" s="133"/>
      <c r="AQF15" s="133"/>
      <c r="AQG15" s="133"/>
      <c r="AQH15" s="133"/>
      <c r="AQI15" s="133"/>
      <c r="AQJ15" s="133"/>
      <c r="AQK15" s="133"/>
      <c r="AQL15" s="133"/>
      <c r="AQM15" s="133"/>
      <c r="AQN15" s="133"/>
      <c r="AQO15" s="133"/>
      <c r="AQP15" s="133"/>
      <c r="AQQ15" s="133"/>
      <c r="AQR15" s="133"/>
      <c r="AQS15" s="133"/>
      <c r="AQT15" s="133"/>
      <c r="AQU15" s="133"/>
      <c r="AQV15" s="133"/>
      <c r="AQW15" s="133"/>
      <c r="AQX15" s="133"/>
      <c r="AQY15" s="133"/>
      <c r="AQZ15" s="133"/>
      <c r="ARA15" s="133"/>
      <c r="ARB15" s="133"/>
      <c r="ARC15" s="133"/>
      <c r="ARD15" s="133"/>
      <c r="ARE15" s="133"/>
      <c r="ARF15" s="133"/>
      <c r="ARG15" s="133"/>
      <c r="ARH15" s="133"/>
      <c r="ARI15" s="133"/>
      <c r="ARJ15" s="133"/>
      <c r="ARK15" s="133"/>
      <c r="ARL15" s="133"/>
      <c r="ARM15" s="133"/>
      <c r="ARN15" s="133"/>
      <c r="ARO15" s="133"/>
      <c r="ARP15" s="133"/>
      <c r="ARQ15" s="133"/>
      <c r="ARR15" s="133"/>
      <c r="ARS15" s="133"/>
      <c r="ART15" s="133"/>
      <c r="ARU15" s="133"/>
      <c r="ARV15" s="133"/>
      <c r="ARW15" s="133"/>
      <c r="ARX15" s="133"/>
      <c r="ARY15" s="133"/>
      <c r="ARZ15" s="133"/>
      <c r="ASA15" s="133"/>
      <c r="ASB15" s="133"/>
      <c r="ASC15" s="133"/>
      <c r="ASD15" s="133"/>
      <c r="ASE15" s="133"/>
      <c r="ASF15" s="133"/>
      <c r="ASG15" s="133"/>
      <c r="ASH15" s="133"/>
      <c r="ASI15" s="133"/>
      <c r="ASJ15" s="133"/>
      <c r="ASK15" s="133"/>
      <c r="ASL15" s="133"/>
      <c r="ASM15" s="133"/>
      <c r="ASN15" s="133"/>
      <c r="ASO15" s="133"/>
      <c r="ASP15" s="133"/>
      <c r="ASQ15" s="133"/>
      <c r="ASR15" s="133"/>
      <c r="ASS15" s="133"/>
      <c r="AST15" s="133"/>
      <c r="ASU15" s="133"/>
      <c r="ASV15" s="133"/>
      <c r="ASW15" s="133"/>
      <c r="ASX15" s="133"/>
      <c r="ASY15" s="133"/>
      <c r="ASZ15" s="133"/>
      <c r="ATA15" s="133"/>
      <c r="ATB15" s="133"/>
      <c r="ATC15" s="133"/>
      <c r="ATD15" s="133"/>
      <c r="ATE15" s="133"/>
      <c r="ATF15" s="133"/>
      <c r="ATG15" s="133"/>
      <c r="ATH15" s="133"/>
      <c r="ATI15" s="133"/>
      <c r="ATJ15" s="133"/>
      <c r="ATK15" s="133"/>
      <c r="ATL15" s="133"/>
      <c r="ATM15" s="133"/>
      <c r="ATN15" s="133"/>
      <c r="ATO15" s="133"/>
      <c r="ATP15" s="133"/>
      <c r="ATQ15" s="133"/>
      <c r="ATR15" s="133"/>
      <c r="ATS15" s="133"/>
      <c r="ATT15" s="133"/>
      <c r="ATU15" s="133"/>
      <c r="ATV15" s="133"/>
      <c r="ATW15" s="133"/>
      <c r="ATX15" s="133"/>
      <c r="ATY15" s="133"/>
      <c r="ATZ15" s="133"/>
      <c r="AUA15" s="133"/>
      <c r="AUB15" s="133"/>
      <c r="AUC15" s="133"/>
      <c r="AUD15" s="133"/>
      <c r="AUE15" s="133"/>
      <c r="AUF15" s="133"/>
      <c r="AUG15" s="133"/>
      <c r="AUH15" s="133"/>
      <c r="AUI15" s="133"/>
      <c r="AUJ15" s="133"/>
      <c r="AUK15" s="133"/>
      <c r="AUL15" s="133"/>
      <c r="AUM15" s="133"/>
      <c r="AUN15" s="133"/>
      <c r="AUO15" s="133"/>
      <c r="AUP15" s="133"/>
      <c r="AUQ15" s="133"/>
      <c r="AUR15" s="133"/>
      <c r="AUS15" s="133"/>
      <c r="AUT15" s="133"/>
      <c r="AUU15" s="133"/>
      <c r="AUV15" s="133"/>
      <c r="AUW15" s="133"/>
      <c r="AUX15" s="133"/>
      <c r="AUY15" s="133"/>
      <c r="AUZ15" s="133"/>
      <c r="AVA15" s="133"/>
      <c r="AVB15" s="133"/>
      <c r="AVC15" s="133"/>
      <c r="AVD15" s="133"/>
      <c r="AVE15" s="133"/>
      <c r="AVF15" s="133"/>
      <c r="AVG15" s="133"/>
      <c r="AVH15" s="133"/>
      <c r="AVI15" s="133"/>
      <c r="AVJ15" s="133"/>
      <c r="AVK15" s="133"/>
      <c r="AVL15" s="133"/>
      <c r="AVM15" s="133"/>
      <c r="AVN15" s="133"/>
      <c r="AVO15" s="133"/>
      <c r="AVP15" s="133"/>
      <c r="AVQ15" s="133"/>
      <c r="AVR15" s="133"/>
      <c r="AVS15" s="133"/>
      <c r="AVT15" s="133"/>
      <c r="AVU15" s="133"/>
      <c r="AVV15" s="133"/>
      <c r="AVW15" s="133"/>
      <c r="AVX15" s="133"/>
      <c r="AVY15" s="133"/>
      <c r="AVZ15" s="133"/>
      <c r="AWA15" s="133"/>
      <c r="AWB15" s="133"/>
      <c r="AWC15" s="133"/>
      <c r="AWD15" s="133"/>
      <c r="AWE15" s="133"/>
      <c r="AWF15" s="133"/>
      <c r="AWG15" s="133"/>
      <c r="AWH15" s="133"/>
      <c r="AWI15" s="133"/>
      <c r="AWJ15" s="133"/>
      <c r="AWK15" s="133"/>
      <c r="AWL15" s="133"/>
      <c r="AWM15" s="133"/>
      <c r="AWN15" s="133"/>
      <c r="AWO15" s="133"/>
      <c r="AWP15" s="133"/>
      <c r="AWQ15" s="133"/>
      <c r="AWR15" s="133"/>
      <c r="AWS15" s="133"/>
      <c r="AWT15" s="133"/>
      <c r="AWU15" s="133"/>
      <c r="AWV15" s="133"/>
      <c r="AWW15" s="133"/>
      <c r="AWX15" s="133"/>
      <c r="AWY15" s="133"/>
      <c r="AWZ15" s="133"/>
      <c r="AXA15" s="133"/>
      <c r="AXB15" s="133"/>
      <c r="AXC15" s="133"/>
      <c r="AXD15" s="133"/>
      <c r="AXE15" s="133"/>
      <c r="AXF15" s="133"/>
      <c r="AXG15" s="133"/>
      <c r="AXH15" s="133"/>
      <c r="AXI15" s="133"/>
      <c r="AXJ15" s="133"/>
      <c r="AXK15" s="133"/>
      <c r="AXL15" s="133"/>
      <c r="AXM15" s="133"/>
      <c r="AXN15" s="133"/>
      <c r="AXO15" s="133"/>
      <c r="AXP15" s="133"/>
      <c r="AXQ15" s="133"/>
      <c r="AXR15" s="133"/>
      <c r="AXS15" s="133"/>
      <c r="AXT15" s="133"/>
      <c r="AXU15" s="133"/>
      <c r="AXV15" s="133"/>
      <c r="AXW15" s="133"/>
      <c r="AXX15" s="133"/>
      <c r="AXY15" s="133"/>
      <c r="AXZ15" s="133"/>
      <c r="AYA15" s="133"/>
      <c r="AYB15" s="133"/>
      <c r="AYC15" s="133"/>
      <c r="AYD15" s="133"/>
      <c r="AYE15" s="133"/>
      <c r="AYF15" s="133"/>
      <c r="AYG15" s="133"/>
      <c r="AYH15" s="133"/>
      <c r="AYI15" s="133"/>
      <c r="AYJ15" s="133"/>
      <c r="AYK15" s="133"/>
      <c r="AYL15" s="133"/>
      <c r="AYM15" s="133"/>
      <c r="AYN15" s="133"/>
      <c r="AYO15" s="133"/>
      <c r="AYP15" s="133"/>
      <c r="AYQ15" s="133"/>
      <c r="AYR15" s="133"/>
      <c r="AYS15" s="133"/>
      <c r="AYT15" s="133"/>
      <c r="AYU15" s="133"/>
      <c r="AYV15" s="133"/>
      <c r="AYW15" s="133"/>
      <c r="AYX15" s="133"/>
      <c r="AYY15" s="133"/>
      <c r="AYZ15" s="133"/>
      <c r="AZA15" s="133"/>
      <c r="AZB15" s="133"/>
      <c r="AZC15" s="133"/>
      <c r="AZD15" s="133"/>
      <c r="AZE15" s="133"/>
      <c r="AZF15" s="133"/>
      <c r="AZG15" s="133"/>
      <c r="AZH15" s="133"/>
      <c r="AZI15" s="133"/>
      <c r="AZJ15" s="133"/>
      <c r="AZK15" s="133"/>
      <c r="AZL15" s="133"/>
      <c r="AZM15" s="133"/>
      <c r="AZN15" s="133"/>
      <c r="AZO15" s="133"/>
      <c r="AZP15" s="133"/>
      <c r="AZQ15" s="133"/>
      <c r="AZR15" s="133"/>
      <c r="AZS15" s="133"/>
      <c r="AZT15" s="133"/>
      <c r="AZU15" s="133"/>
      <c r="AZV15" s="133"/>
      <c r="AZW15" s="133"/>
      <c r="AZX15" s="133"/>
      <c r="AZY15" s="133"/>
      <c r="AZZ15" s="133"/>
      <c r="BAA15" s="133"/>
      <c r="BAB15" s="133"/>
      <c r="BAC15" s="133"/>
      <c r="BAD15" s="133"/>
      <c r="BAE15" s="133"/>
      <c r="BAF15" s="133"/>
      <c r="BAG15" s="133"/>
      <c r="BAH15" s="133"/>
      <c r="BAI15" s="133"/>
      <c r="BAJ15" s="133"/>
      <c r="BAK15" s="133"/>
      <c r="BAL15" s="133"/>
      <c r="BAM15" s="133"/>
      <c r="BAN15" s="133"/>
      <c r="BAO15" s="133"/>
      <c r="BAP15" s="133"/>
      <c r="BAQ15" s="133"/>
      <c r="BAR15" s="133"/>
      <c r="BAS15" s="133"/>
      <c r="BAT15" s="133"/>
      <c r="BAU15" s="133"/>
      <c r="BAV15" s="133"/>
      <c r="BAW15" s="133"/>
      <c r="BAX15" s="133"/>
      <c r="BAY15" s="133"/>
      <c r="BAZ15" s="133"/>
      <c r="BBA15" s="133"/>
      <c r="BBB15" s="133"/>
      <c r="BBC15" s="133"/>
      <c r="BBD15" s="133"/>
      <c r="BBE15" s="133"/>
      <c r="BBF15" s="133"/>
      <c r="BBG15" s="133"/>
      <c r="BBH15" s="133"/>
      <c r="BBI15" s="133"/>
      <c r="BBJ15" s="133"/>
      <c r="BBK15" s="133"/>
      <c r="BBL15" s="133"/>
      <c r="BBM15" s="133"/>
      <c r="BBN15" s="133"/>
      <c r="BBO15" s="133"/>
      <c r="BBP15" s="133"/>
      <c r="BBQ15" s="133"/>
      <c r="BBR15" s="133"/>
      <c r="BBS15" s="133"/>
      <c r="BBT15" s="133"/>
      <c r="BBU15" s="133"/>
      <c r="BBV15" s="133"/>
      <c r="BBW15" s="133"/>
      <c r="BBX15" s="133"/>
      <c r="BBY15" s="133"/>
      <c r="BBZ15" s="133"/>
      <c r="BCA15" s="133"/>
      <c r="BCB15" s="133"/>
      <c r="BCC15" s="133"/>
      <c r="BCD15" s="133"/>
      <c r="BCE15" s="133"/>
      <c r="BCF15" s="133"/>
      <c r="BCG15" s="133"/>
      <c r="BCH15" s="133"/>
      <c r="BCI15" s="133"/>
      <c r="BCJ15" s="133"/>
      <c r="BCK15" s="133"/>
      <c r="BCL15" s="133"/>
      <c r="BCM15" s="133"/>
      <c r="BCN15" s="133"/>
      <c r="BCO15" s="133"/>
      <c r="BCP15" s="133"/>
      <c r="BCQ15" s="133"/>
      <c r="BCR15" s="133"/>
      <c r="BCS15" s="133"/>
      <c r="BCT15" s="133"/>
      <c r="BCU15" s="133"/>
      <c r="BCV15" s="133"/>
      <c r="BCW15" s="133"/>
      <c r="BCX15" s="133"/>
      <c r="BCY15" s="133"/>
      <c r="BCZ15" s="133"/>
      <c r="BDA15" s="133"/>
      <c r="BDB15" s="133"/>
      <c r="BDC15" s="133"/>
      <c r="BDD15" s="133"/>
      <c r="BDE15" s="133"/>
      <c r="BDF15" s="133"/>
      <c r="BDG15" s="133"/>
      <c r="BDH15" s="133"/>
      <c r="BDI15" s="133"/>
      <c r="BDJ15" s="133"/>
      <c r="BDK15" s="133"/>
      <c r="BDL15" s="133"/>
      <c r="BDM15" s="133"/>
      <c r="BDN15" s="133"/>
      <c r="BDO15" s="133"/>
      <c r="BDP15" s="133"/>
      <c r="BDQ15" s="133"/>
      <c r="BDR15" s="133"/>
      <c r="BDS15" s="133"/>
      <c r="BDT15" s="133"/>
      <c r="BDU15" s="133"/>
      <c r="BDV15" s="133"/>
      <c r="BDW15" s="133"/>
      <c r="BDX15" s="133"/>
      <c r="BDY15" s="133"/>
      <c r="BDZ15" s="133"/>
      <c r="BEA15" s="133"/>
      <c r="BEB15" s="133"/>
      <c r="BEC15" s="133"/>
      <c r="BED15" s="133"/>
      <c r="BEE15" s="133"/>
      <c r="BEF15" s="133"/>
      <c r="BEG15" s="133"/>
      <c r="BEH15" s="133"/>
      <c r="BEI15" s="133"/>
      <c r="BEJ15" s="133"/>
      <c r="BEK15" s="133"/>
      <c r="BEL15" s="133"/>
      <c r="BEM15" s="133"/>
      <c r="BEN15" s="133"/>
      <c r="BEO15" s="133"/>
      <c r="BEP15" s="133"/>
      <c r="BEQ15" s="133"/>
      <c r="BER15" s="133"/>
      <c r="BES15" s="133"/>
      <c r="BET15" s="133"/>
      <c r="BEU15" s="133"/>
      <c r="BEV15" s="133"/>
      <c r="BEW15" s="133"/>
      <c r="BEX15" s="133"/>
      <c r="BEY15" s="133"/>
      <c r="BEZ15" s="133"/>
      <c r="BFA15" s="133"/>
      <c r="BFB15" s="133"/>
      <c r="BFC15" s="133"/>
      <c r="BFD15" s="133"/>
      <c r="BFE15" s="133"/>
      <c r="BFF15" s="133"/>
      <c r="BFG15" s="133"/>
      <c r="BFH15" s="133"/>
      <c r="BFI15" s="133"/>
      <c r="BFJ15" s="133"/>
      <c r="BFK15" s="133"/>
      <c r="BFL15" s="133"/>
      <c r="BFM15" s="133"/>
      <c r="BFN15" s="133"/>
      <c r="BFO15" s="133"/>
      <c r="BFP15" s="133"/>
      <c r="BFQ15" s="133"/>
      <c r="BFR15" s="133"/>
      <c r="BFS15" s="133"/>
      <c r="BFT15" s="133"/>
      <c r="BFU15" s="133"/>
      <c r="BFV15" s="133"/>
      <c r="BFW15" s="133"/>
      <c r="BFX15" s="133"/>
      <c r="BFY15" s="133"/>
      <c r="BFZ15" s="133"/>
      <c r="BGA15" s="133"/>
      <c r="BGB15" s="133"/>
      <c r="BGC15" s="133"/>
      <c r="BGD15" s="133"/>
      <c r="BGE15" s="133"/>
      <c r="BGF15" s="133"/>
      <c r="BGG15" s="133"/>
      <c r="BGH15" s="133"/>
      <c r="BGI15" s="133"/>
      <c r="BGJ15" s="133"/>
      <c r="BGK15" s="133"/>
      <c r="BGL15" s="133"/>
      <c r="BGM15" s="133"/>
      <c r="BGN15" s="133"/>
      <c r="BGO15" s="133"/>
      <c r="BGP15" s="133"/>
      <c r="BGQ15" s="133"/>
      <c r="BGR15" s="133"/>
      <c r="BGS15" s="133"/>
      <c r="BGT15" s="133"/>
      <c r="BGU15" s="133"/>
      <c r="BGV15" s="133"/>
      <c r="BGW15" s="133"/>
      <c r="BGX15" s="133"/>
      <c r="BGY15" s="133"/>
      <c r="BGZ15" s="133"/>
      <c r="BHA15" s="133"/>
      <c r="BHB15" s="133"/>
      <c r="BHC15" s="133"/>
      <c r="BHD15" s="133"/>
      <c r="BHE15" s="133"/>
      <c r="BHF15" s="133"/>
      <c r="BHG15" s="133"/>
      <c r="BHH15" s="133"/>
      <c r="BHI15" s="133"/>
      <c r="BHJ15" s="133"/>
      <c r="BHK15" s="133"/>
      <c r="BHL15" s="133"/>
      <c r="BHM15" s="133"/>
      <c r="BHN15" s="133"/>
      <c r="BHO15" s="133"/>
      <c r="BHP15" s="133"/>
      <c r="BHQ15" s="133"/>
      <c r="BHR15" s="133"/>
      <c r="BHS15" s="133"/>
      <c r="BHT15" s="133"/>
      <c r="BHU15" s="133"/>
      <c r="BHV15" s="133"/>
      <c r="BHW15" s="133"/>
      <c r="BHX15" s="133"/>
      <c r="BHY15" s="133"/>
      <c r="BHZ15" s="133"/>
      <c r="BIA15" s="133"/>
      <c r="BIB15" s="133"/>
      <c r="BIC15" s="133"/>
      <c r="BID15" s="133"/>
      <c r="BIE15" s="133"/>
      <c r="BIF15" s="133"/>
      <c r="BIG15" s="133"/>
      <c r="BIH15" s="133"/>
      <c r="BII15" s="133"/>
      <c r="BIJ15" s="133"/>
      <c r="BIK15" s="133"/>
      <c r="BIL15" s="133"/>
      <c r="BIM15" s="133"/>
      <c r="BIN15" s="133"/>
      <c r="BIO15" s="133"/>
      <c r="BIP15" s="133"/>
      <c r="BIQ15" s="133"/>
      <c r="BIR15" s="133"/>
      <c r="BIS15" s="133"/>
      <c r="BIT15" s="133"/>
      <c r="BIU15" s="133"/>
      <c r="BIV15" s="133"/>
      <c r="BIW15" s="133"/>
      <c r="BIX15" s="133"/>
      <c r="BIY15" s="133"/>
      <c r="BIZ15" s="133"/>
      <c r="BJA15" s="133"/>
      <c r="BJB15" s="133"/>
      <c r="BJC15" s="133"/>
      <c r="BJD15" s="133"/>
      <c r="BJE15" s="133"/>
      <c r="BJF15" s="133"/>
      <c r="BJG15" s="133"/>
      <c r="BJH15" s="133"/>
      <c r="BJI15" s="133"/>
      <c r="BJJ15" s="133"/>
      <c r="BJK15" s="133"/>
      <c r="BJL15" s="133"/>
      <c r="BJM15" s="133"/>
      <c r="BJN15" s="133"/>
      <c r="BJO15" s="133"/>
      <c r="BJP15" s="133"/>
      <c r="BJQ15" s="133"/>
      <c r="BJR15" s="133"/>
      <c r="BJS15" s="133"/>
      <c r="BJT15" s="133"/>
      <c r="BJU15" s="133"/>
      <c r="BJV15" s="133"/>
      <c r="BJW15" s="133"/>
      <c r="BJX15" s="133"/>
      <c r="BJY15" s="133"/>
      <c r="BJZ15" s="133"/>
      <c r="BKA15" s="133"/>
      <c r="BKB15" s="133"/>
      <c r="BKC15" s="133"/>
      <c r="BKD15" s="133"/>
      <c r="BKE15" s="133"/>
      <c r="BKF15" s="133"/>
      <c r="BKG15" s="133"/>
      <c r="BKH15" s="133"/>
      <c r="BKI15" s="133"/>
      <c r="BKJ15" s="133"/>
      <c r="BKK15" s="133"/>
      <c r="BKL15" s="133"/>
      <c r="BKM15" s="133"/>
      <c r="BKN15" s="133"/>
      <c r="BKO15" s="133"/>
      <c r="BKP15" s="133"/>
      <c r="BKQ15" s="133"/>
      <c r="BKR15" s="133"/>
      <c r="BKS15" s="133"/>
      <c r="BKT15" s="133"/>
      <c r="BKU15" s="133"/>
      <c r="BKV15" s="133"/>
      <c r="BKW15" s="133"/>
      <c r="BKX15" s="133"/>
      <c r="BKY15" s="133"/>
      <c r="BKZ15" s="133"/>
      <c r="BLA15" s="133"/>
      <c r="BLB15" s="133"/>
      <c r="BLC15" s="133"/>
      <c r="BLD15" s="133"/>
      <c r="BLE15" s="133"/>
      <c r="BLF15" s="133"/>
      <c r="BLG15" s="133"/>
      <c r="BLH15" s="133"/>
      <c r="BLI15" s="133"/>
      <c r="BLJ15" s="133"/>
      <c r="BLK15" s="133"/>
      <c r="BLL15" s="133"/>
      <c r="BLM15" s="133"/>
      <c r="BLN15" s="133"/>
      <c r="BLO15" s="133"/>
      <c r="BLP15" s="133"/>
      <c r="BLQ15" s="133"/>
      <c r="BLR15" s="133"/>
      <c r="BLS15" s="133"/>
      <c r="BLT15" s="133"/>
      <c r="BLU15" s="133"/>
      <c r="BLV15" s="133"/>
      <c r="BLW15" s="133"/>
      <c r="BLX15" s="133"/>
      <c r="BLY15" s="133"/>
      <c r="BLZ15" s="133"/>
      <c r="BMA15" s="133"/>
      <c r="BMB15" s="133"/>
      <c r="BMC15" s="133"/>
      <c r="BMD15" s="133"/>
      <c r="BME15" s="133"/>
      <c r="BMF15" s="133"/>
      <c r="BMG15" s="133"/>
      <c r="BMH15" s="133"/>
      <c r="BMI15" s="133"/>
      <c r="BMJ15" s="133"/>
      <c r="BMK15" s="133"/>
      <c r="BML15" s="133"/>
      <c r="BMM15" s="133"/>
      <c r="BMN15" s="133"/>
      <c r="BMO15" s="133"/>
      <c r="BMP15" s="133"/>
      <c r="BMQ15" s="133"/>
      <c r="BMR15" s="133"/>
      <c r="BMS15" s="133"/>
      <c r="BMT15" s="133"/>
      <c r="BMU15" s="133"/>
      <c r="BMV15" s="133"/>
      <c r="BMW15" s="133"/>
      <c r="BMX15" s="133"/>
      <c r="BMY15" s="133"/>
      <c r="BMZ15" s="133"/>
      <c r="BNA15" s="133"/>
      <c r="BNB15" s="133"/>
      <c r="BNC15" s="133"/>
      <c r="BND15" s="133"/>
      <c r="BNE15" s="133"/>
      <c r="BNF15" s="133"/>
      <c r="BNG15" s="133"/>
      <c r="BNH15" s="133"/>
      <c r="BNI15" s="133"/>
      <c r="BNJ15" s="133"/>
      <c r="BNK15" s="133"/>
      <c r="BNL15" s="133"/>
      <c r="BNM15" s="133"/>
      <c r="BNN15" s="133"/>
      <c r="BNO15" s="133"/>
      <c r="BNP15" s="133"/>
      <c r="BNQ15" s="133"/>
      <c r="BNR15" s="133"/>
      <c r="BNS15" s="133"/>
      <c r="BNT15" s="133"/>
      <c r="BNU15" s="133"/>
      <c r="BNV15" s="133"/>
      <c r="BNW15" s="133"/>
      <c r="BNX15" s="133"/>
      <c r="BNY15" s="133"/>
      <c r="BNZ15" s="133"/>
      <c r="BOA15" s="133"/>
      <c r="BOB15" s="133"/>
      <c r="BOC15" s="133"/>
      <c r="BOD15" s="133"/>
      <c r="BOE15" s="133"/>
      <c r="BOF15" s="133"/>
      <c r="BOG15" s="133"/>
      <c r="BOH15" s="133"/>
      <c r="BOI15" s="133"/>
      <c r="BOJ15" s="133"/>
      <c r="BOK15" s="133"/>
      <c r="BOL15" s="133"/>
      <c r="BOM15" s="133"/>
      <c r="BON15" s="133"/>
      <c r="BOO15" s="133"/>
      <c r="BOP15" s="133"/>
      <c r="BOQ15" s="133"/>
      <c r="BOR15" s="133"/>
      <c r="BOS15" s="133"/>
      <c r="BOT15" s="133"/>
      <c r="BOU15" s="133"/>
      <c r="BOV15" s="133"/>
      <c r="BOW15" s="133"/>
      <c r="BOX15" s="133"/>
      <c r="BOY15" s="133"/>
      <c r="BOZ15" s="133"/>
      <c r="BPA15" s="133"/>
      <c r="BPB15" s="133"/>
      <c r="BPC15" s="133"/>
      <c r="BPD15" s="133"/>
      <c r="BPE15" s="133"/>
      <c r="BPF15" s="133"/>
      <c r="BPG15" s="133"/>
      <c r="BPH15" s="133"/>
      <c r="BPI15" s="133"/>
      <c r="BPJ15" s="133"/>
      <c r="BPK15" s="133"/>
      <c r="BPL15" s="133"/>
      <c r="BPM15" s="133"/>
      <c r="BPN15" s="133"/>
      <c r="BPO15" s="133"/>
      <c r="BPP15" s="133"/>
      <c r="BPQ15" s="133"/>
      <c r="BPR15" s="133"/>
      <c r="BPS15" s="133"/>
      <c r="BPT15" s="133"/>
      <c r="BPU15" s="133"/>
      <c r="BPV15" s="133"/>
      <c r="BPW15" s="133"/>
      <c r="BPX15" s="133"/>
      <c r="BPY15" s="133"/>
      <c r="BPZ15" s="133"/>
      <c r="BQA15" s="133"/>
      <c r="BQB15" s="133"/>
      <c r="BQC15" s="133"/>
      <c r="BQD15" s="133"/>
      <c r="BQE15" s="133"/>
      <c r="BQF15" s="133"/>
      <c r="BQG15" s="133"/>
      <c r="BQH15" s="133"/>
      <c r="BQI15" s="133"/>
      <c r="BQJ15" s="133"/>
      <c r="BQK15" s="133"/>
      <c r="BQL15" s="133"/>
      <c r="BQM15" s="133"/>
      <c r="BQN15" s="133"/>
      <c r="BQO15" s="133"/>
      <c r="BQP15" s="133"/>
      <c r="BQQ15" s="133"/>
      <c r="BQR15" s="133"/>
      <c r="BQS15" s="133"/>
      <c r="BQT15" s="133"/>
      <c r="BQU15" s="133"/>
      <c r="BQV15" s="133"/>
      <c r="BQW15" s="133"/>
      <c r="BQX15" s="133"/>
      <c r="BQY15" s="133"/>
      <c r="BQZ15" s="133"/>
      <c r="BRA15" s="133"/>
      <c r="BRB15" s="133"/>
      <c r="BRC15" s="133"/>
      <c r="BRD15" s="133"/>
      <c r="BRE15" s="133"/>
      <c r="BRF15" s="133"/>
      <c r="BRG15" s="133"/>
      <c r="BRH15" s="133"/>
      <c r="BRI15" s="133"/>
      <c r="BRJ15" s="133"/>
      <c r="BRK15" s="133"/>
      <c r="BRL15" s="133"/>
      <c r="BRM15" s="133"/>
      <c r="BRN15" s="133"/>
      <c r="BRO15" s="133"/>
      <c r="BRP15" s="133"/>
      <c r="BRQ15" s="133"/>
      <c r="BRR15" s="133"/>
      <c r="BRS15" s="133"/>
      <c r="BRT15" s="133"/>
      <c r="BRU15" s="133"/>
      <c r="BRV15" s="133"/>
      <c r="BRW15" s="133"/>
      <c r="BRX15" s="133"/>
      <c r="BRY15" s="133"/>
      <c r="BRZ15" s="133"/>
      <c r="BSA15" s="133"/>
      <c r="BSB15" s="133"/>
      <c r="BSC15" s="133"/>
      <c r="BSD15" s="133"/>
      <c r="BSE15" s="133"/>
      <c r="BSF15" s="133"/>
      <c r="BSG15" s="133"/>
      <c r="BSH15" s="133"/>
      <c r="BSI15" s="133"/>
      <c r="BSJ15" s="133"/>
      <c r="BSK15" s="133"/>
      <c r="BSL15" s="133"/>
      <c r="BSM15" s="133"/>
      <c r="BSN15" s="133"/>
      <c r="BSO15" s="133"/>
      <c r="BSP15" s="133"/>
      <c r="BSQ15" s="133"/>
      <c r="BSR15" s="133"/>
      <c r="BSS15" s="133"/>
      <c r="BST15" s="133"/>
      <c r="BSU15" s="133"/>
      <c r="BSV15" s="133"/>
      <c r="BSW15" s="133"/>
      <c r="BSX15" s="133"/>
      <c r="BSY15" s="133"/>
      <c r="BSZ15" s="133"/>
      <c r="BTA15" s="133"/>
      <c r="BTB15" s="133"/>
      <c r="BTC15" s="133"/>
      <c r="BTD15" s="133"/>
      <c r="BTE15" s="133"/>
      <c r="BTF15" s="133"/>
      <c r="BTG15" s="133"/>
      <c r="BTH15" s="133"/>
      <c r="BTI15" s="133"/>
      <c r="BTJ15" s="133"/>
      <c r="BTK15" s="133"/>
      <c r="BTL15" s="133"/>
      <c r="BTM15" s="133"/>
      <c r="BTN15" s="133"/>
      <c r="BTO15" s="133"/>
      <c r="BTP15" s="133"/>
      <c r="BTQ15" s="133"/>
      <c r="BTR15" s="133"/>
      <c r="BTS15" s="133"/>
      <c r="BTT15" s="133"/>
      <c r="BTU15" s="133"/>
      <c r="BTV15" s="133"/>
      <c r="BTW15" s="133"/>
      <c r="BTX15" s="133"/>
      <c r="BTY15" s="133"/>
      <c r="BTZ15" s="133"/>
      <c r="BUA15" s="133"/>
      <c r="BUB15" s="133"/>
      <c r="BUC15" s="133"/>
      <c r="BUD15" s="133"/>
      <c r="BUE15" s="133"/>
      <c r="BUF15" s="133"/>
      <c r="BUG15" s="133"/>
      <c r="BUH15" s="133"/>
      <c r="BUI15" s="133"/>
      <c r="BUJ15" s="133"/>
      <c r="BUK15" s="133"/>
      <c r="BUL15" s="133"/>
      <c r="BUM15" s="133"/>
      <c r="BUN15" s="133"/>
      <c r="BUO15" s="133"/>
      <c r="BUP15" s="133"/>
      <c r="BUQ15" s="133"/>
      <c r="BUR15" s="133"/>
      <c r="BUS15" s="133"/>
      <c r="BUT15" s="133"/>
      <c r="BUU15" s="133"/>
      <c r="BUV15" s="133"/>
      <c r="BUW15" s="133"/>
      <c r="BUX15" s="133"/>
      <c r="BUY15" s="133"/>
      <c r="BUZ15" s="133"/>
      <c r="BVA15" s="133"/>
      <c r="BVB15" s="133"/>
      <c r="BVC15" s="133"/>
      <c r="BVD15" s="133"/>
      <c r="BVE15" s="133"/>
      <c r="BVF15" s="133"/>
      <c r="BVG15" s="133"/>
      <c r="BVH15" s="133"/>
      <c r="BVI15" s="133"/>
      <c r="BVJ15" s="133"/>
      <c r="BVK15" s="133"/>
      <c r="BVL15" s="133"/>
      <c r="BVM15" s="133"/>
      <c r="BVN15" s="133"/>
      <c r="BVO15" s="133"/>
      <c r="BVP15" s="133"/>
      <c r="BVQ15" s="133"/>
      <c r="BVR15" s="133"/>
      <c r="BVS15" s="133"/>
      <c r="BVT15" s="133"/>
      <c r="BVU15" s="133"/>
      <c r="BVV15" s="133"/>
      <c r="BVW15" s="133"/>
      <c r="BVX15" s="133"/>
      <c r="BVY15" s="133"/>
      <c r="BVZ15" s="133"/>
      <c r="BWA15" s="133"/>
      <c r="BWB15" s="133"/>
      <c r="BWC15" s="133"/>
      <c r="BWD15" s="133"/>
      <c r="BWE15" s="133"/>
      <c r="BWF15" s="133"/>
      <c r="BWG15" s="133"/>
      <c r="BWH15" s="133"/>
      <c r="BWI15" s="133"/>
      <c r="BWJ15" s="133"/>
      <c r="BWK15" s="133"/>
      <c r="BWL15" s="133"/>
      <c r="BWM15" s="133"/>
      <c r="BWN15" s="133"/>
      <c r="BWO15" s="133"/>
      <c r="BWP15" s="133"/>
      <c r="BWQ15" s="133"/>
      <c r="BWR15" s="133"/>
      <c r="BWS15" s="133"/>
      <c r="BWT15" s="133"/>
      <c r="BWU15" s="133"/>
      <c r="BWV15" s="133"/>
      <c r="BWW15" s="133"/>
      <c r="BWX15" s="133"/>
      <c r="BWY15" s="133"/>
      <c r="BWZ15" s="133"/>
      <c r="BXA15" s="133"/>
      <c r="BXB15" s="133"/>
      <c r="BXC15" s="133"/>
      <c r="BXD15" s="133"/>
      <c r="BXE15" s="133"/>
      <c r="BXF15" s="133"/>
      <c r="BXG15" s="133"/>
      <c r="BXH15" s="133"/>
      <c r="BXI15" s="133"/>
      <c r="BXJ15" s="133"/>
      <c r="BXK15" s="133"/>
      <c r="BXL15" s="133"/>
      <c r="BXM15" s="133"/>
      <c r="BXN15" s="133"/>
      <c r="BXO15" s="133"/>
      <c r="BXP15" s="133"/>
      <c r="BXQ15" s="133"/>
      <c r="BXR15" s="133"/>
      <c r="BXS15" s="133"/>
      <c r="BXT15" s="133"/>
      <c r="BXU15" s="133"/>
      <c r="BXV15" s="133"/>
      <c r="BXW15" s="133"/>
      <c r="BXX15" s="133"/>
      <c r="BXY15" s="133"/>
      <c r="BXZ15" s="133"/>
      <c r="BYA15" s="133"/>
      <c r="BYB15" s="133"/>
      <c r="BYC15" s="133"/>
      <c r="BYD15" s="133"/>
      <c r="BYE15" s="133"/>
      <c r="BYF15" s="133"/>
      <c r="BYG15" s="133"/>
      <c r="BYH15" s="133"/>
      <c r="BYI15" s="133"/>
      <c r="BYJ15" s="133"/>
      <c r="BYK15" s="133"/>
      <c r="BYL15" s="133"/>
      <c r="BYM15" s="133"/>
      <c r="BYN15" s="133"/>
      <c r="BYO15" s="133"/>
      <c r="BYP15" s="133"/>
      <c r="BYQ15" s="133"/>
      <c r="BYR15" s="133"/>
      <c r="BYS15" s="133"/>
      <c r="BYT15" s="133"/>
      <c r="BYU15" s="133"/>
      <c r="BYV15" s="133"/>
      <c r="BYW15" s="133"/>
      <c r="BYX15" s="133"/>
      <c r="BYY15" s="133"/>
      <c r="BYZ15" s="133"/>
      <c r="BZA15" s="133"/>
      <c r="BZB15" s="133"/>
      <c r="BZC15" s="133"/>
      <c r="BZD15" s="133"/>
      <c r="BZE15" s="133"/>
      <c r="BZF15" s="133"/>
      <c r="BZG15" s="133"/>
      <c r="BZH15" s="133"/>
      <c r="BZI15" s="133"/>
      <c r="BZJ15" s="133"/>
      <c r="BZK15" s="133"/>
      <c r="BZL15" s="133"/>
      <c r="BZM15" s="133"/>
      <c r="BZN15" s="133"/>
      <c r="BZO15" s="133"/>
      <c r="BZP15" s="133"/>
      <c r="BZQ15" s="133"/>
      <c r="BZR15" s="133"/>
      <c r="BZS15" s="133"/>
      <c r="BZT15" s="133"/>
      <c r="BZU15" s="133"/>
      <c r="BZV15" s="133"/>
      <c r="BZW15" s="133"/>
      <c r="BZX15" s="133"/>
      <c r="BZY15" s="133"/>
      <c r="BZZ15" s="133"/>
      <c r="CAA15" s="133"/>
      <c r="CAB15" s="133"/>
      <c r="CAC15" s="133"/>
      <c r="CAD15" s="133"/>
      <c r="CAE15" s="133"/>
      <c r="CAF15" s="133"/>
      <c r="CAG15" s="133"/>
      <c r="CAH15" s="133"/>
      <c r="CAI15" s="133"/>
      <c r="CAJ15" s="133"/>
      <c r="CAK15" s="133"/>
      <c r="CAL15" s="133"/>
      <c r="CAM15" s="133"/>
      <c r="CAN15" s="133"/>
      <c r="CAO15" s="133"/>
      <c r="CAP15" s="133"/>
      <c r="CAQ15" s="133"/>
      <c r="CAR15" s="133"/>
      <c r="CAS15" s="133"/>
      <c r="CAT15" s="133"/>
      <c r="CAU15" s="133"/>
      <c r="CAV15" s="133"/>
      <c r="CAW15" s="133"/>
      <c r="CAX15" s="133"/>
      <c r="CAY15" s="133"/>
      <c r="CAZ15" s="133"/>
      <c r="CBA15" s="133"/>
      <c r="CBB15" s="133"/>
      <c r="CBC15" s="133"/>
      <c r="CBD15" s="133"/>
      <c r="CBE15" s="133"/>
      <c r="CBF15" s="133"/>
      <c r="CBG15" s="133"/>
      <c r="CBH15" s="133"/>
      <c r="CBI15" s="133"/>
      <c r="CBJ15" s="133"/>
      <c r="CBK15" s="133"/>
      <c r="CBL15" s="133"/>
      <c r="CBM15" s="133"/>
      <c r="CBN15" s="133"/>
      <c r="CBO15" s="133"/>
      <c r="CBP15" s="133"/>
      <c r="CBQ15" s="133"/>
      <c r="CBR15" s="133"/>
      <c r="CBS15" s="133"/>
      <c r="CBT15" s="133"/>
      <c r="CBU15" s="133"/>
      <c r="CBV15" s="133"/>
      <c r="CBW15" s="133"/>
      <c r="CBX15" s="133"/>
      <c r="CBY15" s="133"/>
      <c r="CBZ15" s="133"/>
      <c r="CCA15" s="133"/>
      <c r="CCB15" s="133"/>
      <c r="CCC15" s="133"/>
      <c r="CCD15" s="133"/>
      <c r="CCE15" s="133"/>
      <c r="CCF15" s="133"/>
      <c r="CCG15" s="133"/>
      <c r="CCH15" s="133"/>
      <c r="CCI15" s="133"/>
      <c r="CCJ15" s="133"/>
      <c r="CCK15" s="133"/>
      <c r="CCL15" s="133"/>
      <c r="CCM15" s="133"/>
      <c r="CCN15" s="133"/>
      <c r="CCO15" s="133"/>
      <c r="CCP15" s="133"/>
      <c r="CCQ15" s="133"/>
      <c r="CCR15" s="133"/>
      <c r="CCS15" s="133"/>
      <c r="CCT15" s="133"/>
      <c r="CCU15" s="133"/>
      <c r="CCV15" s="133"/>
      <c r="CCW15" s="133"/>
      <c r="CCX15" s="133"/>
      <c r="CCY15" s="133"/>
      <c r="CCZ15" s="133"/>
      <c r="CDA15" s="133"/>
      <c r="CDB15" s="133"/>
      <c r="CDC15" s="133"/>
      <c r="CDD15" s="133"/>
      <c r="CDE15" s="133"/>
      <c r="CDF15" s="133"/>
      <c r="CDG15" s="133"/>
      <c r="CDH15" s="133"/>
      <c r="CDI15" s="133"/>
      <c r="CDJ15" s="133"/>
      <c r="CDK15" s="133"/>
      <c r="CDL15" s="133"/>
      <c r="CDM15" s="133"/>
      <c r="CDN15" s="133"/>
      <c r="CDO15" s="133"/>
      <c r="CDP15" s="133"/>
      <c r="CDQ15" s="133"/>
      <c r="CDR15" s="133"/>
      <c r="CDS15" s="133"/>
      <c r="CDT15" s="133"/>
      <c r="CDU15" s="133"/>
      <c r="CDV15" s="133"/>
      <c r="CDW15" s="133"/>
      <c r="CDX15" s="133"/>
      <c r="CDY15" s="133"/>
      <c r="CDZ15" s="133"/>
      <c r="CEA15" s="133"/>
      <c r="CEB15" s="133"/>
      <c r="CEC15" s="133"/>
      <c r="CED15" s="133"/>
      <c r="CEE15" s="133"/>
      <c r="CEF15" s="133"/>
      <c r="CEG15" s="133"/>
      <c r="CEH15" s="133"/>
      <c r="CEI15" s="133"/>
      <c r="CEJ15" s="133"/>
      <c r="CEK15" s="133"/>
      <c r="CEL15" s="133"/>
      <c r="CEM15" s="133"/>
      <c r="CEN15" s="133"/>
      <c r="CEO15" s="133"/>
      <c r="CEP15" s="133"/>
      <c r="CEQ15" s="133"/>
      <c r="CER15" s="133"/>
      <c r="CES15" s="133"/>
      <c r="CET15" s="133"/>
      <c r="CEU15" s="133"/>
      <c r="CEV15" s="133"/>
      <c r="CEW15" s="133"/>
      <c r="CEX15" s="133"/>
      <c r="CEY15" s="133"/>
      <c r="CEZ15" s="133"/>
      <c r="CFA15" s="133"/>
      <c r="CFB15" s="133"/>
      <c r="CFC15" s="133"/>
      <c r="CFD15" s="133"/>
      <c r="CFE15" s="133"/>
      <c r="CFF15" s="133"/>
      <c r="CFG15" s="133"/>
      <c r="CFH15" s="133"/>
      <c r="CFI15" s="133"/>
      <c r="CFJ15" s="133"/>
      <c r="CFK15" s="133"/>
      <c r="CFL15" s="133"/>
      <c r="CFM15" s="133"/>
      <c r="CFN15" s="133"/>
      <c r="CFO15" s="133"/>
      <c r="CFP15" s="133"/>
      <c r="CFQ15" s="133"/>
      <c r="CFR15" s="133"/>
      <c r="CFS15" s="133"/>
      <c r="CFT15" s="133"/>
      <c r="CFU15" s="133"/>
      <c r="CFV15" s="133"/>
      <c r="CFW15" s="133"/>
      <c r="CFX15" s="133"/>
      <c r="CFY15" s="133"/>
      <c r="CFZ15" s="133"/>
      <c r="CGA15" s="133"/>
      <c r="CGB15" s="133"/>
      <c r="CGC15" s="133"/>
      <c r="CGD15" s="133"/>
      <c r="CGE15" s="133"/>
      <c r="CGF15" s="133"/>
      <c r="CGG15" s="133"/>
      <c r="CGH15" s="133"/>
      <c r="CGI15" s="133"/>
      <c r="CGJ15" s="133"/>
      <c r="CGK15" s="133"/>
      <c r="CGL15" s="133"/>
      <c r="CGM15" s="133"/>
      <c r="CGN15" s="133"/>
      <c r="CGO15" s="133"/>
      <c r="CGP15" s="133"/>
      <c r="CGQ15" s="133"/>
      <c r="CGR15" s="133"/>
      <c r="CGS15" s="133"/>
      <c r="CGT15" s="133"/>
      <c r="CGU15" s="133"/>
      <c r="CGV15" s="133"/>
      <c r="CGW15" s="133"/>
      <c r="CGX15" s="133"/>
      <c r="CGY15" s="133"/>
      <c r="CGZ15" s="133"/>
      <c r="CHA15" s="133"/>
      <c r="CHB15" s="133"/>
      <c r="CHC15" s="133"/>
      <c r="CHD15" s="133"/>
      <c r="CHE15" s="133"/>
      <c r="CHF15" s="133"/>
      <c r="CHG15" s="133"/>
      <c r="CHH15" s="133"/>
      <c r="CHI15" s="133"/>
      <c r="CHJ15" s="133"/>
      <c r="CHK15" s="133"/>
      <c r="CHL15" s="133"/>
      <c r="CHM15" s="133"/>
      <c r="CHN15" s="133"/>
      <c r="CHO15" s="133"/>
      <c r="CHP15" s="133"/>
      <c r="CHQ15" s="133"/>
      <c r="CHR15" s="133"/>
      <c r="CHS15" s="133"/>
      <c r="CHT15" s="133"/>
      <c r="CHU15" s="133"/>
      <c r="CHV15" s="133"/>
      <c r="CHW15" s="133"/>
      <c r="CHX15" s="133"/>
      <c r="CHY15" s="133"/>
      <c r="CHZ15" s="133"/>
      <c r="CIA15" s="133"/>
      <c r="CIB15" s="133"/>
      <c r="CIC15" s="133"/>
      <c r="CID15" s="133"/>
      <c r="CIE15" s="133"/>
      <c r="CIF15" s="133"/>
      <c r="CIG15" s="133"/>
      <c r="CIH15" s="133"/>
      <c r="CII15" s="133"/>
      <c r="CIJ15" s="133"/>
      <c r="CIK15" s="133"/>
      <c r="CIL15" s="133"/>
      <c r="CIM15" s="133"/>
      <c r="CIN15" s="133"/>
      <c r="CIO15" s="133"/>
      <c r="CIP15" s="133"/>
      <c r="CIQ15" s="133"/>
      <c r="CIR15" s="133"/>
      <c r="CIS15" s="133"/>
      <c r="CIT15" s="133"/>
      <c r="CIU15" s="133"/>
      <c r="CIV15" s="133"/>
      <c r="CIW15" s="133"/>
      <c r="CIX15" s="133"/>
      <c r="CIY15" s="133"/>
      <c r="CIZ15" s="133"/>
      <c r="CJA15" s="133"/>
      <c r="CJB15" s="133"/>
      <c r="CJC15" s="133"/>
      <c r="CJD15" s="133"/>
      <c r="CJE15" s="133"/>
      <c r="CJF15" s="133"/>
      <c r="CJG15" s="133"/>
      <c r="CJH15" s="133"/>
      <c r="CJI15" s="133"/>
      <c r="CJJ15" s="133"/>
      <c r="CJK15" s="133"/>
      <c r="CJL15" s="133"/>
      <c r="CJM15" s="133"/>
      <c r="CJN15" s="133"/>
      <c r="CJO15" s="133"/>
      <c r="CJP15" s="133"/>
      <c r="CJQ15" s="133"/>
      <c r="CJR15" s="133"/>
      <c r="CJS15" s="133"/>
      <c r="CJT15" s="133"/>
      <c r="CJU15" s="133"/>
      <c r="CJV15" s="133"/>
      <c r="CJW15" s="133"/>
      <c r="CJX15" s="133"/>
      <c r="CJY15" s="133"/>
      <c r="CJZ15" s="133"/>
      <c r="CKA15" s="133"/>
      <c r="CKB15" s="133"/>
      <c r="CKC15" s="133"/>
      <c r="CKD15" s="133"/>
      <c r="CKE15" s="133"/>
      <c r="CKF15" s="133"/>
      <c r="CKG15" s="133"/>
      <c r="CKH15" s="133"/>
      <c r="CKI15" s="133"/>
      <c r="CKJ15" s="133"/>
      <c r="CKK15" s="133"/>
      <c r="CKL15" s="133"/>
      <c r="CKM15" s="133"/>
      <c r="CKN15" s="133"/>
      <c r="CKO15" s="133"/>
      <c r="CKP15" s="133"/>
      <c r="CKQ15" s="133"/>
      <c r="CKR15" s="133"/>
      <c r="CKS15" s="133"/>
      <c r="CKT15" s="133"/>
      <c r="CKU15" s="133"/>
      <c r="CKV15" s="133"/>
      <c r="CKW15" s="133"/>
      <c r="CKX15" s="133"/>
      <c r="CKY15" s="133"/>
      <c r="CKZ15" s="133"/>
      <c r="CLA15" s="133"/>
      <c r="CLB15" s="133"/>
      <c r="CLC15" s="133"/>
      <c r="CLD15" s="133"/>
      <c r="CLE15" s="133"/>
      <c r="CLF15" s="133"/>
      <c r="CLG15" s="133"/>
      <c r="CLH15" s="133"/>
      <c r="CLI15" s="133"/>
      <c r="CLJ15" s="133"/>
      <c r="CLK15" s="133"/>
      <c r="CLL15" s="133"/>
      <c r="CLM15" s="133"/>
      <c r="CLN15" s="133"/>
      <c r="CLO15" s="133"/>
      <c r="CLP15" s="133"/>
      <c r="CLQ15" s="133"/>
      <c r="CLR15" s="133"/>
      <c r="CLS15" s="133"/>
      <c r="CLT15" s="133"/>
      <c r="CLU15" s="133"/>
      <c r="CLV15" s="133"/>
      <c r="CLW15" s="133"/>
      <c r="CLX15" s="133"/>
      <c r="CLY15" s="133"/>
      <c r="CLZ15" s="133"/>
      <c r="CMA15" s="133"/>
      <c r="CMB15" s="133"/>
      <c r="CMC15" s="133"/>
      <c r="CMD15" s="133"/>
      <c r="CME15" s="133"/>
      <c r="CMF15" s="133"/>
      <c r="CMG15" s="133"/>
      <c r="CMH15" s="133"/>
      <c r="CMI15" s="133"/>
      <c r="CMJ15" s="133"/>
      <c r="CMK15" s="133"/>
      <c r="CML15" s="133"/>
      <c r="CMM15" s="133"/>
      <c r="CMN15" s="133"/>
      <c r="CMO15" s="133"/>
      <c r="CMP15" s="133"/>
      <c r="CMQ15" s="133"/>
      <c r="CMR15" s="133"/>
      <c r="CMS15" s="133"/>
      <c r="CMT15" s="133"/>
      <c r="CMU15" s="133"/>
      <c r="CMV15" s="133"/>
      <c r="CMW15" s="133"/>
      <c r="CMX15" s="133"/>
      <c r="CMY15" s="133"/>
      <c r="CMZ15" s="133"/>
      <c r="CNA15" s="133"/>
      <c r="CNB15" s="133"/>
      <c r="CNC15" s="133"/>
      <c r="CND15" s="133"/>
      <c r="CNE15" s="133"/>
      <c r="CNF15" s="133"/>
      <c r="CNG15" s="133"/>
      <c r="CNH15" s="133"/>
      <c r="CNI15" s="133"/>
      <c r="CNJ15" s="133"/>
      <c r="CNK15" s="133"/>
      <c r="CNL15" s="133"/>
      <c r="CNM15" s="133"/>
      <c r="CNN15" s="133"/>
      <c r="CNO15" s="133"/>
      <c r="CNP15" s="133"/>
      <c r="CNQ15" s="133"/>
      <c r="CNR15" s="133"/>
      <c r="CNS15" s="133"/>
      <c r="CNT15" s="133"/>
      <c r="CNU15" s="133"/>
      <c r="CNV15" s="133"/>
      <c r="CNW15" s="133"/>
      <c r="CNX15" s="133"/>
      <c r="CNY15" s="133"/>
      <c r="CNZ15" s="133"/>
      <c r="COA15" s="133"/>
      <c r="COB15" s="133"/>
      <c r="COC15" s="133"/>
      <c r="COD15" s="133"/>
      <c r="COE15" s="133"/>
      <c r="COF15" s="133"/>
      <c r="COG15" s="133"/>
      <c r="COH15" s="133"/>
      <c r="COI15" s="133"/>
      <c r="COJ15" s="133"/>
      <c r="COK15" s="133"/>
      <c r="COL15" s="133"/>
      <c r="COM15" s="133"/>
      <c r="CON15" s="133"/>
      <c r="COO15" s="133"/>
      <c r="COP15" s="133"/>
      <c r="COQ15" s="133"/>
      <c r="COR15" s="133"/>
      <c r="COS15" s="133"/>
      <c r="COT15" s="133"/>
      <c r="COU15" s="133"/>
      <c r="COV15" s="133"/>
      <c r="COW15" s="133"/>
      <c r="COX15" s="133"/>
      <c r="COY15" s="133"/>
      <c r="COZ15" s="133"/>
      <c r="CPA15" s="133"/>
      <c r="CPB15" s="133"/>
      <c r="CPC15" s="133"/>
      <c r="CPD15" s="133"/>
      <c r="CPE15" s="133"/>
      <c r="CPF15" s="133"/>
      <c r="CPG15" s="133"/>
      <c r="CPH15" s="133"/>
      <c r="CPI15" s="133"/>
      <c r="CPJ15" s="133"/>
      <c r="CPK15" s="133"/>
      <c r="CPL15" s="133"/>
      <c r="CPM15" s="133"/>
      <c r="CPN15" s="133"/>
      <c r="CPO15" s="133"/>
      <c r="CPP15" s="133"/>
      <c r="CPQ15" s="133"/>
      <c r="CPR15" s="133"/>
      <c r="CPS15" s="133"/>
      <c r="CPT15" s="133"/>
      <c r="CPU15" s="133"/>
      <c r="CPV15" s="133"/>
      <c r="CPW15" s="133"/>
      <c r="CPX15" s="133"/>
      <c r="CPY15" s="133"/>
      <c r="CPZ15" s="133"/>
      <c r="CQA15" s="133"/>
      <c r="CQB15" s="133"/>
      <c r="CQC15" s="133"/>
      <c r="CQD15" s="133"/>
      <c r="CQE15" s="133"/>
      <c r="CQF15" s="133"/>
      <c r="CQG15" s="133"/>
      <c r="CQH15" s="133"/>
      <c r="CQI15" s="133"/>
      <c r="CQJ15" s="133"/>
      <c r="CQK15" s="133"/>
      <c r="CQL15" s="133"/>
      <c r="CQM15" s="133"/>
      <c r="CQN15" s="133"/>
      <c r="CQO15" s="133"/>
      <c r="CQP15" s="133"/>
      <c r="CQQ15" s="133"/>
      <c r="CQR15" s="133"/>
      <c r="CQS15" s="133"/>
      <c r="CQT15" s="133"/>
      <c r="CQU15" s="133"/>
      <c r="CQV15" s="133"/>
      <c r="CQW15" s="133"/>
      <c r="CQX15" s="133"/>
      <c r="CQY15" s="133"/>
      <c r="CQZ15" s="133"/>
      <c r="CRA15" s="133"/>
      <c r="CRB15" s="133"/>
      <c r="CRC15" s="133"/>
      <c r="CRD15" s="133"/>
      <c r="CRE15" s="133"/>
      <c r="CRF15" s="133"/>
      <c r="CRG15" s="133"/>
      <c r="CRH15" s="133"/>
      <c r="CRI15" s="133"/>
      <c r="CRJ15" s="133"/>
      <c r="CRK15" s="133"/>
      <c r="CRL15" s="133"/>
      <c r="CRM15" s="133"/>
      <c r="CRN15" s="133"/>
      <c r="CRO15" s="133"/>
      <c r="CRP15" s="133"/>
      <c r="CRQ15" s="133"/>
      <c r="CRR15" s="133"/>
      <c r="CRS15" s="133"/>
      <c r="CRT15" s="133"/>
      <c r="CRU15" s="133"/>
      <c r="CRV15" s="133"/>
      <c r="CRW15" s="133"/>
      <c r="CRX15" s="133"/>
      <c r="CRY15" s="133"/>
      <c r="CRZ15" s="133"/>
      <c r="CSA15" s="133"/>
      <c r="CSB15" s="133"/>
      <c r="CSC15" s="133"/>
      <c r="CSD15" s="133"/>
      <c r="CSE15" s="133"/>
      <c r="CSF15" s="133"/>
      <c r="CSG15" s="133"/>
      <c r="CSH15" s="133"/>
      <c r="CSI15" s="133"/>
      <c r="CSJ15" s="133"/>
      <c r="CSK15" s="133"/>
      <c r="CSL15" s="133"/>
      <c r="CSM15" s="133"/>
      <c r="CSN15" s="133"/>
      <c r="CSO15" s="133"/>
      <c r="CSP15" s="133"/>
      <c r="CSQ15" s="133"/>
      <c r="CSR15" s="133"/>
      <c r="CSS15" s="133"/>
      <c r="CST15" s="133"/>
      <c r="CSU15" s="133"/>
      <c r="CSV15" s="133"/>
      <c r="CSW15" s="133"/>
      <c r="CSX15" s="133"/>
      <c r="CSY15" s="133"/>
      <c r="CSZ15" s="133"/>
      <c r="CTA15" s="133"/>
      <c r="CTB15" s="133"/>
      <c r="CTC15" s="133"/>
      <c r="CTD15" s="133"/>
      <c r="CTE15" s="133"/>
      <c r="CTF15" s="133"/>
      <c r="CTG15" s="133"/>
      <c r="CTH15" s="133"/>
      <c r="CTI15" s="133"/>
      <c r="CTJ15" s="133"/>
      <c r="CTK15" s="133"/>
      <c r="CTL15" s="133"/>
      <c r="CTM15" s="133"/>
      <c r="CTN15" s="133"/>
      <c r="CTO15" s="133"/>
      <c r="CTP15" s="133"/>
      <c r="CTQ15" s="133"/>
      <c r="CTR15" s="133"/>
      <c r="CTS15" s="133"/>
      <c r="CTT15" s="133"/>
      <c r="CTU15" s="133"/>
      <c r="CTV15" s="133"/>
      <c r="CTW15" s="133"/>
      <c r="CTX15" s="133"/>
      <c r="CTY15" s="133"/>
      <c r="CTZ15" s="133"/>
      <c r="CUA15" s="133"/>
      <c r="CUB15" s="133"/>
      <c r="CUC15" s="133"/>
      <c r="CUD15" s="133"/>
      <c r="CUE15" s="133"/>
      <c r="CUF15" s="133"/>
      <c r="CUG15" s="133"/>
      <c r="CUH15" s="133"/>
      <c r="CUI15" s="133"/>
      <c r="CUJ15" s="133"/>
      <c r="CUK15" s="133"/>
      <c r="CUL15" s="133"/>
      <c r="CUM15" s="133"/>
      <c r="CUN15" s="133"/>
      <c r="CUO15" s="133"/>
      <c r="CUP15" s="133"/>
      <c r="CUQ15" s="133"/>
      <c r="CUR15" s="133"/>
      <c r="CUS15" s="133"/>
      <c r="CUT15" s="133"/>
      <c r="CUU15" s="133"/>
      <c r="CUV15" s="133"/>
      <c r="CUW15" s="133"/>
      <c r="CUX15" s="133"/>
      <c r="CUY15" s="133"/>
      <c r="CUZ15" s="133"/>
      <c r="CVA15" s="133"/>
      <c r="CVB15" s="133"/>
      <c r="CVC15" s="133"/>
      <c r="CVD15" s="133"/>
      <c r="CVE15" s="133"/>
      <c r="CVF15" s="133"/>
      <c r="CVG15" s="133"/>
      <c r="CVH15" s="133"/>
      <c r="CVI15" s="133"/>
      <c r="CVJ15" s="133"/>
      <c r="CVK15" s="133"/>
      <c r="CVL15" s="133"/>
      <c r="CVM15" s="133"/>
      <c r="CVN15" s="133"/>
      <c r="CVO15" s="133"/>
      <c r="CVP15" s="133"/>
      <c r="CVQ15" s="133"/>
      <c r="CVR15" s="133"/>
      <c r="CVS15" s="133"/>
      <c r="CVT15" s="133"/>
      <c r="CVU15" s="133"/>
      <c r="CVV15" s="133"/>
      <c r="CVW15" s="133"/>
      <c r="CVX15" s="133"/>
      <c r="CVY15" s="133"/>
      <c r="CVZ15" s="133"/>
      <c r="CWA15" s="133"/>
      <c r="CWB15" s="133"/>
      <c r="CWC15" s="133"/>
      <c r="CWD15" s="133"/>
      <c r="CWE15" s="133"/>
      <c r="CWF15" s="133"/>
      <c r="CWG15" s="133"/>
      <c r="CWH15" s="133"/>
      <c r="CWI15" s="133"/>
      <c r="CWJ15" s="133"/>
      <c r="CWK15" s="133"/>
      <c r="CWL15" s="133"/>
      <c r="CWM15" s="133"/>
      <c r="CWN15" s="133"/>
      <c r="CWO15" s="133"/>
      <c r="CWP15" s="133"/>
      <c r="CWQ15" s="133"/>
      <c r="CWR15" s="133"/>
      <c r="CWS15" s="133"/>
      <c r="CWT15" s="133"/>
      <c r="CWU15" s="133"/>
      <c r="CWV15" s="133"/>
      <c r="CWW15" s="133"/>
      <c r="CWX15" s="133"/>
      <c r="CWY15" s="133"/>
      <c r="CWZ15" s="133"/>
      <c r="CXA15" s="133"/>
      <c r="CXB15" s="133"/>
      <c r="CXC15" s="133"/>
      <c r="CXD15" s="133"/>
      <c r="CXE15" s="133"/>
      <c r="CXF15" s="133"/>
      <c r="CXG15" s="133"/>
      <c r="CXH15" s="133"/>
      <c r="CXI15" s="133"/>
      <c r="CXJ15" s="133"/>
      <c r="CXK15" s="133"/>
      <c r="CXL15" s="133"/>
      <c r="CXM15" s="133"/>
      <c r="CXN15" s="133"/>
      <c r="CXO15" s="133"/>
      <c r="CXP15" s="133"/>
      <c r="CXQ15" s="133"/>
      <c r="CXR15" s="133"/>
      <c r="CXS15" s="133"/>
      <c r="CXT15" s="133"/>
      <c r="CXU15" s="133"/>
      <c r="CXV15" s="133"/>
      <c r="CXW15" s="133"/>
      <c r="CXX15" s="133"/>
      <c r="CXY15" s="133"/>
      <c r="CXZ15" s="133"/>
      <c r="CYA15" s="133"/>
      <c r="CYB15" s="133"/>
      <c r="CYC15" s="133"/>
      <c r="CYD15" s="133"/>
      <c r="CYE15" s="133"/>
      <c r="CYF15" s="133"/>
      <c r="CYG15" s="133"/>
      <c r="CYH15" s="133"/>
      <c r="CYI15" s="133"/>
      <c r="CYJ15" s="133"/>
      <c r="CYK15" s="133"/>
      <c r="CYL15" s="133"/>
      <c r="CYM15" s="133"/>
      <c r="CYN15" s="133"/>
      <c r="CYO15" s="133"/>
      <c r="CYP15" s="133"/>
      <c r="CYQ15" s="133"/>
      <c r="CYR15" s="133"/>
      <c r="CYS15" s="133"/>
      <c r="CYT15" s="133"/>
      <c r="CYU15" s="133"/>
      <c r="CYV15" s="133"/>
      <c r="CYW15" s="133"/>
      <c r="CYX15" s="133"/>
      <c r="CYY15" s="133"/>
      <c r="CYZ15" s="133"/>
      <c r="CZA15" s="133"/>
      <c r="CZB15" s="133"/>
      <c r="CZC15" s="133"/>
      <c r="CZD15" s="133"/>
      <c r="CZE15" s="133"/>
      <c r="CZF15" s="133"/>
      <c r="CZG15" s="133"/>
      <c r="CZH15" s="133"/>
      <c r="CZI15" s="133"/>
      <c r="CZJ15" s="133"/>
      <c r="CZK15" s="133"/>
      <c r="CZL15" s="133"/>
      <c r="CZM15" s="133"/>
      <c r="CZN15" s="133"/>
      <c r="CZO15" s="133"/>
      <c r="CZP15" s="133"/>
      <c r="CZQ15" s="133"/>
      <c r="CZR15" s="133"/>
      <c r="CZS15" s="133"/>
      <c r="CZT15" s="133"/>
      <c r="CZU15" s="133"/>
      <c r="CZV15" s="133"/>
      <c r="CZW15" s="133"/>
      <c r="CZX15" s="133"/>
      <c r="CZY15" s="133"/>
      <c r="CZZ15" s="133"/>
      <c r="DAA15" s="133"/>
      <c r="DAB15" s="133"/>
      <c r="DAC15" s="133"/>
      <c r="DAD15" s="133"/>
      <c r="DAE15" s="133"/>
      <c r="DAF15" s="133"/>
      <c r="DAG15" s="133"/>
      <c r="DAH15" s="133"/>
      <c r="DAI15" s="133"/>
      <c r="DAJ15" s="133"/>
      <c r="DAK15" s="133"/>
      <c r="DAL15" s="133"/>
      <c r="DAM15" s="133"/>
      <c r="DAN15" s="133"/>
      <c r="DAO15" s="133"/>
      <c r="DAP15" s="133"/>
      <c r="DAQ15" s="133"/>
      <c r="DAR15" s="133"/>
      <c r="DAS15" s="133"/>
      <c r="DAT15" s="133"/>
      <c r="DAU15" s="133"/>
      <c r="DAV15" s="133"/>
      <c r="DAW15" s="133"/>
      <c r="DAX15" s="133"/>
      <c r="DAY15" s="133"/>
      <c r="DAZ15" s="133"/>
      <c r="DBA15" s="133"/>
      <c r="DBB15" s="133"/>
      <c r="DBC15" s="133"/>
      <c r="DBD15" s="133"/>
      <c r="DBE15" s="133"/>
      <c r="DBF15" s="133"/>
      <c r="DBG15" s="133"/>
      <c r="DBH15" s="133"/>
      <c r="DBI15" s="133"/>
      <c r="DBJ15" s="133"/>
      <c r="DBK15" s="133"/>
      <c r="DBL15" s="133"/>
      <c r="DBM15" s="133"/>
      <c r="DBN15" s="133"/>
      <c r="DBO15" s="133"/>
      <c r="DBP15" s="133"/>
      <c r="DBQ15" s="133"/>
      <c r="DBR15" s="133"/>
      <c r="DBS15" s="133"/>
      <c r="DBT15" s="133"/>
      <c r="DBU15" s="133"/>
      <c r="DBV15" s="133"/>
      <c r="DBW15" s="133"/>
      <c r="DBX15" s="133"/>
      <c r="DBY15" s="133"/>
      <c r="DBZ15" s="133"/>
      <c r="DCA15" s="133"/>
      <c r="DCB15" s="133"/>
      <c r="DCC15" s="133"/>
      <c r="DCD15" s="133"/>
      <c r="DCE15" s="133"/>
      <c r="DCF15" s="133"/>
      <c r="DCG15" s="133"/>
      <c r="DCH15" s="133"/>
      <c r="DCI15" s="133"/>
      <c r="DCJ15" s="133"/>
      <c r="DCK15" s="133"/>
      <c r="DCL15" s="133"/>
      <c r="DCM15" s="133"/>
      <c r="DCN15" s="133"/>
      <c r="DCO15" s="133"/>
      <c r="DCP15" s="133"/>
      <c r="DCQ15" s="133"/>
      <c r="DCR15" s="133"/>
      <c r="DCS15" s="133"/>
      <c r="DCT15" s="133"/>
      <c r="DCU15" s="133"/>
      <c r="DCV15" s="133"/>
      <c r="DCW15" s="133"/>
      <c r="DCX15" s="133"/>
      <c r="DCY15" s="133"/>
      <c r="DCZ15" s="133"/>
      <c r="DDA15" s="133"/>
      <c r="DDB15" s="133"/>
      <c r="DDC15" s="133"/>
      <c r="DDD15" s="133"/>
      <c r="DDE15" s="133"/>
      <c r="DDF15" s="133"/>
      <c r="DDG15" s="133"/>
      <c r="DDH15" s="133"/>
      <c r="DDI15" s="133"/>
      <c r="DDJ15" s="133"/>
      <c r="DDK15" s="133"/>
      <c r="DDL15" s="133"/>
      <c r="DDM15" s="133"/>
      <c r="DDN15" s="133"/>
      <c r="DDO15" s="133"/>
      <c r="DDP15" s="133"/>
      <c r="DDQ15" s="133"/>
      <c r="DDR15" s="133"/>
      <c r="DDS15" s="133"/>
      <c r="DDT15" s="133"/>
      <c r="DDU15" s="133"/>
      <c r="DDV15" s="133"/>
      <c r="DDW15" s="133"/>
      <c r="DDX15" s="133"/>
      <c r="DDY15" s="133"/>
      <c r="DDZ15" s="133"/>
      <c r="DEA15" s="133"/>
      <c r="DEB15" s="133"/>
      <c r="DEC15" s="133"/>
      <c r="DED15" s="133"/>
      <c r="DEE15" s="133"/>
      <c r="DEF15" s="133"/>
      <c r="DEG15" s="133"/>
      <c r="DEH15" s="133"/>
      <c r="DEI15" s="133"/>
      <c r="DEJ15" s="133"/>
      <c r="DEK15" s="133"/>
      <c r="DEL15" s="133"/>
      <c r="DEM15" s="133"/>
      <c r="DEN15" s="133"/>
      <c r="DEO15" s="133"/>
      <c r="DEP15" s="133"/>
      <c r="DEQ15" s="133"/>
      <c r="DER15" s="133"/>
      <c r="DES15" s="133"/>
      <c r="DET15" s="133"/>
      <c r="DEU15" s="133"/>
      <c r="DEV15" s="133"/>
      <c r="DEW15" s="133"/>
      <c r="DEX15" s="133"/>
      <c r="DEY15" s="133"/>
      <c r="DEZ15" s="133"/>
      <c r="DFA15" s="133"/>
      <c r="DFB15" s="133"/>
      <c r="DFC15" s="133"/>
      <c r="DFD15" s="133"/>
      <c r="DFE15" s="133"/>
      <c r="DFF15" s="133"/>
      <c r="DFG15" s="133"/>
      <c r="DFH15" s="133"/>
      <c r="DFI15" s="133"/>
      <c r="DFJ15" s="133"/>
      <c r="DFK15" s="133"/>
      <c r="DFL15" s="133"/>
      <c r="DFM15" s="133"/>
      <c r="DFN15" s="133"/>
      <c r="DFO15" s="133"/>
      <c r="DFP15" s="133"/>
      <c r="DFQ15" s="133"/>
      <c r="DFR15" s="133"/>
      <c r="DFS15" s="133"/>
      <c r="DFT15" s="133"/>
      <c r="DFU15" s="133"/>
      <c r="DFV15" s="133"/>
      <c r="DFW15" s="133"/>
      <c r="DFX15" s="133"/>
      <c r="DFY15" s="133"/>
      <c r="DFZ15" s="133"/>
      <c r="DGA15" s="133"/>
      <c r="DGB15" s="133"/>
      <c r="DGC15" s="133"/>
      <c r="DGD15" s="133"/>
      <c r="DGE15" s="133"/>
      <c r="DGF15" s="133"/>
      <c r="DGG15" s="133"/>
      <c r="DGH15" s="133"/>
      <c r="DGI15" s="133"/>
      <c r="DGJ15" s="133"/>
      <c r="DGK15" s="133"/>
      <c r="DGL15" s="133"/>
      <c r="DGM15" s="133"/>
      <c r="DGN15" s="133"/>
      <c r="DGO15" s="133"/>
      <c r="DGP15" s="133"/>
      <c r="DGQ15" s="133"/>
      <c r="DGR15" s="133"/>
      <c r="DGS15" s="133"/>
      <c r="DGT15" s="133"/>
      <c r="DGU15" s="133"/>
      <c r="DGV15" s="133"/>
      <c r="DGW15" s="133"/>
      <c r="DGX15" s="133"/>
      <c r="DGY15" s="133"/>
      <c r="DGZ15" s="133"/>
      <c r="DHA15" s="133"/>
      <c r="DHB15" s="133"/>
      <c r="DHC15" s="133"/>
      <c r="DHD15" s="133"/>
      <c r="DHE15" s="133"/>
      <c r="DHF15" s="133"/>
      <c r="DHG15" s="133"/>
      <c r="DHH15" s="133"/>
      <c r="DHI15" s="133"/>
      <c r="DHJ15" s="133"/>
      <c r="DHK15" s="133"/>
      <c r="DHL15" s="133"/>
      <c r="DHM15" s="133"/>
      <c r="DHN15" s="133"/>
      <c r="DHO15" s="133"/>
      <c r="DHP15" s="133"/>
      <c r="DHQ15" s="133"/>
      <c r="DHR15" s="133"/>
      <c r="DHS15" s="133"/>
      <c r="DHT15" s="133"/>
      <c r="DHU15" s="133"/>
      <c r="DHV15" s="133"/>
      <c r="DHW15" s="133"/>
      <c r="DHX15" s="133"/>
      <c r="DHY15" s="133"/>
      <c r="DHZ15" s="133"/>
      <c r="DIA15" s="133"/>
      <c r="DIB15" s="133"/>
      <c r="DIC15" s="133"/>
      <c r="DID15" s="133"/>
      <c r="DIE15" s="133"/>
      <c r="DIF15" s="133"/>
      <c r="DIG15" s="133"/>
      <c r="DIH15" s="133"/>
      <c r="DII15" s="133"/>
      <c r="DIJ15" s="133"/>
      <c r="DIK15" s="133"/>
      <c r="DIL15" s="133"/>
      <c r="DIM15" s="133"/>
      <c r="DIN15" s="133"/>
      <c r="DIO15" s="133"/>
      <c r="DIP15" s="133"/>
      <c r="DIQ15" s="133"/>
      <c r="DIR15" s="133"/>
      <c r="DIS15" s="133"/>
      <c r="DIT15" s="133"/>
      <c r="DIU15" s="133"/>
      <c r="DIV15" s="133"/>
      <c r="DIW15" s="133"/>
      <c r="DIX15" s="133"/>
      <c r="DIY15" s="133"/>
      <c r="DIZ15" s="133"/>
      <c r="DJA15" s="133"/>
      <c r="DJB15" s="133"/>
      <c r="DJC15" s="133"/>
      <c r="DJD15" s="133"/>
      <c r="DJE15" s="133"/>
      <c r="DJF15" s="133"/>
      <c r="DJG15" s="133"/>
      <c r="DJH15" s="133"/>
      <c r="DJI15" s="133"/>
      <c r="DJJ15" s="133"/>
      <c r="DJK15" s="133"/>
      <c r="DJL15" s="133"/>
      <c r="DJM15" s="133"/>
      <c r="DJN15" s="133"/>
      <c r="DJO15" s="133"/>
      <c r="DJP15" s="133"/>
      <c r="DJQ15" s="133"/>
      <c r="DJR15" s="133"/>
      <c r="DJS15" s="133"/>
      <c r="DJT15" s="133"/>
      <c r="DJU15" s="133"/>
      <c r="DJV15" s="133"/>
      <c r="DJW15" s="133"/>
      <c r="DJX15" s="133"/>
      <c r="DJY15" s="133"/>
      <c r="DJZ15" s="133"/>
      <c r="DKA15" s="133"/>
      <c r="DKB15" s="133"/>
      <c r="DKC15" s="133"/>
      <c r="DKD15" s="133"/>
      <c r="DKE15" s="133"/>
      <c r="DKF15" s="133"/>
      <c r="DKG15" s="133"/>
      <c r="DKH15" s="133"/>
      <c r="DKI15" s="133"/>
      <c r="DKJ15" s="133"/>
      <c r="DKK15" s="133"/>
      <c r="DKL15" s="133"/>
      <c r="DKM15" s="133"/>
      <c r="DKN15" s="133"/>
      <c r="DKO15" s="133"/>
      <c r="DKP15" s="133"/>
      <c r="DKQ15" s="133"/>
      <c r="DKR15" s="133"/>
      <c r="DKS15" s="133"/>
      <c r="DKT15" s="133"/>
      <c r="DKU15" s="133"/>
      <c r="DKV15" s="133"/>
      <c r="DKW15" s="133"/>
      <c r="DKX15" s="133"/>
      <c r="DKY15" s="133"/>
      <c r="DKZ15" s="133"/>
      <c r="DLA15" s="133"/>
      <c r="DLB15" s="133"/>
      <c r="DLC15" s="133"/>
      <c r="DLD15" s="133"/>
      <c r="DLE15" s="133"/>
      <c r="DLF15" s="133"/>
      <c r="DLG15" s="133"/>
      <c r="DLH15" s="133"/>
      <c r="DLI15" s="133"/>
      <c r="DLJ15" s="133"/>
      <c r="DLK15" s="133"/>
      <c r="DLL15" s="133"/>
      <c r="DLM15" s="133"/>
      <c r="DLN15" s="133"/>
      <c r="DLO15" s="133"/>
      <c r="DLP15" s="133"/>
      <c r="DLQ15" s="133"/>
      <c r="DLR15" s="133"/>
      <c r="DLS15" s="133"/>
      <c r="DLT15" s="133"/>
      <c r="DLU15" s="133"/>
      <c r="DLV15" s="133"/>
      <c r="DLW15" s="133"/>
      <c r="DLX15" s="133"/>
      <c r="DLY15" s="133"/>
      <c r="DLZ15" s="133"/>
      <c r="DMA15" s="133"/>
      <c r="DMB15" s="133"/>
      <c r="DMC15" s="133"/>
      <c r="DMD15" s="133"/>
      <c r="DME15" s="133"/>
      <c r="DMF15" s="133"/>
      <c r="DMG15" s="133"/>
      <c r="DMH15" s="133"/>
      <c r="DMI15" s="133"/>
      <c r="DMJ15" s="133"/>
      <c r="DMK15" s="133"/>
      <c r="DML15" s="133"/>
      <c r="DMM15" s="133"/>
      <c r="DMN15" s="133"/>
      <c r="DMO15" s="133"/>
      <c r="DMP15" s="133"/>
      <c r="DMQ15" s="133"/>
      <c r="DMR15" s="133"/>
      <c r="DMS15" s="133"/>
      <c r="DMT15" s="133"/>
      <c r="DMU15" s="133"/>
      <c r="DMV15" s="133"/>
      <c r="DMW15" s="133"/>
      <c r="DMX15" s="133"/>
      <c r="DMY15" s="133"/>
      <c r="DMZ15" s="133"/>
      <c r="DNA15" s="133"/>
      <c r="DNB15" s="133"/>
      <c r="DNC15" s="133"/>
      <c r="DND15" s="133"/>
      <c r="DNE15" s="133"/>
      <c r="DNF15" s="133"/>
      <c r="DNG15" s="133"/>
      <c r="DNH15" s="133"/>
      <c r="DNI15" s="133"/>
      <c r="DNJ15" s="133"/>
      <c r="DNK15" s="133"/>
      <c r="DNL15" s="133"/>
      <c r="DNM15" s="133"/>
      <c r="DNN15" s="133"/>
      <c r="DNO15" s="133"/>
      <c r="DNP15" s="133"/>
      <c r="DNQ15" s="133"/>
      <c r="DNR15" s="133"/>
      <c r="DNS15" s="133"/>
      <c r="DNT15" s="133"/>
      <c r="DNU15" s="133"/>
      <c r="DNV15" s="133"/>
      <c r="DNW15" s="133"/>
      <c r="DNX15" s="133"/>
      <c r="DNY15" s="133"/>
      <c r="DNZ15" s="133"/>
      <c r="DOA15" s="133"/>
      <c r="DOB15" s="133"/>
      <c r="DOC15" s="133"/>
      <c r="DOD15" s="133"/>
      <c r="DOE15" s="133"/>
      <c r="DOF15" s="133"/>
      <c r="DOG15" s="133"/>
      <c r="DOH15" s="133"/>
      <c r="DOI15" s="133"/>
      <c r="DOJ15" s="133"/>
      <c r="DOK15" s="133"/>
      <c r="DOL15" s="133"/>
      <c r="DOM15" s="133"/>
      <c r="DON15" s="133"/>
      <c r="DOO15" s="133"/>
      <c r="DOP15" s="133"/>
      <c r="DOQ15" s="133"/>
      <c r="DOR15" s="133"/>
      <c r="DOS15" s="133"/>
      <c r="DOT15" s="133"/>
      <c r="DOU15" s="133"/>
      <c r="DOV15" s="133"/>
      <c r="DOW15" s="133"/>
      <c r="DOX15" s="133"/>
      <c r="DOY15" s="133"/>
      <c r="DOZ15" s="133"/>
      <c r="DPA15" s="133"/>
      <c r="DPB15" s="133"/>
      <c r="DPC15" s="133"/>
      <c r="DPD15" s="133"/>
      <c r="DPE15" s="133"/>
      <c r="DPF15" s="133"/>
      <c r="DPG15" s="133"/>
      <c r="DPH15" s="133"/>
      <c r="DPI15" s="133"/>
      <c r="DPJ15" s="133"/>
      <c r="DPK15" s="133"/>
      <c r="DPL15" s="133"/>
      <c r="DPM15" s="133"/>
      <c r="DPN15" s="133"/>
      <c r="DPO15" s="133"/>
      <c r="DPP15" s="133"/>
      <c r="DPQ15" s="133"/>
      <c r="DPR15" s="133"/>
      <c r="DPS15" s="133"/>
      <c r="DPT15" s="133"/>
      <c r="DPU15" s="133"/>
      <c r="DPV15" s="133"/>
      <c r="DPW15" s="133"/>
      <c r="DPX15" s="133"/>
      <c r="DPY15" s="133"/>
      <c r="DPZ15" s="133"/>
      <c r="DQA15" s="133"/>
      <c r="DQB15" s="133"/>
      <c r="DQC15" s="133"/>
      <c r="DQD15" s="133"/>
      <c r="DQE15" s="133"/>
      <c r="DQF15" s="133"/>
      <c r="DQG15" s="133"/>
      <c r="DQH15" s="133"/>
      <c r="DQI15" s="133"/>
      <c r="DQJ15" s="133"/>
      <c r="DQK15" s="133"/>
      <c r="DQL15" s="133"/>
      <c r="DQM15" s="133"/>
      <c r="DQN15" s="133"/>
      <c r="DQO15" s="133"/>
      <c r="DQP15" s="133"/>
      <c r="DQQ15" s="133"/>
      <c r="DQR15" s="133"/>
      <c r="DQS15" s="133"/>
      <c r="DQT15" s="133"/>
      <c r="DQU15" s="133"/>
      <c r="DQV15" s="133"/>
      <c r="DQW15" s="133"/>
      <c r="DQX15" s="133"/>
      <c r="DQY15" s="133"/>
      <c r="DQZ15" s="133"/>
      <c r="DRA15" s="133"/>
      <c r="DRB15" s="133"/>
      <c r="DRC15" s="133"/>
      <c r="DRD15" s="133"/>
      <c r="DRE15" s="133"/>
      <c r="DRF15" s="133"/>
      <c r="DRG15" s="133"/>
      <c r="DRH15" s="133"/>
      <c r="DRI15" s="133"/>
      <c r="DRJ15" s="133"/>
      <c r="DRK15" s="133"/>
      <c r="DRL15" s="133"/>
      <c r="DRM15" s="133"/>
      <c r="DRN15" s="133"/>
      <c r="DRO15" s="133"/>
      <c r="DRP15" s="133"/>
      <c r="DRQ15" s="133"/>
      <c r="DRR15" s="133"/>
      <c r="DRS15" s="133"/>
      <c r="DRT15" s="133"/>
      <c r="DRU15" s="133"/>
      <c r="DRV15" s="133"/>
      <c r="DRW15" s="133"/>
      <c r="DRX15" s="133"/>
      <c r="DRY15" s="133"/>
      <c r="DRZ15" s="133"/>
      <c r="DSA15" s="133"/>
      <c r="DSB15" s="133"/>
      <c r="DSC15" s="133"/>
      <c r="DSD15" s="133"/>
      <c r="DSE15" s="133"/>
      <c r="DSF15" s="133"/>
      <c r="DSG15" s="133"/>
      <c r="DSH15" s="133"/>
      <c r="DSI15" s="133"/>
      <c r="DSJ15" s="133"/>
      <c r="DSK15" s="133"/>
      <c r="DSL15" s="133"/>
      <c r="DSM15" s="133"/>
      <c r="DSN15" s="133"/>
      <c r="DSO15" s="133"/>
      <c r="DSP15" s="133"/>
      <c r="DSQ15" s="133"/>
      <c r="DSR15" s="133"/>
      <c r="DSS15" s="133"/>
      <c r="DST15" s="133"/>
      <c r="DSU15" s="133"/>
      <c r="DSV15" s="133"/>
      <c r="DSW15" s="133"/>
      <c r="DSX15" s="133"/>
      <c r="DSY15" s="133"/>
      <c r="DSZ15" s="133"/>
      <c r="DTA15" s="133"/>
      <c r="DTB15" s="133"/>
      <c r="DTC15" s="133"/>
      <c r="DTD15" s="133"/>
      <c r="DTE15" s="133"/>
      <c r="DTF15" s="133"/>
      <c r="DTG15" s="133"/>
      <c r="DTH15" s="133"/>
      <c r="DTI15" s="133"/>
      <c r="DTJ15" s="133"/>
      <c r="DTK15" s="133"/>
      <c r="DTL15" s="133"/>
      <c r="DTM15" s="133"/>
      <c r="DTN15" s="133"/>
      <c r="DTO15" s="133"/>
      <c r="DTP15" s="133"/>
      <c r="DTQ15" s="133"/>
      <c r="DTR15" s="133"/>
      <c r="DTS15" s="133"/>
      <c r="DTT15" s="133"/>
      <c r="DTU15" s="133"/>
      <c r="DTV15" s="133"/>
      <c r="DTW15" s="133"/>
      <c r="DTX15" s="133"/>
      <c r="DTY15" s="133"/>
      <c r="DTZ15" s="133"/>
      <c r="DUA15" s="133"/>
      <c r="DUB15" s="133"/>
      <c r="DUC15" s="133"/>
      <c r="DUD15" s="133"/>
      <c r="DUE15" s="133"/>
      <c r="DUF15" s="133"/>
      <c r="DUG15" s="133"/>
      <c r="DUH15" s="133"/>
      <c r="DUI15" s="133"/>
      <c r="DUJ15" s="133"/>
      <c r="DUK15" s="133"/>
      <c r="DUL15" s="133"/>
      <c r="DUM15" s="133"/>
      <c r="DUN15" s="133"/>
      <c r="DUO15" s="133"/>
      <c r="DUP15" s="133"/>
      <c r="DUQ15" s="133"/>
      <c r="DUR15" s="133"/>
      <c r="DUS15" s="133"/>
      <c r="DUT15" s="133"/>
      <c r="DUU15" s="133"/>
      <c r="DUV15" s="133"/>
      <c r="DUW15" s="133"/>
      <c r="DUX15" s="133"/>
      <c r="DUY15" s="133"/>
      <c r="DUZ15" s="133"/>
      <c r="DVA15" s="133"/>
      <c r="DVB15" s="133"/>
      <c r="DVC15" s="133"/>
      <c r="DVD15" s="133"/>
      <c r="DVE15" s="133"/>
      <c r="DVF15" s="133"/>
      <c r="DVG15" s="133"/>
      <c r="DVH15" s="133"/>
      <c r="DVI15" s="133"/>
      <c r="DVJ15" s="133"/>
      <c r="DVK15" s="133"/>
      <c r="DVL15" s="133"/>
      <c r="DVM15" s="133"/>
      <c r="DVN15" s="133"/>
      <c r="DVO15" s="133"/>
      <c r="DVP15" s="133"/>
      <c r="DVQ15" s="133"/>
      <c r="DVR15" s="133"/>
      <c r="DVS15" s="133"/>
      <c r="DVT15" s="133"/>
      <c r="DVU15" s="133"/>
      <c r="DVV15" s="133"/>
      <c r="DVW15" s="133"/>
      <c r="DVX15" s="133"/>
      <c r="DVY15" s="133"/>
      <c r="DVZ15" s="133"/>
      <c r="DWA15" s="133"/>
      <c r="DWB15" s="133"/>
      <c r="DWC15" s="133"/>
      <c r="DWD15" s="133"/>
      <c r="DWE15" s="133"/>
      <c r="DWF15" s="133"/>
      <c r="DWG15" s="133"/>
      <c r="DWH15" s="133"/>
      <c r="DWI15" s="133"/>
      <c r="DWJ15" s="133"/>
      <c r="DWK15" s="133"/>
      <c r="DWL15" s="133"/>
      <c r="DWM15" s="133"/>
      <c r="DWN15" s="133"/>
      <c r="DWO15" s="133"/>
      <c r="DWP15" s="133"/>
      <c r="DWQ15" s="133"/>
      <c r="DWR15" s="133"/>
      <c r="DWS15" s="133"/>
      <c r="DWT15" s="133"/>
      <c r="DWU15" s="133"/>
      <c r="DWV15" s="133"/>
      <c r="DWW15" s="133"/>
      <c r="DWX15" s="133"/>
      <c r="DWY15" s="133"/>
      <c r="DWZ15" s="133"/>
      <c r="DXA15" s="133"/>
      <c r="DXB15" s="133"/>
      <c r="DXC15" s="133"/>
      <c r="DXD15" s="133"/>
      <c r="DXE15" s="133"/>
      <c r="DXF15" s="133"/>
      <c r="DXG15" s="133"/>
      <c r="DXH15" s="133"/>
      <c r="DXI15" s="133"/>
      <c r="DXJ15" s="133"/>
      <c r="DXK15" s="133"/>
      <c r="DXL15" s="133"/>
      <c r="DXM15" s="133"/>
      <c r="DXN15" s="133"/>
      <c r="DXO15" s="133"/>
      <c r="DXP15" s="133"/>
      <c r="DXQ15" s="133"/>
      <c r="DXR15" s="133"/>
      <c r="DXS15" s="133"/>
      <c r="DXT15" s="133"/>
      <c r="DXU15" s="133"/>
      <c r="DXV15" s="133"/>
      <c r="DXW15" s="133"/>
      <c r="DXX15" s="133"/>
      <c r="DXY15" s="133"/>
      <c r="DXZ15" s="133"/>
      <c r="DYA15" s="133"/>
      <c r="DYB15" s="133"/>
      <c r="DYC15" s="133"/>
      <c r="DYD15" s="133"/>
      <c r="DYE15" s="133"/>
      <c r="DYF15" s="133"/>
      <c r="DYG15" s="133"/>
      <c r="DYH15" s="133"/>
      <c r="DYI15" s="133"/>
      <c r="DYJ15" s="133"/>
      <c r="DYK15" s="133"/>
      <c r="DYL15" s="133"/>
      <c r="DYM15" s="133"/>
      <c r="DYN15" s="133"/>
      <c r="DYO15" s="133"/>
      <c r="DYP15" s="133"/>
      <c r="DYQ15" s="133"/>
      <c r="DYR15" s="133"/>
      <c r="DYS15" s="133"/>
      <c r="DYT15" s="133"/>
      <c r="DYU15" s="133"/>
      <c r="DYV15" s="133"/>
      <c r="DYW15" s="133"/>
      <c r="DYX15" s="133"/>
      <c r="DYY15" s="133"/>
      <c r="DYZ15" s="133"/>
      <c r="DZA15" s="133"/>
      <c r="DZB15" s="133"/>
      <c r="DZC15" s="133"/>
      <c r="DZD15" s="133"/>
      <c r="DZE15" s="133"/>
      <c r="DZF15" s="133"/>
      <c r="DZG15" s="133"/>
      <c r="DZH15" s="133"/>
      <c r="DZI15" s="133"/>
      <c r="DZJ15" s="133"/>
      <c r="DZK15" s="133"/>
      <c r="DZL15" s="133"/>
      <c r="DZM15" s="133"/>
      <c r="DZN15" s="133"/>
      <c r="DZO15" s="133"/>
      <c r="DZP15" s="133"/>
      <c r="DZQ15" s="133"/>
      <c r="DZR15" s="133"/>
      <c r="DZS15" s="133"/>
      <c r="DZT15" s="133"/>
      <c r="DZU15" s="133"/>
      <c r="DZV15" s="133"/>
      <c r="DZW15" s="133"/>
      <c r="DZX15" s="133"/>
      <c r="DZY15" s="133"/>
      <c r="DZZ15" s="133"/>
      <c r="EAA15" s="133"/>
      <c r="EAB15" s="133"/>
      <c r="EAC15" s="133"/>
      <c r="EAD15" s="133"/>
      <c r="EAE15" s="133"/>
      <c r="EAF15" s="133"/>
      <c r="EAG15" s="133"/>
      <c r="EAH15" s="133"/>
      <c r="EAI15" s="133"/>
      <c r="EAJ15" s="133"/>
      <c r="EAK15" s="133"/>
      <c r="EAL15" s="133"/>
      <c r="EAM15" s="133"/>
      <c r="EAN15" s="133"/>
      <c r="EAO15" s="133"/>
      <c r="EAP15" s="133"/>
      <c r="EAQ15" s="133"/>
      <c r="EAR15" s="133"/>
      <c r="EAS15" s="133"/>
      <c r="EAT15" s="133"/>
      <c r="EAU15" s="133"/>
      <c r="EAV15" s="133"/>
      <c r="EAW15" s="133"/>
      <c r="EAX15" s="133"/>
      <c r="EAY15" s="133"/>
      <c r="EAZ15" s="133"/>
      <c r="EBA15" s="133"/>
      <c r="EBB15" s="133"/>
      <c r="EBC15" s="133"/>
      <c r="EBD15" s="133"/>
      <c r="EBE15" s="133"/>
      <c r="EBF15" s="133"/>
      <c r="EBG15" s="133"/>
      <c r="EBH15" s="133"/>
      <c r="EBI15" s="133"/>
      <c r="EBJ15" s="133"/>
      <c r="EBK15" s="133"/>
      <c r="EBL15" s="133"/>
      <c r="EBM15" s="133"/>
      <c r="EBN15" s="133"/>
      <c r="EBO15" s="133"/>
      <c r="EBP15" s="133"/>
      <c r="EBQ15" s="133"/>
      <c r="EBR15" s="133"/>
      <c r="EBS15" s="133"/>
      <c r="EBT15" s="133"/>
      <c r="EBU15" s="133"/>
      <c r="EBV15" s="133"/>
      <c r="EBW15" s="133"/>
      <c r="EBX15" s="133"/>
      <c r="EBY15" s="133"/>
      <c r="EBZ15" s="133"/>
      <c r="ECA15" s="133"/>
      <c r="ECB15" s="133"/>
      <c r="ECC15" s="133"/>
      <c r="ECD15" s="133"/>
      <c r="ECE15" s="133"/>
      <c r="ECF15" s="133"/>
      <c r="ECG15" s="133"/>
      <c r="ECH15" s="133"/>
      <c r="ECI15" s="133"/>
      <c r="ECJ15" s="133"/>
      <c r="ECK15" s="133"/>
      <c r="ECL15" s="133"/>
      <c r="ECM15" s="133"/>
      <c r="ECN15" s="133"/>
      <c r="ECO15" s="133"/>
      <c r="ECP15" s="133"/>
      <c r="ECQ15" s="133"/>
      <c r="ECR15" s="133"/>
      <c r="ECS15" s="133"/>
      <c r="ECT15" s="133"/>
      <c r="ECU15" s="133"/>
      <c r="ECV15" s="133"/>
      <c r="ECW15" s="133"/>
      <c r="ECX15" s="133"/>
      <c r="ECY15" s="133"/>
      <c r="ECZ15" s="133"/>
      <c r="EDA15" s="133"/>
      <c r="EDB15" s="133"/>
      <c r="EDC15" s="133"/>
      <c r="EDD15" s="133"/>
      <c r="EDE15" s="133"/>
      <c r="EDF15" s="133"/>
      <c r="EDG15" s="133"/>
      <c r="EDH15" s="133"/>
      <c r="EDI15" s="133"/>
      <c r="EDJ15" s="133"/>
      <c r="EDK15" s="133"/>
      <c r="EDL15" s="133"/>
      <c r="EDM15" s="133"/>
      <c r="EDN15" s="133"/>
      <c r="EDO15" s="133"/>
      <c r="EDP15" s="133"/>
      <c r="EDQ15" s="133"/>
      <c r="EDR15" s="133"/>
      <c r="EDS15" s="133"/>
      <c r="EDT15" s="133"/>
      <c r="EDU15" s="133"/>
      <c r="EDV15" s="133"/>
      <c r="EDW15" s="133"/>
      <c r="EDX15" s="133"/>
      <c r="EDY15" s="133"/>
      <c r="EDZ15" s="133"/>
      <c r="EEA15" s="133"/>
      <c r="EEB15" s="133"/>
      <c r="EEC15" s="133"/>
      <c r="EED15" s="133"/>
      <c r="EEE15" s="133"/>
      <c r="EEF15" s="133"/>
      <c r="EEG15" s="133"/>
      <c r="EEH15" s="133"/>
      <c r="EEI15" s="133"/>
      <c r="EEJ15" s="133"/>
      <c r="EEK15" s="133"/>
      <c r="EEL15" s="133"/>
      <c r="EEM15" s="133"/>
      <c r="EEN15" s="133"/>
      <c r="EEO15" s="133"/>
      <c r="EEP15" s="133"/>
      <c r="EEQ15" s="133"/>
      <c r="EER15" s="133"/>
      <c r="EES15" s="133"/>
      <c r="EET15" s="133"/>
      <c r="EEU15" s="133"/>
      <c r="EEV15" s="133"/>
      <c r="EEW15" s="133"/>
      <c r="EEX15" s="133"/>
      <c r="EEY15" s="133"/>
      <c r="EEZ15" s="133"/>
      <c r="EFA15" s="133"/>
      <c r="EFB15" s="133"/>
      <c r="EFC15" s="133"/>
      <c r="EFD15" s="133"/>
      <c r="EFE15" s="133"/>
      <c r="EFF15" s="133"/>
      <c r="EFG15" s="133"/>
      <c r="EFH15" s="133"/>
      <c r="EFI15" s="133"/>
      <c r="EFJ15" s="133"/>
      <c r="EFK15" s="133"/>
      <c r="EFL15" s="133"/>
      <c r="EFM15" s="133"/>
      <c r="EFN15" s="133"/>
      <c r="EFO15" s="133"/>
      <c r="EFP15" s="133"/>
      <c r="EFQ15" s="133"/>
      <c r="EFR15" s="133"/>
      <c r="EFS15" s="133"/>
      <c r="EFT15" s="133"/>
      <c r="EFU15" s="133"/>
      <c r="EFV15" s="133"/>
      <c r="EFW15" s="133"/>
      <c r="EFX15" s="133"/>
      <c r="EFY15" s="133"/>
      <c r="EFZ15" s="133"/>
      <c r="EGA15" s="133"/>
      <c r="EGB15" s="133"/>
      <c r="EGC15" s="133"/>
      <c r="EGD15" s="133"/>
      <c r="EGE15" s="133"/>
      <c r="EGF15" s="133"/>
      <c r="EGG15" s="133"/>
      <c r="EGH15" s="133"/>
      <c r="EGI15" s="133"/>
      <c r="EGJ15" s="133"/>
      <c r="EGK15" s="133"/>
      <c r="EGL15" s="133"/>
      <c r="EGM15" s="133"/>
      <c r="EGN15" s="133"/>
      <c r="EGO15" s="133"/>
      <c r="EGP15" s="133"/>
      <c r="EGQ15" s="133"/>
      <c r="EGR15" s="133"/>
      <c r="EGS15" s="133"/>
      <c r="EGT15" s="133"/>
      <c r="EGU15" s="133"/>
      <c r="EGV15" s="133"/>
      <c r="EGW15" s="133"/>
      <c r="EGX15" s="133"/>
      <c r="EGY15" s="133"/>
      <c r="EGZ15" s="133"/>
      <c r="EHA15" s="133"/>
      <c r="EHB15" s="133"/>
      <c r="EHC15" s="133"/>
      <c r="EHD15" s="133"/>
      <c r="EHE15" s="133"/>
      <c r="EHF15" s="133"/>
      <c r="EHG15" s="133"/>
      <c r="EHH15" s="133"/>
      <c r="EHI15" s="133"/>
      <c r="EHJ15" s="133"/>
      <c r="EHK15" s="133"/>
      <c r="EHL15" s="133"/>
      <c r="EHM15" s="133"/>
      <c r="EHN15" s="133"/>
      <c r="EHO15" s="133"/>
      <c r="EHP15" s="133"/>
      <c r="EHQ15" s="133"/>
      <c r="EHR15" s="133"/>
      <c r="EHS15" s="133"/>
      <c r="EHT15" s="133"/>
      <c r="EHU15" s="133"/>
      <c r="EHV15" s="133"/>
      <c r="EHW15" s="133"/>
      <c r="EHX15" s="133"/>
      <c r="EHY15" s="133"/>
      <c r="EHZ15" s="133"/>
      <c r="EIA15" s="133"/>
      <c r="EIB15" s="133"/>
      <c r="EIC15" s="133"/>
      <c r="EID15" s="133"/>
      <c r="EIE15" s="133"/>
      <c r="EIF15" s="133"/>
      <c r="EIG15" s="133"/>
      <c r="EIH15" s="133"/>
      <c r="EII15" s="133"/>
      <c r="EIJ15" s="133"/>
      <c r="EIK15" s="133"/>
      <c r="EIL15" s="133"/>
      <c r="EIM15" s="133"/>
      <c r="EIN15" s="133"/>
      <c r="EIO15" s="133"/>
      <c r="EIP15" s="133"/>
      <c r="EIQ15" s="133"/>
      <c r="EIR15" s="133"/>
      <c r="EIS15" s="133"/>
      <c r="EIT15" s="133"/>
      <c r="EIU15" s="133"/>
      <c r="EIV15" s="133"/>
      <c r="EIW15" s="133"/>
      <c r="EIX15" s="133"/>
      <c r="EIY15" s="133"/>
      <c r="EIZ15" s="133"/>
      <c r="EJA15" s="133"/>
      <c r="EJB15" s="133"/>
      <c r="EJC15" s="133"/>
      <c r="EJD15" s="133"/>
      <c r="EJE15" s="133"/>
      <c r="EJF15" s="133"/>
      <c r="EJG15" s="133"/>
      <c r="EJH15" s="133"/>
      <c r="EJI15" s="133"/>
      <c r="EJJ15" s="133"/>
      <c r="EJK15" s="133"/>
      <c r="EJL15" s="133"/>
      <c r="EJM15" s="133"/>
      <c r="EJN15" s="133"/>
      <c r="EJO15" s="133"/>
      <c r="EJP15" s="133"/>
      <c r="EJQ15" s="133"/>
      <c r="EJR15" s="133"/>
      <c r="EJS15" s="133"/>
      <c r="EJT15" s="133"/>
      <c r="EJU15" s="133"/>
      <c r="EJV15" s="133"/>
      <c r="EJW15" s="133"/>
      <c r="EJX15" s="133"/>
      <c r="EJY15" s="133"/>
      <c r="EJZ15" s="133"/>
      <c r="EKA15" s="133"/>
      <c r="EKB15" s="133"/>
      <c r="EKC15" s="133"/>
      <c r="EKD15" s="133"/>
      <c r="EKE15" s="133"/>
      <c r="EKF15" s="133"/>
      <c r="EKG15" s="133"/>
      <c r="EKH15" s="133"/>
      <c r="EKI15" s="133"/>
      <c r="EKJ15" s="133"/>
      <c r="EKK15" s="133"/>
      <c r="EKL15" s="133"/>
      <c r="EKM15" s="133"/>
      <c r="EKN15" s="133"/>
      <c r="EKO15" s="133"/>
      <c r="EKP15" s="133"/>
      <c r="EKQ15" s="133"/>
      <c r="EKR15" s="133"/>
      <c r="EKS15" s="133"/>
      <c r="EKT15" s="133"/>
      <c r="EKU15" s="133"/>
      <c r="EKV15" s="133"/>
      <c r="EKW15" s="133"/>
      <c r="EKX15" s="133"/>
      <c r="EKY15" s="133"/>
      <c r="EKZ15" s="133"/>
      <c r="ELA15" s="133"/>
      <c r="ELB15" s="133"/>
      <c r="ELC15" s="133"/>
      <c r="ELD15" s="133"/>
      <c r="ELE15" s="133"/>
      <c r="ELF15" s="133"/>
      <c r="ELG15" s="133"/>
      <c r="ELH15" s="133"/>
      <c r="ELI15" s="133"/>
      <c r="ELJ15" s="133"/>
      <c r="ELK15" s="133"/>
      <c r="ELL15" s="133"/>
      <c r="ELM15" s="133"/>
      <c r="ELN15" s="133"/>
      <c r="ELO15" s="133"/>
      <c r="ELP15" s="133"/>
      <c r="ELQ15" s="133"/>
      <c r="ELR15" s="133"/>
      <c r="ELS15" s="133"/>
      <c r="ELT15" s="133"/>
      <c r="ELU15" s="133"/>
      <c r="ELV15" s="133"/>
      <c r="ELW15" s="133"/>
      <c r="ELX15" s="133"/>
      <c r="ELY15" s="133"/>
      <c r="ELZ15" s="133"/>
      <c r="EMA15" s="133"/>
      <c r="EMB15" s="133"/>
      <c r="EMC15" s="133"/>
      <c r="EMD15" s="133"/>
      <c r="EME15" s="133"/>
      <c r="EMF15" s="133"/>
      <c r="EMG15" s="133"/>
      <c r="EMH15" s="133"/>
      <c r="EMI15" s="133"/>
      <c r="EMJ15" s="133"/>
      <c r="EMK15" s="133"/>
      <c r="EML15" s="133"/>
      <c r="EMM15" s="133"/>
      <c r="EMN15" s="133"/>
      <c r="EMO15" s="133"/>
      <c r="EMP15" s="133"/>
      <c r="EMQ15" s="133"/>
      <c r="EMR15" s="133"/>
      <c r="EMS15" s="133"/>
      <c r="EMT15" s="133"/>
      <c r="EMU15" s="133"/>
      <c r="EMV15" s="133"/>
      <c r="EMW15" s="133"/>
      <c r="EMX15" s="133"/>
      <c r="EMY15" s="133"/>
      <c r="EMZ15" s="133"/>
      <c r="ENA15" s="133"/>
      <c r="ENB15" s="133"/>
      <c r="ENC15" s="133"/>
      <c r="END15" s="133"/>
      <c r="ENE15" s="133"/>
      <c r="ENF15" s="133"/>
      <c r="ENG15" s="133"/>
      <c r="ENH15" s="133"/>
      <c r="ENI15" s="133"/>
      <c r="ENJ15" s="133"/>
      <c r="ENK15" s="133"/>
      <c r="ENL15" s="133"/>
      <c r="ENM15" s="133"/>
      <c r="ENN15" s="133"/>
      <c r="ENO15" s="133"/>
      <c r="ENP15" s="133"/>
      <c r="ENQ15" s="133"/>
      <c r="ENR15" s="133"/>
      <c r="ENS15" s="133"/>
      <c r="ENT15" s="133"/>
      <c r="ENU15" s="133"/>
      <c r="ENV15" s="133"/>
      <c r="ENW15" s="133"/>
      <c r="ENX15" s="133"/>
      <c r="ENY15" s="133"/>
      <c r="ENZ15" s="133"/>
      <c r="EOA15" s="133"/>
      <c r="EOB15" s="133"/>
      <c r="EOC15" s="133"/>
      <c r="EOD15" s="133"/>
      <c r="EOE15" s="133"/>
      <c r="EOF15" s="133"/>
      <c r="EOG15" s="133"/>
      <c r="EOH15" s="133"/>
      <c r="EOI15" s="133"/>
      <c r="EOJ15" s="133"/>
      <c r="EOK15" s="133"/>
      <c r="EOL15" s="133"/>
      <c r="EOM15" s="133"/>
      <c r="EON15" s="133"/>
      <c r="EOO15" s="133"/>
      <c r="EOP15" s="133"/>
      <c r="EOQ15" s="133"/>
      <c r="EOR15" s="133"/>
      <c r="EOS15" s="133"/>
      <c r="EOT15" s="133"/>
      <c r="EOU15" s="133"/>
      <c r="EOV15" s="133"/>
      <c r="EOW15" s="133"/>
      <c r="EOX15" s="133"/>
      <c r="EOY15" s="133"/>
      <c r="EOZ15" s="133"/>
      <c r="EPA15" s="133"/>
      <c r="EPB15" s="133"/>
      <c r="EPC15" s="133"/>
      <c r="EPD15" s="133"/>
      <c r="EPE15" s="133"/>
      <c r="EPF15" s="133"/>
      <c r="EPG15" s="133"/>
      <c r="EPH15" s="133"/>
      <c r="EPI15" s="133"/>
      <c r="EPJ15" s="133"/>
      <c r="EPK15" s="133"/>
      <c r="EPL15" s="133"/>
      <c r="EPM15" s="133"/>
      <c r="EPN15" s="133"/>
      <c r="EPO15" s="133"/>
      <c r="EPP15" s="133"/>
      <c r="EPQ15" s="133"/>
      <c r="EPR15" s="133"/>
      <c r="EPS15" s="133"/>
      <c r="EPT15" s="133"/>
      <c r="EPU15" s="133"/>
      <c r="EPV15" s="133"/>
      <c r="EPW15" s="133"/>
      <c r="EPX15" s="133"/>
      <c r="EPY15" s="133"/>
      <c r="EPZ15" s="133"/>
      <c r="EQA15" s="133"/>
      <c r="EQB15" s="133"/>
      <c r="EQC15" s="133"/>
      <c r="EQD15" s="133"/>
      <c r="EQE15" s="133"/>
      <c r="EQF15" s="133"/>
      <c r="EQG15" s="133"/>
      <c r="EQH15" s="133"/>
      <c r="EQI15" s="133"/>
      <c r="EQJ15" s="133"/>
      <c r="EQK15" s="133"/>
      <c r="EQL15" s="133"/>
      <c r="EQM15" s="133"/>
      <c r="EQN15" s="133"/>
      <c r="EQO15" s="133"/>
      <c r="EQP15" s="133"/>
      <c r="EQQ15" s="133"/>
      <c r="EQR15" s="133"/>
      <c r="EQS15" s="133"/>
      <c r="EQT15" s="133"/>
      <c r="EQU15" s="133"/>
      <c r="EQV15" s="133"/>
      <c r="EQW15" s="133"/>
      <c r="EQX15" s="133"/>
      <c r="EQY15" s="133"/>
      <c r="EQZ15" s="133"/>
      <c r="ERA15" s="133"/>
      <c r="ERB15" s="133"/>
      <c r="ERC15" s="133"/>
      <c r="ERD15" s="133"/>
      <c r="ERE15" s="133"/>
      <c r="ERF15" s="133"/>
      <c r="ERG15" s="133"/>
      <c r="ERH15" s="133"/>
      <c r="ERI15" s="133"/>
      <c r="ERJ15" s="133"/>
      <c r="ERK15" s="133"/>
      <c r="ERL15" s="133"/>
      <c r="ERM15" s="133"/>
      <c r="ERN15" s="133"/>
      <c r="ERO15" s="133"/>
      <c r="ERP15" s="133"/>
      <c r="ERQ15" s="133"/>
      <c r="ERR15" s="133"/>
      <c r="ERS15" s="133"/>
      <c r="ERT15" s="133"/>
      <c r="ERU15" s="133"/>
      <c r="ERV15" s="133"/>
      <c r="ERW15" s="133"/>
      <c r="ERX15" s="133"/>
      <c r="ERY15" s="133"/>
      <c r="ERZ15" s="133"/>
      <c r="ESA15" s="133"/>
      <c r="ESB15" s="133"/>
      <c r="ESC15" s="133"/>
      <c r="ESD15" s="133"/>
      <c r="ESE15" s="133"/>
      <c r="ESF15" s="133"/>
      <c r="ESG15" s="133"/>
      <c r="ESH15" s="133"/>
      <c r="ESI15" s="133"/>
      <c r="ESJ15" s="133"/>
      <c r="ESK15" s="133"/>
      <c r="ESL15" s="133"/>
      <c r="ESM15" s="133"/>
      <c r="ESN15" s="133"/>
      <c r="ESO15" s="133"/>
      <c r="ESP15" s="133"/>
      <c r="ESQ15" s="133"/>
      <c r="ESR15" s="133"/>
      <c r="ESS15" s="133"/>
      <c r="EST15" s="133"/>
      <c r="ESU15" s="133"/>
      <c r="ESV15" s="133"/>
      <c r="ESW15" s="133"/>
      <c r="ESX15" s="133"/>
      <c r="ESY15" s="133"/>
      <c r="ESZ15" s="133"/>
      <c r="ETA15" s="133"/>
      <c r="ETB15" s="133"/>
      <c r="ETC15" s="133"/>
      <c r="ETD15" s="133"/>
      <c r="ETE15" s="133"/>
      <c r="ETF15" s="133"/>
      <c r="ETG15" s="133"/>
      <c r="ETH15" s="133"/>
      <c r="ETI15" s="133"/>
      <c r="ETJ15" s="133"/>
      <c r="ETK15" s="133"/>
      <c r="ETL15" s="133"/>
      <c r="ETM15" s="133"/>
      <c r="ETN15" s="133"/>
      <c r="ETO15" s="133"/>
      <c r="ETP15" s="133"/>
      <c r="ETQ15" s="133"/>
      <c r="ETR15" s="133"/>
      <c r="ETS15" s="133"/>
      <c r="ETT15" s="133"/>
      <c r="ETU15" s="133"/>
      <c r="ETV15" s="133"/>
      <c r="ETW15" s="133"/>
      <c r="ETX15" s="133"/>
      <c r="ETY15" s="133"/>
      <c r="ETZ15" s="133"/>
      <c r="EUA15" s="133"/>
      <c r="EUB15" s="133"/>
      <c r="EUC15" s="133"/>
      <c r="EUD15" s="133"/>
      <c r="EUE15" s="133"/>
      <c r="EUF15" s="133"/>
      <c r="EUG15" s="133"/>
      <c r="EUH15" s="133"/>
      <c r="EUI15" s="133"/>
      <c r="EUJ15" s="133"/>
      <c r="EUK15" s="133"/>
      <c r="EUL15" s="133"/>
      <c r="EUM15" s="133"/>
      <c r="EUN15" s="133"/>
      <c r="EUO15" s="133"/>
      <c r="EUP15" s="133"/>
      <c r="EUQ15" s="133"/>
      <c r="EUR15" s="133"/>
      <c r="EUS15" s="133"/>
      <c r="EUT15" s="133"/>
      <c r="EUU15" s="133"/>
      <c r="EUV15" s="133"/>
      <c r="EUW15" s="133"/>
      <c r="EUX15" s="133"/>
      <c r="EUY15" s="133"/>
      <c r="EUZ15" s="133"/>
      <c r="EVA15" s="133"/>
      <c r="EVB15" s="133"/>
      <c r="EVC15" s="133"/>
      <c r="EVD15" s="133"/>
      <c r="EVE15" s="133"/>
      <c r="EVF15" s="133"/>
      <c r="EVG15" s="133"/>
      <c r="EVH15" s="133"/>
      <c r="EVI15" s="133"/>
      <c r="EVJ15" s="133"/>
      <c r="EVK15" s="133"/>
      <c r="EVL15" s="133"/>
      <c r="EVM15" s="133"/>
      <c r="EVN15" s="133"/>
      <c r="EVO15" s="133"/>
      <c r="EVP15" s="133"/>
      <c r="EVQ15" s="133"/>
      <c r="EVR15" s="133"/>
      <c r="EVS15" s="133"/>
      <c r="EVT15" s="133"/>
      <c r="EVU15" s="133"/>
      <c r="EVV15" s="133"/>
      <c r="EVW15" s="133"/>
      <c r="EVX15" s="133"/>
      <c r="EVY15" s="133"/>
      <c r="EVZ15" s="133"/>
      <c r="EWA15" s="133"/>
      <c r="EWB15" s="133"/>
      <c r="EWC15" s="133"/>
      <c r="EWD15" s="133"/>
      <c r="EWE15" s="133"/>
      <c r="EWF15" s="133"/>
      <c r="EWG15" s="133"/>
      <c r="EWH15" s="133"/>
      <c r="EWI15" s="133"/>
      <c r="EWJ15" s="133"/>
      <c r="EWK15" s="133"/>
      <c r="EWL15" s="133"/>
      <c r="EWM15" s="133"/>
      <c r="EWN15" s="133"/>
      <c r="EWO15" s="133"/>
      <c r="EWP15" s="133"/>
      <c r="EWQ15" s="133"/>
      <c r="EWR15" s="133"/>
      <c r="EWS15" s="133"/>
      <c r="EWT15" s="133"/>
      <c r="EWU15" s="133"/>
      <c r="EWV15" s="133"/>
      <c r="EWW15" s="133"/>
      <c r="EWX15" s="133"/>
      <c r="EWY15" s="133"/>
      <c r="EWZ15" s="133"/>
      <c r="EXA15" s="133"/>
      <c r="EXB15" s="133"/>
      <c r="EXC15" s="133"/>
      <c r="EXD15" s="133"/>
      <c r="EXE15" s="133"/>
      <c r="EXF15" s="133"/>
      <c r="EXG15" s="133"/>
      <c r="EXH15" s="133"/>
      <c r="EXI15" s="133"/>
      <c r="EXJ15" s="133"/>
      <c r="EXK15" s="133"/>
      <c r="EXL15" s="133"/>
      <c r="EXM15" s="133"/>
      <c r="EXN15" s="133"/>
      <c r="EXO15" s="133"/>
      <c r="EXP15" s="133"/>
      <c r="EXQ15" s="133"/>
      <c r="EXR15" s="133"/>
      <c r="EXS15" s="133"/>
      <c r="EXT15" s="133"/>
      <c r="EXU15" s="133"/>
      <c r="EXV15" s="133"/>
      <c r="EXW15" s="133"/>
      <c r="EXX15" s="133"/>
      <c r="EXY15" s="133"/>
      <c r="EXZ15" s="133"/>
      <c r="EYA15" s="133"/>
      <c r="EYB15" s="133"/>
      <c r="EYC15" s="133"/>
      <c r="EYD15" s="133"/>
      <c r="EYE15" s="133"/>
      <c r="EYF15" s="133"/>
      <c r="EYG15" s="133"/>
      <c r="EYH15" s="133"/>
      <c r="EYI15" s="133"/>
      <c r="EYJ15" s="133"/>
      <c r="EYK15" s="133"/>
      <c r="EYL15" s="133"/>
      <c r="EYM15" s="133"/>
      <c r="EYN15" s="133"/>
      <c r="EYO15" s="133"/>
      <c r="EYP15" s="133"/>
      <c r="EYQ15" s="133"/>
      <c r="EYR15" s="133"/>
      <c r="EYS15" s="133"/>
      <c r="EYT15" s="133"/>
      <c r="EYU15" s="133"/>
      <c r="EYV15" s="133"/>
      <c r="EYW15" s="133"/>
      <c r="EYX15" s="133"/>
      <c r="EYY15" s="133"/>
      <c r="EYZ15" s="133"/>
      <c r="EZA15" s="133"/>
      <c r="EZB15" s="133"/>
      <c r="EZC15" s="133"/>
      <c r="EZD15" s="133"/>
      <c r="EZE15" s="133"/>
      <c r="EZF15" s="133"/>
      <c r="EZG15" s="133"/>
      <c r="EZH15" s="133"/>
      <c r="EZI15" s="133"/>
      <c r="EZJ15" s="133"/>
      <c r="EZK15" s="133"/>
      <c r="EZL15" s="133"/>
      <c r="EZM15" s="133"/>
      <c r="EZN15" s="133"/>
      <c r="EZO15" s="133"/>
      <c r="EZP15" s="133"/>
      <c r="EZQ15" s="133"/>
      <c r="EZR15" s="133"/>
      <c r="EZS15" s="133"/>
      <c r="EZT15" s="133"/>
      <c r="EZU15" s="133"/>
      <c r="EZV15" s="133"/>
      <c r="EZW15" s="133"/>
      <c r="EZX15" s="133"/>
      <c r="EZY15" s="133"/>
      <c r="EZZ15" s="133"/>
      <c r="FAA15" s="133"/>
      <c r="FAB15" s="133"/>
      <c r="FAC15" s="133"/>
      <c r="FAD15" s="133"/>
      <c r="FAE15" s="133"/>
      <c r="FAF15" s="133"/>
      <c r="FAG15" s="133"/>
      <c r="FAH15" s="133"/>
      <c r="FAI15" s="133"/>
      <c r="FAJ15" s="133"/>
      <c r="FAK15" s="133"/>
      <c r="FAL15" s="133"/>
      <c r="FAM15" s="133"/>
      <c r="FAN15" s="133"/>
      <c r="FAO15" s="133"/>
      <c r="FAP15" s="133"/>
      <c r="FAQ15" s="133"/>
      <c r="FAR15" s="133"/>
      <c r="FAS15" s="133"/>
      <c r="FAT15" s="133"/>
      <c r="FAU15" s="133"/>
      <c r="FAV15" s="133"/>
      <c r="FAW15" s="133"/>
      <c r="FAX15" s="133"/>
      <c r="FAY15" s="133"/>
      <c r="FAZ15" s="133"/>
      <c r="FBA15" s="133"/>
      <c r="FBB15" s="133"/>
      <c r="FBC15" s="133"/>
      <c r="FBD15" s="133"/>
      <c r="FBE15" s="133"/>
      <c r="FBF15" s="133"/>
      <c r="FBG15" s="133"/>
      <c r="FBH15" s="133"/>
      <c r="FBI15" s="133"/>
      <c r="FBJ15" s="133"/>
      <c r="FBK15" s="133"/>
      <c r="FBL15" s="133"/>
      <c r="FBM15" s="133"/>
      <c r="FBN15" s="133"/>
      <c r="FBO15" s="133"/>
      <c r="FBP15" s="133"/>
      <c r="FBQ15" s="133"/>
      <c r="FBR15" s="133"/>
      <c r="FBS15" s="133"/>
      <c r="FBT15" s="133"/>
      <c r="FBU15" s="133"/>
      <c r="FBV15" s="133"/>
      <c r="FBW15" s="133"/>
      <c r="FBX15" s="133"/>
      <c r="FBY15" s="133"/>
      <c r="FBZ15" s="133"/>
      <c r="FCA15" s="133"/>
      <c r="FCB15" s="133"/>
      <c r="FCC15" s="133"/>
      <c r="FCD15" s="133"/>
      <c r="FCE15" s="133"/>
      <c r="FCF15" s="133"/>
      <c r="FCG15" s="133"/>
      <c r="FCH15" s="133"/>
      <c r="FCI15" s="133"/>
      <c r="FCJ15" s="133"/>
      <c r="FCK15" s="133"/>
      <c r="FCL15" s="133"/>
      <c r="FCM15" s="133"/>
      <c r="FCN15" s="133"/>
      <c r="FCO15" s="133"/>
      <c r="FCP15" s="133"/>
      <c r="FCQ15" s="133"/>
      <c r="FCR15" s="133"/>
      <c r="FCS15" s="133"/>
      <c r="FCT15" s="133"/>
      <c r="FCU15" s="133"/>
      <c r="FCV15" s="133"/>
      <c r="FCW15" s="133"/>
      <c r="FCX15" s="133"/>
      <c r="FCY15" s="133"/>
      <c r="FCZ15" s="133"/>
      <c r="FDA15" s="133"/>
      <c r="FDB15" s="133"/>
      <c r="FDC15" s="133"/>
      <c r="FDD15" s="133"/>
      <c r="FDE15" s="133"/>
      <c r="FDF15" s="133"/>
      <c r="FDG15" s="133"/>
      <c r="FDH15" s="133"/>
      <c r="FDI15" s="133"/>
      <c r="FDJ15" s="133"/>
      <c r="FDK15" s="133"/>
      <c r="FDL15" s="133"/>
      <c r="FDM15" s="133"/>
      <c r="FDN15" s="133"/>
      <c r="FDO15" s="133"/>
      <c r="FDP15" s="133"/>
      <c r="FDQ15" s="133"/>
      <c r="FDR15" s="133"/>
      <c r="FDS15" s="133"/>
      <c r="FDT15" s="133"/>
      <c r="FDU15" s="133"/>
      <c r="FDV15" s="133"/>
      <c r="FDW15" s="133"/>
      <c r="FDX15" s="133"/>
      <c r="FDY15" s="133"/>
      <c r="FDZ15" s="133"/>
      <c r="FEA15" s="133"/>
      <c r="FEB15" s="133"/>
      <c r="FEC15" s="133"/>
      <c r="FED15" s="133"/>
      <c r="FEE15" s="133"/>
      <c r="FEF15" s="133"/>
      <c r="FEG15" s="133"/>
      <c r="FEH15" s="133"/>
      <c r="FEI15" s="133"/>
      <c r="FEJ15" s="133"/>
      <c r="FEK15" s="133"/>
      <c r="FEL15" s="133"/>
      <c r="FEM15" s="133"/>
      <c r="FEN15" s="133"/>
      <c r="FEO15" s="133"/>
      <c r="FEP15" s="133"/>
      <c r="FEQ15" s="133"/>
      <c r="FER15" s="133"/>
      <c r="FES15" s="133"/>
      <c r="FET15" s="133"/>
      <c r="FEU15" s="133"/>
      <c r="FEV15" s="133"/>
      <c r="FEW15" s="133"/>
      <c r="FEX15" s="133"/>
      <c r="FEY15" s="133"/>
      <c r="FEZ15" s="133"/>
      <c r="FFA15" s="133"/>
      <c r="FFB15" s="133"/>
      <c r="FFC15" s="133"/>
      <c r="FFD15" s="133"/>
      <c r="FFE15" s="133"/>
      <c r="FFF15" s="133"/>
      <c r="FFG15" s="133"/>
      <c r="FFH15" s="133"/>
      <c r="FFI15" s="133"/>
      <c r="FFJ15" s="133"/>
      <c r="FFK15" s="133"/>
      <c r="FFL15" s="133"/>
      <c r="FFM15" s="133"/>
      <c r="FFN15" s="133"/>
      <c r="FFO15" s="133"/>
      <c r="FFP15" s="133"/>
      <c r="FFQ15" s="133"/>
      <c r="FFR15" s="133"/>
      <c r="FFS15" s="133"/>
      <c r="FFT15" s="133"/>
      <c r="FFU15" s="133"/>
      <c r="FFV15" s="133"/>
      <c r="FFW15" s="133"/>
      <c r="FFX15" s="133"/>
      <c r="FFY15" s="133"/>
      <c r="FFZ15" s="133"/>
      <c r="FGA15" s="133"/>
      <c r="FGB15" s="133"/>
      <c r="FGC15" s="133"/>
      <c r="FGD15" s="133"/>
      <c r="FGE15" s="133"/>
      <c r="FGF15" s="133"/>
      <c r="FGG15" s="133"/>
      <c r="FGH15" s="133"/>
      <c r="FGI15" s="133"/>
      <c r="FGJ15" s="133"/>
      <c r="FGK15" s="133"/>
      <c r="FGL15" s="133"/>
      <c r="FGM15" s="133"/>
      <c r="FGN15" s="133"/>
      <c r="FGO15" s="133"/>
      <c r="FGP15" s="133"/>
      <c r="FGQ15" s="133"/>
      <c r="FGR15" s="133"/>
      <c r="FGS15" s="133"/>
      <c r="FGT15" s="133"/>
      <c r="FGU15" s="133"/>
      <c r="FGV15" s="133"/>
      <c r="FGW15" s="133"/>
      <c r="FGX15" s="133"/>
      <c r="FGY15" s="133"/>
      <c r="FGZ15" s="133"/>
      <c r="FHA15" s="133"/>
      <c r="FHB15" s="133"/>
      <c r="FHC15" s="133"/>
      <c r="FHD15" s="133"/>
      <c r="FHE15" s="133"/>
      <c r="FHF15" s="133"/>
      <c r="FHG15" s="133"/>
      <c r="FHH15" s="133"/>
      <c r="FHI15" s="133"/>
      <c r="FHJ15" s="133"/>
      <c r="FHK15" s="133"/>
      <c r="FHL15" s="133"/>
      <c r="FHM15" s="133"/>
      <c r="FHN15" s="133"/>
      <c r="FHO15" s="133"/>
      <c r="FHP15" s="133"/>
      <c r="FHQ15" s="133"/>
      <c r="FHR15" s="133"/>
      <c r="FHS15" s="133"/>
      <c r="FHT15" s="133"/>
      <c r="FHU15" s="133"/>
      <c r="FHV15" s="133"/>
      <c r="FHW15" s="133"/>
      <c r="FHX15" s="133"/>
      <c r="FHY15" s="133"/>
      <c r="FHZ15" s="133"/>
      <c r="FIA15" s="133"/>
      <c r="FIB15" s="133"/>
      <c r="FIC15" s="133"/>
      <c r="FID15" s="133"/>
      <c r="FIE15" s="133"/>
      <c r="FIF15" s="133"/>
      <c r="FIG15" s="133"/>
      <c r="FIH15" s="133"/>
      <c r="FII15" s="133"/>
      <c r="FIJ15" s="133"/>
      <c r="FIK15" s="133"/>
      <c r="FIL15" s="133"/>
      <c r="FIM15" s="133"/>
      <c r="FIN15" s="133"/>
      <c r="FIO15" s="133"/>
      <c r="FIP15" s="133"/>
      <c r="FIQ15" s="133"/>
      <c r="FIR15" s="133"/>
      <c r="FIS15" s="133"/>
      <c r="FIT15" s="133"/>
      <c r="FIU15" s="133"/>
      <c r="FIV15" s="133"/>
      <c r="FIW15" s="133"/>
      <c r="FIX15" s="133"/>
      <c r="FIY15" s="133"/>
      <c r="FIZ15" s="133"/>
      <c r="FJA15" s="133"/>
      <c r="FJB15" s="133"/>
      <c r="FJC15" s="133"/>
      <c r="FJD15" s="133"/>
      <c r="FJE15" s="133"/>
      <c r="FJF15" s="133"/>
      <c r="FJG15" s="133"/>
      <c r="FJH15" s="133"/>
      <c r="FJI15" s="133"/>
      <c r="FJJ15" s="133"/>
      <c r="FJK15" s="133"/>
      <c r="FJL15" s="133"/>
      <c r="FJM15" s="133"/>
      <c r="FJN15" s="133"/>
      <c r="FJO15" s="133"/>
      <c r="FJP15" s="133"/>
      <c r="FJQ15" s="133"/>
      <c r="FJR15" s="133"/>
      <c r="FJS15" s="133"/>
      <c r="FJT15" s="133"/>
      <c r="FJU15" s="133"/>
      <c r="FJV15" s="133"/>
      <c r="FJW15" s="133"/>
      <c r="FJX15" s="133"/>
      <c r="FJY15" s="133"/>
      <c r="FJZ15" s="133"/>
      <c r="FKA15" s="133"/>
      <c r="FKB15" s="133"/>
      <c r="FKC15" s="133"/>
      <c r="FKD15" s="133"/>
      <c r="FKE15" s="133"/>
      <c r="FKF15" s="133"/>
      <c r="FKG15" s="133"/>
      <c r="FKH15" s="133"/>
      <c r="FKI15" s="133"/>
      <c r="FKJ15" s="133"/>
      <c r="FKK15" s="133"/>
      <c r="FKL15" s="133"/>
      <c r="FKM15" s="133"/>
      <c r="FKN15" s="133"/>
      <c r="FKO15" s="133"/>
      <c r="FKP15" s="133"/>
      <c r="FKQ15" s="133"/>
      <c r="FKR15" s="133"/>
      <c r="FKS15" s="133"/>
      <c r="FKT15" s="133"/>
      <c r="FKU15" s="133"/>
      <c r="FKV15" s="133"/>
      <c r="FKW15" s="133"/>
      <c r="FKX15" s="133"/>
      <c r="FKY15" s="133"/>
      <c r="FKZ15" s="133"/>
      <c r="FLA15" s="133"/>
      <c r="FLB15" s="133"/>
      <c r="FLC15" s="133"/>
      <c r="FLD15" s="133"/>
      <c r="FLE15" s="133"/>
      <c r="FLF15" s="133"/>
      <c r="FLG15" s="133"/>
      <c r="FLH15" s="133"/>
      <c r="FLI15" s="133"/>
      <c r="FLJ15" s="133"/>
      <c r="FLK15" s="133"/>
      <c r="FLL15" s="133"/>
      <c r="FLM15" s="133"/>
      <c r="FLN15" s="133"/>
      <c r="FLO15" s="133"/>
      <c r="FLP15" s="133"/>
      <c r="FLQ15" s="133"/>
      <c r="FLR15" s="133"/>
      <c r="FLS15" s="133"/>
      <c r="FLT15" s="133"/>
      <c r="FLU15" s="133"/>
      <c r="FLV15" s="133"/>
      <c r="FLW15" s="133"/>
      <c r="FLX15" s="133"/>
      <c r="FLY15" s="133"/>
      <c r="FLZ15" s="133"/>
      <c r="FMA15" s="133"/>
      <c r="FMB15" s="133"/>
      <c r="FMC15" s="133"/>
      <c r="FMD15" s="133"/>
      <c r="FME15" s="133"/>
      <c r="FMF15" s="133"/>
      <c r="FMG15" s="133"/>
      <c r="FMH15" s="133"/>
      <c r="FMI15" s="133"/>
      <c r="FMJ15" s="133"/>
      <c r="FMK15" s="133"/>
      <c r="FML15" s="133"/>
      <c r="FMM15" s="133"/>
      <c r="FMN15" s="133"/>
      <c r="FMO15" s="133"/>
      <c r="FMP15" s="133"/>
      <c r="FMQ15" s="133"/>
      <c r="FMR15" s="133"/>
      <c r="FMS15" s="133"/>
      <c r="FMT15" s="133"/>
      <c r="FMU15" s="133"/>
      <c r="FMV15" s="133"/>
      <c r="FMW15" s="133"/>
      <c r="FMX15" s="133"/>
      <c r="FMY15" s="133"/>
      <c r="FMZ15" s="133"/>
      <c r="FNA15" s="133"/>
      <c r="FNB15" s="133"/>
      <c r="FNC15" s="133"/>
      <c r="FND15" s="133"/>
      <c r="FNE15" s="133"/>
      <c r="FNF15" s="133"/>
      <c r="FNG15" s="133"/>
      <c r="FNH15" s="133"/>
      <c r="FNI15" s="133"/>
      <c r="FNJ15" s="133"/>
      <c r="FNK15" s="133"/>
      <c r="FNL15" s="133"/>
      <c r="FNM15" s="133"/>
      <c r="FNN15" s="133"/>
      <c r="FNO15" s="133"/>
      <c r="FNP15" s="133"/>
      <c r="FNQ15" s="133"/>
      <c r="FNR15" s="133"/>
      <c r="FNS15" s="133"/>
      <c r="FNT15" s="133"/>
      <c r="FNU15" s="133"/>
      <c r="FNV15" s="133"/>
      <c r="FNW15" s="133"/>
      <c r="FNX15" s="133"/>
      <c r="FNY15" s="133"/>
      <c r="FNZ15" s="133"/>
      <c r="FOA15" s="133"/>
      <c r="FOB15" s="133"/>
      <c r="FOC15" s="133"/>
      <c r="FOD15" s="133"/>
      <c r="FOE15" s="133"/>
      <c r="FOF15" s="133"/>
      <c r="FOG15" s="133"/>
      <c r="FOH15" s="133"/>
      <c r="FOI15" s="133"/>
      <c r="FOJ15" s="133"/>
      <c r="FOK15" s="133"/>
      <c r="FOL15" s="133"/>
      <c r="FOM15" s="133"/>
      <c r="FON15" s="133"/>
      <c r="FOO15" s="133"/>
      <c r="FOP15" s="133"/>
      <c r="FOQ15" s="133"/>
      <c r="FOR15" s="133"/>
      <c r="FOS15" s="133"/>
      <c r="FOT15" s="133"/>
      <c r="FOU15" s="133"/>
      <c r="FOV15" s="133"/>
      <c r="FOW15" s="133"/>
      <c r="FOX15" s="133"/>
      <c r="FOY15" s="133"/>
      <c r="FOZ15" s="133"/>
      <c r="FPA15" s="133"/>
      <c r="FPB15" s="133"/>
      <c r="FPC15" s="133"/>
      <c r="FPD15" s="133"/>
      <c r="FPE15" s="133"/>
      <c r="FPF15" s="133"/>
      <c r="FPG15" s="133"/>
      <c r="FPH15" s="133"/>
      <c r="FPI15" s="133"/>
      <c r="FPJ15" s="133"/>
      <c r="FPK15" s="133"/>
      <c r="FPL15" s="133"/>
      <c r="FPM15" s="133"/>
      <c r="FPN15" s="133"/>
      <c r="FPO15" s="133"/>
      <c r="FPP15" s="133"/>
      <c r="FPQ15" s="133"/>
      <c r="FPR15" s="133"/>
      <c r="FPS15" s="133"/>
      <c r="FPT15" s="133"/>
      <c r="FPU15" s="133"/>
      <c r="FPV15" s="133"/>
      <c r="FPW15" s="133"/>
      <c r="FPX15" s="133"/>
      <c r="FPY15" s="133"/>
      <c r="FPZ15" s="133"/>
      <c r="FQA15" s="133"/>
      <c r="FQB15" s="133"/>
      <c r="FQC15" s="133"/>
      <c r="FQD15" s="133"/>
      <c r="FQE15" s="133"/>
      <c r="FQF15" s="133"/>
      <c r="FQG15" s="133"/>
      <c r="FQH15" s="133"/>
      <c r="FQI15" s="133"/>
      <c r="FQJ15" s="133"/>
      <c r="FQK15" s="133"/>
      <c r="FQL15" s="133"/>
      <c r="FQM15" s="133"/>
      <c r="FQN15" s="133"/>
      <c r="FQO15" s="133"/>
      <c r="FQP15" s="133"/>
      <c r="FQQ15" s="133"/>
      <c r="FQR15" s="133"/>
      <c r="FQS15" s="133"/>
      <c r="FQT15" s="133"/>
      <c r="FQU15" s="133"/>
      <c r="FQV15" s="133"/>
      <c r="FQW15" s="133"/>
      <c r="FQX15" s="133"/>
      <c r="FQY15" s="133"/>
      <c r="FQZ15" s="133"/>
      <c r="FRA15" s="133"/>
      <c r="FRB15" s="133"/>
      <c r="FRC15" s="133"/>
      <c r="FRD15" s="133"/>
      <c r="FRE15" s="133"/>
      <c r="FRF15" s="133"/>
      <c r="FRG15" s="133"/>
      <c r="FRH15" s="133"/>
      <c r="FRI15" s="133"/>
      <c r="FRJ15" s="133"/>
      <c r="FRK15" s="133"/>
      <c r="FRL15" s="133"/>
      <c r="FRM15" s="133"/>
      <c r="FRN15" s="133"/>
      <c r="FRO15" s="133"/>
      <c r="FRP15" s="133"/>
      <c r="FRQ15" s="133"/>
      <c r="FRR15" s="133"/>
      <c r="FRS15" s="133"/>
      <c r="FRT15" s="133"/>
      <c r="FRU15" s="133"/>
      <c r="FRV15" s="133"/>
      <c r="FRW15" s="133"/>
      <c r="FRX15" s="133"/>
      <c r="FRY15" s="133"/>
      <c r="FRZ15" s="133"/>
      <c r="FSA15" s="133"/>
      <c r="FSB15" s="133"/>
      <c r="FSC15" s="133"/>
      <c r="FSD15" s="133"/>
      <c r="FSE15" s="133"/>
      <c r="FSF15" s="133"/>
      <c r="FSG15" s="133"/>
      <c r="FSH15" s="133"/>
      <c r="FSI15" s="133"/>
      <c r="FSJ15" s="133"/>
      <c r="FSK15" s="133"/>
      <c r="FSL15" s="133"/>
      <c r="FSM15" s="133"/>
      <c r="FSN15" s="133"/>
      <c r="FSO15" s="133"/>
      <c r="FSP15" s="133"/>
      <c r="FSQ15" s="133"/>
      <c r="FSR15" s="133"/>
      <c r="FSS15" s="133"/>
      <c r="FST15" s="133"/>
      <c r="FSU15" s="133"/>
      <c r="FSV15" s="133"/>
      <c r="FSW15" s="133"/>
      <c r="FSX15" s="133"/>
      <c r="FSY15" s="133"/>
      <c r="FSZ15" s="133"/>
      <c r="FTA15" s="133"/>
      <c r="FTB15" s="133"/>
      <c r="FTC15" s="133"/>
      <c r="FTD15" s="133"/>
      <c r="FTE15" s="133"/>
      <c r="FTF15" s="133"/>
      <c r="FTG15" s="133"/>
      <c r="FTH15" s="133"/>
      <c r="FTI15" s="133"/>
      <c r="FTJ15" s="133"/>
      <c r="FTK15" s="133"/>
      <c r="FTL15" s="133"/>
      <c r="FTM15" s="133"/>
      <c r="FTN15" s="133"/>
      <c r="FTO15" s="133"/>
      <c r="FTP15" s="133"/>
      <c r="FTQ15" s="133"/>
      <c r="FTR15" s="133"/>
      <c r="FTS15" s="133"/>
      <c r="FTT15" s="133"/>
      <c r="FTU15" s="133"/>
      <c r="FTV15" s="133"/>
      <c r="FTW15" s="133"/>
      <c r="FTX15" s="133"/>
      <c r="FTY15" s="133"/>
      <c r="FTZ15" s="133"/>
      <c r="FUA15" s="133"/>
      <c r="FUB15" s="133"/>
      <c r="FUC15" s="133"/>
      <c r="FUD15" s="133"/>
      <c r="FUE15" s="133"/>
      <c r="FUF15" s="133"/>
      <c r="FUG15" s="133"/>
      <c r="FUH15" s="133"/>
      <c r="FUI15" s="133"/>
      <c r="FUJ15" s="133"/>
      <c r="FUK15" s="133"/>
      <c r="FUL15" s="133"/>
      <c r="FUM15" s="133"/>
      <c r="FUN15" s="133"/>
      <c r="FUO15" s="133"/>
      <c r="FUP15" s="133"/>
      <c r="FUQ15" s="133"/>
      <c r="FUR15" s="133"/>
      <c r="FUS15" s="133"/>
      <c r="FUT15" s="133"/>
      <c r="FUU15" s="133"/>
      <c r="FUV15" s="133"/>
      <c r="FUW15" s="133"/>
      <c r="FUX15" s="133"/>
      <c r="FUY15" s="133"/>
      <c r="FUZ15" s="133"/>
      <c r="FVA15" s="133"/>
      <c r="FVB15" s="133"/>
      <c r="FVC15" s="133"/>
      <c r="FVD15" s="133"/>
      <c r="FVE15" s="133"/>
      <c r="FVF15" s="133"/>
      <c r="FVG15" s="133"/>
      <c r="FVH15" s="133"/>
      <c r="FVI15" s="133"/>
      <c r="FVJ15" s="133"/>
      <c r="FVK15" s="133"/>
      <c r="FVL15" s="133"/>
      <c r="FVM15" s="133"/>
      <c r="FVN15" s="133"/>
      <c r="FVO15" s="133"/>
      <c r="FVP15" s="133"/>
      <c r="FVQ15" s="133"/>
      <c r="FVR15" s="133"/>
      <c r="FVS15" s="133"/>
      <c r="FVT15" s="133"/>
      <c r="FVU15" s="133"/>
      <c r="FVV15" s="133"/>
      <c r="FVW15" s="133"/>
      <c r="FVX15" s="133"/>
      <c r="FVY15" s="133"/>
      <c r="FVZ15" s="133"/>
      <c r="FWA15" s="133"/>
      <c r="FWB15" s="133"/>
      <c r="FWC15" s="133"/>
      <c r="FWD15" s="133"/>
      <c r="FWE15" s="133"/>
      <c r="FWF15" s="133"/>
      <c r="FWG15" s="133"/>
      <c r="FWH15" s="133"/>
      <c r="FWI15" s="133"/>
      <c r="FWJ15" s="133"/>
      <c r="FWK15" s="133"/>
      <c r="FWL15" s="133"/>
      <c r="FWM15" s="133"/>
      <c r="FWN15" s="133"/>
      <c r="FWO15" s="133"/>
      <c r="FWP15" s="133"/>
      <c r="FWQ15" s="133"/>
      <c r="FWR15" s="133"/>
      <c r="FWS15" s="133"/>
      <c r="FWT15" s="133"/>
      <c r="FWU15" s="133"/>
      <c r="FWV15" s="133"/>
      <c r="FWW15" s="133"/>
      <c r="FWX15" s="133"/>
      <c r="FWY15" s="133"/>
      <c r="FWZ15" s="133"/>
      <c r="FXA15" s="133"/>
      <c r="FXB15" s="133"/>
      <c r="FXC15" s="133"/>
      <c r="FXD15" s="133"/>
      <c r="FXE15" s="133"/>
      <c r="FXF15" s="133"/>
      <c r="FXG15" s="133"/>
      <c r="FXH15" s="133"/>
      <c r="FXI15" s="133"/>
      <c r="FXJ15" s="133"/>
      <c r="FXK15" s="133"/>
      <c r="FXL15" s="133"/>
      <c r="FXM15" s="133"/>
      <c r="FXN15" s="133"/>
      <c r="FXO15" s="133"/>
      <c r="FXP15" s="133"/>
      <c r="FXQ15" s="133"/>
      <c r="FXR15" s="133"/>
      <c r="FXS15" s="133"/>
      <c r="FXT15" s="133"/>
      <c r="FXU15" s="133"/>
      <c r="FXV15" s="133"/>
      <c r="FXW15" s="133"/>
      <c r="FXX15" s="133"/>
      <c r="FXY15" s="133"/>
      <c r="FXZ15" s="133"/>
      <c r="FYA15" s="133"/>
      <c r="FYB15" s="133"/>
      <c r="FYC15" s="133"/>
      <c r="FYD15" s="133"/>
      <c r="FYE15" s="133"/>
      <c r="FYF15" s="133"/>
      <c r="FYG15" s="133"/>
      <c r="FYH15" s="133"/>
      <c r="FYI15" s="133"/>
      <c r="FYJ15" s="133"/>
      <c r="FYK15" s="133"/>
      <c r="FYL15" s="133"/>
      <c r="FYM15" s="133"/>
      <c r="FYN15" s="133"/>
      <c r="FYO15" s="133"/>
      <c r="FYP15" s="133"/>
      <c r="FYQ15" s="133"/>
      <c r="FYR15" s="133"/>
      <c r="FYS15" s="133"/>
      <c r="FYT15" s="133"/>
      <c r="FYU15" s="133"/>
      <c r="FYV15" s="133"/>
      <c r="FYW15" s="133"/>
      <c r="FYX15" s="133"/>
      <c r="FYY15" s="133"/>
      <c r="FYZ15" s="133"/>
      <c r="FZA15" s="133"/>
      <c r="FZB15" s="133"/>
      <c r="FZC15" s="133"/>
      <c r="FZD15" s="133"/>
      <c r="FZE15" s="133"/>
      <c r="FZF15" s="133"/>
      <c r="FZG15" s="133"/>
      <c r="FZH15" s="133"/>
      <c r="FZI15" s="133"/>
      <c r="FZJ15" s="133"/>
      <c r="FZK15" s="133"/>
      <c r="FZL15" s="133"/>
      <c r="FZM15" s="133"/>
      <c r="FZN15" s="133"/>
      <c r="FZO15" s="133"/>
      <c r="FZP15" s="133"/>
      <c r="FZQ15" s="133"/>
      <c r="FZR15" s="133"/>
      <c r="FZS15" s="133"/>
      <c r="FZT15" s="133"/>
      <c r="FZU15" s="133"/>
      <c r="FZV15" s="133"/>
      <c r="FZW15" s="133"/>
      <c r="FZX15" s="133"/>
      <c r="FZY15" s="133"/>
      <c r="FZZ15" s="133"/>
      <c r="GAA15" s="133"/>
      <c r="GAB15" s="133"/>
      <c r="GAC15" s="133"/>
      <c r="GAD15" s="133"/>
      <c r="GAE15" s="133"/>
      <c r="GAF15" s="133"/>
      <c r="GAG15" s="133"/>
      <c r="GAH15" s="133"/>
      <c r="GAI15" s="133"/>
      <c r="GAJ15" s="133"/>
      <c r="GAK15" s="133"/>
      <c r="GAL15" s="133"/>
      <c r="GAM15" s="133"/>
      <c r="GAN15" s="133"/>
      <c r="GAO15" s="133"/>
      <c r="GAP15" s="133"/>
      <c r="GAQ15" s="133"/>
      <c r="GAR15" s="133"/>
      <c r="GAS15" s="133"/>
      <c r="GAT15" s="133"/>
      <c r="GAU15" s="133"/>
      <c r="GAV15" s="133"/>
      <c r="GAW15" s="133"/>
      <c r="GAX15" s="133"/>
      <c r="GAY15" s="133"/>
      <c r="GAZ15" s="133"/>
      <c r="GBA15" s="133"/>
      <c r="GBB15" s="133"/>
      <c r="GBC15" s="133"/>
      <c r="GBD15" s="133"/>
      <c r="GBE15" s="133"/>
      <c r="GBF15" s="133"/>
      <c r="GBG15" s="133"/>
      <c r="GBH15" s="133"/>
      <c r="GBI15" s="133"/>
      <c r="GBJ15" s="133"/>
      <c r="GBK15" s="133"/>
      <c r="GBL15" s="133"/>
      <c r="GBM15" s="133"/>
      <c r="GBN15" s="133"/>
      <c r="GBO15" s="133"/>
      <c r="GBP15" s="133"/>
      <c r="GBQ15" s="133"/>
      <c r="GBR15" s="133"/>
      <c r="GBS15" s="133"/>
      <c r="GBT15" s="133"/>
      <c r="GBU15" s="133"/>
      <c r="GBV15" s="133"/>
      <c r="GBW15" s="133"/>
      <c r="GBX15" s="133"/>
      <c r="GBY15" s="133"/>
      <c r="GBZ15" s="133"/>
      <c r="GCA15" s="133"/>
      <c r="GCB15" s="133"/>
      <c r="GCC15" s="133"/>
      <c r="GCD15" s="133"/>
      <c r="GCE15" s="133"/>
      <c r="GCF15" s="133"/>
      <c r="GCG15" s="133"/>
      <c r="GCH15" s="133"/>
      <c r="GCI15" s="133"/>
      <c r="GCJ15" s="133"/>
      <c r="GCK15" s="133"/>
      <c r="GCL15" s="133"/>
      <c r="GCM15" s="133"/>
      <c r="GCN15" s="133"/>
      <c r="GCO15" s="133"/>
      <c r="GCP15" s="133"/>
      <c r="GCQ15" s="133"/>
      <c r="GCR15" s="133"/>
      <c r="GCS15" s="133"/>
      <c r="GCT15" s="133"/>
      <c r="GCU15" s="133"/>
      <c r="GCV15" s="133"/>
      <c r="GCW15" s="133"/>
      <c r="GCX15" s="133"/>
      <c r="GCY15" s="133"/>
      <c r="GCZ15" s="133"/>
      <c r="GDA15" s="133"/>
      <c r="GDB15" s="133"/>
      <c r="GDC15" s="133"/>
      <c r="GDD15" s="133"/>
      <c r="GDE15" s="133"/>
      <c r="GDF15" s="133"/>
      <c r="GDG15" s="133"/>
      <c r="GDH15" s="133"/>
      <c r="GDI15" s="133"/>
      <c r="GDJ15" s="133"/>
      <c r="GDK15" s="133"/>
      <c r="GDL15" s="133"/>
      <c r="GDM15" s="133"/>
      <c r="GDN15" s="133"/>
      <c r="GDO15" s="133"/>
      <c r="GDP15" s="133"/>
      <c r="GDQ15" s="133"/>
      <c r="GDR15" s="133"/>
      <c r="GDS15" s="133"/>
      <c r="GDT15" s="133"/>
      <c r="GDU15" s="133"/>
      <c r="GDV15" s="133"/>
      <c r="GDW15" s="133"/>
      <c r="GDX15" s="133"/>
      <c r="GDY15" s="133"/>
      <c r="GDZ15" s="133"/>
      <c r="GEA15" s="133"/>
      <c r="GEB15" s="133"/>
      <c r="GEC15" s="133"/>
      <c r="GED15" s="133"/>
      <c r="GEE15" s="133"/>
      <c r="GEF15" s="133"/>
      <c r="GEG15" s="133"/>
      <c r="GEH15" s="133"/>
      <c r="GEI15" s="133"/>
      <c r="GEJ15" s="133"/>
      <c r="GEK15" s="133"/>
      <c r="GEL15" s="133"/>
      <c r="GEM15" s="133"/>
      <c r="GEN15" s="133"/>
      <c r="GEO15" s="133"/>
      <c r="GEP15" s="133"/>
      <c r="GEQ15" s="133"/>
      <c r="GER15" s="133"/>
      <c r="GES15" s="133"/>
      <c r="GET15" s="133"/>
      <c r="GEU15" s="133"/>
      <c r="GEV15" s="133"/>
      <c r="GEW15" s="133"/>
      <c r="GEX15" s="133"/>
      <c r="GEY15" s="133"/>
      <c r="GEZ15" s="133"/>
      <c r="GFA15" s="133"/>
      <c r="GFB15" s="133"/>
      <c r="GFC15" s="133"/>
      <c r="GFD15" s="133"/>
      <c r="GFE15" s="133"/>
      <c r="GFF15" s="133"/>
      <c r="GFG15" s="133"/>
      <c r="GFH15" s="133"/>
      <c r="GFI15" s="133"/>
      <c r="GFJ15" s="133"/>
      <c r="GFK15" s="133"/>
      <c r="GFL15" s="133"/>
      <c r="GFM15" s="133"/>
      <c r="GFN15" s="133"/>
      <c r="GFO15" s="133"/>
      <c r="GFP15" s="133"/>
      <c r="GFQ15" s="133"/>
      <c r="GFR15" s="133"/>
      <c r="GFS15" s="133"/>
      <c r="GFT15" s="133"/>
      <c r="GFU15" s="133"/>
      <c r="GFV15" s="133"/>
      <c r="GFW15" s="133"/>
      <c r="GFX15" s="133"/>
      <c r="GFY15" s="133"/>
      <c r="GFZ15" s="133"/>
      <c r="GGA15" s="133"/>
      <c r="GGB15" s="133"/>
      <c r="GGC15" s="133"/>
      <c r="GGD15" s="133"/>
      <c r="GGE15" s="133"/>
      <c r="GGF15" s="133"/>
      <c r="GGG15" s="133"/>
      <c r="GGH15" s="133"/>
      <c r="GGI15" s="133"/>
      <c r="GGJ15" s="133"/>
      <c r="GGK15" s="133"/>
      <c r="GGL15" s="133"/>
      <c r="GGM15" s="133"/>
      <c r="GGN15" s="133"/>
      <c r="GGO15" s="133"/>
      <c r="GGP15" s="133"/>
      <c r="GGQ15" s="133"/>
      <c r="GGR15" s="133"/>
      <c r="GGS15" s="133"/>
      <c r="GGT15" s="133"/>
      <c r="GGU15" s="133"/>
      <c r="GGV15" s="133"/>
      <c r="GGW15" s="133"/>
      <c r="GGX15" s="133"/>
      <c r="GGY15" s="133"/>
      <c r="GGZ15" s="133"/>
      <c r="GHA15" s="133"/>
      <c r="GHB15" s="133"/>
      <c r="GHC15" s="133"/>
      <c r="GHD15" s="133"/>
      <c r="GHE15" s="133"/>
      <c r="GHF15" s="133"/>
      <c r="GHG15" s="133"/>
      <c r="GHH15" s="133"/>
      <c r="GHI15" s="133"/>
      <c r="GHJ15" s="133"/>
      <c r="GHK15" s="133"/>
      <c r="GHL15" s="133"/>
      <c r="GHM15" s="133"/>
      <c r="GHN15" s="133"/>
      <c r="GHO15" s="133"/>
      <c r="GHP15" s="133"/>
      <c r="GHQ15" s="133"/>
      <c r="GHR15" s="133"/>
      <c r="GHS15" s="133"/>
      <c r="GHT15" s="133"/>
      <c r="GHU15" s="133"/>
      <c r="GHV15" s="133"/>
      <c r="GHW15" s="133"/>
      <c r="GHX15" s="133"/>
      <c r="GHY15" s="133"/>
      <c r="GHZ15" s="133"/>
      <c r="GIA15" s="133"/>
      <c r="GIB15" s="133"/>
      <c r="GIC15" s="133"/>
      <c r="GID15" s="133"/>
      <c r="GIE15" s="133"/>
      <c r="GIF15" s="133"/>
      <c r="GIG15" s="133"/>
      <c r="GIH15" s="133"/>
      <c r="GII15" s="133"/>
      <c r="GIJ15" s="133"/>
      <c r="GIK15" s="133"/>
      <c r="GIL15" s="133"/>
      <c r="GIM15" s="133"/>
      <c r="GIN15" s="133"/>
      <c r="GIO15" s="133"/>
      <c r="GIP15" s="133"/>
      <c r="GIQ15" s="133"/>
      <c r="GIR15" s="133"/>
      <c r="GIS15" s="133"/>
      <c r="GIT15" s="133"/>
      <c r="GIU15" s="133"/>
      <c r="GIV15" s="133"/>
      <c r="GIW15" s="133"/>
      <c r="GIX15" s="133"/>
      <c r="GIY15" s="133"/>
      <c r="GIZ15" s="133"/>
      <c r="GJA15" s="133"/>
      <c r="GJB15" s="133"/>
      <c r="GJC15" s="133"/>
      <c r="GJD15" s="133"/>
      <c r="GJE15" s="133"/>
      <c r="GJF15" s="133"/>
      <c r="GJG15" s="133"/>
      <c r="GJH15" s="133"/>
      <c r="GJI15" s="133"/>
      <c r="GJJ15" s="133"/>
      <c r="GJK15" s="133"/>
      <c r="GJL15" s="133"/>
      <c r="GJM15" s="133"/>
      <c r="GJN15" s="133"/>
      <c r="GJO15" s="133"/>
      <c r="GJP15" s="133"/>
      <c r="GJQ15" s="133"/>
      <c r="GJR15" s="133"/>
      <c r="GJS15" s="133"/>
      <c r="GJT15" s="133"/>
      <c r="GJU15" s="133"/>
      <c r="GJV15" s="133"/>
      <c r="GJW15" s="133"/>
      <c r="GJX15" s="133"/>
      <c r="GJY15" s="133"/>
      <c r="GJZ15" s="133"/>
      <c r="GKA15" s="133"/>
      <c r="GKB15" s="133"/>
      <c r="GKC15" s="133"/>
      <c r="GKD15" s="133"/>
      <c r="GKE15" s="133"/>
      <c r="GKF15" s="133"/>
      <c r="GKG15" s="133"/>
      <c r="GKH15" s="133"/>
      <c r="GKI15" s="133"/>
      <c r="GKJ15" s="133"/>
      <c r="GKK15" s="133"/>
      <c r="GKL15" s="133"/>
      <c r="GKM15" s="133"/>
      <c r="GKN15" s="133"/>
      <c r="GKO15" s="133"/>
      <c r="GKP15" s="133"/>
      <c r="GKQ15" s="133"/>
      <c r="GKR15" s="133"/>
      <c r="GKS15" s="133"/>
      <c r="GKT15" s="133"/>
      <c r="GKU15" s="133"/>
      <c r="GKV15" s="133"/>
      <c r="GKW15" s="133"/>
      <c r="GKX15" s="133"/>
      <c r="GKY15" s="133"/>
      <c r="GKZ15" s="133"/>
      <c r="GLA15" s="133"/>
      <c r="GLB15" s="133"/>
      <c r="GLC15" s="133"/>
      <c r="GLD15" s="133"/>
      <c r="GLE15" s="133"/>
      <c r="GLF15" s="133"/>
      <c r="GLG15" s="133"/>
      <c r="GLH15" s="133"/>
      <c r="GLI15" s="133"/>
      <c r="GLJ15" s="133"/>
      <c r="GLK15" s="133"/>
      <c r="GLL15" s="133"/>
      <c r="GLM15" s="133"/>
      <c r="GLN15" s="133"/>
      <c r="GLO15" s="133"/>
      <c r="GLP15" s="133"/>
      <c r="GLQ15" s="133"/>
      <c r="GLR15" s="133"/>
      <c r="GLS15" s="133"/>
      <c r="GLT15" s="133"/>
      <c r="GLU15" s="133"/>
      <c r="GLV15" s="133"/>
      <c r="GLW15" s="133"/>
      <c r="GLX15" s="133"/>
      <c r="GLY15" s="133"/>
      <c r="GLZ15" s="133"/>
      <c r="GMA15" s="133"/>
      <c r="GMB15" s="133"/>
      <c r="GMC15" s="133"/>
      <c r="GMD15" s="133"/>
      <c r="GME15" s="133"/>
      <c r="GMF15" s="133"/>
      <c r="GMG15" s="133"/>
      <c r="GMH15" s="133"/>
      <c r="GMI15" s="133"/>
      <c r="GMJ15" s="133"/>
      <c r="GMK15" s="133"/>
      <c r="GML15" s="133"/>
      <c r="GMM15" s="133"/>
      <c r="GMN15" s="133"/>
      <c r="GMO15" s="133"/>
      <c r="GMP15" s="133"/>
      <c r="GMQ15" s="133"/>
      <c r="GMR15" s="133"/>
      <c r="GMS15" s="133"/>
      <c r="GMT15" s="133"/>
      <c r="GMU15" s="133"/>
      <c r="GMV15" s="133"/>
      <c r="GMW15" s="133"/>
      <c r="GMX15" s="133"/>
      <c r="GMY15" s="133"/>
      <c r="GMZ15" s="133"/>
      <c r="GNA15" s="133"/>
      <c r="GNB15" s="133"/>
      <c r="GNC15" s="133"/>
      <c r="GND15" s="133"/>
      <c r="GNE15" s="133"/>
      <c r="GNF15" s="133"/>
      <c r="GNG15" s="133"/>
      <c r="GNH15" s="133"/>
      <c r="GNI15" s="133"/>
      <c r="GNJ15" s="133"/>
      <c r="GNK15" s="133"/>
      <c r="GNL15" s="133"/>
      <c r="GNM15" s="133"/>
      <c r="GNN15" s="133"/>
      <c r="GNO15" s="133"/>
      <c r="GNP15" s="133"/>
      <c r="GNQ15" s="133"/>
      <c r="GNR15" s="133"/>
      <c r="GNS15" s="133"/>
      <c r="GNT15" s="133"/>
      <c r="GNU15" s="133"/>
      <c r="GNV15" s="133"/>
      <c r="GNW15" s="133"/>
      <c r="GNX15" s="133"/>
      <c r="GNY15" s="133"/>
      <c r="GNZ15" s="133"/>
      <c r="GOA15" s="133"/>
      <c r="GOB15" s="133"/>
      <c r="GOC15" s="133"/>
      <c r="GOD15" s="133"/>
      <c r="GOE15" s="133"/>
      <c r="GOF15" s="133"/>
      <c r="GOG15" s="133"/>
      <c r="GOH15" s="133"/>
      <c r="GOI15" s="133"/>
      <c r="GOJ15" s="133"/>
      <c r="GOK15" s="133"/>
      <c r="GOL15" s="133"/>
      <c r="GOM15" s="133"/>
      <c r="GON15" s="133"/>
      <c r="GOO15" s="133"/>
      <c r="GOP15" s="133"/>
      <c r="GOQ15" s="133"/>
      <c r="GOR15" s="133"/>
      <c r="GOS15" s="133"/>
      <c r="GOT15" s="133"/>
      <c r="GOU15" s="133"/>
      <c r="GOV15" s="133"/>
      <c r="GOW15" s="133"/>
      <c r="GOX15" s="133"/>
      <c r="GOY15" s="133"/>
      <c r="GOZ15" s="133"/>
      <c r="GPA15" s="133"/>
      <c r="GPB15" s="133"/>
      <c r="GPC15" s="133"/>
      <c r="GPD15" s="133"/>
      <c r="GPE15" s="133"/>
      <c r="GPF15" s="133"/>
      <c r="GPG15" s="133"/>
      <c r="GPH15" s="133"/>
      <c r="GPI15" s="133"/>
      <c r="GPJ15" s="133"/>
      <c r="GPK15" s="133"/>
      <c r="GPL15" s="133"/>
      <c r="GPM15" s="133"/>
      <c r="GPN15" s="133"/>
      <c r="GPO15" s="133"/>
      <c r="GPP15" s="133"/>
      <c r="GPQ15" s="133"/>
      <c r="GPR15" s="133"/>
      <c r="GPS15" s="133"/>
      <c r="GPT15" s="133"/>
      <c r="GPU15" s="133"/>
      <c r="GPV15" s="133"/>
      <c r="GPW15" s="133"/>
      <c r="GPX15" s="133"/>
      <c r="GPY15" s="133"/>
      <c r="GPZ15" s="133"/>
      <c r="GQA15" s="133"/>
      <c r="GQB15" s="133"/>
      <c r="GQC15" s="133"/>
      <c r="GQD15" s="133"/>
      <c r="GQE15" s="133"/>
      <c r="GQF15" s="133"/>
      <c r="GQG15" s="133"/>
      <c r="GQH15" s="133"/>
      <c r="GQI15" s="133"/>
      <c r="GQJ15" s="133"/>
      <c r="GQK15" s="133"/>
      <c r="GQL15" s="133"/>
      <c r="GQM15" s="133"/>
      <c r="GQN15" s="133"/>
      <c r="GQO15" s="133"/>
      <c r="GQP15" s="133"/>
      <c r="GQQ15" s="133"/>
      <c r="GQR15" s="133"/>
      <c r="GQS15" s="133"/>
      <c r="GQT15" s="133"/>
      <c r="GQU15" s="133"/>
      <c r="GQV15" s="133"/>
      <c r="GQW15" s="133"/>
      <c r="GQX15" s="133"/>
      <c r="GQY15" s="133"/>
      <c r="GQZ15" s="133"/>
      <c r="GRA15" s="133"/>
      <c r="GRB15" s="133"/>
      <c r="GRC15" s="133"/>
      <c r="GRD15" s="133"/>
      <c r="GRE15" s="133"/>
      <c r="GRF15" s="133"/>
      <c r="GRG15" s="133"/>
      <c r="GRH15" s="133"/>
      <c r="GRI15" s="133"/>
      <c r="GRJ15" s="133"/>
      <c r="GRK15" s="133"/>
      <c r="GRL15" s="133"/>
      <c r="GRM15" s="133"/>
      <c r="GRN15" s="133"/>
      <c r="GRO15" s="133"/>
      <c r="GRP15" s="133"/>
      <c r="GRQ15" s="133"/>
      <c r="GRR15" s="133"/>
      <c r="GRS15" s="133"/>
      <c r="GRT15" s="133"/>
      <c r="GRU15" s="133"/>
      <c r="GRV15" s="133"/>
      <c r="GRW15" s="133"/>
      <c r="GRX15" s="133"/>
      <c r="GRY15" s="133"/>
      <c r="GRZ15" s="133"/>
      <c r="GSA15" s="133"/>
      <c r="GSB15" s="133"/>
      <c r="GSC15" s="133"/>
      <c r="GSD15" s="133"/>
      <c r="GSE15" s="133"/>
      <c r="GSF15" s="133"/>
      <c r="GSG15" s="133"/>
      <c r="GSH15" s="133"/>
      <c r="GSI15" s="133"/>
      <c r="GSJ15" s="133"/>
      <c r="GSK15" s="133"/>
      <c r="GSL15" s="133"/>
      <c r="GSM15" s="133"/>
      <c r="GSN15" s="133"/>
      <c r="GSO15" s="133"/>
      <c r="GSP15" s="133"/>
      <c r="GSQ15" s="133"/>
      <c r="GSR15" s="133"/>
      <c r="GSS15" s="133"/>
      <c r="GST15" s="133"/>
      <c r="GSU15" s="133"/>
      <c r="GSV15" s="133"/>
      <c r="GSW15" s="133"/>
      <c r="GSX15" s="133"/>
      <c r="GSY15" s="133"/>
      <c r="GSZ15" s="133"/>
      <c r="GTA15" s="133"/>
      <c r="GTB15" s="133"/>
      <c r="GTC15" s="133"/>
      <c r="GTD15" s="133"/>
      <c r="GTE15" s="133"/>
      <c r="GTF15" s="133"/>
      <c r="GTG15" s="133"/>
      <c r="GTH15" s="133"/>
      <c r="GTI15" s="133"/>
      <c r="GTJ15" s="133"/>
      <c r="GTK15" s="133"/>
      <c r="GTL15" s="133"/>
      <c r="GTM15" s="133"/>
      <c r="GTN15" s="133"/>
      <c r="GTO15" s="133"/>
      <c r="GTP15" s="133"/>
      <c r="GTQ15" s="133"/>
      <c r="GTR15" s="133"/>
      <c r="GTS15" s="133"/>
      <c r="GTT15" s="133"/>
      <c r="GTU15" s="133"/>
      <c r="GTV15" s="133"/>
      <c r="GTW15" s="133"/>
      <c r="GTX15" s="133"/>
      <c r="GTY15" s="133"/>
      <c r="GTZ15" s="133"/>
      <c r="GUA15" s="133"/>
      <c r="GUB15" s="133"/>
      <c r="GUC15" s="133"/>
      <c r="GUD15" s="133"/>
      <c r="GUE15" s="133"/>
      <c r="GUF15" s="133"/>
      <c r="GUG15" s="133"/>
      <c r="GUH15" s="133"/>
      <c r="GUI15" s="133"/>
      <c r="GUJ15" s="133"/>
      <c r="GUK15" s="133"/>
      <c r="GUL15" s="133"/>
      <c r="GUM15" s="133"/>
      <c r="GUN15" s="133"/>
      <c r="GUO15" s="133"/>
      <c r="GUP15" s="133"/>
      <c r="GUQ15" s="133"/>
      <c r="GUR15" s="133"/>
      <c r="GUS15" s="133"/>
      <c r="GUT15" s="133"/>
      <c r="GUU15" s="133"/>
      <c r="GUV15" s="133"/>
      <c r="GUW15" s="133"/>
      <c r="GUX15" s="133"/>
      <c r="GUY15" s="133"/>
      <c r="GUZ15" s="133"/>
      <c r="GVA15" s="133"/>
      <c r="GVB15" s="133"/>
      <c r="GVC15" s="133"/>
      <c r="GVD15" s="133"/>
      <c r="GVE15" s="133"/>
      <c r="GVF15" s="133"/>
      <c r="GVG15" s="133"/>
      <c r="GVH15" s="133"/>
      <c r="GVI15" s="133"/>
      <c r="GVJ15" s="133"/>
      <c r="GVK15" s="133"/>
      <c r="GVL15" s="133"/>
      <c r="GVM15" s="133"/>
      <c r="GVN15" s="133"/>
      <c r="GVO15" s="133"/>
      <c r="GVP15" s="133"/>
      <c r="GVQ15" s="133"/>
      <c r="GVR15" s="133"/>
      <c r="GVS15" s="133"/>
      <c r="GVT15" s="133"/>
      <c r="GVU15" s="133"/>
      <c r="GVV15" s="133"/>
      <c r="GVW15" s="133"/>
      <c r="GVX15" s="133"/>
      <c r="GVY15" s="133"/>
      <c r="GVZ15" s="133"/>
      <c r="GWA15" s="133"/>
      <c r="GWB15" s="133"/>
      <c r="GWC15" s="133"/>
      <c r="GWD15" s="133"/>
      <c r="GWE15" s="133"/>
      <c r="GWF15" s="133"/>
      <c r="GWG15" s="133"/>
      <c r="GWH15" s="133"/>
      <c r="GWI15" s="133"/>
      <c r="GWJ15" s="133"/>
      <c r="GWK15" s="133"/>
      <c r="GWL15" s="133"/>
      <c r="GWM15" s="133"/>
      <c r="GWN15" s="133"/>
      <c r="GWO15" s="133"/>
      <c r="GWP15" s="133"/>
      <c r="GWQ15" s="133"/>
      <c r="GWR15" s="133"/>
      <c r="GWS15" s="133"/>
      <c r="GWT15" s="133"/>
      <c r="GWU15" s="133"/>
      <c r="GWV15" s="133"/>
      <c r="GWW15" s="133"/>
      <c r="GWX15" s="133"/>
      <c r="GWY15" s="133"/>
      <c r="GWZ15" s="133"/>
      <c r="GXA15" s="133"/>
      <c r="GXB15" s="133"/>
      <c r="GXC15" s="133"/>
      <c r="GXD15" s="133"/>
      <c r="GXE15" s="133"/>
      <c r="GXF15" s="133"/>
      <c r="GXG15" s="133"/>
      <c r="GXH15" s="133"/>
      <c r="GXI15" s="133"/>
      <c r="GXJ15" s="133"/>
      <c r="GXK15" s="133"/>
      <c r="GXL15" s="133"/>
      <c r="GXM15" s="133"/>
      <c r="GXN15" s="133"/>
      <c r="GXO15" s="133"/>
      <c r="GXP15" s="133"/>
      <c r="GXQ15" s="133"/>
      <c r="GXR15" s="133"/>
      <c r="GXS15" s="133"/>
      <c r="GXT15" s="133"/>
      <c r="GXU15" s="133"/>
      <c r="GXV15" s="133"/>
      <c r="GXW15" s="133"/>
      <c r="GXX15" s="133"/>
      <c r="GXY15" s="133"/>
      <c r="GXZ15" s="133"/>
      <c r="GYA15" s="133"/>
      <c r="GYB15" s="133"/>
      <c r="GYC15" s="133"/>
      <c r="GYD15" s="133"/>
      <c r="GYE15" s="133"/>
      <c r="GYF15" s="133"/>
      <c r="GYG15" s="133"/>
      <c r="GYH15" s="133"/>
      <c r="GYI15" s="133"/>
      <c r="GYJ15" s="133"/>
      <c r="GYK15" s="133"/>
      <c r="GYL15" s="133"/>
      <c r="GYM15" s="133"/>
      <c r="GYN15" s="133"/>
      <c r="GYO15" s="133"/>
      <c r="GYP15" s="133"/>
      <c r="GYQ15" s="133"/>
      <c r="GYR15" s="133"/>
      <c r="GYS15" s="133"/>
      <c r="GYT15" s="133"/>
      <c r="GYU15" s="133"/>
      <c r="GYV15" s="133"/>
      <c r="GYW15" s="133"/>
      <c r="GYX15" s="133"/>
      <c r="GYY15" s="133"/>
      <c r="GYZ15" s="133"/>
      <c r="GZA15" s="133"/>
      <c r="GZB15" s="133"/>
      <c r="GZC15" s="133"/>
      <c r="GZD15" s="133"/>
      <c r="GZE15" s="133"/>
      <c r="GZF15" s="133"/>
      <c r="GZG15" s="133"/>
      <c r="GZH15" s="133"/>
      <c r="GZI15" s="133"/>
      <c r="GZJ15" s="133"/>
      <c r="GZK15" s="133"/>
      <c r="GZL15" s="133"/>
      <c r="GZM15" s="133"/>
      <c r="GZN15" s="133"/>
      <c r="GZO15" s="133"/>
      <c r="GZP15" s="133"/>
      <c r="GZQ15" s="133"/>
      <c r="GZR15" s="133"/>
      <c r="GZS15" s="133"/>
      <c r="GZT15" s="133"/>
      <c r="GZU15" s="133"/>
      <c r="GZV15" s="133"/>
      <c r="GZW15" s="133"/>
      <c r="GZX15" s="133"/>
      <c r="GZY15" s="133"/>
      <c r="GZZ15" s="133"/>
      <c r="HAA15" s="133"/>
      <c r="HAB15" s="133"/>
      <c r="HAC15" s="133"/>
      <c r="HAD15" s="133"/>
      <c r="HAE15" s="133"/>
      <c r="HAF15" s="133"/>
      <c r="HAG15" s="133"/>
      <c r="HAH15" s="133"/>
      <c r="HAI15" s="133"/>
      <c r="HAJ15" s="133"/>
      <c r="HAK15" s="133"/>
      <c r="HAL15" s="133"/>
      <c r="HAM15" s="133"/>
      <c r="HAN15" s="133"/>
      <c r="HAO15" s="133"/>
      <c r="HAP15" s="133"/>
      <c r="HAQ15" s="133"/>
      <c r="HAR15" s="133"/>
      <c r="HAS15" s="133"/>
      <c r="HAT15" s="133"/>
      <c r="HAU15" s="133"/>
      <c r="HAV15" s="133"/>
      <c r="HAW15" s="133"/>
      <c r="HAX15" s="133"/>
      <c r="HAY15" s="133"/>
      <c r="HAZ15" s="133"/>
      <c r="HBA15" s="133"/>
      <c r="HBB15" s="133"/>
      <c r="HBC15" s="133"/>
      <c r="HBD15" s="133"/>
      <c r="HBE15" s="133"/>
      <c r="HBF15" s="133"/>
      <c r="HBG15" s="133"/>
      <c r="HBH15" s="133"/>
      <c r="HBI15" s="133"/>
      <c r="HBJ15" s="133"/>
      <c r="HBK15" s="133"/>
      <c r="HBL15" s="133"/>
      <c r="HBM15" s="133"/>
      <c r="HBN15" s="133"/>
      <c r="HBO15" s="133"/>
      <c r="HBP15" s="133"/>
      <c r="HBQ15" s="133"/>
      <c r="HBR15" s="133"/>
      <c r="HBS15" s="133"/>
      <c r="HBT15" s="133"/>
      <c r="HBU15" s="133"/>
      <c r="HBV15" s="133"/>
      <c r="HBW15" s="133"/>
      <c r="HBX15" s="133"/>
      <c r="HBY15" s="133"/>
      <c r="HBZ15" s="133"/>
      <c r="HCA15" s="133"/>
      <c r="HCB15" s="133"/>
      <c r="HCC15" s="133"/>
      <c r="HCD15" s="133"/>
      <c r="HCE15" s="133"/>
      <c r="HCF15" s="133"/>
      <c r="HCG15" s="133"/>
      <c r="HCH15" s="133"/>
      <c r="HCI15" s="133"/>
      <c r="HCJ15" s="133"/>
      <c r="HCK15" s="133"/>
      <c r="HCL15" s="133"/>
      <c r="HCM15" s="133"/>
      <c r="HCN15" s="133"/>
      <c r="HCO15" s="133"/>
      <c r="HCP15" s="133"/>
      <c r="HCQ15" s="133"/>
      <c r="HCR15" s="133"/>
      <c r="HCS15" s="133"/>
      <c r="HCT15" s="133"/>
      <c r="HCU15" s="133"/>
      <c r="HCV15" s="133"/>
      <c r="HCW15" s="133"/>
      <c r="HCX15" s="133"/>
      <c r="HCY15" s="133"/>
      <c r="HCZ15" s="133"/>
      <c r="HDA15" s="133"/>
      <c r="HDB15" s="133"/>
      <c r="HDC15" s="133"/>
      <c r="HDD15" s="133"/>
      <c r="HDE15" s="133"/>
      <c r="HDF15" s="133"/>
      <c r="HDG15" s="133"/>
      <c r="HDH15" s="133"/>
      <c r="HDI15" s="133"/>
      <c r="HDJ15" s="133"/>
      <c r="HDK15" s="133"/>
      <c r="HDL15" s="133"/>
      <c r="HDM15" s="133"/>
      <c r="HDN15" s="133"/>
      <c r="HDO15" s="133"/>
      <c r="HDP15" s="133"/>
      <c r="HDQ15" s="133"/>
      <c r="HDR15" s="133"/>
      <c r="HDS15" s="133"/>
      <c r="HDT15" s="133"/>
      <c r="HDU15" s="133"/>
      <c r="HDV15" s="133"/>
      <c r="HDW15" s="133"/>
      <c r="HDX15" s="133"/>
      <c r="HDY15" s="133"/>
      <c r="HDZ15" s="133"/>
      <c r="HEA15" s="133"/>
      <c r="HEB15" s="133"/>
      <c r="HEC15" s="133"/>
      <c r="HED15" s="133"/>
      <c r="HEE15" s="133"/>
      <c r="HEF15" s="133"/>
      <c r="HEG15" s="133"/>
      <c r="HEH15" s="133"/>
      <c r="HEI15" s="133"/>
      <c r="HEJ15" s="133"/>
      <c r="HEK15" s="133"/>
      <c r="HEL15" s="133"/>
      <c r="HEM15" s="133"/>
      <c r="HEN15" s="133"/>
      <c r="HEO15" s="133"/>
      <c r="HEP15" s="133"/>
      <c r="HEQ15" s="133"/>
      <c r="HER15" s="133"/>
      <c r="HES15" s="133"/>
      <c r="HET15" s="133"/>
      <c r="HEU15" s="133"/>
      <c r="HEV15" s="133"/>
      <c r="HEW15" s="133"/>
      <c r="HEX15" s="133"/>
      <c r="HEY15" s="133"/>
      <c r="HEZ15" s="133"/>
      <c r="HFA15" s="133"/>
      <c r="HFB15" s="133"/>
      <c r="HFC15" s="133"/>
      <c r="HFD15" s="133"/>
      <c r="HFE15" s="133"/>
      <c r="HFF15" s="133"/>
      <c r="HFG15" s="133"/>
      <c r="HFH15" s="133"/>
      <c r="HFI15" s="133"/>
      <c r="HFJ15" s="133"/>
      <c r="HFK15" s="133"/>
      <c r="HFL15" s="133"/>
      <c r="HFM15" s="133"/>
      <c r="HFN15" s="133"/>
      <c r="HFO15" s="133"/>
      <c r="HFP15" s="133"/>
      <c r="HFQ15" s="133"/>
      <c r="HFR15" s="133"/>
      <c r="HFS15" s="133"/>
      <c r="HFT15" s="133"/>
      <c r="HFU15" s="133"/>
      <c r="HFV15" s="133"/>
      <c r="HFW15" s="133"/>
      <c r="HFX15" s="133"/>
      <c r="HFY15" s="133"/>
      <c r="HFZ15" s="133"/>
      <c r="HGA15" s="133"/>
      <c r="HGB15" s="133"/>
      <c r="HGC15" s="133"/>
      <c r="HGD15" s="133"/>
      <c r="HGE15" s="133"/>
      <c r="HGF15" s="133"/>
      <c r="HGG15" s="133"/>
      <c r="HGH15" s="133"/>
      <c r="HGI15" s="133"/>
      <c r="HGJ15" s="133"/>
      <c r="HGK15" s="133"/>
      <c r="HGL15" s="133"/>
      <c r="HGM15" s="133"/>
      <c r="HGN15" s="133"/>
      <c r="HGO15" s="133"/>
      <c r="HGP15" s="133"/>
      <c r="HGQ15" s="133"/>
      <c r="HGR15" s="133"/>
      <c r="HGS15" s="133"/>
      <c r="HGT15" s="133"/>
      <c r="HGU15" s="133"/>
      <c r="HGV15" s="133"/>
      <c r="HGW15" s="133"/>
      <c r="HGX15" s="133"/>
      <c r="HGY15" s="133"/>
      <c r="HGZ15" s="133"/>
      <c r="HHA15" s="133"/>
      <c r="HHB15" s="133"/>
      <c r="HHC15" s="133"/>
      <c r="HHD15" s="133"/>
      <c r="HHE15" s="133"/>
      <c r="HHF15" s="133"/>
      <c r="HHG15" s="133"/>
      <c r="HHH15" s="133"/>
      <c r="HHI15" s="133"/>
      <c r="HHJ15" s="133"/>
      <c r="HHK15" s="133"/>
      <c r="HHL15" s="133"/>
      <c r="HHM15" s="133"/>
      <c r="HHN15" s="133"/>
      <c r="HHO15" s="133"/>
      <c r="HHP15" s="133"/>
      <c r="HHQ15" s="133"/>
      <c r="HHR15" s="133"/>
      <c r="HHS15" s="133"/>
      <c r="HHT15" s="133"/>
      <c r="HHU15" s="133"/>
      <c r="HHV15" s="133"/>
      <c r="HHW15" s="133"/>
      <c r="HHX15" s="133"/>
      <c r="HHY15" s="133"/>
      <c r="HHZ15" s="133"/>
      <c r="HIA15" s="133"/>
      <c r="HIB15" s="133"/>
      <c r="HIC15" s="133"/>
      <c r="HID15" s="133"/>
      <c r="HIE15" s="133"/>
      <c r="HIF15" s="133"/>
      <c r="HIG15" s="133"/>
      <c r="HIH15" s="133"/>
      <c r="HII15" s="133"/>
      <c r="HIJ15" s="133"/>
      <c r="HIK15" s="133"/>
      <c r="HIL15" s="133"/>
      <c r="HIM15" s="133"/>
      <c r="HIN15" s="133"/>
      <c r="HIO15" s="133"/>
      <c r="HIP15" s="133"/>
      <c r="HIQ15" s="133"/>
      <c r="HIR15" s="133"/>
      <c r="HIS15" s="133"/>
      <c r="HIT15" s="133"/>
      <c r="HIU15" s="133"/>
      <c r="HIV15" s="133"/>
      <c r="HIW15" s="133"/>
      <c r="HIX15" s="133"/>
      <c r="HIY15" s="133"/>
      <c r="HIZ15" s="133"/>
      <c r="HJA15" s="133"/>
      <c r="HJB15" s="133"/>
      <c r="HJC15" s="133"/>
      <c r="HJD15" s="133"/>
      <c r="HJE15" s="133"/>
      <c r="HJF15" s="133"/>
      <c r="HJG15" s="133"/>
      <c r="HJH15" s="133"/>
      <c r="HJI15" s="133"/>
      <c r="HJJ15" s="133"/>
      <c r="HJK15" s="133"/>
      <c r="HJL15" s="133"/>
      <c r="HJM15" s="133"/>
      <c r="HJN15" s="133"/>
      <c r="HJO15" s="133"/>
      <c r="HJP15" s="133"/>
      <c r="HJQ15" s="133"/>
      <c r="HJR15" s="133"/>
      <c r="HJS15" s="133"/>
      <c r="HJT15" s="133"/>
      <c r="HJU15" s="133"/>
      <c r="HJV15" s="133"/>
      <c r="HJW15" s="133"/>
      <c r="HJX15" s="133"/>
      <c r="HJY15" s="133"/>
      <c r="HJZ15" s="133"/>
      <c r="HKA15" s="133"/>
      <c r="HKB15" s="133"/>
      <c r="HKC15" s="133"/>
      <c r="HKD15" s="133"/>
      <c r="HKE15" s="133"/>
      <c r="HKF15" s="133"/>
      <c r="HKG15" s="133"/>
      <c r="HKH15" s="133"/>
      <c r="HKI15" s="133"/>
      <c r="HKJ15" s="133"/>
      <c r="HKK15" s="133"/>
      <c r="HKL15" s="133"/>
      <c r="HKM15" s="133"/>
      <c r="HKN15" s="133"/>
      <c r="HKO15" s="133"/>
      <c r="HKP15" s="133"/>
      <c r="HKQ15" s="133"/>
      <c r="HKR15" s="133"/>
      <c r="HKS15" s="133"/>
      <c r="HKT15" s="133"/>
      <c r="HKU15" s="133"/>
      <c r="HKV15" s="133"/>
      <c r="HKW15" s="133"/>
      <c r="HKX15" s="133"/>
      <c r="HKY15" s="133"/>
      <c r="HKZ15" s="133"/>
      <c r="HLA15" s="133"/>
      <c r="HLB15" s="133"/>
      <c r="HLC15" s="133"/>
      <c r="HLD15" s="133"/>
      <c r="HLE15" s="133"/>
      <c r="HLF15" s="133"/>
      <c r="HLG15" s="133"/>
      <c r="HLH15" s="133"/>
      <c r="HLI15" s="133"/>
      <c r="HLJ15" s="133"/>
      <c r="HLK15" s="133"/>
      <c r="HLL15" s="133"/>
      <c r="HLM15" s="133"/>
      <c r="HLN15" s="133"/>
      <c r="HLO15" s="133"/>
      <c r="HLP15" s="133"/>
      <c r="HLQ15" s="133"/>
      <c r="HLR15" s="133"/>
      <c r="HLS15" s="133"/>
      <c r="HLT15" s="133"/>
      <c r="HLU15" s="133"/>
      <c r="HLV15" s="133"/>
      <c r="HLW15" s="133"/>
      <c r="HLX15" s="133"/>
      <c r="HLY15" s="133"/>
      <c r="HLZ15" s="133"/>
      <c r="HMA15" s="133"/>
      <c r="HMB15" s="133"/>
      <c r="HMC15" s="133"/>
      <c r="HMD15" s="133"/>
      <c r="HME15" s="133"/>
      <c r="HMF15" s="133"/>
      <c r="HMG15" s="133"/>
      <c r="HMH15" s="133"/>
      <c r="HMI15" s="133"/>
      <c r="HMJ15" s="133"/>
      <c r="HMK15" s="133"/>
      <c r="HML15" s="133"/>
      <c r="HMM15" s="133"/>
      <c r="HMN15" s="133"/>
      <c r="HMO15" s="133"/>
      <c r="HMP15" s="133"/>
      <c r="HMQ15" s="133"/>
      <c r="HMR15" s="133"/>
      <c r="HMS15" s="133"/>
      <c r="HMT15" s="133"/>
      <c r="HMU15" s="133"/>
      <c r="HMV15" s="133"/>
      <c r="HMW15" s="133"/>
      <c r="HMX15" s="133"/>
      <c r="HMY15" s="133"/>
      <c r="HMZ15" s="133"/>
      <c r="HNA15" s="133"/>
      <c r="HNB15" s="133"/>
      <c r="HNC15" s="133"/>
      <c r="HND15" s="133"/>
      <c r="HNE15" s="133"/>
      <c r="HNF15" s="133"/>
      <c r="HNG15" s="133"/>
      <c r="HNH15" s="133"/>
      <c r="HNI15" s="133"/>
      <c r="HNJ15" s="133"/>
      <c r="HNK15" s="133"/>
      <c r="HNL15" s="133"/>
      <c r="HNM15" s="133"/>
      <c r="HNN15" s="133"/>
      <c r="HNO15" s="133"/>
      <c r="HNP15" s="133"/>
      <c r="HNQ15" s="133"/>
      <c r="HNR15" s="133"/>
      <c r="HNS15" s="133"/>
      <c r="HNT15" s="133"/>
      <c r="HNU15" s="133"/>
      <c r="HNV15" s="133"/>
      <c r="HNW15" s="133"/>
      <c r="HNX15" s="133"/>
      <c r="HNY15" s="133"/>
      <c r="HNZ15" s="133"/>
      <c r="HOA15" s="133"/>
      <c r="HOB15" s="133"/>
      <c r="HOC15" s="133"/>
      <c r="HOD15" s="133"/>
      <c r="HOE15" s="133"/>
      <c r="HOF15" s="133"/>
      <c r="HOG15" s="133"/>
      <c r="HOH15" s="133"/>
      <c r="HOI15" s="133"/>
      <c r="HOJ15" s="133"/>
      <c r="HOK15" s="133"/>
      <c r="HOL15" s="133"/>
      <c r="HOM15" s="133"/>
      <c r="HON15" s="133"/>
      <c r="HOO15" s="133"/>
      <c r="HOP15" s="133"/>
      <c r="HOQ15" s="133"/>
      <c r="HOR15" s="133"/>
      <c r="HOS15" s="133"/>
      <c r="HOT15" s="133"/>
      <c r="HOU15" s="133"/>
      <c r="HOV15" s="133"/>
      <c r="HOW15" s="133"/>
      <c r="HOX15" s="133"/>
      <c r="HOY15" s="133"/>
      <c r="HOZ15" s="133"/>
      <c r="HPA15" s="133"/>
      <c r="HPB15" s="133"/>
      <c r="HPC15" s="133"/>
      <c r="HPD15" s="133"/>
      <c r="HPE15" s="133"/>
      <c r="HPF15" s="133"/>
      <c r="HPG15" s="133"/>
      <c r="HPH15" s="133"/>
      <c r="HPI15" s="133"/>
      <c r="HPJ15" s="133"/>
      <c r="HPK15" s="133"/>
      <c r="HPL15" s="133"/>
      <c r="HPM15" s="133"/>
      <c r="HPN15" s="133"/>
      <c r="HPO15" s="133"/>
      <c r="HPP15" s="133"/>
      <c r="HPQ15" s="133"/>
      <c r="HPR15" s="133"/>
      <c r="HPS15" s="133"/>
      <c r="HPT15" s="133"/>
      <c r="HPU15" s="133"/>
      <c r="HPV15" s="133"/>
      <c r="HPW15" s="133"/>
      <c r="HPX15" s="133"/>
      <c r="HPY15" s="133"/>
      <c r="HPZ15" s="133"/>
      <c r="HQA15" s="133"/>
      <c r="HQB15" s="133"/>
      <c r="HQC15" s="133"/>
      <c r="HQD15" s="133"/>
      <c r="HQE15" s="133"/>
      <c r="HQF15" s="133"/>
      <c r="HQG15" s="133"/>
      <c r="HQH15" s="133"/>
      <c r="HQI15" s="133"/>
      <c r="HQJ15" s="133"/>
      <c r="HQK15" s="133"/>
      <c r="HQL15" s="133"/>
      <c r="HQM15" s="133"/>
      <c r="HQN15" s="133"/>
      <c r="HQO15" s="133"/>
      <c r="HQP15" s="133"/>
      <c r="HQQ15" s="133"/>
      <c r="HQR15" s="133"/>
      <c r="HQS15" s="133"/>
      <c r="HQT15" s="133"/>
      <c r="HQU15" s="133"/>
      <c r="HQV15" s="133"/>
      <c r="HQW15" s="133"/>
      <c r="HQX15" s="133"/>
      <c r="HQY15" s="133"/>
      <c r="HQZ15" s="133"/>
      <c r="HRA15" s="133"/>
      <c r="HRB15" s="133"/>
      <c r="HRC15" s="133"/>
      <c r="HRD15" s="133"/>
      <c r="HRE15" s="133"/>
      <c r="HRF15" s="133"/>
      <c r="HRG15" s="133"/>
      <c r="HRH15" s="133"/>
      <c r="HRI15" s="133"/>
      <c r="HRJ15" s="133"/>
      <c r="HRK15" s="133"/>
      <c r="HRL15" s="133"/>
      <c r="HRM15" s="133"/>
      <c r="HRN15" s="133"/>
      <c r="HRO15" s="133"/>
      <c r="HRP15" s="133"/>
      <c r="HRQ15" s="133"/>
      <c r="HRR15" s="133"/>
      <c r="HRS15" s="133"/>
      <c r="HRT15" s="133"/>
      <c r="HRU15" s="133"/>
      <c r="HRV15" s="133"/>
      <c r="HRW15" s="133"/>
      <c r="HRX15" s="133"/>
      <c r="HRY15" s="133"/>
      <c r="HRZ15" s="133"/>
      <c r="HSA15" s="133"/>
      <c r="HSB15" s="133"/>
      <c r="HSC15" s="133"/>
      <c r="HSD15" s="133"/>
      <c r="HSE15" s="133"/>
      <c r="HSF15" s="133"/>
      <c r="HSG15" s="133"/>
      <c r="HSH15" s="133"/>
      <c r="HSI15" s="133"/>
      <c r="HSJ15" s="133"/>
      <c r="HSK15" s="133"/>
      <c r="HSL15" s="133"/>
      <c r="HSM15" s="133"/>
      <c r="HSN15" s="133"/>
      <c r="HSO15" s="133"/>
      <c r="HSP15" s="133"/>
      <c r="HSQ15" s="133"/>
      <c r="HSR15" s="133"/>
      <c r="HSS15" s="133"/>
      <c r="HST15" s="133"/>
      <c r="HSU15" s="133"/>
      <c r="HSV15" s="133"/>
      <c r="HSW15" s="133"/>
      <c r="HSX15" s="133"/>
      <c r="HSY15" s="133"/>
      <c r="HSZ15" s="133"/>
      <c r="HTA15" s="133"/>
      <c r="HTB15" s="133"/>
      <c r="HTC15" s="133"/>
      <c r="HTD15" s="133"/>
      <c r="HTE15" s="133"/>
      <c r="HTF15" s="133"/>
      <c r="HTG15" s="133"/>
      <c r="HTH15" s="133"/>
      <c r="HTI15" s="133"/>
      <c r="HTJ15" s="133"/>
      <c r="HTK15" s="133"/>
      <c r="HTL15" s="133"/>
      <c r="HTM15" s="133"/>
      <c r="HTN15" s="133"/>
      <c r="HTO15" s="133"/>
      <c r="HTP15" s="133"/>
      <c r="HTQ15" s="133"/>
      <c r="HTR15" s="133"/>
      <c r="HTS15" s="133"/>
      <c r="HTT15" s="133"/>
      <c r="HTU15" s="133"/>
      <c r="HTV15" s="133"/>
      <c r="HTW15" s="133"/>
      <c r="HTX15" s="133"/>
      <c r="HTY15" s="133"/>
      <c r="HTZ15" s="133"/>
      <c r="HUA15" s="133"/>
      <c r="HUB15" s="133"/>
      <c r="HUC15" s="133"/>
      <c r="HUD15" s="133"/>
      <c r="HUE15" s="133"/>
      <c r="HUF15" s="133"/>
      <c r="HUG15" s="133"/>
      <c r="HUH15" s="133"/>
      <c r="HUI15" s="133"/>
      <c r="HUJ15" s="133"/>
      <c r="HUK15" s="133"/>
      <c r="HUL15" s="133"/>
      <c r="HUM15" s="133"/>
      <c r="HUN15" s="133"/>
      <c r="HUO15" s="133"/>
      <c r="HUP15" s="133"/>
      <c r="HUQ15" s="133"/>
      <c r="HUR15" s="133"/>
      <c r="HUS15" s="133"/>
      <c r="HUT15" s="133"/>
      <c r="HUU15" s="133"/>
      <c r="HUV15" s="133"/>
      <c r="HUW15" s="133"/>
      <c r="HUX15" s="133"/>
      <c r="HUY15" s="133"/>
      <c r="HUZ15" s="133"/>
      <c r="HVA15" s="133"/>
      <c r="HVB15" s="133"/>
      <c r="HVC15" s="133"/>
      <c r="HVD15" s="133"/>
      <c r="HVE15" s="133"/>
      <c r="HVF15" s="133"/>
      <c r="HVG15" s="133"/>
      <c r="HVH15" s="133"/>
      <c r="HVI15" s="133"/>
      <c r="HVJ15" s="133"/>
      <c r="HVK15" s="133"/>
      <c r="HVL15" s="133"/>
      <c r="HVM15" s="133"/>
      <c r="HVN15" s="133"/>
      <c r="HVO15" s="133"/>
      <c r="HVP15" s="133"/>
      <c r="HVQ15" s="133"/>
      <c r="HVR15" s="133"/>
      <c r="HVS15" s="133"/>
      <c r="HVT15" s="133"/>
      <c r="HVU15" s="133"/>
      <c r="HVV15" s="133"/>
      <c r="HVW15" s="133"/>
      <c r="HVX15" s="133"/>
      <c r="HVY15" s="133"/>
      <c r="HVZ15" s="133"/>
      <c r="HWA15" s="133"/>
      <c r="HWB15" s="133"/>
      <c r="HWC15" s="133"/>
      <c r="HWD15" s="133"/>
      <c r="HWE15" s="133"/>
      <c r="HWF15" s="133"/>
      <c r="HWG15" s="133"/>
      <c r="HWH15" s="133"/>
      <c r="HWI15" s="133"/>
      <c r="HWJ15" s="133"/>
      <c r="HWK15" s="133"/>
      <c r="HWL15" s="133"/>
      <c r="HWM15" s="133"/>
      <c r="HWN15" s="133"/>
      <c r="HWO15" s="133"/>
      <c r="HWP15" s="133"/>
      <c r="HWQ15" s="133"/>
      <c r="HWR15" s="133"/>
      <c r="HWS15" s="133"/>
      <c r="HWT15" s="133"/>
      <c r="HWU15" s="133"/>
      <c r="HWV15" s="133"/>
      <c r="HWW15" s="133"/>
      <c r="HWX15" s="133"/>
      <c r="HWY15" s="133"/>
      <c r="HWZ15" s="133"/>
      <c r="HXA15" s="133"/>
      <c r="HXB15" s="133"/>
      <c r="HXC15" s="133"/>
      <c r="HXD15" s="133"/>
      <c r="HXE15" s="133"/>
      <c r="HXF15" s="133"/>
      <c r="HXG15" s="133"/>
      <c r="HXH15" s="133"/>
      <c r="HXI15" s="133"/>
      <c r="HXJ15" s="133"/>
      <c r="HXK15" s="133"/>
      <c r="HXL15" s="133"/>
      <c r="HXM15" s="133"/>
      <c r="HXN15" s="133"/>
      <c r="HXO15" s="133"/>
      <c r="HXP15" s="133"/>
      <c r="HXQ15" s="133"/>
      <c r="HXR15" s="133"/>
      <c r="HXS15" s="133"/>
      <c r="HXT15" s="133"/>
      <c r="HXU15" s="133"/>
      <c r="HXV15" s="133"/>
      <c r="HXW15" s="133"/>
      <c r="HXX15" s="133"/>
      <c r="HXY15" s="133"/>
      <c r="HXZ15" s="133"/>
      <c r="HYA15" s="133"/>
      <c r="HYB15" s="133"/>
      <c r="HYC15" s="133"/>
      <c r="HYD15" s="133"/>
      <c r="HYE15" s="133"/>
      <c r="HYF15" s="133"/>
      <c r="HYG15" s="133"/>
      <c r="HYH15" s="133"/>
      <c r="HYI15" s="133"/>
      <c r="HYJ15" s="133"/>
      <c r="HYK15" s="133"/>
      <c r="HYL15" s="133"/>
      <c r="HYM15" s="133"/>
      <c r="HYN15" s="133"/>
      <c r="HYO15" s="133"/>
      <c r="HYP15" s="133"/>
      <c r="HYQ15" s="133"/>
      <c r="HYR15" s="133"/>
      <c r="HYS15" s="133"/>
      <c r="HYT15" s="133"/>
      <c r="HYU15" s="133"/>
      <c r="HYV15" s="133"/>
      <c r="HYW15" s="133"/>
      <c r="HYX15" s="133"/>
      <c r="HYY15" s="133"/>
      <c r="HYZ15" s="133"/>
      <c r="HZA15" s="133"/>
      <c r="HZB15" s="133"/>
      <c r="HZC15" s="133"/>
      <c r="HZD15" s="133"/>
      <c r="HZE15" s="133"/>
      <c r="HZF15" s="133"/>
      <c r="HZG15" s="133"/>
      <c r="HZH15" s="133"/>
      <c r="HZI15" s="133"/>
      <c r="HZJ15" s="133"/>
      <c r="HZK15" s="133"/>
      <c r="HZL15" s="133"/>
      <c r="HZM15" s="133"/>
      <c r="HZN15" s="133"/>
      <c r="HZO15" s="133"/>
      <c r="HZP15" s="133"/>
      <c r="HZQ15" s="133"/>
      <c r="HZR15" s="133"/>
      <c r="HZS15" s="133"/>
      <c r="HZT15" s="133"/>
      <c r="HZU15" s="133"/>
      <c r="HZV15" s="133"/>
      <c r="HZW15" s="133"/>
      <c r="HZX15" s="133"/>
      <c r="HZY15" s="133"/>
      <c r="HZZ15" s="133"/>
      <c r="IAA15" s="133"/>
      <c r="IAB15" s="133"/>
      <c r="IAC15" s="133"/>
      <c r="IAD15" s="133"/>
      <c r="IAE15" s="133"/>
      <c r="IAF15" s="133"/>
      <c r="IAG15" s="133"/>
      <c r="IAH15" s="133"/>
      <c r="IAI15" s="133"/>
      <c r="IAJ15" s="133"/>
      <c r="IAK15" s="133"/>
      <c r="IAL15" s="133"/>
      <c r="IAM15" s="133"/>
      <c r="IAN15" s="133"/>
      <c r="IAO15" s="133"/>
      <c r="IAP15" s="133"/>
      <c r="IAQ15" s="133"/>
      <c r="IAR15" s="133"/>
      <c r="IAS15" s="133"/>
      <c r="IAT15" s="133"/>
      <c r="IAU15" s="133"/>
      <c r="IAV15" s="133"/>
      <c r="IAW15" s="133"/>
      <c r="IAX15" s="133"/>
      <c r="IAY15" s="133"/>
      <c r="IAZ15" s="133"/>
      <c r="IBA15" s="133"/>
      <c r="IBB15" s="133"/>
      <c r="IBC15" s="133"/>
      <c r="IBD15" s="133"/>
      <c r="IBE15" s="133"/>
      <c r="IBF15" s="133"/>
      <c r="IBG15" s="133"/>
      <c r="IBH15" s="133"/>
      <c r="IBI15" s="133"/>
      <c r="IBJ15" s="133"/>
      <c r="IBK15" s="133"/>
      <c r="IBL15" s="133"/>
      <c r="IBM15" s="133"/>
      <c r="IBN15" s="133"/>
      <c r="IBO15" s="133"/>
      <c r="IBP15" s="133"/>
      <c r="IBQ15" s="133"/>
      <c r="IBR15" s="133"/>
      <c r="IBS15" s="133"/>
      <c r="IBT15" s="133"/>
      <c r="IBU15" s="133"/>
      <c r="IBV15" s="133"/>
      <c r="IBW15" s="133"/>
      <c r="IBX15" s="133"/>
      <c r="IBY15" s="133"/>
      <c r="IBZ15" s="133"/>
      <c r="ICA15" s="133"/>
      <c r="ICB15" s="133"/>
      <c r="ICC15" s="133"/>
      <c r="ICD15" s="133"/>
      <c r="ICE15" s="133"/>
      <c r="ICF15" s="133"/>
      <c r="ICG15" s="133"/>
      <c r="ICH15" s="133"/>
      <c r="ICI15" s="133"/>
      <c r="ICJ15" s="133"/>
      <c r="ICK15" s="133"/>
      <c r="ICL15" s="133"/>
      <c r="ICM15" s="133"/>
      <c r="ICN15" s="133"/>
      <c r="ICO15" s="133"/>
      <c r="ICP15" s="133"/>
      <c r="ICQ15" s="133"/>
      <c r="ICR15" s="133"/>
      <c r="ICS15" s="133"/>
      <c r="ICT15" s="133"/>
      <c r="ICU15" s="133"/>
      <c r="ICV15" s="133"/>
      <c r="ICW15" s="133"/>
      <c r="ICX15" s="133"/>
      <c r="ICY15" s="133"/>
      <c r="ICZ15" s="133"/>
      <c r="IDA15" s="133"/>
      <c r="IDB15" s="133"/>
      <c r="IDC15" s="133"/>
      <c r="IDD15" s="133"/>
      <c r="IDE15" s="133"/>
      <c r="IDF15" s="133"/>
      <c r="IDG15" s="133"/>
      <c r="IDH15" s="133"/>
      <c r="IDI15" s="133"/>
      <c r="IDJ15" s="133"/>
      <c r="IDK15" s="133"/>
      <c r="IDL15" s="133"/>
      <c r="IDM15" s="133"/>
      <c r="IDN15" s="133"/>
      <c r="IDO15" s="133"/>
      <c r="IDP15" s="133"/>
      <c r="IDQ15" s="133"/>
      <c r="IDR15" s="133"/>
      <c r="IDS15" s="133"/>
      <c r="IDT15" s="133"/>
      <c r="IDU15" s="133"/>
      <c r="IDV15" s="133"/>
      <c r="IDW15" s="133"/>
      <c r="IDX15" s="133"/>
      <c r="IDY15" s="133"/>
      <c r="IDZ15" s="133"/>
      <c r="IEA15" s="133"/>
      <c r="IEB15" s="133"/>
      <c r="IEC15" s="133"/>
      <c r="IED15" s="133"/>
      <c r="IEE15" s="133"/>
      <c r="IEF15" s="133"/>
      <c r="IEG15" s="133"/>
      <c r="IEH15" s="133"/>
      <c r="IEI15" s="133"/>
      <c r="IEJ15" s="133"/>
      <c r="IEK15" s="133"/>
      <c r="IEL15" s="133"/>
      <c r="IEM15" s="133"/>
      <c r="IEN15" s="133"/>
      <c r="IEO15" s="133"/>
      <c r="IEP15" s="133"/>
      <c r="IEQ15" s="133"/>
      <c r="IER15" s="133"/>
      <c r="IES15" s="133"/>
      <c r="IET15" s="133"/>
      <c r="IEU15" s="133"/>
      <c r="IEV15" s="133"/>
      <c r="IEW15" s="133"/>
      <c r="IEX15" s="133"/>
      <c r="IEY15" s="133"/>
      <c r="IEZ15" s="133"/>
      <c r="IFA15" s="133"/>
      <c r="IFB15" s="133"/>
      <c r="IFC15" s="133"/>
      <c r="IFD15" s="133"/>
      <c r="IFE15" s="133"/>
      <c r="IFF15" s="133"/>
      <c r="IFG15" s="133"/>
      <c r="IFH15" s="133"/>
      <c r="IFI15" s="133"/>
      <c r="IFJ15" s="133"/>
      <c r="IFK15" s="133"/>
      <c r="IFL15" s="133"/>
      <c r="IFM15" s="133"/>
      <c r="IFN15" s="133"/>
      <c r="IFO15" s="133"/>
      <c r="IFP15" s="133"/>
      <c r="IFQ15" s="133"/>
      <c r="IFR15" s="133"/>
      <c r="IFS15" s="133"/>
      <c r="IFT15" s="133"/>
      <c r="IFU15" s="133"/>
      <c r="IFV15" s="133"/>
      <c r="IFW15" s="133"/>
      <c r="IFX15" s="133"/>
      <c r="IFY15" s="133"/>
      <c r="IFZ15" s="133"/>
      <c r="IGA15" s="133"/>
      <c r="IGB15" s="133"/>
      <c r="IGC15" s="133"/>
      <c r="IGD15" s="133"/>
      <c r="IGE15" s="133"/>
      <c r="IGF15" s="133"/>
      <c r="IGG15" s="133"/>
      <c r="IGH15" s="133"/>
      <c r="IGI15" s="133"/>
      <c r="IGJ15" s="133"/>
      <c r="IGK15" s="133"/>
      <c r="IGL15" s="133"/>
      <c r="IGM15" s="133"/>
      <c r="IGN15" s="133"/>
      <c r="IGO15" s="133"/>
      <c r="IGP15" s="133"/>
      <c r="IGQ15" s="133"/>
      <c r="IGR15" s="133"/>
      <c r="IGS15" s="133"/>
      <c r="IGT15" s="133"/>
      <c r="IGU15" s="133"/>
      <c r="IGV15" s="133"/>
      <c r="IGW15" s="133"/>
      <c r="IGX15" s="133"/>
      <c r="IGY15" s="133"/>
      <c r="IGZ15" s="133"/>
      <c r="IHA15" s="133"/>
      <c r="IHB15" s="133"/>
      <c r="IHC15" s="133"/>
      <c r="IHD15" s="133"/>
      <c r="IHE15" s="133"/>
      <c r="IHF15" s="133"/>
      <c r="IHG15" s="133"/>
      <c r="IHH15" s="133"/>
      <c r="IHI15" s="133"/>
      <c r="IHJ15" s="133"/>
      <c r="IHK15" s="133"/>
      <c r="IHL15" s="133"/>
      <c r="IHM15" s="133"/>
      <c r="IHN15" s="133"/>
      <c r="IHO15" s="133"/>
      <c r="IHP15" s="133"/>
      <c r="IHQ15" s="133"/>
      <c r="IHR15" s="133"/>
      <c r="IHS15" s="133"/>
      <c r="IHT15" s="133"/>
      <c r="IHU15" s="133"/>
      <c r="IHV15" s="133"/>
      <c r="IHW15" s="133"/>
      <c r="IHX15" s="133"/>
      <c r="IHY15" s="133"/>
      <c r="IHZ15" s="133"/>
      <c r="IIA15" s="133"/>
      <c r="IIB15" s="133"/>
      <c r="IIC15" s="133"/>
      <c r="IID15" s="133"/>
      <c r="IIE15" s="133"/>
      <c r="IIF15" s="133"/>
      <c r="IIG15" s="133"/>
      <c r="IIH15" s="133"/>
      <c r="III15" s="133"/>
      <c r="IIJ15" s="133"/>
      <c r="IIK15" s="133"/>
      <c r="IIL15" s="133"/>
      <c r="IIM15" s="133"/>
      <c r="IIN15" s="133"/>
      <c r="IIO15" s="133"/>
      <c r="IIP15" s="133"/>
      <c r="IIQ15" s="133"/>
      <c r="IIR15" s="133"/>
      <c r="IIS15" s="133"/>
      <c r="IIT15" s="133"/>
      <c r="IIU15" s="133"/>
      <c r="IIV15" s="133"/>
      <c r="IIW15" s="133"/>
      <c r="IIX15" s="133"/>
      <c r="IIY15" s="133"/>
      <c r="IIZ15" s="133"/>
      <c r="IJA15" s="133"/>
      <c r="IJB15" s="133"/>
      <c r="IJC15" s="133"/>
      <c r="IJD15" s="133"/>
      <c r="IJE15" s="133"/>
      <c r="IJF15" s="133"/>
      <c r="IJG15" s="133"/>
      <c r="IJH15" s="133"/>
      <c r="IJI15" s="133"/>
      <c r="IJJ15" s="133"/>
      <c r="IJK15" s="133"/>
      <c r="IJL15" s="133"/>
      <c r="IJM15" s="133"/>
      <c r="IJN15" s="133"/>
      <c r="IJO15" s="133"/>
      <c r="IJP15" s="133"/>
      <c r="IJQ15" s="133"/>
      <c r="IJR15" s="133"/>
      <c r="IJS15" s="133"/>
      <c r="IJT15" s="133"/>
      <c r="IJU15" s="133"/>
      <c r="IJV15" s="133"/>
      <c r="IJW15" s="133"/>
      <c r="IJX15" s="133"/>
      <c r="IJY15" s="133"/>
      <c r="IJZ15" s="133"/>
      <c r="IKA15" s="133"/>
      <c r="IKB15" s="133"/>
      <c r="IKC15" s="133"/>
      <c r="IKD15" s="133"/>
      <c r="IKE15" s="133"/>
      <c r="IKF15" s="133"/>
      <c r="IKG15" s="133"/>
      <c r="IKH15" s="133"/>
      <c r="IKI15" s="133"/>
      <c r="IKJ15" s="133"/>
      <c r="IKK15" s="133"/>
      <c r="IKL15" s="133"/>
      <c r="IKM15" s="133"/>
      <c r="IKN15" s="133"/>
      <c r="IKO15" s="133"/>
      <c r="IKP15" s="133"/>
      <c r="IKQ15" s="133"/>
      <c r="IKR15" s="133"/>
      <c r="IKS15" s="133"/>
      <c r="IKT15" s="133"/>
      <c r="IKU15" s="133"/>
      <c r="IKV15" s="133"/>
      <c r="IKW15" s="133"/>
      <c r="IKX15" s="133"/>
      <c r="IKY15" s="133"/>
      <c r="IKZ15" s="133"/>
      <c r="ILA15" s="133"/>
      <c r="ILB15" s="133"/>
      <c r="ILC15" s="133"/>
      <c r="ILD15" s="133"/>
      <c r="ILE15" s="133"/>
      <c r="ILF15" s="133"/>
      <c r="ILG15" s="133"/>
      <c r="ILH15" s="133"/>
      <c r="ILI15" s="133"/>
      <c r="ILJ15" s="133"/>
      <c r="ILK15" s="133"/>
      <c r="ILL15" s="133"/>
      <c r="ILM15" s="133"/>
      <c r="ILN15" s="133"/>
      <c r="ILO15" s="133"/>
      <c r="ILP15" s="133"/>
      <c r="ILQ15" s="133"/>
      <c r="ILR15" s="133"/>
      <c r="ILS15" s="133"/>
      <c r="ILT15" s="133"/>
      <c r="ILU15" s="133"/>
      <c r="ILV15" s="133"/>
      <c r="ILW15" s="133"/>
      <c r="ILX15" s="133"/>
      <c r="ILY15" s="133"/>
      <c r="ILZ15" s="133"/>
      <c r="IMA15" s="133"/>
      <c r="IMB15" s="133"/>
      <c r="IMC15" s="133"/>
      <c r="IMD15" s="133"/>
      <c r="IME15" s="133"/>
      <c r="IMF15" s="133"/>
      <c r="IMG15" s="133"/>
      <c r="IMH15" s="133"/>
      <c r="IMI15" s="133"/>
      <c r="IMJ15" s="133"/>
      <c r="IMK15" s="133"/>
      <c r="IML15" s="133"/>
      <c r="IMM15" s="133"/>
      <c r="IMN15" s="133"/>
      <c r="IMO15" s="133"/>
      <c r="IMP15" s="133"/>
      <c r="IMQ15" s="133"/>
      <c r="IMR15" s="133"/>
      <c r="IMS15" s="133"/>
      <c r="IMT15" s="133"/>
      <c r="IMU15" s="133"/>
      <c r="IMV15" s="133"/>
      <c r="IMW15" s="133"/>
      <c r="IMX15" s="133"/>
      <c r="IMY15" s="133"/>
      <c r="IMZ15" s="133"/>
      <c r="INA15" s="133"/>
      <c r="INB15" s="133"/>
      <c r="INC15" s="133"/>
      <c r="IND15" s="133"/>
      <c r="INE15" s="133"/>
      <c r="INF15" s="133"/>
      <c r="ING15" s="133"/>
      <c r="INH15" s="133"/>
      <c r="INI15" s="133"/>
      <c r="INJ15" s="133"/>
      <c r="INK15" s="133"/>
      <c r="INL15" s="133"/>
      <c r="INM15" s="133"/>
      <c r="INN15" s="133"/>
      <c r="INO15" s="133"/>
      <c r="INP15" s="133"/>
      <c r="INQ15" s="133"/>
      <c r="INR15" s="133"/>
      <c r="INS15" s="133"/>
      <c r="INT15" s="133"/>
      <c r="INU15" s="133"/>
      <c r="INV15" s="133"/>
      <c r="INW15" s="133"/>
      <c r="INX15" s="133"/>
      <c r="INY15" s="133"/>
      <c r="INZ15" s="133"/>
      <c r="IOA15" s="133"/>
      <c r="IOB15" s="133"/>
      <c r="IOC15" s="133"/>
      <c r="IOD15" s="133"/>
      <c r="IOE15" s="133"/>
      <c r="IOF15" s="133"/>
      <c r="IOG15" s="133"/>
      <c r="IOH15" s="133"/>
      <c r="IOI15" s="133"/>
      <c r="IOJ15" s="133"/>
      <c r="IOK15" s="133"/>
      <c r="IOL15" s="133"/>
      <c r="IOM15" s="133"/>
      <c r="ION15" s="133"/>
      <c r="IOO15" s="133"/>
      <c r="IOP15" s="133"/>
      <c r="IOQ15" s="133"/>
      <c r="IOR15" s="133"/>
      <c r="IOS15" s="133"/>
      <c r="IOT15" s="133"/>
      <c r="IOU15" s="133"/>
      <c r="IOV15" s="133"/>
      <c r="IOW15" s="133"/>
      <c r="IOX15" s="133"/>
      <c r="IOY15" s="133"/>
      <c r="IOZ15" s="133"/>
      <c r="IPA15" s="133"/>
      <c r="IPB15" s="133"/>
      <c r="IPC15" s="133"/>
      <c r="IPD15" s="133"/>
      <c r="IPE15" s="133"/>
      <c r="IPF15" s="133"/>
      <c r="IPG15" s="133"/>
      <c r="IPH15" s="133"/>
      <c r="IPI15" s="133"/>
      <c r="IPJ15" s="133"/>
      <c r="IPK15" s="133"/>
      <c r="IPL15" s="133"/>
      <c r="IPM15" s="133"/>
      <c r="IPN15" s="133"/>
      <c r="IPO15" s="133"/>
      <c r="IPP15" s="133"/>
      <c r="IPQ15" s="133"/>
      <c r="IPR15" s="133"/>
      <c r="IPS15" s="133"/>
      <c r="IPT15" s="133"/>
      <c r="IPU15" s="133"/>
      <c r="IPV15" s="133"/>
      <c r="IPW15" s="133"/>
      <c r="IPX15" s="133"/>
      <c r="IPY15" s="133"/>
      <c r="IPZ15" s="133"/>
      <c r="IQA15" s="133"/>
      <c r="IQB15" s="133"/>
      <c r="IQC15" s="133"/>
      <c r="IQD15" s="133"/>
      <c r="IQE15" s="133"/>
      <c r="IQF15" s="133"/>
      <c r="IQG15" s="133"/>
      <c r="IQH15" s="133"/>
      <c r="IQI15" s="133"/>
      <c r="IQJ15" s="133"/>
      <c r="IQK15" s="133"/>
      <c r="IQL15" s="133"/>
      <c r="IQM15" s="133"/>
      <c r="IQN15" s="133"/>
      <c r="IQO15" s="133"/>
      <c r="IQP15" s="133"/>
      <c r="IQQ15" s="133"/>
      <c r="IQR15" s="133"/>
      <c r="IQS15" s="133"/>
      <c r="IQT15" s="133"/>
      <c r="IQU15" s="133"/>
      <c r="IQV15" s="133"/>
      <c r="IQW15" s="133"/>
      <c r="IQX15" s="133"/>
      <c r="IQY15" s="133"/>
      <c r="IQZ15" s="133"/>
      <c r="IRA15" s="133"/>
      <c r="IRB15" s="133"/>
      <c r="IRC15" s="133"/>
      <c r="IRD15" s="133"/>
      <c r="IRE15" s="133"/>
      <c r="IRF15" s="133"/>
      <c r="IRG15" s="133"/>
      <c r="IRH15" s="133"/>
      <c r="IRI15" s="133"/>
      <c r="IRJ15" s="133"/>
      <c r="IRK15" s="133"/>
      <c r="IRL15" s="133"/>
      <c r="IRM15" s="133"/>
      <c r="IRN15" s="133"/>
      <c r="IRO15" s="133"/>
      <c r="IRP15" s="133"/>
      <c r="IRQ15" s="133"/>
      <c r="IRR15" s="133"/>
      <c r="IRS15" s="133"/>
      <c r="IRT15" s="133"/>
      <c r="IRU15" s="133"/>
      <c r="IRV15" s="133"/>
      <c r="IRW15" s="133"/>
      <c r="IRX15" s="133"/>
      <c r="IRY15" s="133"/>
      <c r="IRZ15" s="133"/>
      <c r="ISA15" s="133"/>
      <c r="ISB15" s="133"/>
      <c r="ISC15" s="133"/>
      <c r="ISD15" s="133"/>
      <c r="ISE15" s="133"/>
      <c r="ISF15" s="133"/>
      <c r="ISG15" s="133"/>
      <c r="ISH15" s="133"/>
      <c r="ISI15" s="133"/>
      <c r="ISJ15" s="133"/>
      <c r="ISK15" s="133"/>
      <c r="ISL15" s="133"/>
      <c r="ISM15" s="133"/>
      <c r="ISN15" s="133"/>
      <c r="ISO15" s="133"/>
      <c r="ISP15" s="133"/>
      <c r="ISQ15" s="133"/>
      <c r="ISR15" s="133"/>
      <c r="ISS15" s="133"/>
      <c r="IST15" s="133"/>
      <c r="ISU15" s="133"/>
      <c r="ISV15" s="133"/>
      <c r="ISW15" s="133"/>
      <c r="ISX15" s="133"/>
      <c r="ISY15" s="133"/>
      <c r="ISZ15" s="133"/>
      <c r="ITA15" s="133"/>
      <c r="ITB15" s="133"/>
      <c r="ITC15" s="133"/>
      <c r="ITD15" s="133"/>
      <c r="ITE15" s="133"/>
      <c r="ITF15" s="133"/>
      <c r="ITG15" s="133"/>
      <c r="ITH15" s="133"/>
      <c r="ITI15" s="133"/>
      <c r="ITJ15" s="133"/>
      <c r="ITK15" s="133"/>
      <c r="ITL15" s="133"/>
      <c r="ITM15" s="133"/>
      <c r="ITN15" s="133"/>
      <c r="ITO15" s="133"/>
      <c r="ITP15" s="133"/>
      <c r="ITQ15" s="133"/>
      <c r="ITR15" s="133"/>
      <c r="ITS15" s="133"/>
      <c r="ITT15" s="133"/>
      <c r="ITU15" s="133"/>
      <c r="ITV15" s="133"/>
      <c r="ITW15" s="133"/>
      <c r="ITX15" s="133"/>
      <c r="ITY15" s="133"/>
      <c r="ITZ15" s="133"/>
      <c r="IUA15" s="133"/>
      <c r="IUB15" s="133"/>
      <c r="IUC15" s="133"/>
      <c r="IUD15" s="133"/>
      <c r="IUE15" s="133"/>
      <c r="IUF15" s="133"/>
      <c r="IUG15" s="133"/>
      <c r="IUH15" s="133"/>
      <c r="IUI15" s="133"/>
      <c r="IUJ15" s="133"/>
      <c r="IUK15" s="133"/>
      <c r="IUL15" s="133"/>
      <c r="IUM15" s="133"/>
      <c r="IUN15" s="133"/>
      <c r="IUO15" s="133"/>
      <c r="IUP15" s="133"/>
      <c r="IUQ15" s="133"/>
      <c r="IUR15" s="133"/>
      <c r="IUS15" s="133"/>
      <c r="IUT15" s="133"/>
      <c r="IUU15" s="133"/>
      <c r="IUV15" s="133"/>
      <c r="IUW15" s="133"/>
      <c r="IUX15" s="133"/>
      <c r="IUY15" s="133"/>
      <c r="IUZ15" s="133"/>
      <c r="IVA15" s="133"/>
      <c r="IVB15" s="133"/>
      <c r="IVC15" s="133"/>
      <c r="IVD15" s="133"/>
      <c r="IVE15" s="133"/>
      <c r="IVF15" s="133"/>
      <c r="IVG15" s="133"/>
      <c r="IVH15" s="133"/>
      <c r="IVI15" s="133"/>
      <c r="IVJ15" s="133"/>
      <c r="IVK15" s="133"/>
      <c r="IVL15" s="133"/>
      <c r="IVM15" s="133"/>
      <c r="IVN15" s="133"/>
      <c r="IVO15" s="133"/>
      <c r="IVP15" s="133"/>
      <c r="IVQ15" s="133"/>
      <c r="IVR15" s="133"/>
      <c r="IVS15" s="133"/>
      <c r="IVT15" s="133"/>
      <c r="IVU15" s="133"/>
      <c r="IVV15" s="133"/>
      <c r="IVW15" s="133"/>
      <c r="IVX15" s="133"/>
      <c r="IVY15" s="133"/>
      <c r="IVZ15" s="133"/>
      <c r="IWA15" s="133"/>
      <c r="IWB15" s="133"/>
      <c r="IWC15" s="133"/>
      <c r="IWD15" s="133"/>
      <c r="IWE15" s="133"/>
      <c r="IWF15" s="133"/>
      <c r="IWG15" s="133"/>
      <c r="IWH15" s="133"/>
      <c r="IWI15" s="133"/>
      <c r="IWJ15" s="133"/>
      <c r="IWK15" s="133"/>
      <c r="IWL15" s="133"/>
      <c r="IWM15" s="133"/>
      <c r="IWN15" s="133"/>
      <c r="IWO15" s="133"/>
      <c r="IWP15" s="133"/>
      <c r="IWQ15" s="133"/>
      <c r="IWR15" s="133"/>
      <c r="IWS15" s="133"/>
      <c r="IWT15" s="133"/>
      <c r="IWU15" s="133"/>
      <c r="IWV15" s="133"/>
      <c r="IWW15" s="133"/>
      <c r="IWX15" s="133"/>
      <c r="IWY15" s="133"/>
      <c r="IWZ15" s="133"/>
      <c r="IXA15" s="133"/>
      <c r="IXB15" s="133"/>
      <c r="IXC15" s="133"/>
      <c r="IXD15" s="133"/>
      <c r="IXE15" s="133"/>
      <c r="IXF15" s="133"/>
      <c r="IXG15" s="133"/>
      <c r="IXH15" s="133"/>
      <c r="IXI15" s="133"/>
      <c r="IXJ15" s="133"/>
      <c r="IXK15" s="133"/>
      <c r="IXL15" s="133"/>
      <c r="IXM15" s="133"/>
      <c r="IXN15" s="133"/>
      <c r="IXO15" s="133"/>
      <c r="IXP15" s="133"/>
      <c r="IXQ15" s="133"/>
      <c r="IXR15" s="133"/>
      <c r="IXS15" s="133"/>
      <c r="IXT15" s="133"/>
      <c r="IXU15" s="133"/>
      <c r="IXV15" s="133"/>
      <c r="IXW15" s="133"/>
      <c r="IXX15" s="133"/>
      <c r="IXY15" s="133"/>
      <c r="IXZ15" s="133"/>
      <c r="IYA15" s="133"/>
      <c r="IYB15" s="133"/>
      <c r="IYC15" s="133"/>
      <c r="IYD15" s="133"/>
      <c r="IYE15" s="133"/>
      <c r="IYF15" s="133"/>
      <c r="IYG15" s="133"/>
      <c r="IYH15" s="133"/>
      <c r="IYI15" s="133"/>
      <c r="IYJ15" s="133"/>
      <c r="IYK15" s="133"/>
      <c r="IYL15" s="133"/>
      <c r="IYM15" s="133"/>
      <c r="IYN15" s="133"/>
      <c r="IYO15" s="133"/>
      <c r="IYP15" s="133"/>
      <c r="IYQ15" s="133"/>
      <c r="IYR15" s="133"/>
      <c r="IYS15" s="133"/>
      <c r="IYT15" s="133"/>
      <c r="IYU15" s="133"/>
      <c r="IYV15" s="133"/>
      <c r="IYW15" s="133"/>
      <c r="IYX15" s="133"/>
      <c r="IYY15" s="133"/>
      <c r="IYZ15" s="133"/>
      <c r="IZA15" s="133"/>
      <c r="IZB15" s="133"/>
      <c r="IZC15" s="133"/>
      <c r="IZD15" s="133"/>
      <c r="IZE15" s="133"/>
      <c r="IZF15" s="133"/>
      <c r="IZG15" s="133"/>
      <c r="IZH15" s="133"/>
      <c r="IZI15" s="133"/>
      <c r="IZJ15" s="133"/>
      <c r="IZK15" s="133"/>
      <c r="IZL15" s="133"/>
      <c r="IZM15" s="133"/>
      <c r="IZN15" s="133"/>
      <c r="IZO15" s="133"/>
      <c r="IZP15" s="133"/>
      <c r="IZQ15" s="133"/>
      <c r="IZR15" s="133"/>
      <c r="IZS15" s="133"/>
      <c r="IZT15" s="133"/>
      <c r="IZU15" s="133"/>
      <c r="IZV15" s="133"/>
      <c r="IZW15" s="133"/>
      <c r="IZX15" s="133"/>
      <c r="IZY15" s="133"/>
      <c r="IZZ15" s="133"/>
      <c r="JAA15" s="133"/>
      <c r="JAB15" s="133"/>
      <c r="JAC15" s="133"/>
      <c r="JAD15" s="133"/>
      <c r="JAE15" s="133"/>
      <c r="JAF15" s="133"/>
      <c r="JAG15" s="133"/>
      <c r="JAH15" s="133"/>
      <c r="JAI15" s="133"/>
      <c r="JAJ15" s="133"/>
      <c r="JAK15" s="133"/>
      <c r="JAL15" s="133"/>
      <c r="JAM15" s="133"/>
      <c r="JAN15" s="133"/>
      <c r="JAO15" s="133"/>
      <c r="JAP15" s="133"/>
      <c r="JAQ15" s="133"/>
      <c r="JAR15" s="133"/>
      <c r="JAS15" s="133"/>
      <c r="JAT15" s="133"/>
      <c r="JAU15" s="133"/>
      <c r="JAV15" s="133"/>
      <c r="JAW15" s="133"/>
      <c r="JAX15" s="133"/>
      <c r="JAY15" s="133"/>
      <c r="JAZ15" s="133"/>
      <c r="JBA15" s="133"/>
      <c r="JBB15" s="133"/>
      <c r="JBC15" s="133"/>
      <c r="JBD15" s="133"/>
      <c r="JBE15" s="133"/>
      <c r="JBF15" s="133"/>
      <c r="JBG15" s="133"/>
      <c r="JBH15" s="133"/>
      <c r="JBI15" s="133"/>
      <c r="JBJ15" s="133"/>
      <c r="JBK15" s="133"/>
      <c r="JBL15" s="133"/>
      <c r="JBM15" s="133"/>
      <c r="JBN15" s="133"/>
      <c r="JBO15" s="133"/>
      <c r="JBP15" s="133"/>
      <c r="JBQ15" s="133"/>
      <c r="JBR15" s="133"/>
      <c r="JBS15" s="133"/>
      <c r="JBT15" s="133"/>
      <c r="JBU15" s="133"/>
      <c r="JBV15" s="133"/>
      <c r="JBW15" s="133"/>
      <c r="JBX15" s="133"/>
      <c r="JBY15" s="133"/>
      <c r="JBZ15" s="133"/>
      <c r="JCA15" s="133"/>
      <c r="JCB15" s="133"/>
      <c r="JCC15" s="133"/>
      <c r="JCD15" s="133"/>
      <c r="JCE15" s="133"/>
      <c r="JCF15" s="133"/>
      <c r="JCG15" s="133"/>
      <c r="JCH15" s="133"/>
      <c r="JCI15" s="133"/>
      <c r="JCJ15" s="133"/>
      <c r="JCK15" s="133"/>
      <c r="JCL15" s="133"/>
      <c r="JCM15" s="133"/>
      <c r="JCN15" s="133"/>
      <c r="JCO15" s="133"/>
      <c r="JCP15" s="133"/>
      <c r="JCQ15" s="133"/>
      <c r="JCR15" s="133"/>
      <c r="JCS15" s="133"/>
      <c r="JCT15" s="133"/>
      <c r="JCU15" s="133"/>
      <c r="JCV15" s="133"/>
      <c r="JCW15" s="133"/>
      <c r="JCX15" s="133"/>
      <c r="JCY15" s="133"/>
      <c r="JCZ15" s="133"/>
      <c r="JDA15" s="133"/>
      <c r="JDB15" s="133"/>
      <c r="JDC15" s="133"/>
      <c r="JDD15" s="133"/>
      <c r="JDE15" s="133"/>
      <c r="JDF15" s="133"/>
      <c r="JDG15" s="133"/>
      <c r="JDH15" s="133"/>
      <c r="JDI15" s="133"/>
      <c r="JDJ15" s="133"/>
      <c r="JDK15" s="133"/>
      <c r="JDL15" s="133"/>
      <c r="JDM15" s="133"/>
      <c r="JDN15" s="133"/>
      <c r="JDO15" s="133"/>
      <c r="JDP15" s="133"/>
      <c r="JDQ15" s="133"/>
      <c r="JDR15" s="133"/>
      <c r="JDS15" s="133"/>
      <c r="JDT15" s="133"/>
      <c r="JDU15" s="133"/>
      <c r="JDV15" s="133"/>
      <c r="JDW15" s="133"/>
      <c r="JDX15" s="133"/>
      <c r="JDY15" s="133"/>
      <c r="JDZ15" s="133"/>
      <c r="JEA15" s="133"/>
      <c r="JEB15" s="133"/>
      <c r="JEC15" s="133"/>
      <c r="JED15" s="133"/>
      <c r="JEE15" s="133"/>
      <c r="JEF15" s="133"/>
      <c r="JEG15" s="133"/>
      <c r="JEH15" s="133"/>
      <c r="JEI15" s="133"/>
      <c r="JEJ15" s="133"/>
      <c r="JEK15" s="133"/>
      <c r="JEL15" s="133"/>
      <c r="JEM15" s="133"/>
      <c r="JEN15" s="133"/>
      <c r="JEO15" s="133"/>
      <c r="JEP15" s="133"/>
      <c r="JEQ15" s="133"/>
      <c r="JER15" s="133"/>
      <c r="JES15" s="133"/>
      <c r="JET15" s="133"/>
      <c r="JEU15" s="133"/>
      <c r="JEV15" s="133"/>
      <c r="JEW15" s="133"/>
      <c r="JEX15" s="133"/>
      <c r="JEY15" s="133"/>
      <c r="JEZ15" s="133"/>
      <c r="JFA15" s="133"/>
      <c r="JFB15" s="133"/>
      <c r="JFC15" s="133"/>
      <c r="JFD15" s="133"/>
      <c r="JFE15" s="133"/>
      <c r="JFF15" s="133"/>
      <c r="JFG15" s="133"/>
      <c r="JFH15" s="133"/>
      <c r="JFI15" s="133"/>
      <c r="JFJ15" s="133"/>
      <c r="JFK15" s="133"/>
      <c r="JFL15" s="133"/>
      <c r="JFM15" s="133"/>
      <c r="JFN15" s="133"/>
      <c r="JFO15" s="133"/>
      <c r="JFP15" s="133"/>
      <c r="JFQ15" s="133"/>
      <c r="JFR15" s="133"/>
      <c r="JFS15" s="133"/>
      <c r="JFT15" s="133"/>
      <c r="JFU15" s="133"/>
      <c r="JFV15" s="133"/>
      <c r="JFW15" s="133"/>
      <c r="JFX15" s="133"/>
      <c r="JFY15" s="133"/>
      <c r="JFZ15" s="133"/>
      <c r="JGA15" s="133"/>
      <c r="JGB15" s="133"/>
      <c r="JGC15" s="133"/>
      <c r="JGD15" s="133"/>
      <c r="JGE15" s="133"/>
      <c r="JGF15" s="133"/>
      <c r="JGG15" s="133"/>
      <c r="JGH15" s="133"/>
      <c r="JGI15" s="133"/>
      <c r="JGJ15" s="133"/>
      <c r="JGK15" s="133"/>
      <c r="JGL15" s="133"/>
      <c r="JGM15" s="133"/>
      <c r="JGN15" s="133"/>
      <c r="JGO15" s="133"/>
      <c r="JGP15" s="133"/>
      <c r="JGQ15" s="133"/>
      <c r="JGR15" s="133"/>
      <c r="JGS15" s="133"/>
      <c r="JGT15" s="133"/>
      <c r="JGU15" s="133"/>
      <c r="JGV15" s="133"/>
      <c r="JGW15" s="133"/>
      <c r="JGX15" s="133"/>
      <c r="JGY15" s="133"/>
      <c r="JGZ15" s="133"/>
      <c r="JHA15" s="133"/>
      <c r="JHB15" s="133"/>
      <c r="JHC15" s="133"/>
      <c r="JHD15" s="133"/>
      <c r="JHE15" s="133"/>
      <c r="JHF15" s="133"/>
      <c r="JHG15" s="133"/>
      <c r="JHH15" s="133"/>
      <c r="JHI15" s="133"/>
      <c r="JHJ15" s="133"/>
      <c r="JHK15" s="133"/>
      <c r="JHL15" s="133"/>
      <c r="JHM15" s="133"/>
      <c r="JHN15" s="133"/>
      <c r="JHO15" s="133"/>
      <c r="JHP15" s="133"/>
      <c r="JHQ15" s="133"/>
      <c r="JHR15" s="133"/>
      <c r="JHS15" s="133"/>
      <c r="JHT15" s="133"/>
      <c r="JHU15" s="133"/>
      <c r="JHV15" s="133"/>
      <c r="JHW15" s="133"/>
      <c r="JHX15" s="133"/>
      <c r="JHY15" s="133"/>
      <c r="JHZ15" s="133"/>
      <c r="JIA15" s="133"/>
      <c r="JIB15" s="133"/>
      <c r="JIC15" s="133"/>
      <c r="JID15" s="133"/>
      <c r="JIE15" s="133"/>
      <c r="JIF15" s="133"/>
      <c r="JIG15" s="133"/>
      <c r="JIH15" s="133"/>
      <c r="JII15" s="133"/>
      <c r="JIJ15" s="133"/>
      <c r="JIK15" s="133"/>
      <c r="JIL15" s="133"/>
      <c r="JIM15" s="133"/>
      <c r="JIN15" s="133"/>
      <c r="JIO15" s="133"/>
      <c r="JIP15" s="133"/>
      <c r="JIQ15" s="133"/>
      <c r="JIR15" s="133"/>
      <c r="JIS15" s="133"/>
      <c r="JIT15" s="133"/>
      <c r="JIU15" s="133"/>
      <c r="JIV15" s="133"/>
      <c r="JIW15" s="133"/>
      <c r="JIX15" s="133"/>
      <c r="JIY15" s="133"/>
      <c r="JIZ15" s="133"/>
      <c r="JJA15" s="133"/>
      <c r="JJB15" s="133"/>
      <c r="JJC15" s="133"/>
      <c r="JJD15" s="133"/>
      <c r="JJE15" s="133"/>
      <c r="JJF15" s="133"/>
      <c r="JJG15" s="133"/>
      <c r="JJH15" s="133"/>
      <c r="JJI15" s="133"/>
      <c r="JJJ15" s="133"/>
      <c r="JJK15" s="133"/>
      <c r="JJL15" s="133"/>
      <c r="JJM15" s="133"/>
      <c r="JJN15" s="133"/>
      <c r="JJO15" s="133"/>
      <c r="JJP15" s="133"/>
      <c r="JJQ15" s="133"/>
      <c r="JJR15" s="133"/>
      <c r="JJS15" s="133"/>
      <c r="JJT15" s="133"/>
      <c r="JJU15" s="133"/>
      <c r="JJV15" s="133"/>
      <c r="JJW15" s="133"/>
      <c r="JJX15" s="133"/>
      <c r="JJY15" s="133"/>
      <c r="JJZ15" s="133"/>
      <c r="JKA15" s="133"/>
      <c r="JKB15" s="133"/>
      <c r="JKC15" s="133"/>
      <c r="JKD15" s="133"/>
      <c r="JKE15" s="133"/>
      <c r="JKF15" s="133"/>
      <c r="JKG15" s="133"/>
      <c r="JKH15" s="133"/>
      <c r="JKI15" s="133"/>
      <c r="JKJ15" s="133"/>
      <c r="JKK15" s="133"/>
      <c r="JKL15" s="133"/>
      <c r="JKM15" s="133"/>
      <c r="JKN15" s="133"/>
      <c r="JKO15" s="133"/>
      <c r="JKP15" s="133"/>
      <c r="JKQ15" s="133"/>
      <c r="JKR15" s="133"/>
      <c r="JKS15" s="133"/>
      <c r="JKT15" s="133"/>
      <c r="JKU15" s="133"/>
      <c r="JKV15" s="133"/>
      <c r="JKW15" s="133"/>
      <c r="JKX15" s="133"/>
      <c r="JKY15" s="133"/>
      <c r="JKZ15" s="133"/>
      <c r="JLA15" s="133"/>
      <c r="JLB15" s="133"/>
      <c r="JLC15" s="133"/>
      <c r="JLD15" s="133"/>
      <c r="JLE15" s="133"/>
      <c r="JLF15" s="133"/>
      <c r="JLG15" s="133"/>
      <c r="JLH15" s="133"/>
      <c r="JLI15" s="133"/>
      <c r="JLJ15" s="133"/>
      <c r="JLK15" s="133"/>
      <c r="JLL15" s="133"/>
      <c r="JLM15" s="133"/>
      <c r="JLN15" s="133"/>
      <c r="JLO15" s="133"/>
      <c r="JLP15" s="133"/>
      <c r="JLQ15" s="133"/>
      <c r="JLR15" s="133"/>
      <c r="JLS15" s="133"/>
      <c r="JLT15" s="133"/>
      <c r="JLU15" s="133"/>
      <c r="JLV15" s="133"/>
      <c r="JLW15" s="133"/>
      <c r="JLX15" s="133"/>
      <c r="JLY15" s="133"/>
      <c r="JLZ15" s="133"/>
      <c r="JMA15" s="133"/>
      <c r="JMB15" s="133"/>
      <c r="JMC15" s="133"/>
      <c r="JMD15" s="133"/>
      <c r="JME15" s="133"/>
      <c r="JMF15" s="133"/>
      <c r="JMG15" s="133"/>
      <c r="JMH15" s="133"/>
      <c r="JMI15" s="133"/>
      <c r="JMJ15" s="133"/>
      <c r="JMK15" s="133"/>
      <c r="JML15" s="133"/>
      <c r="JMM15" s="133"/>
      <c r="JMN15" s="133"/>
      <c r="JMO15" s="133"/>
      <c r="JMP15" s="133"/>
      <c r="JMQ15" s="133"/>
      <c r="JMR15" s="133"/>
      <c r="JMS15" s="133"/>
      <c r="JMT15" s="133"/>
      <c r="JMU15" s="133"/>
      <c r="JMV15" s="133"/>
      <c r="JMW15" s="133"/>
      <c r="JMX15" s="133"/>
      <c r="JMY15" s="133"/>
      <c r="JMZ15" s="133"/>
      <c r="JNA15" s="133"/>
      <c r="JNB15" s="133"/>
      <c r="JNC15" s="133"/>
      <c r="JND15" s="133"/>
      <c r="JNE15" s="133"/>
      <c r="JNF15" s="133"/>
      <c r="JNG15" s="133"/>
      <c r="JNH15" s="133"/>
      <c r="JNI15" s="133"/>
      <c r="JNJ15" s="133"/>
      <c r="JNK15" s="133"/>
      <c r="JNL15" s="133"/>
      <c r="JNM15" s="133"/>
      <c r="JNN15" s="133"/>
      <c r="JNO15" s="133"/>
      <c r="JNP15" s="133"/>
      <c r="JNQ15" s="133"/>
      <c r="JNR15" s="133"/>
      <c r="JNS15" s="133"/>
      <c r="JNT15" s="133"/>
      <c r="JNU15" s="133"/>
      <c r="JNV15" s="133"/>
      <c r="JNW15" s="133"/>
      <c r="JNX15" s="133"/>
      <c r="JNY15" s="133"/>
      <c r="JNZ15" s="133"/>
      <c r="JOA15" s="133"/>
      <c r="JOB15" s="133"/>
      <c r="JOC15" s="133"/>
      <c r="JOD15" s="133"/>
      <c r="JOE15" s="133"/>
      <c r="JOF15" s="133"/>
      <c r="JOG15" s="133"/>
      <c r="JOH15" s="133"/>
      <c r="JOI15" s="133"/>
      <c r="JOJ15" s="133"/>
      <c r="JOK15" s="133"/>
      <c r="JOL15" s="133"/>
      <c r="JOM15" s="133"/>
      <c r="JON15" s="133"/>
      <c r="JOO15" s="133"/>
      <c r="JOP15" s="133"/>
      <c r="JOQ15" s="133"/>
      <c r="JOR15" s="133"/>
      <c r="JOS15" s="133"/>
      <c r="JOT15" s="133"/>
      <c r="JOU15" s="133"/>
      <c r="JOV15" s="133"/>
      <c r="JOW15" s="133"/>
      <c r="JOX15" s="133"/>
      <c r="JOY15" s="133"/>
      <c r="JOZ15" s="133"/>
      <c r="JPA15" s="133"/>
      <c r="JPB15" s="133"/>
      <c r="JPC15" s="133"/>
      <c r="JPD15" s="133"/>
      <c r="JPE15" s="133"/>
      <c r="JPF15" s="133"/>
      <c r="JPG15" s="133"/>
      <c r="JPH15" s="133"/>
      <c r="JPI15" s="133"/>
      <c r="JPJ15" s="133"/>
      <c r="JPK15" s="133"/>
      <c r="JPL15" s="133"/>
      <c r="JPM15" s="133"/>
      <c r="JPN15" s="133"/>
      <c r="JPO15" s="133"/>
      <c r="JPP15" s="133"/>
      <c r="JPQ15" s="133"/>
      <c r="JPR15" s="133"/>
      <c r="JPS15" s="133"/>
      <c r="JPT15" s="133"/>
      <c r="JPU15" s="133"/>
      <c r="JPV15" s="133"/>
      <c r="JPW15" s="133"/>
      <c r="JPX15" s="133"/>
      <c r="JPY15" s="133"/>
      <c r="JPZ15" s="133"/>
      <c r="JQA15" s="133"/>
      <c r="JQB15" s="133"/>
      <c r="JQC15" s="133"/>
      <c r="JQD15" s="133"/>
      <c r="JQE15" s="133"/>
      <c r="JQF15" s="133"/>
      <c r="JQG15" s="133"/>
      <c r="JQH15" s="133"/>
      <c r="JQI15" s="133"/>
      <c r="JQJ15" s="133"/>
      <c r="JQK15" s="133"/>
      <c r="JQL15" s="133"/>
      <c r="JQM15" s="133"/>
      <c r="JQN15" s="133"/>
      <c r="JQO15" s="133"/>
      <c r="JQP15" s="133"/>
      <c r="JQQ15" s="133"/>
      <c r="JQR15" s="133"/>
      <c r="JQS15" s="133"/>
      <c r="JQT15" s="133"/>
      <c r="JQU15" s="133"/>
      <c r="JQV15" s="133"/>
      <c r="JQW15" s="133"/>
      <c r="JQX15" s="133"/>
      <c r="JQY15" s="133"/>
      <c r="JQZ15" s="133"/>
      <c r="JRA15" s="133"/>
      <c r="JRB15" s="133"/>
      <c r="JRC15" s="133"/>
      <c r="JRD15" s="133"/>
      <c r="JRE15" s="133"/>
      <c r="JRF15" s="133"/>
      <c r="JRG15" s="133"/>
      <c r="JRH15" s="133"/>
      <c r="JRI15" s="133"/>
      <c r="JRJ15" s="133"/>
      <c r="JRK15" s="133"/>
      <c r="JRL15" s="133"/>
      <c r="JRM15" s="133"/>
      <c r="JRN15" s="133"/>
      <c r="JRO15" s="133"/>
      <c r="JRP15" s="133"/>
      <c r="JRQ15" s="133"/>
      <c r="JRR15" s="133"/>
      <c r="JRS15" s="133"/>
      <c r="JRT15" s="133"/>
      <c r="JRU15" s="133"/>
      <c r="JRV15" s="133"/>
      <c r="JRW15" s="133"/>
      <c r="JRX15" s="133"/>
      <c r="JRY15" s="133"/>
      <c r="JRZ15" s="133"/>
      <c r="JSA15" s="133"/>
      <c r="JSB15" s="133"/>
      <c r="JSC15" s="133"/>
      <c r="JSD15" s="133"/>
      <c r="JSE15" s="133"/>
      <c r="JSF15" s="133"/>
      <c r="JSG15" s="133"/>
      <c r="JSH15" s="133"/>
      <c r="JSI15" s="133"/>
      <c r="JSJ15" s="133"/>
      <c r="JSK15" s="133"/>
      <c r="JSL15" s="133"/>
      <c r="JSM15" s="133"/>
      <c r="JSN15" s="133"/>
      <c r="JSO15" s="133"/>
      <c r="JSP15" s="133"/>
      <c r="JSQ15" s="133"/>
      <c r="JSR15" s="133"/>
      <c r="JSS15" s="133"/>
      <c r="JST15" s="133"/>
      <c r="JSU15" s="133"/>
      <c r="JSV15" s="133"/>
      <c r="JSW15" s="133"/>
      <c r="JSX15" s="133"/>
      <c r="JSY15" s="133"/>
      <c r="JSZ15" s="133"/>
      <c r="JTA15" s="133"/>
      <c r="JTB15" s="133"/>
      <c r="JTC15" s="133"/>
      <c r="JTD15" s="133"/>
      <c r="JTE15" s="133"/>
      <c r="JTF15" s="133"/>
      <c r="JTG15" s="133"/>
      <c r="JTH15" s="133"/>
      <c r="JTI15" s="133"/>
      <c r="JTJ15" s="133"/>
      <c r="JTK15" s="133"/>
      <c r="JTL15" s="133"/>
      <c r="JTM15" s="133"/>
      <c r="JTN15" s="133"/>
      <c r="JTO15" s="133"/>
      <c r="JTP15" s="133"/>
      <c r="JTQ15" s="133"/>
      <c r="JTR15" s="133"/>
      <c r="JTS15" s="133"/>
      <c r="JTT15" s="133"/>
      <c r="JTU15" s="133"/>
      <c r="JTV15" s="133"/>
      <c r="JTW15" s="133"/>
      <c r="JTX15" s="133"/>
      <c r="JTY15" s="133"/>
      <c r="JTZ15" s="133"/>
      <c r="JUA15" s="133"/>
      <c r="JUB15" s="133"/>
      <c r="JUC15" s="133"/>
      <c r="JUD15" s="133"/>
      <c r="JUE15" s="133"/>
      <c r="JUF15" s="133"/>
      <c r="JUG15" s="133"/>
      <c r="JUH15" s="133"/>
      <c r="JUI15" s="133"/>
      <c r="JUJ15" s="133"/>
      <c r="JUK15" s="133"/>
      <c r="JUL15" s="133"/>
      <c r="JUM15" s="133"/>
      <c r="JUN15" s="133"/>
      <c r="JUO15" s="133"/>
      <c r="JUP15" s="133"/>
      <c r="JUQ15" s="133"/>
      <c r="JUR15" s="133"/>
      <c r="JUS15" s="133"/>
      <c r="JUT15" s="133"/>
      <c r="JUU15" s="133"/>
      <c r="JUV15" s="133"/>
      <c r="JUW15" s="133"/>
      <c r="JUX15" s="133"/>
      <c r="JUY15" s="133"/>
      <c r="JUZ15" s="133"/>
      <c r="JVA15" s="133"/>
      <c r="JVB15" s="133"/>
      <c r="JVC15" s="133"/>
      <c r="JVD15" s="133"/>
      <c r="JVE15" s="133"/>
      <c r="JVF15" s="133"/>
      <c r="JVG15" s="133"/>
      <c r="JVH15" s="133"/>
      <c r="JVI15" s="133"/>
      <c r="JVJ15" s="133"/>
      <c r="JVK15" s="133"/>
      <c r="JVL15" s="133"/>
      <c r="JVM15" s="133"/>
      <c r="JVN15" s="133"/>
      <c r="JVO15" s="133"/>
      <c r="JVP15" s="133"/>
      <c r="JVQ15" s="133"/>
      <c r="JVR15" s="133"/>
      <c r="JVS15" s="133"/>
      <c r="JVT15" s="133"/>
      <c r="JVU15" s="133"/>
      <c r="JVV15" s="133"/>
      <c r="JVW15" s="133"/>
      <c r="JVX15" s="133"/>
      <c r="JVY15" s="133"/>
      <c r="JVZ15" s="133"/>
      <c r="JWA15" s="133"/>
      <c r="JWB15" s="133"/>
      <c r="JWC15" s="133"/>
      <c r="JWD15" s="133"/>
      <c r="JWE15" s="133"/>
      <c r="JWF15" s="133"/>
      <c r="JWG15" s="133"/>
      <c r="JWH15" s="133"/>
      <c r="JWI15" s="133"/>
      <c r="JWJ15" s="133"/>
      <c r="JWK15" s="133"/>
      <c r="JWL15" s="133"/>
      <c r="JWM15" s="133"/>
      <c r="JWN15" s="133"/>
      <c r="JWO15" s="133"/>
      <c r="JWP15" s="133"/>
      <c r="JWQ15" s="133"/>
      <c r="JWR15" s="133"/>
      <c r="JWS15" s="133"/>
      <c r="JWT15" s="133"/>
      <c r="JWU15" s="133"/>
      <c r="JWV15" s="133"/>
      <c r="JWW15" s="133"/>
      <c r="JWX15" s="133"/>
      <c r="JWY15" s="133"/>
      <c r="JWZ15" s="133"/>
      <c r="JXA15" s="133"/>
      <c r="JXB15" s="133"/>
      <c r="JXC15" s="133"/>
      <c r="JXD15" s="133"/>
      <c r="JXE15" s="133"/>
      <c r="JXF15" s="133"/>
      <c r="JXG15" s="133"/>
      <c r="JXH15" s="133"/>
      <c r="JXI15" s="133"/>
      <c r="JXJ15" s="133"/>
      <c r="JXK15" s="133"/>
      <c r="JXL15" s="133"/>
      <c r="JXM15" s="133"/>
      <c r="JXN15" s="133"/>
      <c r="JXO15" s="133"/>
      <c r="JXP15" s="133"/>
      <c r="JXQ15" s="133"/>
      <c r="JXR15" s="133"/>
      <c r="JXS15" s="133"/>
      <c r="JXT15" s="133"/>
      <c r="JXU15" s="133"/>
      <c r="JXV15" s="133"/>
      <c r="JXW15" s="133"/>
      <c r="JXX15" s="133"/>
      <c r="JXY15" s="133"/>
      <c r="JXZ15" s="133"/>
      <c r="JYA15" s="133"/>
      <c r="JYB15" s="133"/>
      <c r="JYC15" s="133"/>
      <c r="JYD15" s="133"/>
      <c r="JYE15" s="133"/>
      <c r="JYF15" s="133"/>
      <c r="JYG15" s="133"/>
      <c r="JYH15" s="133"/>
      <c r="JYI15" s="133"/>
      <c r="JYJ15" s="133"/>
      <c r="JYK15" s="133"/>
      <c r="JYL15" s="133"/>
      <c r="JYM15" s="133"/>
      <c r="JYN15" s="133"/>
      <c r="JYO15" s="133"/>
      <c r="JYP15" s="133"/>
      <c r="JYQ15" s="133"/>
      <c r="JYR15" s="133"/>
      <c r="JYS15" s="133"/>
      <c r="JYT15" s="133"/>
      <c r="JYU15" s="133"/>
      <c r="JYV15" s="133"/>
      <c r="JYW15" s="133"/>
      <c r="JYX15" s="133"/>
      <c r="JYY15" s="133"/>
      <c r="JYZ15" s="133"/>
      <c r="JZA15" s="133"/>
      <c r="JZB15" s="133"/>
      <c r="JZC15" s="133"/>
      <c r="JZD15" s="133"/>
      <c r="JZE15" s="133"/>
      <c r="JZF15" s="133"/>
      <c r="JZG15" s="133"/>
      <c r="JZH15" s="133"/>
      <c r="JZI15" s="133"/>
      <c r="JZJ15" s="133"/>
      <c r="JZK15" s="133"/>
      <c r="JZL15" s="133"/>
      <c r="JZM15" s="133"/>
      <c r="JZN15" s="133"/>
      <c r="JZO15" s="133"/>
      <c r="JZP15" s="133"/>
      <c r="JZQ15" s="133"/>
      <c r="JZR15" s="133"/>
      <c r="JZS15" s="133"/>
      <c r="JZT15" s="133"/>
      <c r="JZU15" s="133"/>
      <c r="JZV15" s="133"/>
      <c r="JZW15" s="133"/>
      <c r="JZX15" s="133"/>
      <c r="JZY15" s="133"/>
      <c r="JZZ15" s="133"/>
      <c r="KAA15" s="133"/>
      <c r="KAB15" s="133"/>
      <c r="KAC15" s="133"/>
      <c r="KAD15" s="133"/>
      <c r="KAE15" s="133"/>
      <c r="KAF15" s="133"/>
      <c r="KAG15" s="133"/>
      <c r="KAH15" s="133"/>
      <c r="KAI15" s="133"/>
      <c r="KAJ15" s="133"/>
      <c r="KAK15" s="133"/>
      <c r="KAL15" s="133"/>
      <c r="KAM15" s="133"/>
      <c r="KAN15" s="133"/>
      <c r="KAO15" s="133"/>
      <c r="KAP15" s="133"/>
      <c r="KAQ15" s="133"/>
      <c r="KAR15" s="133"/>
      <c r="KAS15" s="133"/>
      <c r="KAT15" s="133"/>
      <c r="KAU15" s="133"/>
      <c r="KAV15" s="133"/>
      <c r="KAW15" s="133"/>
      <c r="KAX15" s="133"/>
      <c r="KAY15" s="133"/>
      <c r="KAZ15" s="133"/>
      <c r="KBA15" s="133"/>
      <c r="KBB15" s="133"/>
      <c r="KBC15" s="133"/>
      <c r="KBD15" s="133"/>
      <c r="KBE15" s="133"/>
      <c r="KBF15" s="133"/>
      <c r="KBG15" s="133"/>
      <c r="KBH15" s="133"/>
      <c r="KBI15" s="133"/>
      <c r="KBJ15" s="133"/>
      <c r="KBK15" s="133"/>
      <c r="KBL15" s="133"/>
      <c r="KBM15" s="133"/>
      <c r="KBN15" s="133"/>
      <c r="KBO15" s="133"/>
      <c r="KBP15" s="133"/>
      <c r="KBQ15" s="133"/>
      <c r="KBR15" s="133"/>
      <c r="KBS15" s="133"/>
      <c r="KBT15" s="133"/>
      <c r="KBU15" s="133"/>
      <c r="KBV15" s="133"/>
      <c r="KBW15" s="133"/>
      <c r="KBX15" s="133"/>
      <c r="KBY15" s="133"/>
      <c r="KBZ15" s="133"/>
      <c r="KCA15" s="133"/>
      <c r="KCB15" s="133"/>
      <c r="KCC15" s="133"/>
      <c r="KCD15" s="133"/>
      <c r="KCE15" s="133"/>
      <c r="KCF15" s="133"/>
      <c r="KCG15" s="133"/>
      <c r="KCH15" s="133"/>
      <c r="KCI15" s="133"/>
      <c r="KCJ15" s="133"/>
      <c r="KCK15" s="133"/>
      <c r="KCL15" s="133"/>
      <c r="KCM15" s="133"/>
      <c r="KCN15" s="133"/>
      <c r="KCO15" s="133"/>
      <c r="KCP15" s="133"/>
      <c r="KCQ15" s="133"/>
      <c r="KCR15" s="133"/>
      <c r="KCS15" s="133"/>
      <c r="KCT15" s="133"/>
      <c r="KCU15" s="133"/>
      <c r="KCV15" s="133"/>
      <c r="KCW15" s="133"/>
      <c r="KCX15" s="133"/>
      <c r="KCY15" s="133"/>
      <c r="KCZ15" s="133"/>
      <c r="KDA15" s="133"/>
      <c r="KDB15" s="133"/>
      <c r="KDC15" s="133"/>
      <c r="KDD15" s="133"/>
      <c r="KDE15" s="133"/>
      <c r="KDF15" s="133"/>
      <c r="KDG15" s="133"/>
      <c r="KDH15" s="133"/>
      <c r="KDI15" s="133"/>
      <c r="KDJ15" s="133"/>
      <c r="KDK15" s="133"/>
      <c r="KDL15" s="133"/>
      <c r="KDM15" s="133"/>
      <c r="KDN15" s="133"/>
      <c r="KDO15" s="133"/>
      <c r="KDP15" s="133"/>
      <c r="KDQ15" s="133"/>
      <c r="KDR15" s="133"/>
      <c r="KDS15" s="133"/>
      <c r="KDT15" s="133"/>
      <c r="KDU15" s="133"/>
      <c r="KDV15" s="133"/>
      <c r="KDW15" s="133"/>
      <c r="KDX15" s="133"/>
      <c r="KDY15" s="133"/>
      <c r="KDZ15" s="133"/>
      <c r="KEA15" s="133"/>
      <c r="KEB15" s="133"/>
      <c r="KEC15" s="133"/>
      <c r="KED15" s="133"/>
      <c r="KEE15" s="133"/>
      <c r="KEF15" s="133"/>
      <c r="KEG15" s="133"/>
      <c r="KEH15" s="133"/>
      <c r="KEI15" s="133"/>
      <c r="KEJ15" s="133"/>
      <c r="KEK15" s="133"/>
      <c r="KEL15" s="133"/>
      <c r="KEM15" s="133"/>
      <c r="KEN15" s="133"/>
      <c r="KEO15" s="133"/>
      <c r="KEP15" s="133"/>
      <c r="KEQ15" s="133"/>
      <c r="KER15" s="133"/>
      <c r="KES15" s="133"/>
      <c r="KET15" s="133"/>
      <c r="KEU15" s="133"/>
      <c r="KEV15" s="133"/>
      <c r="KEW15" s="133"/>
      <c r="KEX15" s="133"/>
      <c r="KEY15" s="133"/>
      <c r="KEZ15" s="133"/>
      <c r="KFA15" s="133"/>
      <c r="KFB15" s="133"/>
      <c r="KFC15" s="133"/>
      <c r="KFD15" s="133"/>
      <c r="KFE15" s="133"/>
      <c r="KFF15" s="133"/>
      <c r="KFG15" s="133"/>
      <c r="KFH15" s="133"/>
      <c r="KFI15" s="133"/>
      <c r="KFJ15" s="133"/>
      <c r="KFK15" s="133"/>
      <c r="KFL15" s="133"/>
      <c r="KFM15" s="133"/>
      <c r="KFN15" s="133"/>
      <c r="KFO15" s="133"/>
      <c r="KFP15" s="133"/>
      <c r="KFQ15" s="133"/>
      <c r="KFR15" s="133"/>
      <c r="KFS15" s="133"/>
      <c r="KFT15" s="133"/>
      <c r="KFU15" s="133"/>
      <c r="KFV15" s="133"/>
      <c r="KFW15" s="133"/>
      <c r="KFX15" s="133"/>
      <c r="KFY15" s="133"/>
      <c r="KFZ15" s="133"/>
      <c r="KGA15" s="133"/>
      <c r="KGB15" s="133"/>
      <c r="KGC15" s="133"/>
      <c r="KGD15" s="133"/>
      <c r="KGE15" s="133"/>
      <c r="KGF15" s="133"/>
      <c r="KGG15" s="133"/>
      <c r="KGH15" s="133"/>
      <c r="KGI15" s="133"/>
      <c r="KGJ15" s="133"/>
      <c r="KGK15" s="133"/>
      <c r="KGL15" s="133"/>
      <c r="KGM15" s="133"/>
      <c r="KGN15" s="133"/>
      <c r="KGO15" s="133"/>
      <c r="KGP15" s="133"/>
      <c r="KGQ15" s="133"/>
      <c r="KGR15" s="133"/>
      <c r="KGS15" s="133"/>
      <c r="KGT15" s="133"/>
      <c r="KGU15" s="133"/>
      <c r="KGV15" s="133"/>
      <c r="KGW15" s="133"/>
      <c r="KGX15" s="133"/>
      <c r="KGY15" s="133"/>
      <c r="KGZ15" s="133"/>
      <c r="KHA15" s="133"/>
      <c r="KHB15" s="133"/>
      <c r="KHC15" s="133"/>
      <c r="KHD15" s="133"/>
      <c r="KHE15" s="133"/>
      <c r="KHF15" s="133"/>
      <c r="KHG15" s="133"/>
      <c r="KHH15" s="133"/>
      <c r="KHI15" s="133"/>
      <c r="KHJ15" s="133"/>
      <c r="KHK15" s="133"/>
      <c r="KHL15" s="133"/>
      <c r="KHM15" s="133"/>
      <c r="KHN15" s="133"/>
      <c r="KHO15" s="133"/>
      <c r="KHP15" s="133"/>
      <c r="KHQ15" s="133"/>
      <c r="KHR15" s="133"/>
      <c r="KHS15" s="133"/>
      <c r="KHT15" s="133"/>
      <c r="KHU15" s="133"/>
      <c r="KHV15" s="133"/>
      <c r="KHW15" s="133"/>
      <c r="KHX15" s="133"/>
      <c r="KHY15" s="133"/>
      <c r="KHZ15" s="133"/>
      <c r="KIA15" s="133"/>
      <c r="KIB15" s="133"/>
      <c r="KIC15" s="133"/>
      <c r="KID15" s="133"/>
      <c r="KIE15" s="133"/>
      <c r="KIF15" s="133"/>
      <c r="KIG15" s="133"/>
      <c r="KIH15" s="133"/>
      <c r="KII15" s="133"/>
      <c r="KIJ15" s="133"/>
      <c r="KIK15" s="133"/>
      <c r="KIL15" s="133"/>
      <c r="KIM15" s="133"/>
      <c r="KIN15" s="133"/>
      <c r="KIO15" s="133"/>
      <c r="KIP15" s="133"/>
      <c r="KIQ15" s="133"/>
      <c r="KIR15" s="133"/>
      <c r="KIS15" s="133"/>
      <c r="KIT15" s="133"/>
      <c r="KIU15" s="133"/>
      <c r="KIV15" s="133"/>
      <c r="KIW15" s="133"/>
      <c r="KIX15" s="133"/>
      <c r="KIY15" s="133"/>
      <c r="KIZ15" s="133"/>
      <c r="KJA15" s="133"/>
      <c r="KJB15" s="133"/>
      <c r="KJC15" s="133"/>
      <c r="KJD15" s="133"/>
      <c r="KJE15" s="133"/>
      <c r="KJF15" s="133"/>
      <c r="KJG15" s="133"/>
      <c r="KJH15" s="133"/>
      <c r="KJI15" s="133"/>
      <c r="KJJ15" s="133"/>
      <c r="KJK15" s="133"/>
      <c r="KJL15" s="133"/>
      <c r="KJM15" s="133"/>
      <c r="KJN15" s="133"/>
      <c r="KJO15" s="133"/>
      <c r="KJP15" s="133"/>
      <c r="KJQ15" s="133"/>
      <c r="KJR15" s="133"/>
      <c r="KJS15" s="133"/>
      <c r="KJT15" s="133"/>
      <c r="KJU15" s="133"/>
      <c r="KJV15" s="133"/>
      <c r="KJW15" s="133"/>
      <c r="KJX15" s="133"/>
      <c r="KJY15" s="133"/>
      <c r="KJZ15" s="133"/>
      <c r="KKA15" s="133"/>
      <c r="KKB15" s="133"/>
      <c r="KKC15" s="133"/>
      <c r="KKD15" s="133"/>
      <c r="KKE15" s="133"/>
      <c r="KKF15" s="133"/>
      <c r="KKG15" s="133"/>
      <c r="KKH15" s="133"/>
      <c r="KKI15" s="133"/>
      <c r="KKJ15" s="133"/>
      <c r="KKK15" s="133"/>
      <c r="KKL15" s="133"/>
      <c r="KKM15" s="133"/>
      <c r="KKN15" s="133"/>
      <c r="KKO15" s="133"/>
      <c r="KKP15" s="133"/>
      <c r="KKQ15" s="133"/>
      <c r="KKR15" s="133"/>
      <c r="KKS15" s="133"/>
      <c r="KKT15" s="133"/>
      <c r="KKU15" s="133"/>
      <c r="KKV15" s="133"/>
      <c r="KKW15" s="133"/>
      <c r="KKX15" s="133"/>
      <c r="KKY15" s="133"/>
      <c r="KKZ15" s="133"/>
      <c r="KLA15" s="133"/>
      <c r="KLB15" s="133"/>
      <c r="KLC15" s="133"/>
      <c r="KLD15" s="133"/>
      <c r="KLE15" s="133"/>
      <c r="KLF15" s="133"/>
      <c r="KLG15" s="133"/>
      <c r="KLH15" s="133"/>
      <c r="KLI15" s="133"/>
      <c r="KLJ15" s="133"/>
      <c r="KLK15" s="133"/>
      <c r="KLL15" s="133"/>
      <c r="KLM15" s="133"/>
      <c r="KLN15" s="133"/>
      <c r="KLO15" s="133"/>
      <c r="KLP15" s="133"/>
      <c r="KLQ15" s="133"/>
      <c r="KLR15" s="133"/>
      <c r="KLS15" s="133"/>
      <c r="KLT15" s="133"/>
      <c r="KLU15" s="133"/>
      <c r="KLV15" s="133"/>
      <c r="KLW15" s="133"/>
      <c r="KLX15" s="133"/>
      <c r="KLY15" s="133"/>
      <c r="KLZ15" s="133"/>
      <c r="KMA15" s="133"/>
      <c r="KMB15" s="133"/>
      <c r="KMC15" s="133"/>
      <c r="KMD15" s="133"/>
      <c r="KME15" s="133"/>
      <c r="KMF15" s="133"/>
      <c r="KMG15" s="133"/>
      <c r="KMH15" s="133"/>
      <c r="KMI15" s="133"/>
      <c r="KMJ15" s="133"/>
      <c r="KMK15" s="133"/>
      <c r="KML15" s="133"/>
      <c r="KMM15" s="133"/>
      <c r="KMN15" s="133"/>
      <c r="KMO15" s="133"/>
      <c r="KMP15" s="133"/>
      <c r="KMQ15" s="133"/>
      <c r="KMR15" s="133"/>
      <c r="KMS15" s="133"/>
      <c r="KMT15" s="133"/>
      <c r="KMU15" s="133"/>
      <c r="KMV15" s="133"/>
      <c r="KMW15" s="133"/>
      <c r="KMX15" s="133"/>
      <c r="KMY15" s="133"/>
      <c r="KMZ15" s="133"/>
      <c r="KNA15" s="133"/>
      <c r="KNB15" s="133"/>
      <c r="KNC15" s="133"/>
      <c r="KND15" s="133"/>
      <c r="KNE15" s="133"/>
      <c r="KNF15" s="133"/>
      <c r="KNG15" s="133"/>
      <c r="KNH15" s="133"/>
      <c r="KNI15" s="133"/>
      <c r="KNJ15" s="133"/>
      <c r="KNK15" s="133"/>
      <c r="KNL15" s="133"/>
      <c r="KNM15" s="133"/>
      <c r="KNN15" s="133"/>
      <c r="KNO15" s="133"/>
      <c r="KNP15" s="133"/>
      <c r="KNQ15" s="133"/>
      <c r="KNR15" s="133"/>
      <c r="KNS15" s="133"/>
      <c r="KNT15" s="133"/>
      <c r="KNU15" s="133"/>
      <c r="KNV15" s="133"/>
      <c r="KNW15" s="133"/>
      <c r="KNX15" s="133"/>
      <c r="KNY15" s="133"/>
      <c r="KNZ15" s="133"/>
      <c r="KOA15" s="133"/>
      <c r="KOB15" s="133"/>
      <c r="KOC15" s="133"/>
      <c r="KOD15" s="133"/>
      <c r="KOE15" s="133"/>
      <c r="KOF15" s="133"/>
      <c r="KOG15" s="133"/>
      <c r="KOH15" s="133"/>
      <c r="KOI15" s="133"/>
      <c r="KOJ15" s="133"/>
      <c r="KOK15" s="133"/>
      <c r="KOL15" s="133"/>
      <c r="KOM15" s="133"/>
      <c r="KON15" s="133"/>
      <c r="KOO15" s="133"/>
      <c r="KOP15" s="133"/>
      <c r="KOQ15" s="133"/>
      <c r="KOR15" s="133"/>
      <c r="KOS15" s="133"/>
      <c r="KOT15" s="133"/>
      <c r="KOU15" s="133"/>
      <c r="KOV15" s="133"/>
      <c r="KOW15" s="133"/>
      <c r="KOX15" s="133"/>
      <c r="KOY15" s="133"/>
      <c r="KOZ15" s="133"/>
      <c r="KPA15" s="133"/>
      <c r="KPB15" s="133"/>
      <c r="KPC15" s="133"/>
      <c r="KPD15" s="133"/>
      <c r="KPE15" s="133"/>
      <c r="KPF15" s="133"/>
      <c r="KPG15" s="133"/>
      <c r="KPH15" s="133"/>
      <c r="KPI15" s="133"/>
      <c r="KPJ15" s="133"/>
      <c r="KPK15" s="133"/>
      <c r="KPL15" s="133"/>
      <c r="KPM15" s="133"/>
      <c r="KPN15" s="133"/>
      <c r="KPO15" s="133"/>
      <c r="KPP15" s="133"/>
      <c r="KPQ15" s="133"/>
      <c r="KPR15" s="133"/>
      <c r="KPS15" s="133"/>
      <c r="KPT15" s="133"/>
      <c r="KPU15" s="133"/>
      <c r="KPV15" s="133"/>
      <c r="KPW15" s="133"/>
      <c r="KPX15" s="133"/>
      <c r="KPY15" s="133"/>
      <c r="KPZ15" s="133"/>
      <c r="KQA15" s="133"/>
      <c r="KQB15" s="133"/>
      <c r="KQC15" s="133"/>
      <c r="KQD15" s="133"/>
      <c r="KQE15" s="133"/>
      <c r="KQF15" s="133"/>
      <c r="KQG15" s="133"/>
      <c r="KQH15" s="133"/>
      <c r="KQI15" s="133"/>
      <c r="KQJ15" s="133"/>
      <c r="KQK15" s="133"/>
      <c r="KQL15" s="133"/>
      <c r="KQM15" s="133"/>
      <c r="KQN15" s="133"/>
      <c r="KQO15" s="133"/>
      <c r="KQP15" s="133"/>
      <c r="KQQ15" s="133"/>
      <c r="KQR15" s="133"/>
      <c r="KQS15" s="133"/>
      <c r="KQT15" s="133"/>
      <c r="KQU15" s="133"/>
      <c r="KQV15" s="133"/>
      <c r="KQW15" s="133"/>
      <c r="KQX15" s="133"/>
      <c r="KQY15" s="133"/>
      <c r="KQZ15" s="133"/>
      <c r="KRA15" s="133"/>
      <c r="KRB15" s="133"/>
      <c r="KRC15" s="133"/>
      <c r="KRD15" s="133"/>
      <c r="KRE15" s="133"/>
      <c r="KRF15" s="133"/>
      <c r="KRG15" s="133"/>
      <c r="KRH15" s="133"/>
      <c r="KRI15" s="133"/>
      <c r="KRJ15" s="133"/>
      <c r="KRK15" s="133"/>
      <c r="KRL15" s="133"/>
      <c r="KRM15" s="133"/>
      <c r="KRN15" s="133"/>
      <c r="KRO15" s="133"/>
      <c r="KRP15" s="133"/>
      <c r="KRQ15" s="133"/>
      <c r="KRR15" s="133"/>
      <c r="KRS15" s="133"/>
      <c r="KRT15" s="133"/>
      <c r="KRU15" s="133"/>
      <c r="KRV15" s="133"/>
      <c r="KRW15" s="133"/>
      <c r="KRX15" s="133"/>
      <c r="KRY15" s="133"/>
      <c r="KRZ15" s="133"/>
      <c r="KSA15" s="133"/>
      <c r="KSB15" s="133"/>
      <c r="KSC15" s="133"/>
      <c r="KSD15" s="133"/>
      <c r="KSE15" s="133"/>
      <c r="KSF15" s="133"/>
      <c r="KSG15" s="133"/>
      <c r="KSH15" s="133"/>
      <c r="KSI15" s="133"/>
      <c r="KSJ15" s="133"/>
      <c r="KSK15" s="133"/>
      <c r="KSL15" s="133"/>
      <c r="KSM15" s="133"/>
      <c r="KSN15" s="133"/>
      <c r="KSO15" s="133"/>
      <c r="KSP15" s="133"/>
      <c r="KSQ15" s="133"/>
      <c r="KSR15" s="133"/>
      <c r="KSS15" s="133"/>
      <c r="KST15" s="133"/>
      <c r="KSU15" s="133"/>
      <c r="KSV15" s="133"/>
      <c r="KSW15" s="133"/>
      <c r="KSX15" s="133"/>
      <c r="KSY15" s="133"/>
      <c r="KSZ15" s="133"/>
      <c r="KTA15" s="133"/>
      <c r="KTB15" s="133"/>
      <c r="KTC15" s="133"/>
      <c r="KTD15" s="133"/>
      <c r="KTE15" s="133"/>
      <c r="KTF15" s="133"/>
      <c r="KTG15" s="133"/>
      <c r="KTH15" s="133"/>
      <c r="KTI15" s="133"/>
      <c r="KTJ15" s="133"/>
      <c r="KTK15" s="133"/>
      <c r="KTL15" s="133"/>
      <c r="KTM15" s="133"/>
      <c r="KTN15" s="133"/>
      <c r="KTO15" s="133"/>
      <c r="KTP15" s="133"/>
      <c r="KTQ15" s="133"/>
      <c r="KTR15" s="133"/>
      <c r="KTS15" s="133"/>
      <c r="KTT15" s="133"/>
      <c r="KTU15" s="133"/>
      <c r="KTV15" s="133"/>
      <c r="KTW15" s="133"/>
      <c r="KTX15" s="133"/>
      <c r="KTY15" s="133"/>
      <c r="KTZ15" s="133"/>
      <c r="KUA15" s="133"/>
      <c r="KUB15" s="133"/>
      <c r="KUC15" s="133"/>
      <c r="KUD15" s="133"/>
      <c r="KUE15" s="133"/>
      <c r="KUF15" s="133"/>
      <c r="KUG15" s="133"/>
      <c r="KUH15" s="133"/>
      <c r="KUI15" s="133"/>
      <c r="KUJ15" s="133"/>
      <c r="KUK15" s="133"/>
      <c r="KUL15" s="133"/>
      <c r="KUM15" s="133"/>
      <c r="KUN15" s="133"/>
      <c r="KUO15" s="133"/>
      <c r="KUP15" s="133"/>
      <c r="KUQ15" s="133"/>
      <c r="KUR15" s="133"/>
      <c r="KUS15" s="133"/>
      <c r="KUT15" s="133"/>
      <c r="KUU15" s="133"/>
      <c r="KUV15" s="133"/>
      <c r="KUW15" s="133"/>
      <c r="KUX15" s="133"/>
      <c r="KUY15" s="133"/>
      <c r="KUZ15" s="133"/>
      <c r="KVA15" s="133"/>
      <c r="KVB15" s="133"/>
      <c r="KVC15" s="133"/>
      <c r="KVD15" s="133"/>
      <c r="KVE15" s="133"/>
      <c r="KVF15" s="133"/>
      <c r="KVG15" s="133"/>
      <c r="KVH15" s="133"/>
      <c r="KVI15" s="133"/>
      <c r="KVJ15" s="133"/>
      <c r="KVK15" s="133"/>
      <c r="KVL15" s="133"/>
      <c r="KVM15" s="133"/>
      <c r="KVN15" s="133"/>
      <c r="KVO15" s="133"/>
      <c r="KVP15" s="133"/>
      <c r="KVQ15" s="133"/>
      <c r="KVR15" s="133"/>
      <c r="KVS15" s="133"/>
      <c r="KVT15" s="133"/>
      <c r="KVU15" s="133"/>
      <c r="KVV15" s="133"/>
      <c r="KVW15" s="133"/>
      <c r="KVX15" s="133"/>
      <c r="KVY15" s="133"/>
      <c r="KVZ15" s="133"/>
      <c r="KWA15" s="133"/>
      <c r="KWB15" s="133"/>
      <c r="KWC15" s="133"/>
      <c r="KWD15" s="133"/>
      <c r="KWE15" s="133"/>
      <c r="KWF15" s="133"/>
      <c r="KWG15" s="133"/>
      <c r="KWH15" s="133"/>
      <c r="KWI15" s="133"/>
      <c r="KWJ15" s="133"/>
      <c r="KWK15" s="133"/>
      <c r="KWL15" s="133"/>
      <c r="KWM15" s="133"/>
      <c r="KWN15" s="133"/>
      <c r="KWO15" s="133"/>
      <c r="KWP15" s="133"/>
      <c r="KWQ15" s="133"/>
      <c r="KWR15" s="133"/>
      <c r="KWS15" s="133"/>
      <c r="KWT15" s="133"/>
      <c r="KWU15" s="133"/>
      <c r="KWV15" s="133"/>
      <c r="KWW15" s="133"/>
      <c r="KWX15" s="133"/>
      <c r="KWY15" s="133"/>
      <c r="KWZ15" s="133"/>
      <c r="KXA15" s="133"/>
      <c r="KXB15" s="133"/>
      <c r="KXC15" s="133"/>
      <c r="KXD15" s="133"/>
      <c r="KXE15" s="133"/>
      <c r="KXF15" s="133"/>
      <c r="KXG15" s="133"/>
      <c r="KXH15" s="133"/>
      <c r="KXI15" s="133"/>
      <c r="KXJ15" s="133"/>
      <c r="KXK15" s="133"/>
      <c r="KXL15" s="133"/>
      <c r="KXM15" s="133"/>
      <c r="KXN15" s="133"/>
      <c r="KXO15" s="133"/>
      <c r="KXP15" s="133"/>
      <c r="KXQ15" s="133"/>
      <c r="KXR15" s="133"/>
      <c r="KXS15" s="133"/>
      <c r="KXT15" s="133"/>
      <c r="KXU15" s="133"/>
      <c r="KXV15" s="133"/>
      <c r="KXW15" s="133"/>
      <c r="KXX15" s="133"/>
      <c r="KXY15" s="133"/>
      <c r="KXZ15" s="133"/>
      <c r="KYA15" s="133"/>
      <c r="KYB15" s="133"/>
      <c r="KYC15" s="133"/>
      <c r="KYD15" s="133"/>
      <c r="KYE15" s="133"/>
      <c r="KYF15" s="133"/>
      <c r="KYG15" s="133"/>
      <c r="KYH15" s="133"/>
      <c r="KYI15" s="133"/>
      <c r="KYJ15" s="133"/>
      <c r="KYK15" s="133"/>
      <c r="KYL15" s="133"/>
      <c r="KYM15" s="133"/>
      <c r="KYN15" s="133"/>
      <c r="KYO15" s="133"/>
      <c r="KYP15" s="133"/>
      <c r="KYQ15" s="133"/>
      <c r="KYR15" s="133"/>
      <c r="KYS15" s="133"/>
      <c r="KYT15" s="133"/>
      <c r="KYU15" s="133"/>
      <c r="KYV15" s="133"/>
      <c r="KYW15" s="133"/>
      <c r="KYX15" s="133"/>
      <c r="KYY15" s="133"/>
      <c r="KYZ15" s="133"/>
      <c r="KZA15" s="133"/>
      <c r="KZB15" s="133"/>
      <c r="KZC15" s="133"/>
      <c r="KZD15" s="133"/>
      <c r="KZE15" s="133"/>
      <c r="KZF15" s="133"/>
      <c r="KZG15" s="133"/>
      <c r="KZH15" s="133"/>
      <c r="KZI15" s="133"/>
      <c r="KZJ15" s="133"/>
      <c r="KZK15" s="133"/>
      <c r="KZL15" s="133"/>
      <c r="KZM15" s="133"/>
      <c r="KZN15" s="133"/>
      <c r="KZO15" s="133"/>
      <c r="KZP15" s="133"/>
      <c r="KZQ15" s="133"/>
      <c r="KZR15" s="133"/>
      <c r="KZS15" s="133"/>
      <c r="KZT15" s="133"/>
      <c r="KZU15" s="133"/>
      <c r="KZV15" s="133"/>
      <c r="KZW15" s="133"/>
      <c r="KZX15" s="133"/>
      <c r="KZY15" s="133"/>
      <c r="KZZ15" s="133"/>
      <c r="LAA15" s="133"/>
      <c r="LAB15" s="133"/>
      <c r="LAC15" s="133"/>
      <c r="LAD15" s="133"/>
      <c r="LAE15" s="133"/>
      <c r="LAF15" s="133"/>
      <c r="LAG15" s="133"/>
      <c r="LAH15" s="133"/>
      <c r="LAI15" s="133"/>
      <c r="LAJ15" s="133"/>
      <c r="LAK15" s="133"/>
      <c r="LAL15" s="133"/>
      <c r="LAM15" s="133"/>
      <c r="LAN15" s="133"/>
      <c r="LAO15" s="133"/>
      <c r="LAP15" s="133"/>
      <c r="LAQ15" s="133"/>
      <c r="LAR15" s="133"/>
      <c r="LAS15" s="133"/>
      <c r="LAT15" s="133"/>
      <c r="LAU15" s="133"/>
      <c r="LAV15" s="133"/>
      <c r="LAW15" s="133"/>
      <c r="LAX15" s="133"/>
      <c r="LAY15" s="133"/>
      <c r="LAZ15" s="133"/>
      <c r="LBA15" s="133"/>
      <c r="LBB15" s="133"/>
      <c r="LBC15" s="133"/>
      <c r="LBD15" s="133"/>
      <c r="LBE15" s="133"/>
      <c r="LBF15" s="133"/>
      <c r="LBG15" s="133"/>
      <c r="LBH15" s="133"/>
      <c r="LBI15" s="133"/>
      <c r="LBJ15" s="133"/>
      <c r="LBK15" s="133"/>
      <c r="LBL15" s="133"/>
      <c r="LBM15" s="133"/>
      <c r="LBN15" s="133"/>
      <c r="LBO15" s="133"/>
      <c r="LBP15" s="133"/>
      <c r="LBQ15" s="133"/>
      <c r="LBR15" s="133"/>
      <c r="LBS15" s="133"/>
      <c r="LBT15" s="133"/>
      <c r="LBU15" s="133"/>
      <c r="LBV15" s="133"/>
      <c r="LBW15" s="133"/>
      <c r="LBX15" s="133"/>
      <c r="LBY15" s="133"/>
      <c r="LBZ15" s="133"/>
      <c r="LCA15" s="133"/>
      <c r="LCB15" s="133"/>
      <c r="LCC15" s="133"/>
      <c r="LCD15" s="133"/>
      <c r="LCE15" s="133"/>
      <c r="LCF15" s="133"/>
      <c r="LCG15" s="133"/>
      <c r="LCH15" s="133"/>
      <c r="LCI15" s="133"/>
      <c r="LCJ15" s="133"/>
      <c r="LCK15" s="133"/>
      <c r="LCL15" s="133"/>
      <c r="LCM15" s="133"/>
      <c r="LCN15" s="133"/>
      <c r="LCO15" s="133"/>
      <c r="LCP15" s="133"/>
      <c r="LCQ15" s="133"/>
      <c r="LCR15" s="133"/>
      <c r="LCS15" s="133"/>
      <c r="LCT15" s="133"/>
      <c r="LCU15" s="133"/>
      <c r="LCV15" s="133"/>
      <c r="LCW15" s="133"/>
      <c r="LCX15" s="133"/>
      <c r="LCY15" s="133"/>
      <c r="LCZ15" s="133"/>
      <c r="LDA15" s="133"/>
      <c r="LDB15" s="133"/>
      <c r="LDC15" s="133"/>
      <c r="LDD15" s="133"/>
      <c r="LDE15" s="133"/>
      <c r="LDF15" s="133"/>
      <c r="LDG15" s="133"/>
      <c r="LDH15" s="133"/>
      <c r="LDI15" s="133"/>
      <c r="LDJ15" s="133"/>
      <c r="LDK15" s="133"/>
      <c r="LDL15" s="133"/>
      <c r="LDM15" s="133"/>
      <c r="LDN15" s="133"/>
      <c r="LDO15" s="133"/>
      <c r="LDP15" s="133"/>
      <c r="LDQ15" s="133"/>
      <c r="LDR15" s="133"/>
      <c r="LDS15" s="133"/>
      <c r="LDT15" s="133"/>
      <c r="LDU15" s="133"/>
      <c r="LDV15" s="133"/>
      <c r="LDW15" s="133"/>
      <c r="LDX15" s="133"/>
      <c r="LDY15" s="133"/>
      <c r="LDZ15" s="133"/>
      <c r="LEA15" s="133"/>
      <c r="LEB15" s="133"/>
      <c r="LEC15" s="133"/>
      <c r="LED15" s="133"/>
      <c r="LEE15" s="133"/>
      <c r="LEF15" s="133"/>
      <c r="LEG15" s="133"/>
      <c r="LEH15" s="133"/>
      <c r="LEI15" s="133"/>
      <c r="LEJ15" s="133"/>
      <c r="LEK15" s="133"/>
      <c r="LEL15" s="133"/>
      <c r="LEM15" s="133"/>
      <c r="LEN15" s="133"/>
      <c r="LEO15" s="133"/>
      <c r="LEP15" s="133"/>
      <c r="LEQ15" s="133"/>
      <c r="LER15" s="133"/>
      <c r="LES15" s="133"/>
      <c r="LET15" s="133"/>
      <c r="LEU15" s="133"/>
      <c r="LEV15" s="133"/>
      <c r="LEW15" s="133"/>
      <c r="LEX15" s="133"/>
      <c r="LEY15" s="133"/>
      <c r="LEZ15" s="133"/>
      <c r="LFA15" s="133"/>
      <c r="LFB15" s="133"/>
      <c r="LFC15" s="133"/>
      <c r="LFD15" s="133"/>
      <c r="LFE15" s="133"/>
      <c r="LFF15" s="133"/>
      <c r="LFG15" s="133"/>
      <c r="LFH15" s="133"/>
      <c r="LFI15" s="133"/>
      <c r="LFJ15" s="133"/>
      <c r="LFK15" s="133"/>
      <c r="LFL15" s="133"/>
      <c r="LFM15" s="133"/>
      <c r="LFN15" s="133"/>
      <c r="LFO15" s="133"/>
      <c r="LFP15" s="133"/>
      <c r="LFQ15" s="133"/>
      <c r="LFR15" s="133"/>
      <c r="LFS15" s="133"/>
      <c r="LFT15" s="133"/>
      <c r="LFU15" s="133"/>
      <c r="LFV15" s="133"/>
      <c r="LFW15" s="133"/>
      <c r="LFX15" s="133"/>
      <c r="LFY15" s="133"/>
      <c r="LFZ15" s="133"/>
      <c r="LGA15" s="133"/>
      <c r="LGB15" s="133"/>
      <c r="LGC15" s="133"/>
      <c r="LGD15" s="133"/>
      <c r="LGE15" s="133"/>
      <c r="LGF15" s="133"/>
      <c r="LGG15" s="133"/>
      <c r="LGH15" s="133"/>
      <c r="LGI15" s="133"/>
      <c r="LGJ15" s="133"/>
      <c r="LGK15" s="133"/>
      <c r="LGL15" s="133"/>
      <c r="LGM15" s="133"/>
      <c r="LGN15" s="133"/>
      <c r="LGO15" s="133"/>
      <c r="LGP15" s="133"/>
      <c r="LGQ15" s="133"/>
      <c r="LGR15" s="133"/>
      <c r="LGS15" s="133"/>
      <c r="LGT15" s="133"/>
      <c r="LGU15" s="133"/>
      <c r="LGV15" s="133"/>
      <c r="LGW15" s="133"/>
      <c r="LGX15" s="133"/>
      <c r="LGY15" s="133"/>
      <c r="LGZ15" s="133"/>
      <c r="LHA15" s="133"/>
      <c r="LHB15" s="133"/>
      <c r="LHC15" s="133"/>
      <c r="LHD15" s="133"/>
      <c r="LHE15" s="133"/>
      <c r="LHF15" s="133"/>
      <c r="LHG15" s="133"/>
      <c r="LHH15" s="133"/>
      <c r="LHI15" s="133"/>
      <c r="LHJ15" s="133"/>
      <c r="LHK15" s="133"/>
      <c r="LHL15" s="133"/>
      <c r="LHM15" s="133"/>
      <c r="LHN15" s="133"/>
      <c r="LHO15" s="133"/>
      <c r="LHP15" s="133"/>
      <c r="LHQ15" s="133"/>
      <c r="LHR15" s="133"/>
      <c r="LHS15" s="133"/>
      <c r="LHT15" s="133"/>
      <c r="LHU15" s="133"/>
      <c r="LHV15" s="133"/>
      <c r="LHW15" s="133"/>
      <c r="LHX15" s="133"/>
      <c r="LHY15" s="133"/>
      <c r="LHZ15" s="133"/>
      <c r="LIA15" s="133"/>
      <c r="LIB15" s="133"/>
      <c r="LIC15" s="133"/>
      <c r="LID15" s="133"/>
      <c r="LIE15" s="133"/>
      <c r="LIF15" s="133"/>
      <c r="LIG15" s="133"/>
      <c r="LIH15" s="133"/>
      <c r="LII15" s="133"/>
      <c r="LIJ15" s="133"/>
      <c r="LIK15" s="133"/>
      <c r="LIL15" s="133"/>
      <c r="LIM15" s="133"/>
      <c r="LIN15" s="133"/>
      <c r="LIO15" s="133"/>
      <c r="LIP15" s="133"/>
      <c r="LIQ15" s="133"/>
      <c r="LIR15" s="133"/>
      <c r="LIS15" s="133"/>
      <c r="LIT15" s="133"/>
      <c r="LIU15" s="133"/>
      <c r="LIV15" s="133"/>
      <c r="LIW15" s="133"/>
      <c r="LIX15" s="133"/>
      <c r="LIY15" s="133"/>
      <c r="LIZ15" s="133"/>
      <c r="LJA15" s="133"/>
      <c r="LJB15" s="133"/>
      <c r="LJC15" s="133"/>
      <c r="LJD15" s="133"/>
      <c r="LJE15" s="133"/>
      <c r="LJF15" s="133"/>
      <c r="LJG15" s="133"/>
      <c r="LJH15" s="133"/>
      <c r="LJI15" s="133"/>
      <c r="LJJ15" s="133"/>
      <c r="LJK15" s="133"/>
      <c r="LJL15" s="133"/>
      <c r="LJM15" s="133"/>
      <c r="LJN15" s="133"/>
      <c r="LJO15" s="133"/>
      <c r="LJP15" s="133"/>
      <c r="LJQ15" s="133"/>
      <c r="LJR15" s="133"/>
      <c r="LJS15" s="133"/>
      <c r="LJT15" s="133"/>
      <c r="LJU15" s="133"/>
      <c r="LJV15" s="133"/>
      <c r="LJW15" s="133"/>
      <c r="LJX15" s="133"/>
      <c r="LJY15" s="133"/>
      <c r="LJZ15" s="133"/>
      <c r="LKA15" s="133"/>
      <c r="LKB15" s="133"/>
      <c r="LKC15" s="133"/>
      <c r="LKD15" s="133"/>
      <c r="LKE15" s="133"/>
      <c r="LKF15" s="133"/>
      <c r="LKG15" s="133"/>
      <c r="LKH15" s="133"/>
      <c r="LKI15" s="133"/>
      <c r="LKJ15" s="133"/>
      <c r="LKK15" s="133"/>
      <c r="LKL15" s="133"/>
      <c r="LKM15" s="133"/>
      <c r="LKN15" s="133"/>
      <c r="LKO15" s="133"/>
      <c r="LKP15" s="133"/>
      <c r="LKQ15" s="133"/>
      <c r="LKR15" s="133"/>
      <c r="LKS15" s="133"/>
      <c r="LKT15" s="133"/>
      <c r="LKU15" s="133"/>
      <c r="LKV15" s="133"/>
      <c r="LKW15" s="133"/>
      <c r="LKX15" s="133"/>
      <c r="LKY15" s="133"/>
      <c r="LKZ15" s="133"/>
      <c r="LLA15" s="133"/>
      <c r="LLB15" s="133"/>
      <c r="LLC15" s="133"/>
      <c r="LLD15" s="133"/>
      <c r="LLE15" s="133"/>
      <c r="LLF15" s="133"/>
      <c r="LLG15" s="133"/>
      <c r="LLH15" s="133"/>
      <c r="LLI15" s="133"/>
      <c r="LLJ15" s="133"/>
      <c r="LLK15" s="133"/>
      <c r="LLL15" s="133"/>
      <c r="LLM15" s="133"/>
      <c r="LLN15" s="133"/>
      <c r="LLO15" s="133"/>
      <c r="LLP15" s="133"/>
      <c r="LLQ15" s="133"/>
      <c r="LLR15" s="133"/>
      <c r="LLS15" s="133"/>
      <c r="LLT15" s="133"/>
      <c r="LLU15" s="133"/>
      <c r="LLV15" s="133"/>
      <c r="LLW15" s="133"/>
      <c r="LLX15" s="133"/>
      <c r="LLY15" s="133"/>
      <c r="LLZ15" s="133"/>
      <c r="LMA15" s="133"/>
      <c r="LMB15" s="133"/>
      <c r="LMC15" s="133"/>
      <c r="LMD15" s="133"/>
      <c r="LME15" s="133"/>
      <c r="LMF15" s="133"/>
      <c r="LMG15" s="133"/>
      <c r="LMH15" s="133"/>
      <c r="LMI15" s="133"/>
      <c r="LMJ15" s="133"/>
      <c r="LMK15" s="133"/>
      <c r="LML15" s="133"/>
      <c r="LMM15" s="133"/>
      <c r="LMN15" s="133"/>
      <c r="LMO15" s="133"/>
      <c r="LMP15" s="133"/>
      <c r="LMQ15" s="133"/>
      <c r="LMR15" s="133"/>
      <c r="LMS15" s="133"/>
      <c r="LMT15" s="133"/>
      <c r="LMU15" s="133"/>
      <c r="LMV15" s="133"/>
      <c r="LMW15" s="133"/>
      <c r="LMX15" s="133"/>
      <c r="LMY15" s="133"/>
      <c r="LMZ15" s="133"/>
      <c r="LNA15" s="133"/>
      <c r="LNB15" s="133"/>
      <c r="LNC15" s="133"/>
      <c r="LND15" s="133"/>
      <c r="LNE15" s="133"/>
      <c r="LNF15" s="133"/>
      <c r="LNG15" s="133"/>
      <c r="LNH15" s="133"/>
      <c r="LNI15" s="133"/>
      <c r="LNJ15" s="133"/>
      <c r="LNK15" s="133"/>
      <c r="LNL15" s="133"/>
      <c r="LNM15" s="133"/>
      <c r="LNN15" s="133"/>
      <c r="LNO15" s="133"/>
      <c r="LNP15" s="133"/>
      <c r="LNQ15" s="133"/>
      <c r="LNR15" s="133"/>
      <c r="LNS15" s="133"/>
      <c r="LNT15" s="133"/>
      <c r="LNU15" s="133"/>
      <c r="LNV15" s="133"/>
      <c r="LNW15" s="133"/>
      <c r="LNX15" s="133"/>
      <c r="LNY15" s="133"/>
      <c r="LNZ15" s="133"/>
      <c r="LOA15" s="133"/>
      <c r="LOB15" s="133"/>
      <c r="LOC15" s="133"/>
      <c r="LOD15" s="133"/>
      <c r="LOE15" s="133"/>
      <c r="LOF15" s="133"/>
      <c r="LOG15" s="133"/>
      <c r="LOH15" s="133"/>
      <c r="LOI15" s="133"/>
      <c r="LOJ15" s="133"/>
      <c r="LOK15" s="133"/>
      <c r="LOL15" s="133"/>
      <c r="LOM15" s="133"/>
      <c r="LON15" s="133"/>
      <c r="LOO15" s="133"/>
      <c r="LOP15" s="133"/>
      <c r="LOQ15" s="133"/>
      <c r="LOR15" s="133"/>
      <c r="LOS15" s="133"/>
      <c r="LOT15" s="133"/>
      <c r="LOU15" s="133"/>
      <c r="LOV15" s="133"/>
      <c r="LOW15" s="133"/>
      <c r="LOX15" s="133"/>
      <c r="LOY15" s="133"/>
      <c r="LOZ15" s="133"/>
      <c r="LPA15" s="133"/>
      <c r="LPB15" s="133"/>
      <c r="LPC15" s="133"/>
      <c r="LPD15" s="133"/>
      <c r="LPE15" s="133"/>
      <c r="LPF15" s="133"/>
      <c r="LPG15" s="133"/>
      <c r="LPH15" s="133"/>
      <c r="LPI15" s="133"/>
      <c r="LPJ15" s="133"/>
      <c r="LPK15" s="133"/>
      <c r="LPL15" s="133"/>
      <c r="LPM15" s="133"/>
      <c r="LPN15" s="133"/>
      <c r="LPO15" s="133"/>
      <c r="LPP15" s="133"/>
      <c r="LPQ15" s="133"/>
      <c r="LPR15" s="133"/>
      <c r="LPS15" s="133"/>
      <c r="LPT15" s="133"/>
      <c r="LPU15" s="133"/>
      <c r="LPV15" s="133"/>
      <c r="LPW15" s="133"/>
      <c r="LPX15" s="133"/>
      <c r="LPY15" s="133"/>
      <c r="LPZ15" s="133"/>
      <c r="LQA15" s="133"/>
      <c r="LQB15" s="133"/>
      <c r="LQC15" s="133"/>
      <c r="LQD15" s="133"/>
      <c r="LQE15" s="133"/>
      <c r="LQF15" s="133"/>
      <c r="LQG15" s="133"/>
      <c r="LQH15" s="133"/>
      <c r="LQI15" s="133"/>
      <c r="LQJ15" s="133"/>
      <c r="LQK15" s="133"/>
      <c r="LQL15" s="133"/>
      <c r="LQM15" s="133"/>
      <c r="LQN15" s="133"/>
      <c r="LQO15" s="133"/>
      <c r="LQP15" s="133"/>
      <c r="LQQ15" s="133"/>
      <c r="LQR15" s="133"/>
      <c r="LQS15" s="133"/>
      <c r="LQT15" s="133"/>
      <c r="LQU15" s="133"/>
      <c r="LQV15" s="133"/>
      <c r="LQW15" s="133"/>
      <c r="LQX15" s="133"/>
      <c r="LQY15" s="133"/>
      <c r="LQZ15" s="133"/>
      <c r="LRA15" s="133"/>
      <c r="LRB15" s="133"/>
      <c r="LRC15" s="133"/>
      <c r="LRD15" s="133"/>
      <c r="LRE15" s="133"/>
      <c r="LRF15" s="133"/>
      <c r="LRG15" s="133"/>
      <c r="LRH15" s="133"/>
      <c r="LRI15" s="133"/>
      <c r="LRJ15" s="133"/>
      <c r="LRK15" s="133"/>
      <c r="LRL15" s="133"/>
      <c r="LRM15" s="133"/>
      <c r="LRN15" s="133"/>
      <c r="LRO15" s="133"/>
      <c r="LRP15" s="133"/>
      <c r="LRQ15" s="133"/>
      <c r="LRR15" s="133"/>
      <c r="LRS15" s="133"/>
      <c r="LRT15" s="133"/>
      <c r="LRU15" s="133"/>
      <c r="LRV15" s="133"/>
      <c r="LRW15" s="133"/>
      <c r="LRX15" s="133"/>
      <c r="LRY15" s="133"/>
      <c r="LRZ15" s="133"/>
      <c r="LSA15" s="133"/>
      <c r="LSB15" s="133"/>
      <c r="LSC15" s="133"/>
      <c r="LSD15" s="133"/>
      <c r="LSE15" s="133"/>
      <c r="LSF15" s="133"/>
      <c r="LSG15" s="133"/>
      <c r="LSH15" s="133"/>
      <c r="LSI15" s="133"/>
      <c r="LSJ15" s="133"/>
      <c r="LSK15" s="133"/>
      <c r="LSL15" s="133"/>
      <c r="LSM15" s="133"/>
      <c r="LSN15" s="133"/>
      <c r="LSO15" s="133"/>
      <c r="LSP15" s="133"/>
      <c r="LSQ15" s="133"/>
      <c r="LSR15" s="133"/>
      <c r="LSS15" s="133"/>
      <c r="LST15" s="133"/>
      <c r="LSU15" s="133"/>
      <c r="LSV15" s="133"/>
      <c r="LSW15" s="133"/>
      <c r="LSX15" s="133"/>
      <c r="LSY15" s="133"/>
      <c r="LSZ15" s="133"/>
      <c r="LTA15" s="133"/>
      <c r="LTB15" s="133"/>
      <c r="LTC15" s="133"/>
      <c r="LTD15" s="133"/>
      <c r="LTE15" s="133"/>
      <c r="LTF15" s="133"/>
      <c r="LTG15" s="133"/>
      <c r="LTH15" s="133"/>
      <c r="LTI15" s="133"/>
      <c r="LTJ15" s="133"/>
      <c r="LTK15" s="133"/>
      <c r="LTL15" s="133"/>
      <c r="LTM15" s="133"/>
      <c r="LTN15" s="133"/>
      <c r="LTO15" s="133"/>
      <c r="LTP15" s="133"/>
      <c r="LTQ15" s="133"/>
      <c r="LTR15" s="133"/>
      <c r="LTS15" s="133"/>
      <c r="LTT15" s="133"/>
      <c r="LTU15" s="133"/>
      <c r="LTV15" s="133"/>
      <c r="LTW15" s="133"/>
      <c r="LTX15" s="133"/>
      <c r="LTY15" s="133"/>
      <c r="LTZ15" s="133"/>
      <c r="LUA15" s="133"/>
      <c r="LUB15" s="133"/>
      <c r="LUC15" s="133"/>
      <c r="LUD15" s="133"/>
      <c r="LUE15" s="133"/>
      <c r="LUF15" s="133"/>
      <c r="LUG15" s="133"/>
      <c r="LUH15" s="133"/>
      <c r="LUI15" s="133"/>
      <c r="LUJ15" s="133"/>
      <c r="LUK15" s="133"/>
      <c r="LUL15" s="133"/>
      <c r="LUM15" s="133"/>
      <c r="LUN15" s="133"/>
      <c r="LUO15" s="133"/>
      <c r="LUP15" s="133"/>
      <c r="LUQ15" s="133"/>
      <c r="LUR15" s="133"/>
      <c r="LUS15" s="133"/>
      <c r="LUT15" s="133"/>
      <c r="LUU15" s="133"/>
      <c r="LUV15" s="133"/>
      <c r="LUW15" s="133"/>
      <c r="LUX15" s="133"/>
      <c r="LUY15" s="133"/>
      <c r="LUZ15" s="133"/>
      <c r="LVA15" s="133"/>
      <c r="LVB15" s="133"/>
      <c r="LVC15" s="133"/>
      <c r="LVD15" s="133"/>
      <c r="LVE15" s="133"/>
      <c r="LVF15" s="133"/>
      <c r="LVG15" s="133"/>
      <c r="LVH15" s="133"/>
      <c r="LVI15" s="133"/>
      <c r="LVJ15" s="133"/>
      <c r="LVK15" s="133"/>
      <c r="LVL15" s="133"/>
      <c r="LVM15" s="133"/>
      <c r="LVN15" s="133"/>
      <c r="LVO15" s="133"/>
      <c r="LVP15" s="133"/>
      <c r="LVQ15" s="133"/>
      <c r="LVR15" s="133"/>
      <c r="LVS15" s="133"/>
      <c r="LVT15" s="133"/>
      <c r="LVU15" s="133"/>
      <c r="LVV15" s="133"/>
      <c r="LVW15" s="133"/>
      <c r="LVX15" s="133"/>
      <c r="LVY15" s="133"/>
      <c r="LVZ15" s="133"/>
      <c r="LWA15" s="133"/>
      <c r="LWB15" s="133"/>
      <c r="LWC15" s="133"/>
      <c r="LWD15" s="133"/>
      <c r="LWE15" s="133"/>
      <c r="LWF15" s="133"/>
      <c r="LWG15" s="133"/>
      <c r="LWH15" s="133"/>
      <c r="LWI15" s="133"/>
      <c r="LWJ15" s="133"/>
      <c r="LWK15" s="133"/>
      <c r="LWL15" s="133"/>
      <c r="LWM15" s="133"/>
      <c r="LWN15" s="133"/>
      <c r="LWO15" s="133"/>
      <c r="LWP15" s="133"/>
      <c r="LWQ15" s="133"/>
      <c r="LWR15" s="133"/>
      <c r="LWS15" s="133"/>
      <c r="LWT15" s="133"/>
      <c r="LWU15" s="133"/>
      <c r="LWV15" s="133"/>
      <c r="LWW15" s="133"/>
      <c r="LWX15" s="133"/>
      <c r="LWY15" s="133"/>
      <c r="LWZ15" s="133"/>
      <c r="LXA15" s="133"/>
      <c r="LXB15" s="133"/>
      <c r="LXC15" s="133"/>
      <c r="LXD15" s="133"/>
      <c r="LXE15" s="133"/>
      <c r="LXF15" s="133"/>
      <c r="LXG15" s="133"/>
      <c r="LXH15" s="133"/>
      <c r="LXI15" s="133"/>
      <c r="LXJ15" s="133"/>
      <c r="LXK15" s="133"/>
      <c r="LXL15" s="133"/>
      <c r="LXM15" s="133"/>
      <c r="LXN15" s="133"/>
      <c r="LXO15" s="133"/>
      <c r="LXP15" s="133"/>
      <c r="LXQ15" s="133"/>
      <c r="LXR15" s="133"/>
      <c r="LXS15" s="133"/>
      <c r="LXT15" s="133"/>
      <c r="LXU15" s="133"/>
      <c r="LXV15" s="133"/>
      <c r="LXW15" s="133"/>
      <c r="LXX15" s="133"/>
      <c r="LXY15" s="133"/>
      <c r="LXZ15" s="133"/>
      <c r="LYA15" s="133"/>
      <c r="LYB15" s="133"/>
      <c r="LYC15" s="133"/>
      <c r="LYD15" s="133"/>
      <c r="LYE15" s="133"/>
      <c r="LYF15" s="133"/>
      <c r="LYG15" s="133"/>
      <c r="LYH15" s="133"/>
      <c r="LYI15" s="133"/>
      <c r="LYJ15" s="133"/>
      <c r="LYK15" s="133"/>
      <c r="LYL15" s="133"/>
      <c r="LYM15" s="133"/>
      <c r="LYN15" s="133"/>
      <c r="LYO15" s="133"/>
      <c r="LYP15" s="133"/>
      <c r="LYQ15" s="133"/>
      <c r="LYR15" s="133"/>
      <c r="LYS15" s="133"/>
      <c r="LYT15" s="133"/>
      <c r="LYU15" s="133"/>
      <c r="LYV15" s="133"/>
      <c r="LYW15" s="133"/>
      <c r="LYX15" s="133"/>
      <c r="LYY15" s="133"/>
      <c r="LYZ15" s="133"/>
      <c r="LZA15" s="133"/>
      <c r="LZB15" s="133"/>
      <c r="LZC15" s="133"/>
      <c r="LZD15" s="133"/>
      <c r="LZE15" s="133"/>
      <c r="LZF15" s="133"/>
      <c r="LZG15" s="133"/>
      <c r="LZH15" s="133"/>
      <c r="LZI15" s="133"/>
      <c r="LZJ15" s="133"/>
      <c r="LZK15" s="133"/>
      <c r="LZL15" s="133"/>
      <c r="LZM15" s="133"/>
      <c r="LZN15" s="133"/>
      <c r="LZO15" s="133"/>
      <c r="LZP15" s="133"/>
      <c r="LZQ15" s="133"/>
      <c r="LZR15" s="133"/>
      <c r="LZS15" s="133"/>
      <c r="LZT15" s="133"/>
      <c r="LZU15" s="133"/>
      <c r="LZV15" s="133"/>
      <c r="LZW15" s="133"/>
      <c r="LZX15" s="133"/>
      <c r="LZY15" s="133"/>
      <c r="LZZ15" s="133"/>
      <c r="MAA15" s="133"/>
      <c r="MAB15" s="133"/>
      <c r="MAC15" s="133"/>
      <c r="MAD15" s="133"/>
      <c r="MAE15" s="133"/>
      <c r="MAF15" s="133"/>
      <c r="MAG15" s="133"/>
      <c r="MAH15" s="133"/>
      <c r="MAI15" s="133"/>
      <c r="MAJ15" s="133"/>
      <c r="MAK15" s="133"/>
      <c r="MAL15" s="133"/>
      <c r="MAM15" s="133"/>
      <c r="MAN15" s="133"/>
      <c r="MAO15" s="133"/>
      <c r="MAP15" s="133"/>
      <c r="MAQ15" s="133"/>
      <c r="MAR15" s="133"/>
      <c r="MAS15" s="133"/>
      <c r="MAT15" s="133"/>
      <c r="MAU15" s="133"/>
      <c r="MAV15" s="133"/>
      <c r="MAW15" s="133"/>
      <c r="MAX15" s="133"/>
      <c r="MAY15" s="133"/>
      <c r="MAZ15" s="133"/>
      <c r="MBA15" s="133"/>
      <c r="MBB15" s="133"/>
      <c r="MBC15" s="133"/>
      <c r="MBD15" s="133"/>
      <c r="MBE15" s="133"/>
      <c r="MBF15" s="133"/>
      <c r="MBG15" s="133"/>
      <c r="MBH15" s="133"/>
      <c r="MBI15" s="133"/>
      <c r="MBJ15" s="133"/>
      <c r="MBK15" s="133"/>
      <c r="MBL15" s="133"/>
      <c r="MBM15" s="133"/>
      <c r="MBN15" s="133"/>
      <c r="MBO15" s="133"/>
      <c r="MBP15" s="133"/>
      <c r="MBQ15" s="133"/>
      <c r="MBR15" s="133"/>
      <c r="MBS15" s="133"/>
      <c r="MBT15" s="133"/>
      <c r="MBU15" s="133"/>
      <c r="MBV15" s="133"/>
      <c r="MBW15" s="133"/>
      <c r="MBX15" s="133"/>
      <c r="MBY15" s="133"/>
      <c r="MBZ15" s="133"/>
      <c r="MCA15" s="133"/>
      <c r="MCB15" s="133"/>
      <c r="MCC15" s="133"/>
      <c r="MCD15" s="133"/>
      <c r="MCE15" s="133"/>
      <c r="MCF15" s="133"/>
      <c r="MCG15" s="133"/>
      <c r="MCH15" s="133"/>
      <c r="MCI15" s="133"/>
      <c r="MCJ15" s="133"/>
      <c r="MCK15" s="133"/>
      <c r="MCL15" s="133"/>
      <c r="MCM15" s="133"/>
      <c r="MCN15" s="133"/>
      <c r="MCO15" s="133"/>
      <c r="MCP15" s="133"/>
      <c r="MCQ15" s="133"/>
      <c r="MCR15" s="133"/>
      <c r="MCS15" s="133"/>
      <c r="MCT15" s="133"/>
      <c r="MCU15" s="133"/>
      <c r="MCV15" s="133"/>
      <c r="MCW15" s="133"/>
      <c r="MCX15" s="133"/>
      <c r="MCY15" s="133"/>
      <c r="MCZ15" s="133"/>
      <c r="MDA15" s="133"/>
      <c r="MDB15" s="133"/>
      <c r="MDC15" s="133"/>
      <c r="MDD15" s="133"/>
      <c r="MDE15" s="133"/>
      <c r="MDF15" s="133"/>
      <c r="MDG15" s="133"/>
      <c r="MDH15" s="133"/>
      <c r="MDI15" s="133"/>
      <c r="MDJ15" s="133"/>
      <c r="MDK15" s="133"/>
      <c r="MDL15" s="133"/>
      <c r="MDM15" s="133"/>
      <c r="MDN15" s="133"/>
      <c r="MDO15" s="133"/>
      <c r="MDP15" s="133"/>
      <c r="MDQ15" s="133"/>
      <c r="MDR15" s="133"/>
      <c r="MDS15" s="133"/>
      <c r="MDT15" s="133"/>
      <c r="MDU15" s="133"/>
      <c r="MDV15" s="133"/>
      <c r="MDW15" s="133"/>
      <c r="MDX15" s="133"/>
      <c r="MDY15" s="133"/>
      <c r="MDZ15" s="133"/>
      <c r="MEA15" s="133"/>
      <c r="MEB15" s="133"/>
      <c r="MEC15" s="133"/>
      <c r="MED15" s="133"/>
      <c r="MEE15" s="133"/>
      <c r="MEF15" s="133"/>
      <c r="MEG15" s="133"/>
      <c r="MEH15" s="133"/>
      <c r="MEI15" s="133"/>
      <c r="MEJ15" s="133"/>
      <c r="MEK15" s="133"/>
      <c r="MEL15" s="133"/>
      <c r="MEM15" s="133"/>
      <c r="MEN15" s="133"/>
      <c r="MEO15" s="133"/>
      <c r="MEP15" s="133"/>
      <c r="MEQ15" s="133"/>
      <c r="MER15" s="133"/>
      <c r="MES15" s="133"/>
      <c r="MET15" s="133"/>
      <c r="MEU15" s="133"/>
      <c r="MEV15" s="133"/>
      <c r="MEW15" s="133"/>
      <c r="MEX15" s="133"/>
      <c r="MEY15" s="133"/>
      <c r="MEZ15" s="133"/>
      <c r="MFA15" s="133"/>
      <c r="MFB15" s="133"/>
      <c r="MFC15" s="133"/>
      <c r="MFD15" s="133"/>
      <c r="MFE15" s="133"/>
      <c r="MFF15" s="133"/>
      <c r="MFG15" s="133"/>
      <c r="MFH15" s="133"/>
      <c r="MFI15" s="133"/>
      <c r="MFJ15" s="133"/>
      <c r="MFK15" s="133"/>
      <c r="MFL15" s="133"/>
      <c r="MFM15" s="133"/>
      <c r="MFN15" s="133"/>
      <c r="MFO15" s="133"/>
      <c r="MFP15" s="133"/>
      <c r="MFQ15" s="133"/>
      <c r="MFR15" s="133"/>
      <c r="MFS15" s="133"/>
      <c r="MFT15" s="133"/>
      <c r="MFU15" s="133"/>
      <c r="MFV15" s="133"/>
      <c r="MFW15" s="133"/>
      <c r="MFX15" s="133"/>
      <c r="MFY15" s="133"/>
      <c r="MFZ15" s="133"/>
      <c r="MGA15" s="133"/>
      <c r="MGB15" s="133"/>
      <c r="MGC15" s="133"/>
      <c r="MGD15" s="133"/>
      <c r="MGE15" s="133"/>
      <c r="MGF15" s="133"/>
      <c r="MGG15" s="133"/>
      <c r="MGH15" s="133"/>
      <c r="MGI15" s="133"/>
      <c r="MGJ15" s="133"/>
      <c r="MGK15" s="133"/>
      <c r="MGL15" s="133"/>
      <c r="MGM15" s="133"/>
      <c r="MGN15" s="133"/>
      <c r="MGO15" s="133"/>
      <c r="MGP15" s="133"/>
      <c r="MGQ15" s="133"/>
      <c r="MGR15" s="133"/>
      <c r="MGS15" s="133"/>
      <c r="MGT15" s="133"/>
      <c r="MGU15" s="133"/>
      <c r="MGV15" s="133"/>
      <c r="MGW15" s="133"/>
      <c r="MGX15" s="133"/>
      <c r="MGY15" s="133"/>
      <c r="MGZ15" s="133"/>
      <c r="MHA15" s="133"/>
      <c r="MHB15" s="133"/>
      <c r="MHC15" s="133"/>
      <c r="MHD15" s="133"/>
      <c r="MHE15" s="133"/>
      <c r="MHF15" s="133"/>
      <c r="MHG15" s="133"/>
      <c r="MHH15" s="133"/>
      <c r="MHI15" s="133"/>
      <c r="MHJ15" s="133"/>
      <c r="MHK15" s="133"/>
      <c r="MHL15" s="133"/>
      <c r="MHM15" s="133"/>
      <c r="MHN15" s="133"/>
      <c r="MHO15" s="133"/>
      <c r="MHP15" s="133"/>
      <c r="MHQ15" s="133"/>
      <c r="MHR15" s="133"/>
      <c r="MHS15" s="133"/>
      <c r="MHT15" s="133"/>
      <c r="MHU15" s="133"/>
      <c r="MHV15" s="133"/>
      <c r="MHW15" s="133"/>
      <c r="MHX15" s="133"/>
      <c r="MHY15" s="133"/>
      <c r="MHZ15" s="133"/>
      <c r="MIA15" s="133"/>
      <c r="MIB15" s="133"/>
      <c r="MIC15" s="133"/>
      <c r="MID15" s="133"/>
      <c r="MIE15" s="133"/>
      <c r="MIF15" s="133"/>
      <c r="MIG15" s="133"/>
      <c r="MIH15" s="133"/>
      <c r="MII15" s="133"/>
      <c r="MIJ15" s="133"/>
      <c r="MIK15" s="133"/>
      <c r="MIL15" s="133"/>
      <c r="MIM15" s="133"/>
      <c r="MIN15" s="133"/>
      <c r="MIO15" s="133"/>
      <c r="MIP15" s="133"/>
      <c r="MIQ15" s="133"/>
      <c r="MIR15" s="133"/>
      <c r="MIS15" s="133"/>
      <c r="MIT15" s="133"/>
      <c r="MIU15" s="133"/>
      <c r="MIV15" s="133"/>
      <c r="MIW15" s="133"/>
      <c r="MIX15" s="133"/>
      <c r="MIY15" s="133"/>
      <c r="MIZ15" s="133"/>
      <c r="MJA15" s="133"/>
      <c r="MJB15" s="133"/>
      <c r="MJC15" s="133"/>
      <c r="MJD15" s="133"/>
      <c r="MJE15" s="133"/>
      <c r="MJF15" s="133"/>
      <c r="MJG15" s="133"/>
      <c r="MJH15" s="133"/>
      <c r="MJI15" s="133"/>
      <c r="MJJ15" s="133"/>
      <c r="MJK15" s="133"/>
      <c r="MJL15" s="133"/>
      <c r="MJM15" s="133"/>
      <c r="MJN15" s="133"/>
      <c r="MJO15" s="133"/>
      <c r="MJP15" s="133"/>
      <c r="MJQ15" s="133"/>
      <c r="MJR15" s="133"/>
      <c r="MJS15" s="133"/>
      <c r="MJT15" s="133"/>
      <c r="MJU15" s="133"/>
      <c r="MJV15" s="133"/>
      <c r="MJW15" s="133"/>
      <c r="MJX15" s="133"/>
      <c r="MJY15" s="133"/>
      <c r="MJZ15" s="133"/>
      <c r="MKA15" s="133"/>
      <c r="MKB15" s="133"/>
      <c r="MKC15" s="133"/>
      <c r="MKD15" s="133"/>
      <c r="MKE15" s="133"/>
      <c r="MKF15" s="133"/>
      <c r="MKG15" s="133"/>
      <c r="MKH15" s="133"/>
      <c r="MKI15" s="133"/>
      <c r="MKJ15" s="133"/>
      <c r="MKK15" s="133"/>
      <c r="MKL15" s="133"/>
      <c r="MKM15" s="133"/>
      <c r="MKN15" s="133"/>
      <c r="MKO15" s="133"/>
      <c r="MKP15" s="133"/>
      <c r="MKQ15" s="133"/>
      <c r="MKR15" s="133"/>
      <c r="MKS15" s="133"/>
      <c r="MKT15" s="133"/>
      <c r="MKU15" s="133"/>
      <c r="MKV15" s="133"/>
      <c r="MKW15" s="133"/>
      <c r="MKX15" s="133"/>
      <c r="MKY15" s="133"/>
      <c r="MKZ15" s="133"/>
      <c r="MLA15" s="133"/>
      <c r="MLB15" s="133"/>
      <c r="MLC15" s="133"/>
      <c r="MLD15" s="133"/>
      <c r="MLE15" s="133"/>
      <c r="MLF15" s="133"/>
      <c r="MLG15" s="133"/>
      <c r="MLH15" s="133"/>
      <c r="MLI15" s="133"/>
      <c r="MLJ15" s="133"/>
      <c r="MLK15" s="133"/>
      <c r="MLL15" s="133"/>
      <c r="MLM15" s="133"/>
      <c r="MLN15" s="133"/>
      <c r="MLO15" s="133"/>
      <c r="MLP15" s="133"/>
      <c r="MLQ15" s="133"/>
      <c r="MLR15" s="133"/>
      <c r="MLS15" s="133"/>
      <c r="MLT15" s="133"/>
      <c r="MLU15" s="133"/>
      <c r="MLV15" s="133"/>
      <c r="MLW15" s="133"/>
      <c r="MLX15" s="133"/>
      <c r="MLY15" s="133"/>
      <c r="MLZ15" s="133"/>
      <c r="MMA15" s="133"/>
      <c r="MMB15" s="133"/>
      <c r="MMC15" s="133"/>
      <c r="MMD15" s="133"/>
      <c r="MME15" s="133"/>
      <c r="MMF15" s="133"/>
      <c r="MMG15" s="133"/>
      <c r="MMH15" s="133"/>
      <c r="MMI15" s="133"/>
      <c r="MMJ15" s="133"/>
      <c r="MMK15" s="133"/>
      <c r="MML15" s="133"/>
      <c r="MMM15" s="133"/>
      <c r="MMN15" s="133"/>
      <c r="MMO15" s="133"/>
      <c r="MMP15" s="133"/>
      <c r="MMQ15" s="133"/>
      <c r="MMR15" s="133"/>
      <c r="MMS15" s="133"/>
      <c r="MMT15" s="133"/>
      <c r="MMU15" s="133"/>
      <c r="MMV15" s="133"/>
      <c r="MMW15" s="133"/>
      <c r="MMX15" s="133"/>
      <c r="MMY15" s="133"/>
      <c r="MMZ15" s="133"/>
      <c r="MNA15" s="133"/>
      <c r="MNB15" s="133"/>
      <c r="MNC15" s="133"/>
      <c r="MND15" s="133"/>
      <c r="MNE15" s="133"/>
      <c r="MNF15" s="133"/>
      <c r="MNG15" s="133"/>
      <c r="MNH15" s="133"/>
      <c r="MNI15" s="133"/>
      <c r="MNJ15" s="133"/>
      <c r="MNK15" s="133"/>
      <c r="MNL15" s="133"/>
      <c r="MNM15" s="133"/>
      <c r="MNN15" s="133"/>
      <c r="MNO15" s="133"/>
      <c r="MNP15" s="133"/>
      <c r="MNQ15" s="133"/>
      <c r="MNR15" s="133"/>
      <c r="MNS15" s="133"/>
      <c r="MNT15" s="133"/>
      <c r="MNU15" s="133"/>
      <c r="MNV15" s="133"/>
      <c r="MNW15" s="133"/>
      <c r="MNX15" s="133"/>
      <c r="MNY15" s="133"/>
      <c r="MNZ15" s="133"/>
      <c r="MOA15" s="133"/>
      <c r="MOB15" s="133"/>
      <c r="MOC15" s="133"/>
      <c r="MOD15" s="133"/>
      <c r="MOE15" s="133"/>
      <c r="MOF15" s="133"/>
      <c r="MOG15" s="133"/>
      <c r="MOH15" s="133"/>
      <c r="MOI15" s="133"/>
      <c r="MOJ15" s="133"/>
      <c r="MOK15" s="133"/>
      <c r="MOL15" s="133"/>
      <c r="MOM15" s="133"/>
      <c r="MON15" s="133"/>
      <c r="MOO15" s="133"/>
      <c r="MOP15" s="133"/>
      <c r="MOQ15" s="133"/>
      <c r="MOR15" s="133"/>
      <c r="MOS15" s="133"/>
      <c r="MOT15" s="133"/>
      <c r="MOU15" s="133"/>
      <c r="MOV15" s="133"/>
      <c r="MOW15" s="133"/>
      <c r="MOX15" s="133"/>
      <c r="MOY15" s="133"/>
      <c r="MOZ15" s="133"/>
      <c r="MPA15" s="133"/>
      <c r="MPB15" s="133"/>
      <c r="MPC15" s="133"/>
      <c r="MPD15" s="133"/>
      <c r="MPE15" s="133"/>
      <c r="MPF15" s="133"/>
      <c r="MPG15" s="133"/>
      <c r="MPH15" s="133"/>
      <c r="MPI15" s="133"/>
      <c r="MPJ15" s="133"/>
      <c r="MPK15" s="133"/>
      <c r="MPL15" s="133"/>
      <c r="MPM15" s="133"/>
      <c r="MPN15" s="133"/>
      <c r="MPO15" s="133"/>
      <c r="MPP15" s="133"/>
      <c r="MPQ15" s="133"/>
      <c r="MPR15" s="133"/>
      <c r="MPS15" s="133"/>
      <c r="MPT15" s="133"/>
      <c r="MPU15" s="133"/>
      <c r="MPV15" s="133"/>
      <c r="MPW15" s="133"/>
      <c r="MPX15" s="133"/>
      <c r="MPY15" s="133"/>
      <c r="MPZ15" s="133"/>
      <c r="MQA15" s="133"/>
      <c r="MQB15" s="133"/>
      <c r="MQC15" s="133"/>
      <c r="MQD15" s="133"/>
      <c r="MQE15" s="133"/>
      <c r="MQF15" s="133"/>
      <c r="MQG15" s="133"/>
      <c r="MQH15" s="133"/>
      <c r="MQI15" s="133"/>
      <c r="MQJ15" s="133"/>
      <c r="MQK15" s="133"/>
      <c r="MQL15" s="133"/>
      <c r="MQM15" s="133"/>
      <c r="MQN15" s="133"/>
      <c r="MQO15" s="133"/>
      <c r="MQP15" s="133"/>
      <c r="MQQ15" s="133"/>
      <c r="MQR15" s="133"/>
      <c r="MQS15" s="133"/>
      <c r="MQT15" s="133"/>
      <c r="MQU15" s="133"/>
      <c r="MQV15" s="133"/>
      <c r="MQW15" s="133"/>
      <c r="MQX15" s="133"/>
      <c r="MQY15" s="133"/>
      <c r="MQZ15" s="133"/>
      <c r="MRA15" s="133"/>
      <c r="MRB15" s="133"/>
      <c r="MRC15" s="133"/>
      <c r="MRD15" s="133"/>
      <c r="MRE15" s="133"/>
      <c r="MRF15" s="133"/>
      <c r="MRG15" s="133"/>
      <c r="MRH15" s="133"/>
      <c r="MRI15" s="133"/>
      <c r="MRJ15" s="133"/>
      <c r="MRK15" s="133"/>
      <c r="MRL15" s="133"/>
      <c r="MRM15" s="133"/>
      <c r="MRN15" s="133"/>
      <c r="MRO15" s="133"/>
      <c r="MRP15" s="133"/>
      <c r="MRQ15" s="133"/>
      <c r="MRR15" s="133"/>
      <c r="MRS15" s="133"/>
      <c r="MRT15" s="133"/>
      <c r="MRU15" s="133"/>
      <c r="MRV15" s="133"/>
      <c r="MRW15" s="133"/>
      <c r="MRX15" s="133"/>
      <c r="MRY15" s="133"/>
      <c r="MRZ15" s="133"/>
      <c r="MSA15" s="133"/>
      <c r="MSB15" s="133"/>
      <c r="MSC15" s="133"/>
      <c r="MSD15" s="133"/>
      <c r="MSE15" s="133"/>
      <c r="MSF15" s="133"/>
      <c r="MSG15" s="133"/>
      <c r="MSH15" s="133"/>
      <c r="MSI15" s="133"/>
      <c r="MSJ15" s="133"/>
      <c r="MSK15" s="133"/>
      <c r="MSL15" s="133"/>
      <c r="MSM15" s="133"/>
      <c r="MSN15" s="133"/>
      <c r="MSO15" s="133"/>
      <c r="MSP15" s="133"/>
      <c r="MSQ15" s="133"/>
      <c r="MSR15" s="133"/>
      <c r="MSS15" s="133"/>
      <c r="MST15" s="133"/>
      <c r="MSU15" s="133"/>
      <c r="MSV15" s="133"/>
      <c r="MSW15" s="133"/>
      <c r="MSX15" s="133"/>
      <c r="MSY15" s="133"/>
      <c r="MSZ15" s="133"/>
      <c r="MTA15" s="133"/>
      <c r="MTB15" s="133"/>
      <c r="MTC15" s="133"/>
      <c r="MTD15" s="133"/>
      <c r="MTE15" s="133"/>
      <c r="MTF15" s="133"/>
      <c r="MTG15" s="133"/>
      <c r="MTH15" s="133"/>
      <c r="MTI15" s="133"/>
      <c r="MTJ15" s="133"/>
      <c r="MTK15" s="133"/>
      <c r="MTL15" s="133"/>
      <c r="MTM15" s="133"/>
      <c r="MTN15" s="133"/>
      <c r="MTO15" s="133"/>
      <c r="MTP15" s="133"/>
      <c r="MTQ15" s="133"/>
      <c r="MTR15" s="133"/>
      <c r="MTS15" s="133"/>
      <c r="MTT15" s="133"/>
      <c r="MTU15" s="133"/>
      <c r="MTV15" s="133"/>
      <c r="MTW15" s="133"/>
      <c r="MTX15" s="133"/>
      <c r="MTY15" s="133"/>
      <c r="MTZ15" s="133"/>
      <c r="MUA15" s="133"/>
      <c r="MUB15" s="133"/>
      <c r="MUC15" s="133"/>
      <c r="MUD15" s="133"/>
      <c r="MUE15" s="133"/>
      <c r="MUF15" s="133"/>
      <c r="MUG15" s="133"/>
      <c r="MUH15" s="133"/>
      <c r="MUI15" s="133"/>
      <c r="MUJ15" s="133"/>
      <c r="MUK15" s="133"/>
      <c r="MUL15" s="133"/>
      <c r="MUM15" s="133"/>
      <c r="MUN15" s="133"/>
      <c r="MUO15" s="133"/>
      <c r="MUP15" s="133"/>
      <c r="MUQ15" s="133"/>
      <c r="MUR15" s="133"/>
      <c r="MUS15" s="133"/>
      <c r="MUT15" s="133"/>
      <c r="MUU15" s="133"/>
      <c r="MUV15" s="133"/>
      <c r="MUW15" s="133"/>
      <c r="MUX15" s="133"/>
      <c r="MUY15" s="133"/>
      <c r="MUZ15" s="133"/>
      <c r="MVA15" s="133"/>
      <c r="MVB15" s="133"/>
      <c r="MVC15" s="133"/>
      <c r="MVD15" s="133"/>
      <c r="MVE15" s="133"/>
      <c r="MVF15" s="133"/>
      <c r="MVG15" s="133"/>
      <c r="MVH15" s="133"/>
      <c r="MVI15" s="133"/>
      <c r="MVJ15" s="133"/>
      <c r="MVK15" s="133"/>
      <c r="MVL15" s="133"/>
      <c r="MVM15" s="133"/>
      <c r="MVN15" s="133"/>
      <c r="MVO15" s="133"/>
      <c r="MVP15" s="133"/>
      <c r="MVQ15" s="133"/>
      <c r="MVR15" s="133"/>
      <c r="MVS15" s="133"/>
      <c r="MVT15" s="133"/>
      <c r="MVU15" s="133"/>
      <c r="MVV15" s="133"/>
      <c r="MVW15" s="133"/>
      <c r="MVX15" s="133"/>
      <c r="MVY15" s="133"/>
      <c r="MVZ15" s="133"/>
      <c r="MWA15" s="133"/>
      <c r="MWB15" s="133"/>
      <c r="MWC15" s="133"/>
      <c r="MWD15" s="133"/>
      <c r="MWE15" s="133"/>
      <c r="MWF15" s="133"/>
      <c r="MWG15" s="133"/>
      <c r="MWH15" s="133"/>
      <c r="MWI15" s="133"/>
      <c r="MWJ15" s="133"/>
      <c r="MWK15" s="133"/>
      <c r="MWL15" s="133"/>
      <c r="MWM15" s="133"/>
      <c r="MWN15" s="133"/>
      <c r="MWO15" s="133"/>
      <c r="MWP15" s="133"/>
      <c r="MWQ15" s="133"/>
      <c r="MWR15" s="133"/>
      <c r="MWS15" s="133"/>
      <c r="MWT15" s="133"/>
      <c r="MWU15" s="133"/>
      <c r="MWV15" s="133"/>
      <c r="MWW15" s="133"/>
      <c r="MWX15" s="133"/>
      <c r="MWY15" s="133"/>
      <c r="MWZ15" s="133"/>
      <c r="MXA15" s="133"/>
      <c r="MXB15" s="133"/>
      <c r="MXC15" s="133"/>
      <c r="MXD15" s="133"/>
      <c r="MXE15" s="133"/>
      <c r="MXF15" s="133"/>
      <c r="MXG15" s="133"/>
      <c r="MXH15" s="133"/>
      <c r="MXI15" s="133"/>
      <c r="MXJ15" s="133"/>
      <c r="MXK15" s="133"/>
      <c r="MXL15" s="133"/>
      <c r="MXM15" s="133"/>
      <c r="MXN15" s="133"/>
      <c r="MXO15" s="133"/>
      <c r="MXP15" s="133"/>
      <c r="MXQ15" s="133"/>
      <c r="MXR15" s="133"/>
      <c r="MXS15" s="133"/>
      <c r="MXT15" s="133"/>
      <c r="MXU15" s="133"/>
      <c r="MXV15" s="133"/>
      <c r="MXW15" s="133"/>
      <c r="MXX15" s="133"/>
      <c r="MXY15" s="133"/>
      <c r="MXZ15" s="133"/>
      <c r="MYA15" s="133"/>
      <c r="MYB15" s="133"/>
      <c r="MYC15" s="133"/>
      <c r="MYD15" s="133"/>
      <c r="MYE15" s="133"/>
      <c r="MYF15" s="133"/>
      <c r="MYG15" s="133"/>
      <c r="MYH15" s="133"/>
      <c r="MYI15" s="133"/>
      <c r="MYJ15" s="133"/>
      <c r="MYK15" s="133"/>
      <c r="MYL15" s="133"/>
      <c r="MYM15" s="133"/>
      <c r="MYN15" s="133"/>
      <c r="MYO15" s="133"/>
      <c r="MYP15" s="133"/>
      <c r="MYQ15" s="133"/>
      <c r="MYR15" s="133"/>
      <c r="MYS15" s="133"/>
      <c r="MYT15" s="133"/>
      <c r="MYU15" s="133"/>
      <c r="MYV15" s="133"/>
      <c r="MYW15" s="133"/>
      <c r="MYX15" s="133"/>
      <c r="MYY15" s="133"/>
      <c r="MYZ15" s="133"/>
      <c r="MZA15" s="133"/>
      <c r="MZB15" s="133"/>
      <c r="MZC15" s="133"/>
      <c r="MZD15" s="133"/>
      <c r="MZE15" s="133"/>
      <c r="MZF15" s="133"/>
      <c r="MZG15" s="133"/>
      <c r="MZH15" s="133"/>
      <c r="MZI15" s="133"/>
      <c r="MZJ15" s="133"/>
      <c r="MZK15" s="133"/>
      <c r="MZL15" s="133"/>
      <c r="MZM15" s="133"/>
      <c r="MZN15" s="133"/>
      <c r="MZO15" s="133"/>
      <c r="MZP15" s="133"/>
      <c r="MZQ15" s="133"/>
      <c r="MZR15" s="133"/>
      <c r="MZS15" s="133"/>
      <c r="MZT15" s="133"/>
      <c r="MZU15" s="133"/>
      <c r="MZV15" s="133"/>
      <c r="MZW15" s="133"/>
      <c r="MZX15" s="133"/>
      <c r="MZY15" s="133"/>
      <c r="MZZ15" s="133"/>
      <c r="NAA15" s="133"/>
      <c r="NAB15" s="133"/>
      <c r="NAC15" s="133"/>
      <c r="NAD15" s="133"/>
      <c r="NAE15" s="133"/>
      <c r="NAF15" s="133"/>
      <c r="NAG15" s="133"/>
      <c r="NAH15" s="133"/>
      <c r="NAI15" s="133"/>
      <c r="NAJ15" s="133"/>
      <c r="NAK15" s="133"/>
      <c r="NAL15" s="133"/>
      <c r="NAM15" s="133"/>
      <c r="NAN15" s="133"/>
      <c r="NAO15" s="133"/>
      <c r="NAP15" s="133"/>
      <c r="NAQ15" s="133"/>
      <c r="NAR15" s="133"/>
      <c r="NAS15" s="133"/>
      <c r="NAT15" s="133"/>
      <c r="NAU15" s="133"/>
      <c r="NAV15" s="133"/>
      <c r="NAW15" s="133"/>
      <c r="NAX15" s="133"/>
      <c r="NAY15" s="133"/>
      <c r="NAZ15" s="133"/>
      <c r="NBA15" s="133"/>
      <c r="NBB15" s="133"/>
      <c r="NBC15" s="133"/>
      <c r="NBD15" s="133"/>
      <c r="NBE15" s="133"/>
      <c r="NBF15" s="133"/>
      <c r="NBG15" s="133"/>
      <c r="NBH15" s="133"/>
      <c r="NBI15" s="133"/>
      <c r="NBJ15" s="133"/>
      <c r="NBK15" s="133"/>
      <c r="NBL15" s="133"/>
      <c r="NBM15" s="133"/>
      <c r="NBN15" s="133"/>
      <c r="NBO15" s="133"/>
      <c r="NBP15" s="133"/>
      <c r="NBQ15" s="133"/>
      <c r="NBR15" s="133"/>
      <c r="NBS15" s="133"/>
      <c r="NBT15" s="133"/>
      <c r="NBU15" s="133"/>
      <c r="NBV15" s="133"/>
      <c r="NBW15" s="133"/>
      <c r="NBX15" s="133"/>
      <c r="NBY15" s="133"/>
      <c r="NBZ15" s="133"/>
      <c r="NCA15" s="133"/>
      <c r="NCB15" s="133"/>
      <c r="NCC15" s="133"/>
      <c r="NCD15" s="133"/>
      <c r="NCE15" s="133"/>
      <c r="NCF15" s="133"/>
      <c r="NCG15" s="133"/>
      <c r="NCH15" s="133"/>
      <c r="NCI15" s="133"/>
      <c r="NCJ15" s="133"/>
      <c r="NCK15" s="133"/>
      <c r="NCL15" s="133"/>
      <c r="NCM15" s="133"/>
      <c r="NCN15" s="133"/>
      <c r="NCO15" s="133"/>
      <c r="NCP15" s="133"/>
      <c r="NCQ15" s="133"/>
      <c r="NCR15" s="133"/>
      <c r="NCS15" s="133"/>
      <c r="NCT15" s="133"/>
      <c r="NCU15" s="133"/>
      <c r="NCV15" s="133"/>
      <c r="NCW15" s="133"/>
      <c r="NCX15" s="133"/>
      <c r="NCY15" s="133"/>
      <c r="NCZ15" s="133"/>
      <c r="NDA15" s="133"/>
      <c r="NDB15" s="133"/>
      <c r="NDC15" s="133"/>
      <c r="NDD15" s="133"/>
      <c r="NDE15" s="133"/>
      <c r="NDF15" s="133"/>
      <c r="NDG15" s="133"/>
      <c r="NDH15" s="133"/>
      <c r="NDI15" s="133"/>
      <c r="NDJ15" s="133"/>
      <c r="NDK15" s="133"/>
      <c r="NDL15" s="133"/>
      <c r="NDM15" s="133"/>
      <c r="NDN15" s="133"/>
      <c r="NDO15" s="133"/>
      <c r="NDP15" s="133"/>
      <c r="NDQ15" s="133"/>
      <c r="NDR15" s="133"/>
      <c r="NDS15" s="133"/>
      <c r="NDT15" s="133"/>
      <c r="NDU15" s="133"/>
      <c r="NDV15" s="133"/>
      <c r="NDW15" s="133"/>
      <c r="NDX15" s="133"/>
      <c r="NDY15" s="133"/>
      <c r="NDZ15" s="133"/>
      <c r="NEA15" s="133"/>
      <c r="NEB15" s="133"/>
      <c r="NEC15" s="133"/>
      <c r="NED15" s="133"/>
      <c r="NEE15" s="133"/>
      <c r="NEF15" s="133"/>
      <c r="NEG15" s="133"/>
      <c r="NEH15" s="133"/>
      <c r="NEI15" s="133"/>
      <c r="NEJ15" s="133"/>
      <c r="NEK15" s="133"/>
      <c r="NEL15" s="133"/>
      <c r="NEM15" s="133"/>
      <c r="NEN15" s="133"/>
      <c r="NEO15" s="133"/>
      <c r="NEP15" s="133"/>
      <c r="NEQ15" s="133"/>
      <c r="NER15" s="133"/>
      <c r="NES15" s="133"/>
      <c r="NET15" s="133"/>
      <c r="NEU15" s="133"/>
      <c r="NEV15" s="133"/>
      <c r="NEW15" s="133"/>
      <c r="NEX15" s="133"/>
      <c r="NEY15" s="133"/>
      <c r="NEZ15" s="133"/>
      <c r="NFA15" s="133"/>
      <c r="NFB15" s="133"/>
      <c r="NFC15" s="133"/>
      <c r="NFD15" s="133"/>
      <c r="NFE15" s="133"/>
      <c r="NFF15" s="133"/>
      <c r="NFG15" s="133"/>
      <c r="NFH15" s="133"/>
      <c r="NFI15" s="133"/>
      <c r="NFJ15" s="133"/>
      <c r="NFK15" s="133"/>
      <c r="NFL15" s="133"/>
      <c r="NFM15" s="133"/>
      <c r="NFN15" s="133"/>
      <c r="NFO15" s="133"/>
      <c r="NFP15" s="133"/>
      <c r="NFQ15" s="133"/>
      <c r="NFR15" s="133"/>
      <c r="NFS15" s="133"/>
      <c r="NFT15" s="133"/>
      <c r="NFU15" s="133"/>
      <c r="NFV15" s="133"/>
      <c r="NFW15" s="133"/>
      <c r="NFX15" s="133"/>
      <c r="NFY15" s="133"/>
      <c r="NFZ15" s="133"/>
      <c r="NGA15" s="133"/>
      <c r="NGB15" s="133"/>
      <c r="NGC15" s="133"/>
      <c r="NGD15" s="133"/>
      <c r="NGE15" s="133"/>
      <c r="NGF15" s="133"/>
      <c r="NGG15" s="133"/>
      <c r="NGH15" s="133"/>
      <c r="NGI15" s="133"/>
      <c r="NGJ15" s="133"/>
      <c r="NGK15" s="133"/>
      <c r="NGL15" s="133"/>
      <c r="NGM15" s="133"/>
      <c r="NGN15" s="133"/>
      <c r="NGO15" s="133"/>
      <c r="NGP15" s="133"/>
      <c r="NGQ15" s="133"/>
      <c r="NGR15" s="133"/>
      <c r="NGS15" s="133"/>
      <c r="NGT15" s="133"/>
      <c r="NGU15" s="133"/>
      <c r="NGV15" s="133"/>
      <c r="NGW15" s="133"/>
      <c r="NGX15" s="133"/>
      <c r="NGY15" s="133"/>
      <c r="NGZ15" s="133"/>
      <c r="NHA15" s="133"/>
      <c r="NHB15" s="133"/>
      <c r="NHC15" s="133"/>
      <c r="NHD15" s="133"/>
      <c r="NHE15" s="133"/>
      <c r="NHF15" s="133"/>
      <c r="NHG15" s="133"/>
      <c r="NHH15" s="133"/>
      <c r="NHI15" s="133"/>
      <c r="NHJ15" s="133"/>
      <c r="NHK15" s="133"/>
      <c r="NHL15" s="133"/>
      <c r="NHM15" s="133"/>
      <c r="NHN15" s="133"/>
      <c r="NHO15" s="133"/>
      <c r="NHP15" s="133"/>
      <c r="NHQ15" s="133"/>
      <c r="NHR15" s="133"/>
      <c r="NHS15" s="133"/>
      <c r="NHT15" s="133"/>
      <c r="NHU15" s="133"/>
      <c r="NHV15" s="133"/>
      <c r="NHW15" s="133"/>
      <c r="NHX15" s="133"/>
      <c r="NHY15" s="133"/>
      <c r="NHZ15" s="133"/>
      <c r="NIA15" s="133"/>
      <c r="NIB15" s="133"/>
      <c r="NIC15" s="133"/>
      <c r="NID15" s="133"/>
      <c r="NIE15" s="133"/>
      <c r="NIF15" s="133"/>
      <c r="NIG15" s="133"/>
      <c r="NIH15" s="133"/>
      <c r="NII15" s="133"/>
      <c r="NIJ15" s="133"/>
      <c r="NIK15" s="133"/>
      <c r="NIL15" s="133"/>
      <c r="NIM15" s="133"/>
      <c r="NIN15" s="133"/>
      <c r="NIO15" s="133"/>
      <c r="NIP15" s="133"/>
      <c r="NIQ15" s="133"/>
      <c r="NIR15" s="133"/>
      <c r="NIS15" s="133"/>
      <c r="NIT15" s="133"/>
      <c r="NIU15" s="133"/>
      <c r="NIV15" s="133"/>
      <c r="NIW15" s="133"/>
      <c r="NIX15" s="133"/>
      <c r="NIY15" s="133"/>
      <c r="NIZ15" s="133"/>
      <c r="NJA15" s="133"/>
      <c r="NJB15" s="133"/>
      <c r="NJC15" s="133"/>
      <c r="NJD15" s="133"/>
      <c r="NJE15" s="133"/>
      <c r="NJF15" s="133"/>
      <c r="NJG15" s="133"/>
      <c r="NJH15" s="133"/>
      <c r="NJI15" s="133"/>
      <c r="NJJ15" s="133"/>
      <c r="NJK15" s="133"/>
      <c r="NJL15" s="133"/>
      <c r="NJM15" s="133"/>
      <c r="NJN15" s="133"/>
      <c r="NJO15" s="133"/>
      <c r="NJP15" s="133"/>
      <c r="NJQ15" s="133"/>
      <c r="NJR15" s="133"/>
      <c r="NJS15" s="133"/>
      <c r="NJT15" s="133"/>
      <c r="NJU15" s="133"/>
      <c r="NJV15" s="133"/>
      <c r="NJW15" s="133"/>
      <c r="NJX15" s="133"/>
      <c r="NJY15" s="133"/>
      <c r="NJZ15" s="133"/>
      <c r="NKA15" s="133"/>
      <c r="NKB15" s="133"/>
      <c r="NKC15" s="133"/>
      <c r="NKD15" s="133"/>
      <c r="NKE15" s="133"/>
      <c r="NKF15" s="133"/>
      <c r="NKG15" s="133"/>
      <c r="NKH15" s="133"/>
      <c r="NKI15" s="133"/>
      <c r="NKJ15" s="133"/>
      <c r="NKK15" s="133"/>
      <c r="NKL15" s="133"/>
      <c r="NKM15" s="133"/>
      <c r="NKN15" s="133"/>
      <c r="NKO15" s="133"/>
      <c r="NKP15" s="133"/>
      <c r="NKQ15" s="133"/>
      <c r="NKR15" s="133"/>
      <c r="NKS15" s="133"/>
      <c r="NKT15" s="133"/>
      <c r="NKU15" s="133"/>
      <c r="NKV15" s="133"/>
      <c r="NKW15" s="133"/>
      <c r="NKX15" s="133"/>
      <c r="NKY15" s="133"/>
      <c r="NKZ15" s="133"/>
      <c r="NLA15" s="133"/>
      <c r="NLB15" s="133"/>
      <c r="NLC15" s="133"/>
      <c r="NLD15" s="133"/>
      <c r="NLE15" s="133"/>
      <c r="NLF15" s="133"/>
      <c r="NLG15" s="133"/>
      <c r="NLH15" s="133"/>
      <c r="NLI15" s="133"/>
      <c r="NLJ15" s="133"/>
      <c r="NLK15" s="133"/>
      <c r="NLL15" s="133"/>
      <c r="NLM15" s="133"/>
      <c r="NLN15" s="133"/>
      <c r="NLO15" s="133"/>
      <c r="NLP15" s="133"/>
      <c r="NLQ15" s="133"/>
      <c r="NLR15" s="133"/>
      <c r="NLS15" s="133"/>
      <c r="NLT15" s="133"/>
      <c r="NLU15" s="133"/>
      <c r="NLV15" s="133"/>
      <c r="NLW15" s="133"/>
      <c r="NLX15" s="133"/>
      <c r="NLY15" s="133"/>
      <c r="NLZ15" s="133"/>
      <c r="NMA15" s="133"/>
      <c r="NMB15" s="133"/>
      <c r="NMC15" s="133"/>
      <c r="NMD15" s="133"/>
      <c r="NME15" s="133"/>
      <c r="NMF15" s="133"/>
      <c r="NMG15" s="133"/>
      <c r="NMH15" s="133"/>
      <c r="NMI15" s="133"/>
      <c r="NMJ15" s="133"/>
      <c r="NMK15" s="133"/>
      <c r="NML15" s="133"/>
      <c r="NMM15" s="133"/>
      <c r="NMN15" s="133"/>
      <c r="NMO15" s="133"/>
      <c r="NMP15" s="133"/>
      <c r="NMQ15" s="133"/>
      <c r="NMR15" s="133"/>
      <c r="NMS15" s="133"/>
      <c r="NMT15" s="133"/>
      <c r="NMU15" s="133"/>
      <c r="NMV15" s="133"/>
      <c r="NMW15" s="133"/>
      <c r="NMX15" s="133"/>
      <c r="NMY15" s="133"/>
      <c r="NMZ15" s="133"/>
      <c r="NNA15" s="133"/>
      <c r="NNB15" s="133"/>
      <c r="NNC15" s="133"/>
      <c r="NND15" s="133"/>
      <c r="NNE15" s="133"/>
      <c r="NNF15" s="133"/>
      <c r="NNG15" s="133"/>
      <c r="NNH15" s="133"/>
      <c r="NNI15" s="133"/>
      <c r="NNJ15" s="133"/>
      <c r="NNK15" s="133"/>
      <c r="NNL15" s="133"/>
      <c r="NNM15" s="133"/>
      <c r="NNN15" s="133"/>
      <c r="NNO15" s="133"/>
      <c r="NNP15" s="133"/>
      <c r="NNQ15" s="133"/>
      <c r="NNR15" s="133"/>
      <c r="NNS15" s="133"/>
      <c r="NNT15" s="133"/>
      <c r="NNU15" s="133"/>
      <c r="NNV15" s="133"/>
      <c r="NNW15" s="133"/>
      <c r="NNX15" s="133"/>
      <c r="NNY15" s="133"/>
      <c r="NNZ15" s="133"/>
      <c r="NOA15" s="133"/>
      <c r="NOB15" s="133"/>
      <c r="NOC15" s="133"/>
      <c r="NOD15" s="133"/>
      <c r="NOE15" s="133"/>
      <c r="NOF15" s="133"/>
      <c r="NOG15" s="133"/>
      <c r="NOH15" s="133"/>
      <c r="NOI15" s="133"/>
      <c r="NOJ15" s="133"/>
      <c r="NOK15" s="133"/>
      <c r="NOL15" s="133"/>
      <c r="NOM15" s="133"/>
      <c r="NON15" s="133"/>
      <c r="NOO15" s="133"/>
      <c r="NOP15" s="133"/>
      <c r="NOQ15" s="133"/>
      <c r="NOR15" s="133"/>
      <c r="NOS15" s="133"/>
      <c r="NOT15" s="133"/>
      <c r="NOU15" s="133"/>
      <c r="NOV15" s="133"/>
      <c r="NOW15" s="133"/>
      <c r="NOX15" s="133"/>
      <c r="NOY15" s="133"/>
      <c r="NOZ15" s="133"/>
      <c r="NPA15" s="133"/>
      <c r="NPB15" s="133"/>
      <c r="NPC15" s="133"/>
      <c r="NPD15" s="133"/>
      <c r="NPE15" s="133"/>
      <c r="NPF15" s="133"/>
      <c r="NPG15" s="133"/>
      <c r="NPH15" s="133"/>
      <c r="NPI15" s="133"/>
      <c r="NPJ15" s="133"/>
      <c r="NPK15" s="133"/>
      <c r="NPL15" s="133"/>
      <c r="NPM15" s="133"/>
      <c r="NPN15" s="133"/>
      <c r="NPO15" s="133"/>
      <c r="NPP15" s="133"/>
      <c r="NPQ15" s="133"/>
      <c r="NPR15" s="133"/>
      <c r="NPS15" s="133"/>
      <c r="NPT15" s="133"/>
      <c r="NPU15" s="133"/>
      <c r="NPV15" s="133"/>
      <c r="NPW15" s="133"/>
      <c r="NPX15" s="133"/>
      <c r="NPY15" s="133"/>
      <c r="NPZ15" s="133"/>
      <c r="NQA15" s="133"/>
      <c r="NQB15" s="133"/>
      <c r="NQC15" s="133"/>
      <c r="NQD15" s="133"/>
      <c r="NQE15" s="133"/>
      <c r="NQF15" s="133"/>
      <c r="NQG15" s="133"/>
      <c r="NQH15" s="133"/>
      <c r="NQI15" s="133"/>
      <c r="NQJ15" s="133"/>
      <c r="NQK15" s="133"/>
      <c r="NQL15" s="133"/>
      <c r="NQM15" s="133"/>
      <c r="NQN15" s="133"/>
      <c r="NQO15" s="133"/>
      <c r="NQP15" s="133"/>
      <c r="NQQ15" s="133"/>
      <c r="NQR15" s="133"/>
      <c r="NQS15" s="133"/>
      <c r="NQT15" s="133"/>
      <c r="NQU15" s="133"/>
      <c r="NQV15" s="133"/>
      <c r="NQW15" s="133"/>
      <c r="NQX15" s="133"/>
      <c r="NQY15" s="133"/>
      <c r="NQZ15" s="133"/>
      <c r="NRA15" s="133"/>
      <c r="NRB15" s="133"/>
      <c r="NRC15" s="133"/>
      <c r="NRD15" s="133"/>
      <c r="NRE15" s="133"/>
      <c r="NRF15" s="133"/>
      <c r="NRG15" s="133"/>
      <c r="NRH15" s="133"/>
      <c r="NRI15" s="133"/>
      <c r="NRJ15" s="133"/>
      <c r="NRK15" s="133"/>
      <c r="NRL15" s="133"/>
      <c r="NRM15" s="133"/>
      <c r="NRN15" s="133"/>
      <c r="NRO15" s="133"/>
      <c r="NRP15" s="133"/>
      <c r="NRQ15" s="133"/>
      <c r="NRR15" s="133"/>
      <c r="NRS15" s="133"/>
      <c r="NRT15" s="133"/>
      <c r="NRU15" s="133"/>
      <c r="NRV15" s="133"/>
      <c r="NRW15" s="133"/>
      <c r="NRX15" s="133"/>
      <c r="NRY15" s="133"/>
      <c r="NRZ15" s="133"/>
      <c r="NSA15" s="133"/>
      <c r="NSB15" s="133"/>
      <c r="NSC15" s="133"/>
      <c r="NSD15" s="133"/>
      <c r="NSE15" s="133"/>
      <c r="NSF15" s="133"/>
      <c r="NSG15" s="133"/>
      <c r="NSH15" s="133"/>
      <c r="NSI15" s="133"/>
      <c r="NSJ15" s="133"/>
      <c r="NSK15" s="133"/>
      <c r="NSL15" s="133"/>
      <c r="NSM15" s="133"/>
      <c r="NSN15" s="133"/>
      <c r="NSO15" s="133"/>
      <c r="NSP15" s="133"/>
      <c r="NSQ15" s="133"/>
      <c r="NSR15" s="133"/>
      <c r="NSS15" s="133"/>
      <c r="NST15" s="133"/>
      <c r="NSU15" s="133"/>
      <c r="NSV15" s="133"/>
      <c r="NSW15" s="133"/>
      <c r="NSX15" s="133"/>
      <c r="NSY15" s="133"/>
      <c r="NSZ15" s="133"/>
      <c r="NTA15" s="133"/>
      <c r="NTB15" s="133"/>
      <c r="NTC15" s="133"/>
      <c r="NTD15" s="133"/>
      <c r="NTE15" s="133"/>
      <c r="NTF15" s="133"/>
      <c r="NTG15" s="133"/>
      <c r="NTH15" s="133"/>
      <c r="NTI15" s="133"/>
      <c r="NTJ15" s="133"/>
      <c r="NTK15" s="133"/>
      <c r="NTL15" s="133"/>
      <c r="NTM15" s="133"/>
      <c r="NTN15" s="133"/>
      <c r="NTO15" s="133"/>
      <c r="NTP15" s="133"/>
      <c r="NTQ15" s="133"/>
      <c r="NTR15" s="133"/>
      <c r="NTS15" s="133"/>
      <c r="NTT15" s="133"/>
      <c r="NTU15" s="133"/>
      <c r="NTV15" s="133"/>
      <c r="NTW15" s="133"/>
      <c r="NTX15" s="133"/>
      <c r="NTY15" s="133"/>
      <c r="NTZ15" s="133"/>
      <c r="NUA15" s="133"/>
      <c r="NUB15" s="133"/>
      <c r="NUC15" s="133"/>
      <c r="NUD15" s="133"/>
      <c r="NUE15" s="133"/>
      <c r="NUF15" s="133"/>
      <c r="NUG15" s="133"/>
      <c r="NUH15" s="133"/>
      <c r="NUI15" s="133"/>
      <c r="NUJ15" s="133"/>
      <c r="NUK15" s="133"/>
      <c r="NUL15" s="133"/>
      <c r="NUM15" s="133"/>
      <c r="NUN15" s="133"/>
      <c r="NUO15" s="133"/>
      <c r="NUP15" s="133"/>
      <c r="NUQ15" s="133"/>
      <c r="NUR15" s="133"/>
      <c r="NUS15" s="133"/>
      <c r="NUT15" s="133"/>
      <c r="NUU15" s="133"/>
      <c r="NUV15" s="133"/>
      <c r="NUW15" s="133"/>
      <c r="NUX15" s="133"/>
      <c r="NUY15" s="133"/>
      <c r="NUZ15" s="133"/>
      <c r="NVA15" s="133"/>
      <c r="NVB15" s="133"/>
      <c r="NVC15" s="133"/>
      <c r="NVD15" s="133"/>
      <c r="NVE15" s="133"/>
      <c r="NVF15" s="133"/>
      <c r="NVG15" s="133"/>
      <c r="NVH15" s="133"/>
      <c r="NVI15" s="133"/>
      <c r="NVJ15" s="133"/>
      <c r="NVK15" s="133"/>
      <c r="NVL15" s="133"/>
      <c r="NVM15" s="133"/>
      <c r="NVN15" s="133"/>
      <c r="NVO15" s="133"/>
      <c r="NVP15" s="133"/>
      <c r="NVQ15" s="133"/>
      <c r="NVR15" s="133"/>
      <c r="NVS15" s="133"/>
      <c r="NVT15" s="133"/>
      <c r="NVU15" s="133"/>
      <c r="NVV15" s="133"/>
      <c r="NVW15" s="133"/>
      <c r="NVX15" s="133"/>
      <c r="NVY15" s="133"/>
      <c r="NVZ15" s="133"/>
      <c r="NWA15" s="133"/>
      <c r="NWB15" s="133"/>
      <c r="NWC15" s="133"/>
      <c r="NWD15" s="133"/>
      <c r="NWE15" s="133"/>
      <c r="NWF15" s="133"/>
      <c r="NWG15" s="133"/>
      <c r="NWH15" s="133"/>
      <c r="NWI15" s="133"/>
      <c r="NWJ15" s="133"/>
      <c r="NWK15" s="133"/>
      <c r="NWL15" s="133"/>
      <c r="NWM15" s="133"/>
      <c r="NWN15" s="133"/>
      <c r="NWO15" s="133"/>
      <c r="NWP15" s="133"/>
      <c r="NWQ15" s="133"/>
      <c r="NWR15" s="133"/>
      <c r="NWS15" s="133"/>
      <c r="NWT15" s="133"/>
      <c r="NWU15" s="133"/>
      <c r="NWV15" s="133"/>
      <c r="NWW15" s="133"/>
      <c r="NWX15" s="133"/>
      <c r="NWY15" s="133"/>
      <c r="NWZ15" s="133"/>
      <c r="NXA15" s="133"/>
      <c r="NXB15" s="133"/>
      <c r="NXC15" s="133"/>
      <c r="NXD15" s="133"/>
      <c r="NXE15" s="133"/>
      <c r="NXF15" s="133"/>
      <c r="NXG15" s="133"/>
      <c r="NXH15" s="133"/>
      <c r="NXI15" s="133"/>
      <c r="NXJ15" s="133"/>
      <c r="NXK15" s="133"/>
      <c r="NXL15" s="133"/>
      <c r="NXM15" s="133"/>
      <c r="NXN15" s="133"/>
      <c r="NXO15" s="133"/>
      <c r="NXP15" s="133"/>
      <c r="NXQ15" s="133"/>
      <c r="NXR15" s="133"/>
      <c r="NXS15" s="133"/>
      <c r="NXT15" s="133"/>
      <c r="NXU15" s="133"/>
      <c r="NXV15" s="133"/>
      <c r="NXW15" s="133"/>
      <c r="NXX15" s="133"/>
      <c r="NXY15" s="133"/>
      <c r="NXZ15" s="133"/>
      <c r="NYA15" s="133"/>
      <c r="NYB15" s="133"/>
      <c r="NYC15" s="133"/>
      <c r="NYD15" s="133"/>
      <c r="NYE15" s="133"/>
      <c r="NYF15" s="133"/>
      <c r="NYG15" s="133"/>
      <c r="NYH15" s="133"/>
      <c r="NYI15" s="133"/>
      <c r="NYJ15" s="133"/>
      <c r="NYK15" s="133"/>
      <c r="NYL15" s="133"/>
      <c r="NYM15" s="133"/>
      <c r="NYN15" s="133"/>
      <c r="NYO15" s="133"/>
      <c r="NYP15" s="133"/>
      <c r="NYQ15" s="133"/>
      <c r="NYR15" s="133"/>
      <c r="NYS15" s="133"/>
      <c r="NYT15" s="133"/>
      <c r="NYU15" s="133"/>
      <c r="NYV15" s="133"/>
      <c r="NYW15" s="133"/>
      <c r="NYX15" s="133"/>
      <c r="NYY15" s="133"/>
      <c r="NYZ15" s="133"/>
      <c r="NZA15" s="133"/>
      <c r="NZB15" s="133"/>
      <c r="NZC15" s="133"/>
      <c r="NZD15" s="133"/>
      <c r="NZE15" s="133"/>
      <c r="NZF15" s="133"/>
      <c r="NZG15" s="133"/>
      <c r="NZH15" s="133"/>
      <c r="NZI15" s="133"/>
      <c r="NZJ15" s="133"/>
      <c r="NZK15" s="133"/>
      <c r="NZL15" s="133"/>
      <c r="NZM15" s="133"/>
      <c r="NZN15" s="133"/>
      <c r="NZO15" s="133"/>
      <c r="NZP15" s="133"/>
      <c r="NZQ15" s="133"/>
      <c r="NZR15" s="133"/>
      <c r="NZS15" s="133"/>
      <c r="NZT15" s="133"/>
      <c r="NZU15" s="133"/>
      <c r="NZV15" s="133"/>
      <c r="NZW15" s="133"/>
      <c r="NZX15" s="133"/>
      <c r="NZY15" s="133"/>
      <c r="NZZ15" s="133"/>
      <c r="OAA15" s="133"/>
      <c r="OAB15" s="133"/>
      <c r="OAC15" s="133"/>
      <c r="OAD15" s="133"/>
      <c r="OAE15" s="133"/>
      <c r="OAF15" s="133"/>
      <c r="OAG15" s="133"/>
      <c r="OAH15" s="133"/>
      <c r="OAI15" s="133"/>
      <c r="OAJ15" s="133"/>
      <c r="OAK15" s="133"/>
      <c r="OAL15" s="133"/>
      <c r="OAM15" s="133"/>
      <c r="OAN15" s="133"/>
      <c r="OAO15" s="133"/>
      <c r="OAP15" s="133"/>
      <c r="OAQ15" s="133"/>
      <c r="OAR15" s="133"/>
      <c r="OAS15" s="133"/>
      <c r="OAT15" s="133"/>
      <c r="OAU15" s="133"/>
      <c r="OAV15" s="133"/>
      <c r="OAW15" s="133"/>
      <c r="OAX15" s="133"/>
      <c r="OAY15" s="133"/>
      <c r="OAZ15" s="133"/>
      <c r="OBA15" s="133"/>
      <c r="OBB15" s="133"/>
      <c r="OBC15" s="133"/>
      <c r="OBD15" s="133"/>
      <c r="OBE15" s="133"/>
      <c r="OBF15" s="133"/>
      <c r="OBG15" s="133"/>
      <c r="OBH15" s="133"/>
      <c r="OBI15" s="133"/>
      <c r="OBJ15" s="133"/>
      <c r="OBK15" s="133"/>
      <c r="OBL15" s="133"/>
      <c r="OBM15" s="133"/>
      <c r="OBN15" s="133"/>
      <c r="OBO15" s="133"/>
      <c r="OBP15" s="133"/>
      <c r="OBQ15" s="133"/>
      <c r="OBR15" s="133"/>
      <c r="OBS15" s="133"/>
      <c r="OBT15" s="133"/>
      <c r="OBU15" s="133"/>
      <c r="OBV15" s="133"/>
      <c r="OBW15" s="133"/>
      <c r="OBX15" s="133"/>
      <c r="OBY15" s="133"/>
      <c r="OBZ15" s="133"/>
      <c r="OCA15" s="133"/>
      <c r="OCB15" s="133"/>
      <c r="OCC15" s="133"/>
      <c r="OCD15" s="133"/>
      <c r="OCE15" s="133"/>
      <c r="OCF15" s="133"/>
      <c r="OCG15" s="133"/>
      <c r="OCH15" s="133"/>
      <c r="OCI15" s="133"/>
      <c r="OCJ15" s="133"/>
      <c r="OCK15" s="133"/>
      <c r="OCL15" s="133"/>
      <c r="OCM15" s="133"/>
      <c r="OCN15" s="133"/>
      <c r="OCO15" s="133"/>
      <c r="OCP15" s="133"/>
      <c r="OCQ15" s="133"/>
      <c r="OCR15" s="133"/>
      <c r="OCS15" s="133"/>
      <c r="OCT15" s="133"/>
      <c r="OCU15" s="133"/>
      <c r="OCV15" s="133"/>
      <c r="OCW15" s="133"/>
      <c r="OCX15" s="133"/>
      <c r="OCY15" s="133"/>
      <c r="OCZ15" s="133"/>
      <c r="ODA15" s="133"/>
      <c r="ODB15" s="133"/>
      <c r="ODC15" s="133"/>
      <c r="ODD15" s="133"/>
      <c r="ODE15" s="133"/>
      <c r="ODF15" s="133"/>
      <c r="ODG15" s="133"/>
      <c r="ODH15" s="133"/>
      <c r="ODI15" s="133"/>
      <c r="ODJ15" s="133"/>
      <c r="ODK15" s="133"/>
      <c r="ODL15" s="133"/>
      <c r="ODM15" s="133"/>
      <c r="ODN15" s="133"/>
      <c r="ODO15" s="133"/>
      <c r="ODP15" s="133"/>
      <c r="ODQ15" s="133"/>
      <c r="ODR15" s="133"/>
      <c r="ODS15" s="133"/>
      <c r="ODT15" s="133"/>
      <c r="ODU15" s="133"/>
      <c r="ODV15" s="133"/>
      <c r="ODW15" s="133"/>
      <c r="ODX15" s="133"/>
      <c r="ODY15" s="133"/>
      <c r="ODZ15" s="133"/>
      <c r="OEA15" s="133"/>
      <c r="OEB15" s="133"/>
      <c r="OEC15" s="133"/>
      <c r="OED15" s="133"/>
      <c r="OEE15" s="133"/>
      <c r="OEF15" s="133"/>
      <c r="OEG15" s="133"/>
      <c r="OEH15" s="133"/>
      <c r="OEI15" s="133"/>
      <c r="OEJ15" s="133"/>
      <c r="OEK15" s="133"/>
      <c r="OEL15" s="133"/>
      <c r="OEM15" s="133"/>
      <c r="OEN15" s="133"/>
      <c r="OEO15" s="133"/>
      <c r="OEP15" s="133"/>
      <c r="OEQ15" s="133"/>
      <c r="OER15" s="133"/>
      <c r="OES15" s="133"/>
      <c r="OET15" s="133"/>
      <c r="OEU15" s="133"/>
      <c r="OEV15" s="133"/>
      <c r="OEW15" s="133"/>
      <c r="OEX15" s="133"/>
      <c r="OEY15" s="133"/>
      <c r="OEZ15" s="133"/>
      <c r="OFA15" s="133"/>
      <c r="OFB15" s="133"/>
      <c r="OFC15" s="133"/>
      <c r="OFD15" s="133"/>
      <c r="OFE15" s="133"/>
      <c r="OFF15" s="133"/>
      <c r="OFG15" s="133"/>
      <c r="OFH15" s="133"/>
      <c r="OFI15" s="133"/>
      <c r="OFJ15" s="133"/>
      <c r="OFK15" s="133"/>
      <c r="OFL15" s="133"/>
      <c r="OFM15" s="133"/>
      <c r="OFN15" s="133"/>
      <c r="OFO15" s="133"/>
      <c r="OFP15" s="133"/>
      <c r="OFQ15" s="133"/>
      <c r="OFR15" s="133"/>
      <c r="OFS15" s="133"/>
      <c r="OFT15" s="133"/>
      <c r="OFU15" s="133"/>
      <c r="OFV15" s="133"/>
      <c r="OFW15" s="133"/>
      <c r="OFX15" s="133"/>
      <c r="OFY15" s="133"/>
      <c r="OFZ15" s="133"/>
      <c r="OGA15" s="133"/>
      <c r="OGB15" s="133"/>
      <c r="OGC15" s="133"/>
      <c r="OGD15" s="133"/>
      <c r="OGE15" s="133"/>
      <c r="OGF15" s="133"/>
      <c r="OGG15" s="133"/>
      <c r="OGH15" s="133"/>
      <c r="OGI15" s="133"/>
      <c r="OGJ15" s="133"/>
      <c r="OGK15" s="133"/>
      <c r="OGL15" s="133"/>
      <c r="OGM15" s="133"/>
      <c r="OGN15" s="133"/>
      <c r="OGO15" s="133"/>
      <c r="OGP15" s="133"/>
      <c r="OGQ15" s="133"/>
      <c r="OGR15" s="133"/>
      <c r="OGS15" s="133"/>
      <c r="OGT15" s="133"/>
      <c r="OGU15" s="133"/>
      <c r="OGV15" s="133"/>
      <c r="OGW15" s="133"/>
      <c r="OGX15" s="133"/>
      <c r="OGY15" s="133"/>
      <c r="OGZ15" s="133"/>
      <c r="OHA15" s="133"/>
      <c r="OHB15" s="133"/>
      <c r="OHC15" s="133"/>
      <c r="OHD15" s="133"/>
      <c r="OHE15" s="133"/>
      <c r="OHF15" s="133"/>
      <c r="OHG15" s="133"/>
      <c r="OHH15" s="133"/>
      <c r="OHI15" s="133"/>
      <c r="OHJ15" s="133"/>
      <c r="OHK15" s="133"/>
      <c r="OHL15" s="133"/>
      <c r="OHM15" s="133"/>
      <c r="OHN15" s="133"/>
      <c r="OHO15" s="133"/>
      <c r="OHP15" s="133"/>
      <c r="OHQ15" s="133"/>
      <c r="OHR15" s="133"/>
      <c r="OHS15" s="133"/>
      <c r="OHT15" s="133"/>
      <c r="OHU15" s="133"/>
      <c r="OHV15" s="133"/>
      <c r="OHW15" s="133"/>
      <c r="OHX15" s="133"/>
      <c r="OHY15" s="133"/>
      <c r="OHZ15" s="133"/>
      <c r="OIA15" s="133"/>
      <c r="OIB15" s="133"/>
      <c r="OIC15" s="133"/>
      <c r="OID15" s="133"/>
      <c r="OIE15" s="133"/>
      <c r="OIF15" s="133"/>
      <c r="OIG15" s="133"/>
      <c r="OIH15" s="133"/>
      <c r="OII15" s="133"/>
      <c r="OIJ15" s="133"/>
      <c r="OIK15" s="133"/>
      <c r="OIL15" s="133"/>
      <c r="OIM15" s="133"/>
      <c r="OIN15" s="133"/>
      <c r="OIO15" s="133"/>
      <c r="OIP15" s="133"/>
      <c r="OIQ15" s="133"/>
      <c r="OIR15" s="133"/>
      <c r="OIS15" s="133"/>
      <c r="OIT15" s="133"/>
      <c r="OIU15" s="133"/>
      <c r="OIV15" s="133"/>
      <c r="OIW15" s="133"/>
      <c r="OIX15" s="133"/>
      <c r="OIY15" s="133"/>
      <c r="OIZ15" s="133"/>
      <c r="OJA15" s="133"/>
      <c r="OJB15" s="133"/>
      <c r="OJC15" s="133"/>
      <c r="OJD15" s="133"/>
      <c r="OJE15" s="133"/>
      <c r="OJF15" s="133"/>
      <c r="OJG15" s="133"/>
      <c r="OJH15" s="133"/>
      <c r="OJI15" s="133"/>
      <c r="OJJ15" s="133"/>
      <c r="OJK15" s="133"/>
      <c r="OJL15" s="133"/>
      <c r="OJM15" s="133"/>
      <c r="OJN15" s="133"/>
      <c r="OJO15" s="133"/>
      <c r="OJP15" s="133"/>
      <c r="OJQ15" s="133"/>
      <c r="OJR15" s="133"/>
      <c r="OJS15" s="133"/>
      <c r="OJT15" s="133"/>
      <c r="OJU15" s="133"/>
      <c r="OJV15" s="133"/>
      <c r="OJW15" s="133"/>
      <c r="OJX15" s="133"/>
      <c r="OJY15" s="133"/>
      <c r="OJZ15" s="133"/>
      <c r="OKA15" s="133"/>
      <c r="OKB15" s="133"/>
      <c r="OKC15" s="133"/>
      <c r="OKD15" s="133"/>
      <c r="OKE15" s="133"/>
      <c r="OKF15" s="133"/>
      <c r="OKG15" s="133"/>
      <c r="OKH15" s="133"/>
      <c r="OKI15" s="133"/>
      <c r="OKJ15" s="133"/>
      <c r="OKK15" s="133"/>
      <c r="OKL15" s="133"/>
      <c r="OKM15" s="133"/>
      <c r="OKN15" s="133"/>
      <c r="OKO15" s="133"/>
      <c r="OKP15" s="133"/>
      <c r="OKQ15" s="133"/>
      <c r="OKR15" s="133"/>
      <c r="OKS15" s="133"/>
      <c r="OKT15" s="133"/>
      <c r="OKU15" s="133"/>
      <c r="OKV15" s="133"/>
      <c r="OKW15" s="133"/>
      <c r="OKX15" s="133"/>
      <c r="OKY15" s="133"/>
      <c r="OKZ15" s="133"/>
      <c r="OLA15" s="133"/>
      <c r="OLB15" s="133"/>
      <c r="OLC15" s="133"/>
      <c r="OLD15" s="133"/>
      <c r="OLE15" s="133"/>
      <c r="OLF15" s="133"/>
      <c r="OLG15" s="133"/>
      <c r="OLH15" s="133"/>
      <c r="OLI15" s="133"/>
      <c r="OLJ15" s="133"/>
      <c r="OLK15" s="133"/>
      <c r="OLL15" s="133"/>
      <c r="OLM15" s="133"/>
      <c r="OLN15" s="133"/>
      <c r="OLO15" s="133"/>
      <c r="OLP15" s="133"/>
      <c r="OLQ15" s="133"/>
      <c r="OLR15" s="133"/>
      <c r="OLS15" s="133"/>
      <c r="OLT15" s="133"/>
      <c r="OLU15" s="133"/>
      <c r="OLV15" s="133"/>
      <c r="OLW15" s="133"/>
      <c r="OLX15" s="133"/>
      <c r="OLY15" s="133"/>
      <c r="OLZ15" s="133"/>
      <c r="OMA15" s="133"/>
      <c r="OMB15" s="133"/>
      <c r="OMC15" s="133"/>
      <c r="OMD15" s="133"/>
      <c r="OME15" s="133"/>
      <c r="OMF15" s="133"/>
      <c r="OMG15" s="133"/>
      <c r="OMH15" s="133"/>
      <c r="OMI15" s="133"/>
      <c r="OMJ15" s="133"/>
      <c r="OMK15" s="133"/>
      <c r="OML15" s="133"/>
      <c r="OMM15" s="133"/>
      <c r="OMN15" s="133"/>
      <c r="OMO15" s="133"/>
      <c r="OMP15" s="133"/>
      <c r="OMQ15" s="133"/>
      <c r="OMR15" s="133"/>
      <c r="OMS15" s="133"/>
      <c r="OMT15" s="133"/>
      <c r="OMU15" s="133"/>
      <c r="OMV15" s="133"/>
      <c r="OMW15" s="133"/>
      <c r="OMX15" s="133"/>
      <c r="OMY15" s="133"/>
      <c r="OMZ15" s="133"/>
      <c r="ONA15" s="133"/>
      <c r="ONB15" s="133"/>
      <c r="ONC15" s="133"/>
      <c r="OND15" s="133"/>
      <c r="ONE15" s="133"/>
      <c r="ONF15" s="133"/>
      <c r="ONG15" s="133"/>
      <c r="ONH15" s="133"/>
      <c r="ONI15" s="133"/>
      <c r="ONJ15" s="133"/>
      <c r="ONK15" s="133"/>
      <c r="ONL15" s="133"/>
      <c r="ONM15" s="133"/>
      <c r="ONN15" s="133"/>
      <c r="ONO15" s="133"/>
      <c r="ONP15" s="133"/>
      <c r="ONQ15" s="133"/>
      <c r="ONR15" s="133"/>
      <c r="ONS15" s="133"/>
      <c r="ONT15" s="133"/>
      <c r="ONU15" s="133"/>
      <c r="ONV15" s="133"/>
      <c r="ONW15" s="133"/>
      <c r="ONX15" s="133"/>
      <c r="ONY15" s="133"/>
      <c r="ONZ15" s="133"/>
      <c r="OOA15" s="133"/>
      <c r="OOB15" s="133"/>
      <c r="OOC15" s="133"/>
      <c r="OOD15" s="133"/>
      <c r="OOE15" s="133"/>
      <c r="OOF15" s="133"/>
      <c r="OOG15" s="133"/>
      <c r="OOH15" s="133"/>
      <c r="OOI15" s="133"/>
      <c r="OOJ15" s="133"/>
      <c r="OOK15" s="133"/>
      <c r="OOL15" s="133"/>
      <c r="OOM15" s="133"/>
      <c r="OON15" s="133"/>
      <c r="OOO15" s="133"/>
      <c r="OOP15" s="133"/>
      <c r="OOQ15" s="133"/>
      <c r="OOR15" s="133"/>
      <c r="OOS15" s="133"/>
      <c r="OOT15" s="133"/>
      <c r="OOU15" s="133"/>
      <c r="OOV15" s="133"/>
      <c r="OOW15" s="133"/>
      <c r="OOX15" s="133"/>
      <c r="OOY15" s="133"/>
      <c r="OOZ15" s="133"/>
      <c r="OPA15" s="133"/>
      <c r="OPB15" s="133"/>
      <c r="OPC15" s="133"/>
      <c r="OPD15" s="133"/>
      <c r="OPE15" s="133"/>
      <c r="OPF15" s="133"/>
      <c r="OPG15" s="133"/>
      <c r="OPH15" s="133"/>
      <c r="OPI15" s="133"/>
      <c r="OPJ15" s="133"/>
      <c r="OPK15" s="133"/>
      <c r="OPL15" s="133"/>
      <c r="OPM15" s="133"/>
      <c r="OPN15" s="133"/>
      <c r="OPO15" s="133"/>
      <c r="OPP15" s="133"/>
      <c r="OPQ15" s="133"/>
      <c r="OPR15" s="133"/>
      <c r="OPS15" s="133"/>
      <c r="OPT15" s="133"/>
      <c r="OPU15" s="133"/>
      <c r="OPV15" s="133"/>
      <c r="OPW15" s="133"/>
      <c r="OPX15" s="133"/>
      <c r="OPY15" s="133"/>
      <c r="OPZ15" s="133"/>
      <c r="OQA15" s="133"/>
      <c r="OQB15" s="133"/>
      <c r="OQC15" s="133"/>
      <c r="OQD15" s="133"/>
      <c r="OQE15" s="133"/>
      <c r="OQF15" s="133"/>
      <c r="OQG15" s="133"/>
      <c r="OQH15" s="133"/>
      <c r="OQI15" s="133"/>
      <c r="OQJ15" s="133"/>
      <c r="OQK15" s="133"/>
      <c r="OQL15" s="133"/>
      <c r="OQM15" s="133"/>
      <c r="OQN15" s="133"/>
      <c r="OQO15" s="133"/>
      <c r="OQP15" s="133"/>
      <c r="OQQ15" s="133"/>
      <c r="OQR15" s="133"/>
      <c r="OQS15" s="133"/>
      <c r="OQT15" s="133"/>
      <c r="OQU15" s="133"/>
      <c r="OQV15" s="133"/>
      <c r="OQW15" s="133"/>
      <c r="OQX15" s="133"/>
      <c r="OQY15" s="133"/>
      <c r="OQZ15" s="133"/>
      <c r="ORA15" s="133"/>
      <c r="ORB15" s="133"/>
      <c r="ORC15" s="133"/>
      <c r="ORD15" s="133"/>
      <c r="ORE15" s="133"/>
      <c r="ORF15" s="133"/>
      <c r="ORG15" s="133"/>
      <c r="ORH15" s="133"/>
      <c r="ORI15" s="133"/>
      <c r="ORJ15" s="133"/>
      <c r="ORK15" s="133"/>
      <c r="ORL15" s="133"/>
      <c r="ORM15" s="133"/>
      <c r="ORN15" s="133"/>
      <c r="ORO15" s="133"/>
      <c r="ORP15" s="133"/>
      <c r="ORQ15" s="133"/>
      <c r="ORR15" s="133"/>
      <c r="ORS15" s="133"/>
      <c r="ORT15" s="133"/>
      <c r="ORU15" s="133"/>
      <c r="ORV15" s="133"/>
      <c r="ORW15" s="133"/>
      <c r="ORX15" s="133"/>
      <c r="ORY15" s="133"/>
      <c r="ORZ15" s="133"/>
      <c r="OSA15" s="133"/>
      <c r="OSB15" s="133"/>
      <c r="OSC15" s="133"/>
      <c r="OSD15" s="133"/>
      <c r="OSE15" s="133"/>
      <c r="OSF15" s="133"/>
      <c r="OSG15" s="133"/>
      <c r="OSH15" s="133"/>
      <c r="OSI15" s="133"/>
      <c r="OSJ15" s="133"/>
      <c r="OSK15" s="133"/>
      <c r="OSL15" s="133"/>
      <c r="OSM15" s="133"/>
      <c r="OSN15" s="133"/>
      <c r="OSO15" s="133"/>
      <c r="OSP15" s="133"/>
      <c r="OSQ15" s="133"/>
      <c r="OSR15" s="133"/>
      <c r="OSS15" s="133"/>
      <c r="OST15" s="133"/>
      <c r="OSU15" s="133"/>
      <c r="OSV15" s="133"/>
      <c r="OSW15" s="133"/>
      <c r="OSX15" s="133"/>
      <c r="OSY15" s="133"/>
      <c r="OSZ15" s="133"/>
      <c r="OTA15" s="133"/>
      <c r="OTB15" s="133"/>
      <c r="OTC15" s="133"/>
      <c r="OTD15" s="133"/>
      <c r="OTE15" s="133"/>
      <c r="OTF15" s="133"/>
      <c r="OTG15" s="133"/>
      <c r="OTH15" s="133"/>
      <c r="OTI15" s="133"/>
      <c r="OTJ15" s="133"/>
      <c r="OTK15" s="133"/>
      <c r="OTL15" s="133"/>
      <c r="OTM15" s="133"/>
      <c r="OTN15" s="133"/>
      <c r="OTO15" s="133"/>
      <c r="OTP15" s="133"/>
      <c r="OTQ15" s="133"/>
      <c r="OTR15" s="133"/>
      <c r="OTS15" s="133"/>
      <c r="OTT15" s="133"/>
      <c r="OTU15" s="133"/>
      <c r="OTV15" s="133"/>
      <c r="OTW15" s="133"/>
      <c r="OTX15" s="133"/>
      <c r="OTY15" s="133"/>
      <c r="OTZ15" s="133"/>
      <c r="OUA15" s="133"/>
      <c r="OUB15" s="133"/>
      <c r="OUC15" s="133"/>
      <c r="OUD15" s="133"/>
      <c r="OUE15" s="133"/>
      <c r="OUF15" s="133"/>
      <c r="OUG15" s="133"/>
      <c r="OUH15" s="133"/>
      <c r="OUI15" s="133"/>
      <c r="OUJ15" s="133"/>
      <c r="OUK15" s="133"/>
      <c r="OUL15" s="133"/>
      <c r="OUM15" s="133"/>
      <c r="OUN15" s="133"/>
      <c r="OUO15" s="133"/>
      <c r="OUP15" s="133"/>
      <c r="OUQ15" s="133"/>
      <c r="OUR15" s="133"/>
      <c r="OUS15" s="133"/>
      <c r="OUT15" s="133"/>
      <c r="OUU15" s="133"/>
      <c r="OUV15" s="133"/>
      <c r="OUW15" s="133"/>
      <c r="OUX15" s="133"/>
      <c r="OUY15" s="133"/>
      <c r="OUZ15" s="133"/>
      <c r="OVA15" s="133"/>
      <c r="OVB15" s="133"/>
      <c r="OVC15" s="133"/>
      <c r="OVD15" s="133"/>
      <c r="OVE15" s="133"/>
      <c r="OVF15" s="133"/>
      <c r="OVG15" s="133"/>
      <c r="OVH15" s="133"/>
      <c r="OVI15" s="133"/>
      <c r="OVJ15" s="133"/>
      <c r="OVK15" s="133"/>
      <c r="OVL15" s="133"/>
      <c r="OVM15" s="133"/>
      <c r="OVN15" s="133"/>
      <c r="OVO15" s="133"/>
      <c r="OVP15" s="133"/>
      <c r="OVQ15" s="133"/>
      <c r="OVR15" s="133"/>
      <c r="OVS15" s="133"/>
      <c r="OVT15" s="133"/>
      <c r="OVU15" s="133"/>
      <c r="OVV15" s="133"/>
      <c r="OVW15" s="133"/>
      <c r="OVX15" s="133"/>
      <c r="OVY15" s="133"/>
      <c r="OVZ15" s="133"/>
      <c r="OWA15" s="133"/>
      <c r="OWB15" s="133"/>
      <c r="OWC15" s="133"/>
      <c r="OWD15" s="133"/>
      <c r="OWE15" s="133"/>
      <c r="OWF15" s="133"/>
      <c r="OWG15" s="133"/>
      <c r="OWH15" s="133"/>
      <c r="OWI15" s="133"/>
      <c r="OWJ15" s="133"/>
      <c r="OWK15" s="133"/>
      <c r="OWL15" s="133"/>
      <c r="OWM15" s="133"/>
      <c r="OWN15" s="133"/>
      <c r="OWO15" s="133"/>
      <c r="OWP15" s="133"/>
      <c r="OWQ15" s="133"/>
      <c r="OWR15" s="133"/>
      <c r="OWS15" s="133"/>
      <c r="OWT15" s="133"/>
      <c r="OWU15" s="133"/>
      <c r="OWV15" s="133"/>
      <c r="OWW15" s="133"/>
      <c r="OWX15" s="133"/>
      <c r="OWY15" s="133"/>
      <c r="OWZ15" s="133"/>
      <c r="OXA15" s="133"/>
      <c r="OXB15" s="133"/>
      <c r="OXC15" s="133"/>
      <c r="OXD15" s="133"/>
      <c r="OXE15" s="133"/>
      <c r="OXF15" s="133"/>
      <c r="OXG15" s="133"/>
      <c r="OXH15" s="133"/>
      <c r="OXI15" s="133"/>
      <c r="OXJ15" s="133"/>
      <c r="OXK15" s="133"/>
      <c r="OXL15" s="133"/>
      <c r="OXM15" s="133"/>
      <c r="OXN15" s="133"/>
      <c r="OXO15" s="133"/>
      <c r="OXP15" s="133"/>
      <c r="OXQ15" s="133"/>
      <c r="OXR15" s="133"/>
      <c r="OXS15" s="133"/>
      <c r="OXT15" s="133"/>
      <c r="OXU15" s="133"/>
      <c r="OXV15" s="133"/>
      <c r="OXW15" s="133"/>
      <c r="OXX15" s="133"/>
      <c r="OXY15" s="133"/>
      <c r="OXZ15" s="133"/>
      <c r="OYA15" s="133"/>
      <c r="OYB15" s="133"/>
      <c r="OYC15" s="133"/>
      <c r="OYD15" s="133"/>
      <c r="OYE15" s="133"/>
      <c r="OYF15" s="133"/>
      <c r="OYG15" s="133"/>
      <c r="OYH15" s="133"/>
      <c r="OYI15" s="133"/>
      <c r="OYJ15" s="133"/>
      <c r="OYK15" s="133"/>
      <c r="OYL15" s="133"/>
      <c r="OYM15" s="133"/>
      <c r="OYN15" s="133"/>
      <c r="OYO15" s="133"/>
      <c r="OYP15" s="133"/>
      <c r="OYQ15" s="133"/>
      <c r="OYR15" s="133"/>
      <c r="OYS15" s="133"/>
      <c r="OYT15" s="133"/>
      <c r="OYU15" s="133"/>
      <c r="OYV15" s="133"/>
      <c r="OYW15" s="133"/>
      <c r="OYX15" s="133"/>
      <c r="OYY15" s="133"/>
      <c r="OYZ15" s="133"/>
      <c r="OZA15" s="133"/>
      <c r="OZB15" s="133"/>
      <c r="OZC15" s="133"/>
      <c r="OZD15" s="133"/>
      <c r="OZE15" s="133"/>
      <c r="OZF15" s="133"/>
      <c r="OZG15" s="133"/>
      <c r="OZH15" s="133"/>
      <c r="OZI15" s="133"/>
      <c r="OZJ15" s="133"/>
      <c r="OZK15" s="133"/>
      <c r="OZL15" s="133"/>
      <c r="OZM15" s="133"/>
      <c r="OZN15" s="133"/>
      <c r="OZO15" s="133"/>
      <c r="OZP15" s="133"/>
      <c r="OZQ15" s="133"/>
      <c r="OZR15" s="133"/>
      <c r="OZS15" s="133"/>
      <c r="OZT15" s="133"/>
      <c r="OZU15" s="133"/>
      <c r="OZV15" s="133"/>
      <c r="OZW15" s="133"/>
      <c r="OZX15" s="133"/>
      <c r="OZY15" s="133"/>
      <c r="OZZ15" s="133"/>
      <c r="PAA15" s="133"/>
      <c r="PAB15" s="133"/>
      <c r="PAC15" s="133"/>
      <c r="PAD15" s="133"/>
      <c r="PAE15" s="133"/>
      <c r="PAF15" s="133"/>
      <c r="PAG15" s="133"/>
      <c r="PAH15" s="133"/>
      <c r="PAI15" s="133"/>
      <c r="PAJ15" s="133"/>
      <c r="PAK15" s="133"/>
      <c r="PAL15" s="133"/>
      <c r="PAM15" s="133"/>
      <c r="PAN15" s="133"/>
      <c r="PAO15" s="133"/>
      <c r="PAP15" s="133"/>
      <c r="PAQ15" s="133"/>
      <c r="PAR15" s="133"/>
      <c r="PAS15" s="133"/>
      <c r="PAT15" s="133"/>
      <c r="PAU15" s="133"/>
      <c r="PAV15" s="133"/>
      <c r="PAW15" s="133"/>
      <c r="PAX15" s="133"/>
      <c r="PAY15" s="133"/>
      <c r="PAZ15" s="133"/>
      <c r="PBA15" s="133"/>
      <c r="PBB15" s="133"/>
      <c r="PBC15" s="133"/>
      <c r="PBD15" s="133"/>
      <c r="PBE15" s="133"/>
      <c r="PBF15" s="133"/>
      <c r="PBG15" s="133"/>
      <c r="PBH15" s="133"/>
      <c r="PBI15" s="133"/>
      <c r="PBJ15" s="133"/>
      <c r="PBK15" s="133"/>
      <c r="PBL15" s="133"/>
      <c r="PBM15" s="133"/>
      <c r="PBN15" s="133"/>
      <c r="PBO15" s="133"/>
      <c r="PBP15" s="133"/>
      <c r="PBQ15" s="133"/>
      <c r="PBR15" s="133"/>
      <c r="PBS15" s="133"/>
      <c r="PBT15" s="133"/>
      <c r="PBU15" s="133"/>
      <c r="PBV15" s="133"/>
      <c r="PBW15" s="133"/>
      <c r="PBX15" s="133"/>
      <c r="PBY15" s="133"/>
      <c r="PBZ15" s="133"/>
      <c r="PCA15" s="133"/>
      <c r="PCB15" s="133"/>
      <c r="PCC15" s="133"/>
      <c r="PCD15" s="133"/>
      <c r="PCE15" s="133"/>
      <c r="PCF15" s="133"/>
      <c r="PCG15" s="133"/>
      <c r="PCH15" s="133"/>
      <c r="PCI15" s="133"/>
      <c r="PCJ15" s="133"/>
      <c r="PCK15" s="133"/>
      <c r="PCL15" s="133"/>
      <c r="PCM15" s="133"/>
      <c r="PCN15" s="133"/>
      <c r="PCO15" s="133"/>
      <c r="PCP15" s="133"/>
      <c r="PCQ15" s="133"/>
      <c r="PCR15" s="133"/>
      <c r="PCS15" s="133"/>
      <c r="PCT15" s="133"/>
      <c r="PCU15" s="133"/>
      <c r="PCV15" s="133"/>
      <c r="PCW15" s="133"/>
      <c r="PCX15" s="133"/>
      <c r="PCY15" s="133"/>
      <c r="PCZ15" s="133"/>
      <c r="PDA15" s="133"/>
      <c r="PDB15" s="133"/>
      <c r="PDC15" s="133"/>
      <c r="PDD15" s="133"/>
      <c r="PDE15" s="133"/>
      <c r="PDF15" s="133"/>
      <c r="PDG15" s="133"/>
      <c r="PDH15" s="133"/>
      <c r="PDI15" s="133"/>
      <c r="PDJ15" s="133"/>
      <c r="PDK15" s="133"/>
      <c r="PDL15" s="133"/>
      <c r="PDM15" s="133"/>
      <c r="PDN15" s="133"/>
      <c r="PDO15" s="133"/>
      <c r="PDP15" s="133"/>
      <c r="PDQ15" s="133"/>
      <c r="PDR15" s="133"/>
      <c r="PDS15" s="133"/>
      <c r="PDT15" s="133"/>
      <c r="PDU15" s="133"/>
      <c r="PDV15" s="133"/>
      <c r="PDW15" s="133"/>
      <c r="PDX15" s="133"/>
      <c r="PDY15" s="133"/>
      <c r="PDZ15" s="133"/>
      <c r="PEA15" s="133"/>
      <c r="PEB15" s="133"/>
      <c r="PEC15" s="133"/>
      <c r="PED15" s="133"/>
      <c r="PEE15" s="133"/>
      <c r="PEF15" s="133"/>
      <c r="PEG15" s="133"/>
      <c r="PEH15" s="133"/>
      <c r="PEI15" s="133"/>
      <c r="PEJ15" s="133"/>
      <c r="PEK15" s="133"/>
      <c r="PEL15" s="133"/>
      <c r="PEM15" s="133"/>
      <c r="PEN15" s="133"/>
      <c r="PEO15" s="133"/>
      <c r="PEP15" s="133"/>
      <c r="PEQ15" s="133"/>
      <c r="PER15" s="133"/>
      <c r="PES15" s="133"/>
      <c r="PET15" s="133"/>
      <c r="PEU15" s="133"/>
      <c r="PEV15" s="133"/>
      <c r="PEW15" s="133"/>
      <c r="PEX15" s="133"/>
      <c r="PEY15" s="133"/>
      <c r="PEZ15" s="133"/>
      <c r="PFA15" s="133"/>
      <c r="PFB15" s="133"/>
      <c r="PFC15" s="133"/>
      <c r="PFD15" s="133"/>
      <c r="PFE15" s="133"/>
      <c r="PFF15" s="133"/>
      <c r="PFG15" s="133"/>
      <c r="PFH15" s="133"/>
      <c r="PFI15" s="133"/>
      <c r="PFJ15" s="133"/>
      <c r="PFK15" s="133"/>
      <c r="PFL15" s="133"/>
      <c r="PFM15" s="133"/>
      <c r="PFN15" s="133"/>
      <c r="PFO15" s="133"/>
      <c r="PFP15" s="133"/>
      <c r="PFQ15" s="133"/>
      <c r="PFR15" s="133"/>
      <c r="PFS15" s="133"/>
      <c r="PFT15" s="133"/>
      <c r="PFU15" s="133"/>
      <c r="PFV15" s="133"/>
      <c r="PFW15" s="133"/>
      <c r="PFX15" s="133"/>
      <c r="PFY15" s="133"/>
      <c r="PFZ15" s="133"/>
      <c r="PGA15" s="133"/>
      <c r="PGB15" s="133"/>
      <c r="PGC15" s="133"/>
      <c r="PGD15" s="133"/>
      <c r="PGE15" s="133"/>
      <c r="PGF15" s="133"/>
      <c r="PGG15" s="133"/>
      <c r="PGH15" s="133"/>
      <c r="PGI15" s="133"/>
      <c r="PGJ15" s="133"/>
      <c r="PGK15" s="133"/>
      <c r="PGL15" s="133"/>
      <c r="PGM15" s="133"/>
      <c r="PGN15" s="133"/>
      <c r="PGO15" s="133"/>
      <c r="PGP15" s="133"/>
      <c r="PGQ15" s="133"/>
      <c r="PGR15" s="133"/>
      <c r="PGS15" s="133"/>
      <c r="PGT15" s="133"/>
      <c r="PGU15" s="133"/>
      <c r="PGV15" s="133"/>
      <c r="PGW15" s="133"/>
      <c r="PGX15" s="133"/>
      <c r="PGY15" s="133"/>
      <c r="PGZ15" s="133"/>
      <c r="PHA15" s="133"/>
      <c r="PHB15" s="133"/>
      <c r="PHC15" s="133"/>
      <c r="PHD15" s="133"/>
      <c r="PHE15" s="133"/>
      <c r="PHF15" s="133"/>
      <c r="PHG15" s="133"/>
      <c r="PHH15" s="133"/>
      <c r="PHI15" s="133"/>
      <c r="PHJ15" s="133"/>
      <c r="PHK15" s="133"/>
      <c r="PHL15" s="133"/>
      <c r="PHM15" s="133"/>
      <c r="PHN15" s="133"/>
      <c r="PHO15" s="133"/>
      <c r="PHP15" s="133"/>
      <c r="PHQ15" s="133"/>
      <c r="PHR15" s="133"/>
      <c r="PHS15" s="133"/>
      <c r="PHT15" s="133"/>
      <c r="PHU15" s="133"/>
      <c r="PHV15" s="133"/>
      <c r="PHW15" s="133"/>
      <c r="PHX15" s="133"/>
      <c r="PHY15" s="133"/>
      <c r="PHZ15" s="133"/>
      <c r="PIA15" s="133"/>
      <c r="PIB15" s="133"/>
      <c r="PIC15" s="133"/>
      <c r="PID15" s="133"/>
      <c r="PIE15" s="133"/>
      <c r="PIF15" s="133"/>
      <c r="PIG15" s="133"/>
      <c r="PIH15" s="133"/>
      <c r="PII15" s="133"/>
      <c r="PIJ15" s="133"/>
      <c r="PIK15" s="133"/>
      <c r="PIL15" s="133"/>
      <c r="PIM15" s="133"/>
      <c r="PIN15" s="133"/>
      <c r="PIO15" s="133"/>
      <c r="PIP15" s="133"/>
      <c r="PIQ15" s="133"/>
      <c r="PIR15" s="133"/>
      <c r="PIS15" s="133"/>
      <c r="PIT15" s="133"/>
      <c r="PIU15" s="133"/>
      <c r="PIV15" s="133"/>
      <c r="PIW15" s="133"/>
      <c r="PIX15" s="133"/>
      <c r="PIY15" s="133"/>
      <c r="PIZ15" s="133"/>
      <c r="PJA15" s="133"/>
      <c r="PJB15" s="133"/>
      <c r="PJC15" s="133"/>
      <c r="PJD15" s="133"/>
      <c r="PJE15" s="133"/>
      <c r="PJF15" s="133"/>
      <c r="PJG15" s="133"/>
      <c r="PJH15" s="133"/>
      <c r="PJI15" s="133"/>
      <c r="PJJ15" s="133"/>
      <c r="PJK15" s="133"/>
      <c r="PJL15" s="133"/>
      <c r="PJM15" s="133"/>
      <c r="PJN15" s="133"/>
      <c r="PJO15" s="133"/>
      <c r="PJP15" s="133"/>
      <c r="PJQ15" s="133"/>
      <c r="PJR15" s="133"/>
      <c r="PJS15" s="133"/>
      <c r="PJT15" s="133"/>
      <c r="PJU15" s="133"/>
      <c r="PJV15" s="133"/>
      <c r="PJW15" s="133"/>
      <c r="PJX15" s="133"/>
      <c r="PJY15" s="133"/>
      <c r="PJZ15" s="133"/>
      <c r="PKA15" s="133"/>
      <c r="PKB15" s="133"/>
      <c r="PKC15" s="133"/>
      <c r="PKD15" s="133"/>
      <c r="PKE15" s="133"/>
      <c r="PKF15" s="133"/>
      <c r="PKG15" s="133"/>
      <c r="PKH15" s="133"/>
      <c r="PKI15" s="133"/>
      <c r="PKJ15" s="133"/>
      <c r="PKK15" s="133"/>
      <c r="PKL15" s="133"/>
      <c r="PKM15" s="133"/>
      <c r="PKN15" s="133"/>
      <c r="PKO15" s="133"/>
      <c r="PKP15" s="133"/>
      <c r="PKQ15" s="133"/>
      <c r="PKR15" s="133"/>
      <c r="PKS15" s="133"/>
      <c r="PKT15" s="133"/>
      <c r="PKU15" s="133"/>
      <c r="PKV15" s="133"/>
      <c r="PKW15" s="133"/>
      <c r="PKX15" s="133"/>
      <c r="PKY15" s="133"/>
      <c r="PKZ15" s="133"/>
      <c r="PLA15" s="133"/>
      <c r="PLB15" s="133"/>
      <c r="PLC15" s="133"/>
      <c r="PLD15" s="133"/>
      <c r="PLE15" s="133"/>
      <c r="PLF15" s="133"/>
      <c r="PLG15" s="133"/>
      <c r="PLH15" s="133"/>
      <c r="PLI15" s="133"/>
      <c r="PLJ15" s="133"/>
      <c r="PLK15" s="133"/>
      <c r="PLL15" s="133"/>
      <c r="PLM15" s="133"/>
      <c r="PLN15" s="133"/>
      <c r="PLO15" s="133"/>
      <c r="PLP15" s="133"/>
      <c r="PLQ15" s="133"/>
      <c r="PLR15" s="133"/>
      <c r="PLS15" s="133"/>
      <c r="PLT15" s="133"/>
      <c r="PLU15" s="133"/>
      <c r="PLV15" s="133"/>
      <c r="PLW15" s="133"/>
      <c r="PLX15" s="133"/>
      <c r="PLY15" s="133"/>
      <c r="PLZ15" s="133"/>
      <c r="PMA15" s="133"/>
      <c r="PMB15" s="133"/>
      <c r="PMC15" s="133"/>
      <c r="PMD15" s="133"/>
      <c r="PME15" s="133"/>
      <c r="PMF15" s="133"/>
      <c r="PMG15" s="133"/>
      <c r="PMH15" s="133"/>
      <c r="PMI15" s="133"/>
      <c r="PMJ15" s="133"/>
      <c r="PMK15" s="133"/>
      <c r="PML15" s="133"/>
      <c r="PMM15" s="133"/>
      <c r="PMN15" s="133"/>
      <c r="PMO15" s="133"/>
      <c r="PMP15" s="133"/>
      <c r="PMQ15" s="133"/>
      <c r="PMR15" s="133"/>
      <c r="PMS15" s="133"/>
      <c r="PMT15" s="133"/>
      <c r="PMU15" s="133"/>
      <c r="PMV15" s="133"/>
      <c r="PMW15" s="133"/>
      <c r="PMX15" s="133"/>
      <c r="PMY15" s="133"/>
      <c r="PMZ15" s="133"/>
      <c r="PNA15" s="133"/>
      <c r="PNB15" s="133"/>
      <c r="PNC15" s="133"/>
      <c r="PND15" s="133"/>
      <c r="PNE15" s="133"/>
      <c r="PNF15" s="133"/>
      <c r="PNG15" s="133"/>
      <c r="PNH15" s="133"/>
      <c r="PNI15" s="133"/>
      <c r="PNJ15" s="133"/>
      <c r="PNK15" s="133"/>
      <c r="PNL15" s="133"/>
      <c r="PNM15" s="133"/>
      <c r="PNN15" s="133"/>
      <c r="PNO15" s="133"/>
      <c r="PNP15" s="133"/>
      <c r="PNQ15" s="133"/>
      <c r="PNR15" s="133"/>
      <c r="PNS15" s="133"/>
      <c r="PNT15" s="133"/>
      <c r="PNU15" s="133"/>
      <c r="PNV15" s="133"/>
      <c r="PNW15" s="133"/>
      <c r="PNX15" s="133"/>
      <c r="PNY15" s="133"/>
      <c r="PNZ15" s="133"/>
      <c r="POA15" s="133"/>
      <c r="POB15" s="133"/>
      <c r="POC15" s="133"/>
      <c r="POD15" s="133"/>
      <c r="POE15" s="133"/>
      <c r="POF15" s="133"/>
      <c r="POG15" s="133"/>
      <c r="POH15" s="133"/>
      <c r="POI15" s="133"/>
      <c r="POJ15" s="133"/>
      <c r="POK15" s="133"/>
      <c r="POL15" s="133"/>
      <c r="POM15" s="133"/>
      <c r="PON15" s="133"/>
      <c r="POO15" s="133"/>
      <c r="POP15" s="133"/>
      <c r="POQ15" s="133"/>
      <c r="POR15" s="133"/>
      <c r="POS15" s="133"/>
      <c r="POT15" s="133"/>
      <c r="POU15" s="133"/>
      <c r="POV15" s="133"/>
      <c r="POW15" s="133"/>
      <c r="POX15" s="133"/>
      <c r="POY15" s="133"/>
      <c r="POZ15" s="133"/>
      <c r="PPA15" s="133"/>
      <c r="PPB15" s="133"/>
      <c r="PPC15" s="133"/>
      <c r="PPD15" s="133"/>
      <c r="PPE15" s="133"/>
      <c r="PPF15" s="133"/>
      <c r="PPG15" s="133"/>
      <c r="PPH15" s="133"/>
      <c r="PPI15" s="133"/>
      <c r="PPJ15" s="133"/>
      <c r="PPK15" s="133"/>
      <c r="PPL15" s="133"/>
      <c r="PPM15" s="133"/>
      <c r="PPN15" s="133"/>
      <c r="PPO15" s="133"/>
      <c r="PPP15" s="133"/>
      <c r="PPQ15" s="133"/>
      <c r="PPR15" s="133"/>
      <c r="PPS15" s="133"/>
      <c r="PPT15" s="133"/>
      <c r="PPU15" s="133"/>
      <c r="PPV15" s="133"/>
      <c r="PPW15" s="133"/>
      <c r="PPX15" s="133"/>
      <c r="PPY15" s="133"/>
      <c r="PPZ15" s="133"/>
      <c r="PQA15" s="133"/>
      <c r="PQB15" s="133"/>
      <c r="PQC15" s="133"/>
      <c r="PQD15" s="133"/>
      <c r="PQE15" s="133"/>
      <c r="PQF15" s="133"/>
      <c r="PQG15" s="133"/>
      <c r="PQH15" s="133"/>
      <c r="PQI15" s="133"/>
      <c r="PQJ15" s="133"/>
      <c r="PQK15" s="133"/>
      <c r="PQL15" s="133"/>
      <c r="PQM15" s="133"/>
      <c r="PQN15" s="133"/>
      <c r="PQO15" s="133"/>
      <c r="PQP15" s="133"/>
      <c r="PQQ15" s="133"/>
      <c r="PQR15" s="133"/>
      <c r="PQS15" s="133"/>
      <c r="PQT15" s="133"/>
      <c r="PQU15" s="133"/>
      <c r="PQV15" s="133"/>
      <c r="PQW15" s="133"/>
      <c r="PQX15" s="133"/>
      <c r="PQY15" s="133"/>
      <c r="PQZ15" s="133"/>
      <c r="PRA15" s="133"/>
      <c r="PRB15" s="133"/>
      <c r="PRC15" s="133"/>
      <c r="PRD15" s="133"/>
      <c r="PRE15" s="133"/>
      <c r="PRF15" s="133"/>
      <c r="PRG15" s="133"/>
      <c r="PRH15" s="133"/>
      <c r="PRI15" s="133"/>
      <c r="PRJ15" s="133"/>
      <c r="PRK15" s="133"/>
      <c r="PRL15" s="133"/>
      <c r="PRM15" s="133"/>
      <c r="PRN15" s="133"/>
      <c r="PRO15" s="133"/>
      <c r="PRP15" s="133"/>
      <c r="PRQ15" s="133"/>
      <c r="PRR15" s="133"/>
      <c r="PRS15" s="133"/>
      <c r="PRT15" s="133"/>
      <c r="PRU15" s="133"/>
      <c r="PRV15" s="133"/>
      <c r="PRW15" s="133"/>
      <c r="PRX15" s="133"/>
      <c r="PRY15" s="133"/>
      <c r="PRZ15" s="133"/>
      <c r="PSA15" s="133"/>
      <c r="PSB15" s="133"/>
      <c r="PSC15" s="133"/>
      <c r="PSD15" s="133"/>
      <c r="PSE15" s="133"/>
      <c r="PSF15" s="133"/>
      <c r="PSG15" s="133"/>
      <c r="PSH15" s="133"/>
      <c r="PSI15" s="133"/>
      <c r="PSJ15" s="133"/>
      <c r="PSK15" s="133"/>
      <c r="PSL15" s="133"/>
      <c r="PSM15" s="133"/>
      <c r="PSN15" s="133"/>
      <c r="PSO15" s="133"/>
      <c r="PSP15" s="133"/>
      <c r="PSQ15" s="133"/>
      <c r="PSR15" s="133"/>
      <c r="PSS15" s="133"/>
      <c r="PST15" s="133"/>
      <c r="PSU15" s="133"/>
      <c r="PSV15" s="133"/>
      <c r="PSW15" s="133"/>
      <c r="PSX15" s="133"/>
      <c r="PSY15" s="133"/>
      <c r="PSZ15" s="133"/>
      <c r="PTA15" s="133"/>
      <c r="PTB15" s="133"/>
      <c r="PTC15" s="133"/>
      <c r="PTD15" s="133"/>
      <c r="PTE15" s="133"/>
      <c r="PTF15" s="133"/>
      <c r="PTG15" s="133"/>
      <c r="PTH15" s="133"/>
      <c r="PTI15" s="133"/>
      <c r="PTJ15" s="133"/>
      <c r="PTK15" s="133"/>
      <c r="PTL15" s="133"/>
      <c r="PTM15" s="133"/>
      <c r="PTN15" s="133"/>
      <c r="PTO15" s="133"/>
      <c r="PTP15" s="133"/>
      <c r="PTQ15" s="133"/>
      <c r="PTR15" s="133"/>
      <c r="PTS15" s="133"/>
      <c r="PTT15" s="133"/>
      <c r="PTU15" s="133"/>
      <c r="PTV15" s="133"/>
      <c r="PTW15" s="133"/>
      <c r="PTX15" s="133"/>
      <c r="PTY15" s="133"/>
      <c r="PTZ15" s="133"/>
      <c r="PUA15" s="133"/>
      <c r="PUB15" s="133"/>
      <c r="PUC15" s="133"/>
      <c r="PUD15" s="133"/>
      <c r="PUE15" s="133"/>
      <c r="PUF15" s="133"/>
      <c r="PUG15" s="133"/>
      <c r="PUH15" s="133"/>
      <c r="PUI15" s="133"/>
      <c r="PUJ15" s="133"/>
      <c r="PUK15" s="133"/>
      <c r="PUL15" s="133"/>
      <c r="PUM15" s="133"/>
      <c r="PUN15" s="133"/>
      <c r="PUO15" s="133"/>
      <c r="PUP15" s="133"/>
      <c r="PUQ15" s="133"/>
      <c r="PUR15" s="133"/>
      <c r="PUS15" s="133"/>
      <c r="PUT15" s="133"/>
      <c r="PUU15" s="133"/>
      <c r="PUV15" s="133"/>
      <c r="PUW15" s="133"/>
      <c r="PUX15" s="133"/>
      <c r="PUY15" s="133"/>
      <c r="PUZ15" s="133"/>
      <c r="PVA15" s="133"/>
      <c r="PVB15" s="133"/>
      <c r="PVC15" s="133"/>
      <c r="PVD15" s="133"/>
      <c r="PVE15" s="133"/>
      <c r="PVF15" s="133"/>
      <c r="PVG15" s="133"/>
      <c r="PVH15" s="133"/>
      <c r="PVI15" s="133"/>
      <c r="PVJ15" s="133"/>
      <c r="PVK15" s="133"/>
      <c r="PVL15" s="133"/>
      <c r="PVM15" s="133"/>
      <c r="PVN15" s="133"/>
      <c r="PVO15" s="133"/>
      <c r="PVP15" s="133"/>
      <c r="PVQ15" s="133"/>
      <c r="PVR15" s="133"/>
      <c r="PVS15" s="133"/>
      <c r="PVT15" s="133"/>
      <c r="PVU15" s="133"/>
      <c r="PVV15" s="133"/>
      <c r="PVW15" s="133"/>
      <c r="PVX15" s="133"/>
      <c r="PVY15" s="133"/>
      <c r="PVZ15" s="133"/>
      <c r="PWA15" s="133"/>
      <c r="PWB15" s="133"/>
      <c r="PWC15" s="133"/>
      <c r="PWD15" s="133"/>
      <c r="PWE15" s="133"/>
      <c r="PWF15" s="133"/>
      <c r="PWG15" s="133"/>
      <c r="PWH15" s="133"/>
      <c r="PWI15" s="133"/>
      <c r="PWJ15" s="133"/>
      <c r="PWK15" s="133"/>
      <c r="PWL15" s="133"/>
      <c r="PWM15" s="133"/>
      <c r="PWN15" s="133"/>
      <c r="PWO15" s="133"/>
      <c r="PWP15" s="133"/>
      <c r="PWQ15" s="133"/>
      <c r="PWR15" s="133"/>
      <c r="PWS15" s="133"/>
      <c r="PWT15" s="133"/>
      <c r="PWU15" s="133"/>
      <c r="PWV15" s="133"/>
      <c r="PWW15" s="133"/>
      <c r="PWX15" s="133"/>
      <c r="PWY15" s="133"/>
      <c r="PWZ15" s="133"/>
      <c r="PXA15" s="133"/>
      <c r="PXB15" s="133"/>
      <c r="PXC15" s="133"/>
      <c r="PXD15" s="133"/>
      <c r="PXE15" s="133"/>
      <c r="PXF15" s="133"/>
      <c r="PXG15" s="133"/>
      <c r="PXH15" s="133"/>
      <c r="PXI15" s="133"/>
      <c r="PXJ15" s="133"/>
      <c r="PXK15" s="133"/>
      <c r="PXL15" s="133"/>
      <c r="PXM15" s="133"/>
      <c r="PXN15" s="133"/>
      <c r="PXO15" s="133"/>
      <c r="PXP15" s="133"/>
      <c r="PXQ15" s="133"/>
      <c r="PXR15" s="133"/>
      <c r="PXS15" s="133"/>
      <c r="PXT15" s="133"/>
      <c r="PXU15" s="133"/>
      <c r="PXV15" s="133"/>
      <c r="PXW15" s="133"/>
      <c r="PXX15" s="133"/>
      <c r="PXY15" s="133"/>
      <c r="PXZ15" s="133"/>
      <c r="PYA15" s="133"/>
      <c r="PYB15" s="133"/>
      <c r="PYC15" s="133"/>
      <c r="PYD15" s="133"/>
      <c r="PYE15" s="133"/>
      <c r="PYF15" s="133"/>
      <c r="PYG15" s="133"/>
      <c r="PYH15" s="133"/>
      <c r="PYI15" s="133"/>
      <c r="PYJ15" s="133"/>
      <c r="PYK15" s="133"/>
      <c r="PYL15" s="133"/>
      <c r="PYM15" s="133"/>
      <c r="PYN15" s="133"/>
      <c r="PYO15" s="133"/>
      <c r="PYP15" s="133"/>
      <c r="PYQ15" s="133"/>
      <c r="PYR15" s="133"/>
      <c r="PYS15" s="133"/>
      <c r="PYT15" s="133"/>
      <c r="PYU15" s="133"/>
      <c r="PYV15" s="133"/>
      <c r="PYW15" s="133"/>
      <c r="PYX15" s="133"/>
      <c r="PYY15" s="133"/>
      <c r="PYZ15" s="133"/>
      <c r="PZA15" s="133"/>
      <c r="PZB15" s="133"/>
      <c r="PZC15" s="133"/>
      <c r="PZD15" s="133"/>
      <c r="PZE15" s="133"/>
      <c r="PZF15" s="133"/>
      <c r="PZG15" s="133"/>
      <c r="PZH15" s="133"/>
      <c r="PZI15" s="133"/>
      <c r="PZJ15" s="133"/>
      <c r="PZK15" s="133"/>
      <c r="PZL15" s="133"/>
      <c r="PZM15" s="133"/>
      <c r="PZN15" s="133"/>
      <c r="PZO15" s="133"/>
      <c r="PZP15" s="133"/>
      <c r="PZQ15" s="133"/>
      <c r="PZR15" s="133"/>
      <c r="PZS15" s="133"/>
      <c r="PZT15" s="133"/>
      <c r="PZU15" s="133"/>
      <c r="PZV15" s="133"/>
      <c r="PZW15" s="133"/>
      <c r="PZX15" s="133"/>
      <c r="PZY15" s="133"/>
      <c r="PZZ15" s="133"/>
      <c r="QAA15" s="133"/>
      <c r="QAB15" s="133"/>
      <c r="QAC15" s="133"/>
      <c r="QAD15" s="133"/>
      <c r="QAE15" s="133"/>
      <c r="QAF15" s="133"/>
      <c r="QAG15" s="133"/>
      <c r="QAH15" s="133"/>
      <c r="QAI15" s="133"/>
      <c r="QAJ15" s="133"/>
      <c r="QAK15" s="133"/>
      <c r="QAL15" s="133"/>
      <c r="QAM15" s="133"/>
      <c r="QAN15" s="133"/>
      <c r="QAO15" s="133"/>
      <c r="QAP15" s="133"/>
      <c r="QAQ15" s="133"/>
      <c r="QAR15" s="133"/>
      <c r="QAS15" s="133"/>
      <c r="QAT15" s="133"/>
      <c r="QAU15" s="133"/>
      <c r="QAV15" s="133"/>
      <c r="QAW15" s="133"/>
      <c r="QAX15" s="133"/>
      <c r="QAY15" s="133"/>
      <c r="QAZ15" s="133"/>
      <c r="QBA15" s="133"/>
      <c r="QBB15" s="133"/>
      <c r="QBC15" s="133"/>
      <c r="QBD15" s="133"/>
      <c r="QBE15" s="133"/>
      <c r="QBF15" s="133"/>
      <c r="QBG15" s="133"/>
      <c r="QBH15" s="133"/>
      <c r="QBI15" s="133"/>
      <c r="QBJ15" s="133"/>
      <c r="QBK15" s="133"/>
      <c r="QBL15" s="133"/>
      <c r="QBM15" s="133"/>
      <c r="QBN15" s="133"/>
      <c r="QBO15" s="133"/>
      <c r="QBP15" s="133"/>
      <c r="QBQ15" s="133"/>
      <c r="QBR15" s="133"/>
      <c r="QBS15" s="133"/>
      <c r="QBT15" s="133"/>
      <c r="QBU15" s="133"/>
      <c r="QBV15" s="133"/>
      <c r="QBW15" s="133"/>
      <c r="QBX15" s="133"/>
      <c r="QBY15" s="133"/>
      <c r="QBZ15" s="133"/>
      <c r="QCA15" s="133"/>
      <c r="QCB15" s="133"/>
      <c r="QCC15" s="133"/>
      <c r="QCD15" s="133"/>
      <c r="QCE15" s="133"/>
      <c r="QCF15" s="133"/>
      <c r="QCG15" s="133"/>
      <c r="QCH15" s="133"/>
      <c r="QCI15" s="133"/>
      <c r="QCJ15" s="133"/>
      <c r="QCK15" s="133"/>
      <c r="QCL15" s="133"/>
      <c r="QCM15" s="133"/>
      <c r="QCN15" s="133"/>
      <c r="QCO15" s="133"/>
      <c r="QCP15" s="133"/>
      <c r="QCQ15" s="133"/>
      <c r="QCR15" s="133"/>
      <c r="QCS15" s="133"/>
      <c r="QCT15" s="133"/>
      <c r="QCU15" s="133"/>
      <c r="QCV15" s="133"/>
      <c r="QCW15" s="133"/>
      <c r="QCX15" s="133"/>
      <c r="QCY15" s="133"/>
      <c r="QCZ15" s="133"/>
      <c r="QDA15" s="133"/>
      <c r="QDB15" s="133"/>
      <c r="QDC15" s="133"/>
      <c r="QDD15" s="133"/>
      <c r="QDE15" s="133"/>
      <c r="QDF15" s="133"/>
      <c r="QDG15" s="133"/>
      <c r="QDH15" s="133"/>
      <c r="QDI15" s="133"/>
      <c r="QDJ15" s="133"/>
      <c r="QDK15" s="133"/>
      <c r="QDL15" s="133"/>
      <c r="QDM15" s="133"/>
      <c r="QDN15" s="133"/>
      <c r="QDO15" s="133"/>
      <c r="QDP15" s="133"/>
      <c r="QDQ15" s="133"/>
      <c r="QDR15" s="133"/>
      <c r="QDS15" s="133"/>
      <c r="QDT15" s="133"/>
      <c r="QDU15" s="133"/>
      <c r="QDV15" s="133"/>
      <c r="QDW15" s="133"/>
      <c r="QDX15" s="133"/>
      <c r="QDY15" s="133"/>
      <c r="QDZ15" s="133"/>
      <c r="QEA15" s="133"/>
      <c r="QEB15" s="133"/>
      <c r="QEC15" s="133"/>
      <c r="QED15" s="133"/>
      <c r="QEE15" s="133"/>
      <c r="QEF15" s="133"/>
      <c r="QEG15" s="133"/>
      <c r="QEH15" s="133"/>
      <c r="QEI15" s="133"/>
      <c r="QEJ15" s="133"/>
      <c r="QEK15" s="133"/>
      <c r="QEL15" s="133"/>
      <c r="QEM15" s="133"/>
      <c r="QEN15" s="133"/>
      <c r="QEO15" s="133"/>
      <c r="QEP15" s="133"/>
      <c r="QEQ15" s="133"/>
      <c r="QER15" s="133"/>
      <c r="QES15" s="133"/>
      <c r="QET15" s="133"/>
      <c r="QEU15" s="133"/>
      <c r="QEV15" s="133"/>
      <c r="QEW15" s="133"/>
      <c r="QEX15" s="133"/>
      <c r="QEY15" s="133"/>
      <c r="QEZ15" s="133"/>
      <c r="QFA15" s="133"/>
      <c r="QFB15" s="133"/>
      <c r="QFC15" s="133"/>
      <c r="QFD15" s="133"/>
      <c r="QFE15" s="133"/>
      <c r="QFF15" s="133"/>
      <c r="QFG15" s="133"/>
      <c r="QFH15" s="133"/>
      <c r="QFI15" s="133"/>
      <c r="QFJ15" s="133"/>
      <c r="QFK15" s="133"/>
      <c r="QFL15" s="133"/>
      <c r="QFM15" s="133"/>
      <c r="QFN15" s="133"/>
      <c r="QFO15" s="133"/>
      <c r="QFP15" s="133"/>
      <c r="QFQ15" s="133"/>
      <c r="QFR15" s="133"/>
      <c r="QFS15" s="133"/>
      <c r="QFT15" s="133"/>
      <c r="QFU15" s="133"/>
      <c r="QFV15" s="133"/>
      <c r="QFW15" s="133"/>
      <c r="QFX15" s="133"/>
      <c r="QFY15" s="133"/>
      <c r="QFZ15" s="133"/>
      <c r="QGA15" s="133"/>
      <c r="QGB15" s="133"/>
      <c r="QGC15" s="133"/>
      <c r="QGD15" s="133"/>
      <c r="QGE15" s="133"/>
      <c r="QGF15" s="133"/>
      <c r="QGG15" s="133"/>
      <c r="QGH15" s="133"/>
      <c r="QGI15" s="133"/>
      <c r="QGJ15" s="133"/>
      <c r="QGK15" s="133"/>
      <c r="QGL15" s="133"/>
      <c r="QGM15" s="133"/>
      <c r="QGN15" s="133"/>
      <c r="QGO15" s="133"/>
      <c r="QGP15" s="133"/>
      <c r="QGQ15" s="133"/>
      <c r="QGR15" s="133"/>
      <c r="QGS15" s="133"/>
      <c r="QGT15" s="133"/>
      <c r="QGU15" s="133"/>
      <c r="QGV15" s="133"/>
      <c r="QGW15" s="133"/>
      <c r="QGX15" s="133"/>
      <c r="QGY15" s="133"/>
      <c r="QGZ15" s="133"/>
      <c r="QHA15" s="133"/>
      <c r="QHB15" s="133"/>
      <c r="QHC15" s="133"/>
      <c r="QHD15" s="133"/>
      <c r="QHE15" s="133"/>
      <c r="QHF15" s="133"/>
      <c r="QHG15" s="133"/>
      <c r="QHH15" s="133"/>
      <c r="QHI15" s="133"/>
      <c r="QHJ15" s="133"/>
      <c r="QHK15" s="133"/>
      <c r="QHL15" s="133"/>
      <c r="QHM15" s="133"/>
      <c r="QHN15" s="133"/>
      <c r="QHO15" s="133"/>
      <c r="QHP15" s="133"/>
      <c r="QHQ15" s="133"/>
      <c r="QHR15" s="133"/>
      <c r="QHS15" s="133"/>
      <c r="QHT15" s="133"/>
      <c r="QHU15" s="133"/>
      <c r="QHV15" s="133"/>
      <c r="QHW15" s="133"/>
      <c r="QHX15" s="133"/>
      <c r="QHY15" s="133"/>
      <c r="QHZ15" s="133"/>
      <c r="QIA15" s="133"/>
      <c r="QIB15" s="133"/>
      <c r="QIC15" s="133"/>
      <c r="QID15" s="133"/>
      <c r="QIE15" s="133"/>
      <c r="QIF15" s="133"/>
      <c r="QIG15" s="133"/>
      <c r="QIH15" s="133"/>
      <c r="QII15" s="133"/>
      <c r="QIJ15" s="133"/>
      <c r="QIK15" s="133"/>
      <c r="QIL15" s="133"/>
      <c r="QIM15" s="133"/>
      <c r="QIN15" s="133"/>
      <c r="QIO15" s="133"/>
      <c r="QIP15" s="133"/>
      <c r="QIQ15" s="133"/>
      <c r="QIR15" s="133"/>
      <c r="QIS15" s="133"/>
      <c r="QIT15" s="133"/>
      <c r="QIU15" s="133"/>
      <c r="QIV15" s="133"/>
      <c r="QIW15" s="133"/>
      <c r="QIX15" s="133"/>
      <c r="QIY15" s="133"/>
      <c r="QIZ15" s="133"/>
      <c r="QJA15" s="133"/>
      <c r="QJB15" s="133"/>
      <c r="QJC15" s="133"/>
      <c r="QJD15" s="133"/>
      <c r="QJE15" s="133"/>
      <c r="QJF15" s="133"/>
      <c r="QJG15" s="133"/>
      <c r="QJH15" s="133"/>
      <c r="QJI15" s="133"/>
      <c r="QJJ15" s="133"/>
      <c r="QJK15" s="133"/>
      <c r="QJL15" s="133"/>
      <c r="QJM15" s="133"/>
      <c r="QJN15" s="133"/>
      <c r="QJO15" s="133"/>
      <c r="QJP15" s="133"/>
      <c r="QJQ15" s="133"/>
      <c r="QJR15" s="133"/>
      <c r="QJS15" s="133"/>
      <c r="QJT15" s="133"/>
      <c r="QJU15" s="133"/>
      <c r="QJV15" s="133"/>
      <c r="QJW15" s="133"/>
      <c r="QJX15" s="133"/>
      <c r="QJY15" s="133"/>
      <c r="QJZ15" s="133"/>
      <c r="QKA15" s="133"/>
      <c r="QKB15" s="133"/>
      <c r="QKC15" s="133"/>
      <c r="QKD15" s="133"/>
      <c r="QKE15" s="133"/>
      <c r="QKF15" s="133"/>
      <c r="QKG15" s="133"/>
      <c r="QKH15" s="133"/>
      <c r="QKI15" s="133"/>
      <c r="QKJ15" s="133"/>
      <c r="QKK15" s="133"/>
      <c r="QKL15" s="133"/>
      <c r="QKM15" s="133"/>
      <c r="QKN15" s="133"/>
      <c r="QKO15" s="133"/>
      <c r="QKP15" s="133"/>
      <c r="QKQ15" s="133"/>
      <c r="QKR15" s="133"/>
      <c r="QKS15" s="133"/>
      <c r="QKT15" s="133"/>
      <c r="QKU15" s="133"/>
      <c r="QKV15" s="133"/>
      <c r="QKW15" s="133"/>
      <c r="QKX15" s="133"/>
      <c r="QKY15" s="133"/>
      <c r="QKZ15" s="133"/>
      <c r="QLA15" s="133"/>
      <c r="QLB15" s="133"/>
      <c r="QLC15" s="133"/>
      <c r="QLD15" s="133"/>
      <c r="QLE15" s="133"/>
      <c r="QLF15" s="133"/>
      <c r="QLG15" s="133"/>
      <c r="QLH15" s="133"/>
      <c r="QLI15" s="133"/>
      <c r="QLJ15" s="133"/>
      <c r="QLK15" s="133"/>
      <c r="QLL15" s="133"/>
      <c r="QLM15" s="133"/>
      <c r="QLN15" s="133"/>
      <c r="QLO15" s="133"/>
      <c r="QLP15" s="133"/>
      <c r="QLQ15" s="133"/>
      <c r="QLR15" s="133"/>
      <c r="QLS15" s="133"/>
      <c r="QLT15" s="133"/>
      <c r="QLU15" s="133"/>
      <c r="QLV15" s="133"/>
      <c r="QLW15" s="133"/>
      <c r="QLX15" s="133"/>
      <c r="QLY15" s="133"/>
      <c r="QLZ15" s="133"/>
      <c r="QMA15" s="133"/>
      <c r="QMB15" s="133"/>
      <c r="QMC15" s="133"/>
      <c r="QMD15" s="133"/>
      <c r="QME15" s="133"/>
      <c r="QMF15" s="133"/>
      <c r="QMG15" s="133"/>
      <c r="QMH15" s="133"/>
      <c r="QMI15" s="133"/>
      <c r="QMJ15" s="133"/>
      <c r="QMK15" s="133"/>
      <c r="QML15" s="133"/>
      <c r="QMM15" s="133"/>
      <c r="QMN15" s="133"/>
      <c r="QMO15" s="133"/>
      <c r="QMP15" s="133"/>
      <c r="QMQ15" s="133"/>
      <c r="QMR15" s="133"/>
      <c r="QMS15" s="133"/>
      <c r="QMT15" s="133"/>
      <c r="QMU15" s="133"/>
      <c r="QMV15" s="133"/>
      <c r="QMW15" s="133"/>
      <c r="QMX15" s="133"/>
      <c r="QMY15" s="133"/>
      <c r="QMZ15" s="133"/>
      <c r="QNA15" s="133"/>
      <c r="QNB15" s="133"/>
      <c r="QNC15" s="133"/>
      <c r="QND15" s="133"/>
      <c r="QNE15" s="133"/>
      <c r="QNF15" s="133"/>
      <c r="QNG15" s="133"/>
      <c r="QNH15" s="133"/>
      <c r="QNI15" s="133"/>
      <c r="QNJ15" s="133"/>
      <c r="QNK15" s="133"/>
      <c r="QNL15" s="133"/>
      <c r="QNM15" s="133"/>
      <c r="QNN15" s="133"/>
      <c r="QNO15" s="133"/>
      <c r="QNP15" s="133"/>
      <c r="QNQ15" s="133"/>
      <c r="QNR15" s="133"/>
      <c r="QNS15" s="133"/>
      <c r="QNT15" s="133"/>
      <c r="QNU15" s="133"/>
      <c r="QNV15" s="133"/>
      <c r="QNW15" s="133"/>
      <c r="QNX15" s="133"/>
      <c r="QNY15" s="133"/>
      <c r="QNZ15" s="133"/>
      <c r="QOA15" s="133"/>
      <c r="QOB15" s="133"/>
      <c r="QOC15" s="133"/>
      <c r="QOD15" s="133"/>
      <c r="QOE15" s="133"/>
      <c r="QOF15" s="133"/>
      <c r="QOG15" s="133"/>
      <c r="QOH15" s="133"/>
      <c r="QOI15" s="133"/>
      <c r="QOJ15" s="133"/>
      <c r="QOK15" s="133"/>
      <c r="QOL15" s="133"/>
      <c r="QOM15" s="133"/>
      <c r="QON15" s="133"/>
      <c r="QOO15" s="133"/>
      <c r="QOP15" s="133"/>
      <c r="QOQ15" s="133"/>
      <c r="QOR15" s="133"/>
      <c r="QOS15" s="133"/>
      <c r="QOT15" s="133"/>
      <c r="QOU15" s="133"/>
      <c r="QOV15" s="133"/>
      <c r="QOW15" s="133"/>
      <c r="QOX15" s="133"/>
      <c r="QOY15" s="133"/>
      <c r="QOZ15" s="133"/>
      <c r="QPA15" s="133"/>
      <c r="QPB15" s="133"/>
      <c r="QPC15" s="133"/>
      <c r="QPD15" s="133"/>
      <c r="QPE15" s="133"/>
      <c r="QPF15" s="133"/>
      <c r="QPG15" s="133"/>
      <c r="QPH15" s="133"/>
      <c r="QPI15" s="133"/>
      <c r="QPJ15" s="133"/>
      <c r="QPK15" s="133"/>
      <c r="QPL15" s="133"/>
      <c r="QPM15" s="133"/>
      <c r="QPN15" s="133"/>
      <c r="QPO15" s="133"/>
      <c r="QPP15" s="133"/>
      <c r="QPQ15" s="133"/>
      <c r="QPR15" s="133"/>
      <c r="QPS15" s="133"/>
      <c r="QPT15" s="133"/>
      <c r="QPU15" s="133"/>
      <c r="QPV15" s="133"/>
      <c r="QPW15" s="133"/>
      <c r="QPX15" s="133"/>
      <c r="QPY15" s="133"/>
      <c r="QPZ15" s="133"/>
      <c r="QQA15" s="133"/>
      <c r="QQB15" s="133"/>
      <c r="QQC15" s="133"/>
      <c r="QQD15" s="133"/>
      <c r="QQE15" s="133"/>
      <c r="QQF15" s="133"/>
      <c r="QQG15" s="133"/>
      <c r="QQH15" s="133"/>
      <c r="QQI15" s="133"/>
      <c r="QQJ15" s="133"/>
      <c r="QQK15" s="133"/>
      <c r="QQL15" s="133"/>
      <c r="QQM15" s="133"/>
      <c r="QQN15" s="133"/>
      <c r="QQO15" s="133"/>
      <c r="QQP15" s="133"/>
      <c r="QQQ15" s="133"/>
      <c r="QQR15" s="133"/>
      <c r="QQS15" s="133"/>
      <c r="QQT15" s="133"/>
      <c r="QQU15" s="133"/>
      <c r="QQV15" s="133"/>
      <c r="QQW15" s="133"/>
      <c r="QQX15" s="133"/>
      <c r="QQY15" s="133"/>
      <c r="QQZ15" s="133"/>
      <c r="QRA15" s="133"/>
      <c r="QRB15" s="133"/>
      <c r="QRC15" s="133"/>
      <c r="QRD15" s="133"/>
      <c r="QRE15" s="133"/>
      <c r="QRF15" s="133"/>
      <c r="QRG15" s="133"/>
      <c r="QRH15" s="133"/>
      <c r="QRI15" s="133"/>
      <c r="QRJ15" s="133"/>
      <c r="QRK15" s="133"/>
      <c r="QRL15" s="133"/>
      <c r="QRM15" s="133"/>
      <c r="QRN15" s="133"/>
      <c r="QRO15" s="133"/>
      <c r="QRP15" s="133"/>
      <c r="QRQ15" s="133"/>
      <c r="QRR15" s="133"/>
      <c r="QRS15" s="133"/>
      <c r="QRT15" s="133"/>
      <c r="QRU15" s="133"/>
      <c r="QRV15" s="133"/>
      <c r="QRW15" s="133"/>
      <c r="QRX15" s="133"/>
      <c r="QRY15" s="133"/>
      <c r="QRZ15" s="133"/>
      <c r="QSA15" s="133"/>
      <c r="QSB15" s="133"/>
      <c r="QSC15" s="133"/>
      <c r="QSD15" s="133"/>
      <c r="QSE15" s="133"/>
      <c r="QSF15" s="133"/>
      <c r="QSG15" s="133"/>
      <c r="QSH15" s="133"/>
      <c r="QSI15" s="133"/>
      <c r="QSJ15" s="133"/>
      <c r="QSK15" s="133"/>
      <c r="QSL15" s="133"/>
      <c r="QSM15" s="133"/>
      <c r="QSN15" s="133"/>
      <c r="QSO15" s="133"/>
      <c r="QSP15" s="133"/>
      <c r="QSQ15" s="133"/>
      <c r="QSR15" s="133"/>
      <c r="QSS15" s="133"/>
      <c r="QST15" s="133"/>
      <c r="QSU15" s="133"/>
      <c r="QSV15" s="133"/>
      <c r="QSW15" s="133"/>
      <c r="QSX15" s="133"/>
      <c r="QSY15" s="133"/>
      <c r="QSZ15" s="133"/>
      <c r="QTA15" s="133"/>
      <c r="QTB15" s="133"/>
      <c r="QTC15" s="133"/>
      <c r="QTD15" s="133"/>
      <c r="QTE15" s="133"/>
      <c r="QTF15" s="133"/>
      <c r="QTG15" s="133"/>
      <c r="QTH15" s="133"/>
      <c r="QTI15" s="133"/>
      <c r="QTJ15" s="133"/>
      <c r="QTK15" s="133"/>
      <c r="QTL15" s="133"/>
      <c r="QTM15" s="133"/>
      <c r="QTN15" s="133"/>
      <c r="QTO15" s="133"/>
      <c r="QTP15" s="133"/>
      <c r="QTQ15" s="133"/>
      <c r="QTR15" s="133"/>
      <c r="QTS15" s="133"/>
      <c r="QTT15" s="133"/>
      <c r="QTU15" s="133"/>
      <c r="QTV15" s="133"/>
      <c r="QTW15" s="133"/>
      <c r="QTX15" s="133"/>
      <c r="QTY15" s="133"/>
      <c r="QTZ15" s="133"/>
      <c r="QUA15" s="133"/>
      <c r="QUB15" s="133"/>
      <c r="QUC15" s="133"/>
      <c r="QUD15" s="133"/>
      <c r="QUE15" s="133"/>
      <c r="QUF15" s="133"/>
      <c r="QUG15" s="133"/>
      <c r="QUH15" s="133"/>
      <c r="QUI15" s="133"/>
      <c r="QUJ15" s="133"/>
      <c r="QUK15" s="133"/>
      <c r="QUL15" s="133"/>
      <c r="QUM15" s="133"/>
      <c r="QUN15" s="133"/>
      <c r="QUO15" s="133"/>
      <c r="QUP15" s="133"/>
      <c r="QUQ15" s="133"/>
      <c r="QUR15" s="133"/>
      <c r="QUS15" s="133"/>
      <c r="QUT15" s="133"/>
      <c r="QUU15" s="133"/>
      <c r="QUV15" s="133"/>
      <c r="QUW15" s="133"/>
      <c r="QUX15" s="133"/>
      <c r="QUY15" s="133"/>
      <c r="QUZ15" s="133"/>
      <c r="QVA15" s="133"/>
      <c r="QVB15" s="133"/>
      <c r="QVC15" s="133"/>
      <c r="QVD15" s="133"/>
      <c r="QVE15" s="133"/>
      <c r="QVF15" s="133"/>
      <c r="QVG15" s="133"/>
      <c r="QVH15" s="133"/>
      <c r="QVI15" s="133"/>
      <c r="QVJ15" s="133"/>
      <c r="QVK15" s="133"/>
      <c r="QVL15" s="133"/>
      <c r="QVM15" s="133"/>
      <c r="QVN15" s="133"/>
      <c r="QVO15" s="133"/>
      <c r="QVP15" s="133"/>
      <c r="QVQ15" s="133"/>
      <c r="QVR15" s="133"/>
      <c r="QVS15" s="133"/>
      <c r="QVT15" s="133"/>
      <c r="QVU15" s="133"/>
      <c r="QVV15" s="133"/>
      <c r="QVW15" s="133"/>
      <c r="QVX15" s="133"/>
      <c r="QVY15" s="133"/>
      <c r="QVZ15" s="133"/>
      <c r="QWA15" s="133"/>
      <c r="QWB15" s="133"/>
      <c r="QWC15" s="133"/>
      <c r="QWD15" s="133"/>
      <c r="QWE15" s="133"/>
      <c r="QWF15" s="133"/>
      <c r="QWG15" s="133"/>
      <c r="QWH15" s="133"/>
      <c r="QWI15" s="133"/>
      <c r="QWJ15" s="133"/>
      <c r="QWK15" s="133"/>
      <c r="QWL15" s="133"/>
      <c r="QWM15" s="133"/>
      <c r="QWN15" s="133"/>
      <c r="QWO15" s="133"/>
      <c r="QWP15" s="133"/>
      <c r="QWQ15" s="133"/>
      <c r="QWR15" s="133"/>
      <c r="QWS15" s="133"/>
      <c r="QWT15" s="133"/>
      <c r="QWU15" s="133"/>
      <c r="QWV15" s="133"/>
      <c r="QWW15" s="133"/>
      <c r="QWX15" s="133"/>
      <c r="QWY15" s="133"/>
      <c r="QWZ15" s="133"/>
      <c r="QXA15" s="133"/>
      <c r="QXB15" s="133"/>
      <c r="QXC15" s="133"/>
      <c r="QXD15" s="133"/>
      <c r="QXE15" s="133"/>
      <c r="QXF15" s="133"/>
      <c r="QXG15" s="133"/>
      <c r="QXH15" s="133"/>
      <c r="QXI15" s="133"/>
      <c r="QXJ15" s="133"/>
      <c r="QXK15" s="133"/>
      <c r="QXL15" s="133"/>
      <c r="QXM15" s="133"/>
      <c r="QXN15" s="133"/>
      <c r="QXO15" s="133"/>
      <c r="QXP15" s="133"/>
      <c r="QXQ15" s="133"/>
      <c r="QXR15" s="133"/>
      <c r="QXS15" s="133"/>
      <c r="QXT15" s="133"/>
      <c r="QXU15" s="133"/>
      <c r="QXV15" s="133"/>
      <c r="QXW15" s="133"/>
      <c r="QXX15" s="133"/>
      <c r="QXY15" s="133"/>
      <c r="QXZ15" s="133"/>
      <c r="QYA15" s="133"/>
      <c r="QYB15" s="133"/>
      <c r="QYC15" s="133"/>
      <c r="QYD15" s="133"/>
      <c r="QYE15" s="133"/>
      <c r="QYF15" s="133"/>
      <c r="QYG15" s="133"/>
      <c r="QYH15" s="133"/>
      <c r="QYI15" s="133"/>
      <c r="QYJ15" s="133"/>
      <c r="QYK15" s="133"/>
      <c r="QYL15" s="133"/>
      <c r="QYM15" s="133"/>
      <c r="QYN15" s="133"/>
      <c r="QYO15" s="133"/>
      <c r="QYP15" s="133"/>
      <c r="QYQ15" s="133"/>
      <c r="QYR15" s="133"/>
      <c r="QYS15" s="133"/>
      <c r="QYT15" s="133"/>
      <c r="QYU15" s="133"/>
      <c r="QYV15" s="133"/>
      <c r="QYW15" s="133"/>
      <c r="QYX15" s="133"/>
      <c r="QYY15" s="133"/>
      <c r="QYZ15" s="133"/>
      <c r="QZA15" s="133"/>
      <c r="QZB15" s="133"/>
      <c r="QZC15" s="133"/>
      <c r="QZD15" s="133"/>
      <c r="QZE15" s="133"/>
      <c r="QZF15" s="133"/>
      <c r="QZG15" s="133"/>
      <c r="QZH15" s="133"/>
      <c r="QZI15" s="133"/>
      <c r="QZJ15" s="133"/>
      <c r="QZK15" s="133"/>
      <c r="QZL15" s="133"/>
      <c r="QZM15" s="133"/>
      <c r="QZN15" s="133"/>
      <c r="QZO15" s="133"/>
      <c r="QZP15" s="133"/>
      <c r="QZQ15" s="133"/>
      <c r="QZR15" s="133"/>
      <c r="QZS15" s="133"/>
      <c r="QZT15" s="133"/>
      <c r="QZU15" s="133"/>
      <c r="QZV15" s="133"/>
      <c r="QZW15" s="133"/>
      <c r="QZX15" s="133"/>
      <c r="QZY15" s="133"/>
      <c r="QZZ15" s="133"/>
      <c r="RAA15" s="133"/>
      <c r="RAB15" s="133"/>
      <c r="RAC15" s="133"/>
      <c r="RAD15" s="133"/>
      <c r="RAE15" s="133"/>
      <c r="RAF15" s="133"/>
      <c r="RAG15" s="133"/>
      <c r="RAH15" s="133"/>
      <c r="RAI15" s="133"/>
      <c r="RAJ15" s="133"/>
      <c r="RAK15" s="133"/>
      <c r="RAL15" s="133"/>
      <c r="RAM15" s="133"/>
      <c r="RAN15" s="133"/>
      <c r="RAO15" s="133"/>
      <c r="RAP15" s="133"/>
      <c r="RAQ15" s="133"/>
      <c r="RAR15" s="133"/>
      <c r="RAS15" s="133"/>
      <c r="RAT15" s="133"/>
      <c r="RAU15" s="133"/>
      <c r="RAV15" s="133"/>
      <c r="RAW15" s="133"/>
      <c r="RAX15" s="133"/>
      <c r="RAY15" s="133"/>
      <c r="RAZ15" s="133"/>
      <c r="RBA15" s="133"/>
      <c r="RBB15" s="133"/>
      <c r="RBC15" s="133"/>
      <c r="RBD15" s="133"/>
      <c r="RBE15" s="133"/>
      <c r="RBF15" s="133"/>
      <c r="RBG15" s="133"/>
      <c r="RBH15" s="133"/>
      <c r="RBI15" s="133"/>
      <c r="RBJ15" s="133"/>
      <c r="RBK15" s="133"/>
      <c r="RBL15" s="133"/>
      <c r="RBM15" s="133"/>
      <c r="RBN15" s="133"/>
      <c r="RBO15" s="133"/>
      <c r="RBP15" s="133"/>
      <c r="RBQ15" s="133"/>
      <c r="RBR15" s="133"/>
      <c r="RBS15" s="133"/>
      <c r="RBT15" s="133"/>
      <c r="RBU15" s="133"/>
      <c r="RBV15" s="133"/>
      <c r="RBW15" s="133"/>
      <c r="RBX15" s="133"/>
      <c r="RBY15" s="133"/>
      <c r="RBZ15" s="133"/>
      <c r="RCA15" s="133"/>
      <c r="RCB15" s="133"/>
      <c r="RCC15" s="133"/>
      <c r="RCD15" s="133"/>
      <c r="RCE15" s="133"/>
      <c r="RCF15" s="133"/>
      <c r="RCG15" s="133"/>
      <c r="RCH15" s="133"/>
      <c r="RCI15" s="133"/>
      <c r="RCJ15" s="133"/>
      <c r="RCK15" s="133"/>
      <c r="RCL15" s="133"/>
      <c r="RCM15" s="133"/>
      <c r="RCN15" s="133"/>
      <c r="RCO15" s="133"/>
      <c r="RCP15" s="133"/>
      <c r="RCQ15" s="133"/>
      <c r="RCR15" s="133"/>
      <c r="RCS15" s="133"/>
      <c r="RCT15" s="133"/>
      <c r="RCU15" s="133"/>
      <c r="RCV15" s="133"/>
      <c r="RCW15" s="133"/>
      <c r="RCX15" s="133"/>
      <c r="RCY15" s="133"/>
      <c r="RCZ15" s="133"/>
      <c r="RDA15" s="133"/>
      <c r="RDB15" s="133"/>
      <c r="RDC15" s="133"/>
      <c r="RDD15" s="133"/>
      <c r="RDE15" s="133"/>
      <c r="RDF15" s="133"/>
      <c r="RDG15" s="133"/>
      <c r="RDH15" s="133"/>
      <c r="RDI15" s="133"/>
      <c r="RDJ15" s="133"/>
      <c r="RDK15" s="133"/>
      <c r="RDL15" s="133"/>
      <c r="RDM15" s="133"/>
      <c r="RDN15" s="133"/>
      <c r="RDO15" s="133"/>
      <c r="RDP15" s="133"/>
      <c r="RDQ15" s="133"/>
      <c r="RDR15" s="133"/>
      <c r="RDS15" s="133"/>
      <c r="RDT15" s="133"/>
      <c r="RDU15" s="133"/>
      <c r="RDV15" s="133"/>
      <c r="RDW15" s="133"/>
      <c r="RDX15" s="133"/>
      <c r="RDY15" s="133"/>
      <c r="RDZ15" s="133"/>
      <c r="REA15" s="133"/>
      <c r="REB15" s="133"/>
      <c r="REC15" s="133"/>
      <c r="RED15" s="133"/>
      <c r="REE15" s="133"/>
      <c r="REF15" s="133"/>
      <c r="REG15" s="133"/>
      <c r="REH15" s="133"/>
      <c r="REI15" s="133"/>
      <c r="REJ15" s="133"/>
      <c r="REK15" s="133"/>
      <c r="REL15" s="133"/>
      <c r="REM15" s="133"/>
      <c r="REN15" s="133"/>
      <c r="REO15" s="133"/>
      <c r="REP15" s="133"/>
      <c r="REQ15" s="133"/>
      <c r="RER15" s="133"/>
      <c r="RES15" s="133"/>
      <c r="RET15" s="133"/>
      <c r="REU15" s="133"/>
      <c r="REV15" s="133"/>
      <c r="REW15" s="133"/>
      <c r="REX15" s="133"/>
      <c r="REY15" s="133"/>
      <c r="REZ15" s="133"/>
      <c r="RFA15" s="133"/>
      <c r="RFB15" s="133"/>
      <c r="RFC15" s="133"/>
      <c r="RFD15" s="133"/>
      <c r="RFE15" s="133"/>
      <c r="RFF15" s="133"/>
      <c r="RFG15" s="133"/>
      <c r="RFH15" s="133"/>
      <c r="RFI15" s="133"/>
      <c r="RFJ15" s="133"/>
      <c r="RFK15" s="133"/>
      <c r="RFL15" s="133"/>
      <c r="RFM15" s="133"/>
      <c r="RFN15" s="133"/>
      <c r="RFO15" s="133"/>
      <c r="RFP15" s="133"/>
      <c r="RFQ15" s="133"/>
      <c r="RFR15" s="133"/>
      <c r="RFS15" s="133"/>
      <c r="RFT15" s="133"/>
      <c r="RFU15" s="133"/>
      <c r="RFV15" s="133"/>
      <c r="RFW15" s="133"/>
      <c r="RFX15" s="133"/>
      <c r="RFY15" s="133"/>
      <c r="RFZ15" s="133"/>
      <c r="RGA15" s="133"/>
      <c r="RGB15" s="133"/>
      <c r="RGC15" s="133"/>
      <c r="RGD15" s="133"/>
      <c r="RGE15" s="133"/>
      <c r="RGF15" s="133"/>
      <c r="RGG15" s="133"/>
      <c r="RGH15" s="133"/>
      <c r="RGI15" s="133"/>
      <c r="RGJ15" s="133"/>
      <c r="RGK15" s="133"/>
      <c r="RGL15" s="133"/>
      <c r="RGM15" s="133"/>
      <c r="RGN15" s="133"/>
      <c r="RGO15" s="133"/>
      <c r="RGP15" s="133"/>
      <c r="RGQ15" s="133"/>
      <c r="RGR15" s="133"/>
      <c r="RGS15" s="133"/>
      <c r="RGT15" s="133"/>
      <c r="RGU15" s="133"/>
      <c r="RGV15" s="133"/>
      <c r="RGW15" s="133"/>
      <c r="RGX15" s="133"/>
      <c r="RGY15" s="133"/>
      <c r="RGZ15" s="133"/>
      <c r="RHA15" s="133"/>
      <c r="RHB15" s="133"/>
      <c r="RHC15" s="133"/>
      <c r="RHD15" s="133"/>
      <c r="RHE15" s="133"/>
      <c r="RHF15" s="133"/>
      <c r="RHG15" s="133"/>
      <c r="RHH15" s="133"/>
      <c r="RHI15" s="133"/>
      <c r="RHJ15" s="133"/>
      <c r="RHK15" s="133"/>
      <c r="RHL15" s="133"/>
      <c r="RHM15" s="133"/>
      <c r="RHN15" s="133"/>
      <c r="RHO15" s="133"/>
      <c r="RHP15" s="133"/>
      <c r="RHQ15" s="133"/>
      <c r="RHR15" s="133"/>
      <c r="RHS15" s="133"/>
      <c r="RHT15" s="133"/>
      <c r="RHU15" s="133"/>
      <c r="RHV15" s="133"/>
      <c r="RHW15" s="133"/>
      <c r="RHX15" s="133"/>
      <c r="RHY15" s="133"/>
      <c r="RHZ15" s="133"/>
      <c r="RIA15" s="133"/>
      <c r="RIB15" s="133"/>
      <c r="RIC15" s="133"/>
      <c r="RID15" s="133"/>
      <c r="RIE15" s="133"/>
      <c r="RIF15" s="133"/>
      <c r="RIG15" s="133"/>
      <c r="RIH15" s="133"/>
      <c r="RII15" s="133"/>
      <c r="RIJ15" s="133"/>
      <c r="RIK15" s="133"/>
      <c r="RIL15" s="133"/>
      <c r="RIM15" s="133"/>
      <c r="RIN15" s="133"/>
      <c r="RIO15" s="133"/>
      <c r="RIP15" s="133"/>
      <c r="RIQ15" s="133"/>
      <c r="RIR15" s="133"/>
      <c r="RIS15" s="133"/>
      <c r="RIT15" s="133"/>
      <c r="RIU15" s="133"/>
      <c r="RIV15" s="133"/>
      <c r="RIW15" s="133"/>
      <c r="RIX15" s="133"/>
      <c r="RIY15" s="133"/>
      <c r="RIZ15" s="133"/>
      <c r="RJA15" s="133"/>
      <c r="RJB15" s="133"/>
      <c r="RJC15" s="133"/>
      <c r="RJD15" s="133"/>
      <c r="RJE15" s="133"/>
      <c r="RJF15" s="133"/>
      <c r="RJG15" s="133"/>
      <c r="RJH15" s="133"/>
      <c r="RJI15" s="133"/>
      <c r="RJJ15" s="133"/>
      <c r="RJK15" s="133"/>
      <c r="RJL15" s="133"/>
      <c r="RJM15" s="133"/>
      <c r="RJN15" s="133"/>
      <c r="RJO15" s="133"/>
      <c r="RJP15" s="133"/>
      <c r="RJQ15" s="133"/>
      <c r="RJR15" s="133"/>
      <c r="RJS15" s="133"/>
      <c r="RJT15" s="133"/>
      <c r="RJU15" s="133"/>
      <c r="RJV15" s="133"/>
      <c r="RJW15" s="133"/>
      <c r="RJX15" s="133"/>
      <c r="RJY15" s="133"/>
      <c r="RJZ15" s="133"/>
      <c r="RKA15" s="133"/>
      <c r="RKB15" s="133"/>
      <c r="RKC15" s="133"/>
      <c r="RKD15" s="133"/>
      <c r="RKE15" s="133"/>
      <c r="RKF15" s="133"/>
      <c r="RKG15" s="133"/>
      <c r="RKH15" s="133"/>
      <c r="RKI15" s="133"/>
      <c r="RKJ15" s="133"/>
      <c r="RKK15" s="133"/>
      <c r="RKL15" s="133"/>
      <c r="RKM15" s="133"/>
      <c r="RKN15" s="133"/>
      <c r="RKO15" s="133"/>
      <c r="RKP15" s="133"/>
      <c r="RKQ15" s="133"/>
      <c r="RKR15" s="133"/>
      <c r="RKS15" s="133"/>
      <c r="RKT15" s="133"/>
      <c r="RKU15" s="133"/>
      <c r="RKV15" s="133"/>
      <c r="RKW15" s="133"/>
      <c r="RKX15" s="133"/>
      <c r="RKY15" s="133"/>
      <c r="RKZ15" s="133"/>
      <c r="RLA15" s="133"/>
      <c r="RLB15" s="133"/>
      <c r="RLC15" s="133"/>
      <c r="RLD15" s="133"/>
      <c r="RLE15" s="133"/>
      <c r="RLF15" s="133"/>
      <c r="RLG15" s="133"/>
      <c r="RLH15" s="133"/>
      <c r="RLI15" s="133"/>
      <c r="RLJ15" s="133"/>
      <c r="RLK15" s="133"/>
      <c r="RLL15" s="133"/>
      <c r="RLM15" s="133"/>
      <c r="RLN15" s="133"/>
      <c r="RLO15" s="133"/>
      <c r="RLP15" s="133"/>
      <c r="RLQ15" s="133"/>
      <c r="RLR15" s="133"/>
      <c r="RLS15" s="133"/>
      <c r="RLT15" s="133"/>
      <c r="RLU15" s="133"/>
      <c r="RLV15" s="133"/>
      <c r="RLW15" s="133"/>
      <c r="RLX15" s="133"/>
      <c r="RLY15" s="133"/>
      <c r="RLZ15" s="133"/>
      <c r="RMA15" s="133"/>
      <c r="RMB15" s="133"/>
      <c r="RMC15" s="133"/>
      <c r="RMD15" s="133"/>
      <c r="RME15" s="133"/>
      <c r="RMF15" s="133"/>
      <c r="RMG15" s="133"/>
      <c r="RMH15" s="133"/>
      <c r="RMI15" s="133"/>
      <c r="RMJ15" s="133"/>
      <c r="RMK15" s="133"/>
      <c r="RML15" s="133"/>
      <c r="RMM15" s="133"/>
      <c r="RMN15" s="133"/>
      <c r="RMO15" s="133"/>
      <c r="RMP15" s="133"/>
      <c r="RMQ15" s="133"/>
      <c r="RMR15" s="133"/>
      <c r="RMS15" s="133"/>
      <c r="RMT15" s="133"/>
      <c r="RMU15" s="133"/>
      <c r="RMV15" s="133"/>
      <c r="RMW15" s="133"/>
      <c r="RMX15" s="133"/>
      <c r="RMY15" s="133"/>
      <c r="RMZ15" s="133"/>
      <c r="RNA15" s="133"/>
      <c r="RNB15" s="133"/>
      <c r="RNC15" s="133"/>
      <c r="RND15" s="133"/>
      <c r="RNE15" s="133"/>
      <c r="RNF15" s="133"/>
      <c r="RNG15" s="133"/>
      <c r="RNH15" s="133"/>
      <c r="RNI15" s="133"/>
      <c r="RNJ15" s="133"/>
      <c r="RNK15" s="133"/>
      <c r="RNL15" s="133"/>
      <c r="RNM15" s="133"/>
      <c r="RNN15" s="133"/>
      <c r="RNO15" s="133"/>
      <c r="RNP15" s="133"/>
      <c r="RNQ15" s="133"/>
      <c r="RNR15" s="133"/>
      <c r="RNS15" s="133"/>
      <c r="RNT15" s="133"/>
      <c r="RNU15" s="133"/>
      <c r="RNV15" s="133"/>
      <c r="RNW15" s="133"/>
      <c r="RNX15" s="133"/>
      <c r="RNY15" s="133"/>
      <c r="RNZ15" s="133"/>
      <c r="ROA15" s="133"/>
      <c r="ROB15" s="133"/>
      <c r="ROC15" s="133"/>
      <c r="ROD15" s="133"/>
      <c r="ROE15" s="133"/>
      <c r="ROF15" s="133"/>
      <c r="ROG15" s="133"/>
      <c r="ROH15" s="133"/>
      <c r="ROI15" s="133"/>
      <c r="ROJ15" s="133"/>
      <c r="ROK15" s="133"/>
      <c r="ROL15" s="133"/>
      <c r="ROM15" s="133"/>
      <c r="RON15" s="133"/>
      <c r="ROO15" s="133"/>
      <c r="ROP15" s="133"/>
      <c r="ROQ15" s="133"/>
      <c r="ROR15" s="133"/>
      <c r="ROS15" s="133"/>
      <c r="ROT15" s="133"/>
      <c r="ROU15" s="133"/>
      <c r="ROV15" s="133"/>
      <c r="ROW15" s="133"/>
      <c r="ROX15" s="133"/>
      <c r="ROY15" s="133"/>
      <c r="ROZ15" s="133"/>
      <c r="RPA15" s="133"/>
      <c r="RPB15" s="133"/>
      <c r="RPC15" s="133"/>
      <c r="RPD15" s="133"/>
      <c r="RPE15" s="133"/>
      <c r="RPF15" s="133"/>
      <c r="RPG15" s="133"/>
      <c r="RPH15" s="133"/>
      <c r="RPI15" s="133"/>
      <c r="RPJ15" s="133"/>
      <c r="RPK15" s="133"/>
      <c r="RPL15" s="133"/>
      <c r="RPM15" s="133"/>
      <c r="RPN15" s="133"/>
      <c r="RPO15" s="133"/>
      <c r="RPP15" s="133"/>
      <c r="RPQ15" s="133"/>
      <c r="RPR15" s="133"/>
      <c r="RPS15" s="133"/>
      <c r="RPT15" s="133"/>
      <c r="RPU15" s="133"/>
      <c r="RPV15" s="133"/>
      <c r="RPW15" s="133"/>
      <c r="RPX15" s="133"/>
      <c r="RPY15" s="133"/>
      <c r="RPZ15" s="133"/>
      <c r="RQA15" s="133"/>
      <c r="RQB15" s="133"/>
      <c r="RQC15" s="133"/>
      <c r="RQD15" s="133"/>
      <c r="RQE15" s="133"/>
      <c r="RQF15" s="133"/>
      <c r="RQG15" s="133"/>
      <c r="RQH15" s="133"/>
      <c r="RQI15" s="133"/>
      <c r="RQJ15" s="133"/>
      <c r="RQK15" s="133"/>
      <c r="RQL15" s="133"/>
      <c r="RQM15" s="133"/>
      <c r="RQN15" s="133"/>
      <c r="RQO15" s="133"/>
      <c r="RQP15" s="133"/>
      <c r="RQQ15" s="133"/>
      <c r="RQR15" s="133"/>
      <c r="RQS15" s="133"/>
      <c r="RQT15" s="133"/>
      <c r="RQU15" s="133"/>
      <c r="RQV15" s="133"/>
      <c r="RQW15" s="133"/>
      <c r="RQX15" s="133"/>
      <c r="RQY15" s="133"/>
      <c r="RQZ15" s="133"/>
      <c r="RRA15" s="133"/>
      <c r="RRB15" s="133"/>
      <c r="RRC15" s="133"/>
      <c r="RRD15" s="133"/>
      <c r="RRE15" s="133"/>
      <c r="RRF15" s="133"/>
      <c r="RRG15" s="133"/>
      <c r="RRH15" s="133"/>
      <c r="RRI15" s="133"/>
      <c r="RRJ15" s="133"/>
      <c r="RRK15" s="133"/>
      <c r="RRL15" s="133"/>
      <c r="RRM15" s="133"/>
      <c r="RRN15" s="133"/>
      <c r="RRO15" s="133"/>
      <c r="RRP15" s="133"/>
      <c r="RRQ15" s="133"/>
      <c r="RRR15" s="133"/>
      <c r="RRS15" s="133"/>
      <c r="RRT15" s="133"/>
      <c r="RRU15" s="133"/>
      <c r="RRV15" s="133"/>
      <c r="RRW15" s="133"/>
      <c r="RRX15" s="133"/>
      <c r="RRY15" s="133"/>
      <c r="RRZ15" s="133"/>
      <c r="RSA15" s="133"/>
      <c r="RSB15" s="133"/>
      <c r="RSC15" s="133"/>
      <c r="RSD15" s="133"/>
      <c r="RSE15" s="133"/>
      <c r="RSF15" s="133"/>
      <c r="RSG15" s="133"/>
      <c r="RSH15" s="133"/>
      <c r="RSI15" s="133"/>
      <c r="RSJ15" s="133"/>
      <c r="RSK15" s="133"/>
      <c r="RSL15" s="133"/>
      <c r="RSM15" s="133"/>
      <c r="RSN15" s="133"/>
      <c r="RSO15" s="133"/>
      <c r="RSP15" s="133"/>
      <c r="RSQ15" s="133"/>
      <c r="RSR15" s="133"/>
      <c r="RSS15" s="133"/>
      <c r="RST15" s="133"/>
      <c r="RSU15" s="133"/>
      <c r="RSV15" s="133"/>
      <c r="RSW15" s="133"/>
      <c r="RSX15" s="133"/>
      <c r="RSY15" s="133"/>
      <c r="RSZ15" s="133"/>
      <c r="RTA15" s="133"/>
      <c r="RTB15" s="133"/>
      <c r="RTC15" s="133"/>
      <c r="RTD15" s="133"/>
      <c r="RTE15" s="133"/>
      <c r="RTF15" s="133"/>
      <c r="RTG15" s="133"/>
      <c r="RTH15" s="133"/>
      <c r="RTI15" s="133"/>
      <c r="RTJ15" s="133"/>
      <c r="RTK15" s="133"/>
      <c r="RTL15" s="133"/>
      <c r="RTM15" s="133"/>
      <c r="RTN15" s="133"/>
      <c r="RTO15" s="133"/>
      <c r="RTP15" s="133"/>
      <c r="RTQ15" s="133"/>
      <c r="RTR15" s="133"/>
      <c r="RTS15" s="133"/>
      <c r="RTT15" s="133"/>
      <c r="RTU15" s="133"/>
      <c r="RTV15" s="133"/>
      <c r="RTW15" s="133"/>
      <c r="RTX15" s="133"/>
      <c r="RTY15" s="133"/>
      <c r="RTZ15" s="133"/>
      <c r="RUA15" s="133"/>
      <c r="RUB15" s="133"/>
      <c r="RUC15" s="133"/>
      <c r="RUD15" s="133"/>
      <c r="RUE15" s="133"/>
      <c r="RUF15" s="133"/>
      <c r="RUG15" s="133"/>
      <c r="RUH15" s="133"/>
      <c r="RUI15" s="133"/>
      <c r="RUJ15" s="133"/>
      <c r="RUK15" s="133"/>
      <c r="RUL15" s="133"/>
      <c r="RUM15" s="133"/>
      <c r="RUN15" s="133"/>
      <c r="RUO15" s="133"/>
      <c r="RUP15" s="133"/>
      <c r="RUQ15" s="133"/>
      <c r="RUR15" s="133"/>
      <c r="RUS15" s="133"/>
      <c r="RUT15" s="133"/>
      <c r="RUU15" s="133"/>
      <c r="RUV15" s="133"/>
      <c r="RUW15" s="133"/>
      <c r="RUX15" s="133"/>
      <c r="RUY15" s="133"/>
      <c r="RUZ15" s="133"/>
      <c r="RVA15" s="133"/>
      <c r="RVB15" s="133"/>
      <c r="RVC15" s="133"/>
      <c r="RVD15" s="133"/>
      <c r="RVE15" s="133"/>
      <c r="RVF15" s="133"/>
      <c r="RVG15" s="133"/>
      <c r="RVH15" s="133"/>
      <c r="RVI15" s="133"/>
      <c r="RVJ15" s="133"/>
      <c r="RVK15" s="133"/>
      <c r="RVL15" s="133"/>
      <c r="RVM15" s="133"/>
      <c r="RVN15" s="133"/>
      <c r="RVO15" s="133"/>
      <c r="RVP15" s="133"/>
      <c r="RVQ15" s="133"/>
      <c r="RVR15" s="133"/>
      <c r="RVS15" s="133"/>
      <c r="RVT15" s="133"/>
      <c r="RVU15" s="133"/>
      <c r="RVV15" s="133"/>
      <c r="RVW15" s="133"/>
      <c r="RVX15" s="133"/>
      <c r="RVY15" s="133"/>
      <c r="RVZ15" s="133"/>
      <c r="RWA15" s="133"/>
      <c r="RWB15" s="133"/>
      <c r="RWC15" s="133"/>
      <c r="RWD15" s="133"/>
      <c r="RWE15" s="133"/>
      <c r="RWF15" s="133"/>
      <c r="RWG15" s="133"/>
      <c r="RWH15" s="133"/>
      <c r="RWI15" s="133"/>
      <c r="RWJ15" s="133"/>
      <c r="RWK15" s="133"/>
      <c r="RWL15" s="133"/>
      <c r="RWM15" s="133"/>
      <c r="RWN15" s="133"/>
      <c r="RWO15" s="133"/>
      <c r="RWP15" s="133"/>
      <c r="RWQ15" s="133"/>
      <c r="RWR15" s="133"/>
      <c r="RWS15" s="133"/>
      <c r="RWT15" s="133"/>
      <c r="RWU15" s="133"/>
      <c r="RWV15" s="133"/>
      <c r="RWW15" s="133"/>
      <c r="RWX15" s="133"/>
      <c r="RWY15" s="133"/>
      <c r="RWZ15" s="133"/>
      <c r="RXA15" s="133"/>
      <c r="RXB15" s="133"/>
      <c r="RXC15" s="133"/>
      <c r="RXD15" s="133"/>
      <c r="RXE15" s="133"/>
      <c r="RXF15" s="133"/>
      <c r="RXG15" s="133"/>
      <c r="RXH15" s="133"/>
      <c r="RXI15" s="133"/>
      <c r="RXJ15" s="133"/>
      <c r="RXK15" s="133"/>
      <c r="RXL15" s="133"/>
      <c r="RXM15" s="133"/>
      <c r="RXN15" s="133"/>
      <c r="RXO15" s="133"/>
      <c r="RXP15" s="133"/>
      <c r="RXQ15" s="133"/>
      <c r="RXR15" s="133"/>
      <c r="RXS15" s="133"/>
      <c r="RXT15" s="133"/>
      <c r="RXU15" s="133"/>
      <c r="RXV15" s="133"/>
      <c r="RXW15" s="133"/>
      <c r="RXX15" s="133"/>
      <c r="RXY15" s="133"/>
      <c r="RXZ15" s="133"/>
      <c r="RYA15" s="133"/>
      <c r="RYB15" s="133"/>
      <c r="RYC15" s="133"/>
      <c r="RYD15" s="133"/>
      <c r="RYE15" s="133"/>
      <c r="RYF15" s="133"/>
      <c r="RYG15" s="133"/>
      <c r="RYH15" s="133"/>
      <c r="RYI15" s="133"/>
      <c r="RYJ15" s="133"/>
      <c r="RYK15" s="133"/>
      <c r="RYL15" s="133"/>
      <c r="RYM15" s="133"/>
      <c r="RYN15" s="133"/>
      <c r="RYO15" s="133"/>
      <c r="RYP15" s="133"/>
      <c r="RYQ15" s="133"/>
      <c r="RYR15" s="133"/>
      <c r="RYS15" s="133"/>
      <c r="RYT15" s="133"/>
      <c r="RYU15" s="133"/>
      <c r="RYV15" s="133"/>
      <c r="RYW15" s="133"/>
      <c r="RYX15" s="133"/>
      <c r="RYY15" s="133"/>
      <c r="RYZ15" s="133"/>
      <c r="RZA15" s="133"/>
      <c r="RZB15" s="133"/>
      <c r="RZC15" s="133"/>
      <c r="RZD15" s="133"/>
      <c r="RZE15" s="133"/>
      <c r="RZF15" s="133"/>
      <c r="RZG15" s="133"/>
      <c r="RZH15" s="133"/>
      <c r="RZI15" s="133"/>
      <c r="RZJ15" s="133"/>
      <c r="RZK15" s="133"/>
      <c r="RZL15" s="133"/>
      <c r="RZM15" s="133"/>
      <c r="RZN15" s="133"/>
      <c r="RZO15" s="133"/>
      <c r="RZP15" s="133"/>
      <c r="RZQ15" s="133"/>
      <c r="RZR15" s="133"/>
      <c r="RZS15" s="133"/>
      <c r="RZT15" s="133"/>
      <c r="RZU15" s="133"/>
      <c r="RZV15" s="133"/>
      <c r="RZW15" s="133"/>
      <c r="RZX15" s="133"/>
      <c r="RZY15" s="133"/>
      <c r="RZZ15" s="133"/>
      <c r="SAA15" s="133"/>
      <c r="SAB15" s="133"/>
      <c r="SAC15" s="133"/>
      <c r="SAD15" s="133"/>
      <c r="SAE15" s="133"/>
      <c r="SAF15" s="133"/>
      <c r="SAG15" s="133"/>
      <c r="SAH15" s="133"/>
      <c r="SAI15" s="133"/>
      <c r="SAJ15" s="133"/>
      <c r="SAK15" s="133"/>
      <c r="SAL15" s="133"/>
      <c r="SAM15" s="133"/>
      <c r="SAN15" s="133"/>
      <c r="SAO15" s="133"/>
      <c r="SAP15" s="133"/>
      <c r="SAQ15" s="133"/>
      <c r="SAR15" s="133"/>
      <c r="SAS15" s="133"/>
      <c r="SAT15" s="133"/>
      <c r="SAU15" s="133"/>
      <c r="SAV15" s="133"/>
      <c r="SAW15" s="133"/>
      <c r="SAX15" s="133"/>
      <c r="SAY15" s="133"/>
      <c r="SAZ15" s="133"/>
      <c r="SBA15" s="133"/>
      <c r="SBB15" s="133"/>
      <c r="SBC15" s="133"/>
      <c r="SBD15" s="133"/>
      <c r="SBE15" s="133"/>
      <c r="SBF15" s="133"/>
      <c r="SBG15" s="133"/>
      <c r="SBH15" s="133"/>
      <c r="SBI15" s="133"/>
      <c r="SBJ15" s="133"/>
      <c r="SBK15" s="133"/>
      <c r="SBL15" s="133"/>
      <c r="SBM15" s="133"/>
      <c r="SBN15" s="133"/>
      <c r="SBO15" s="133"/>
      <c r="SBP15" s="133"/>
      <c r="SBQ15" s="133"/>
      <c r="SBR15" s="133"/>
      <c r="SBS15" s="133"/>
      <c r="SBT15" s="133"/>
      <c r="SBU15" s="133"/>
      <c r="SBV15" s="133"/>
      <c r="SBW15" s="133"/>
      <c r="SBX15" s="133"/>
      <c r="SBY15" s="133"/>
      <c r="SBZ15" s="133"/>
      <c r="SCA15" s="133"/>
      <c r="SCB15" s="133"/>
      <c r="SCC15" s="133"/>
      <c r="SCD15" s="133"/>
      <c r="SCE15" s="133"/>
      <c r="SCF15" s="133"/>
      <c r="SCG15" s="133"/>
      <c r="SCH15" s="133"/>
      <c r="SCI15" s="133"/>
      <c r="SCJ15" s="133"/>
      <c r="SCK15" s="133"/>
      <c r="SCL15" s="133"/>
      <c r="SCM15" s="133"/>
      <c r="SCN15" s="133"/>
      <c r="SCO15" s="133"/>
      <c r="SCP15" s="133"/>
      <c r="SCQ15" s="133"/>
      <c r="SCR15" s="133"/>
      <c r="SCS15" s="133"/>
      <c r="SCT15" s="133"/>
      <c r="SCU15" s="133"/>
      <c r="SCV15" s="133"/>
      <c r="SCW15" s="133"/>
      <c r="SCX15" s="133"/>
      <c r="SCY15" s="133"/>
      <c r="SCZ15" s="133"/>
      <c r="SDA15" s="133"/>
      <c r="SDB15" s="133"/>
      <c r="SDC15" s="133"/>
      <c r="SDD15" s="133"/>
      <c r="SDE15" s="133"/>
      <c r="SDF15" s="133"/>
      <c r="SDG15" s="133"/>
      <c r="SDH15" s="133"/>
      <c r="SDI15" s="133"/>
      <c r="SDJ15" s="133"/>
      <c r="SDK15" s="133"/>
      <c r="SDL15" s="133"/>
      <c r="SDM15" s="133"/>
      <c r="SDN15" s="133"/>
      <c r="SDO15" s="133"/>
      <c r="SDP15" s="133"/>
      <c r="SDQ15" s="133"/>
      <c r="SDR15" s="133"/>
      <c r="SDS15" s="133"/>
      <c r="SDT15" s="133"/>
      <c r="SDU15" s="133"/>
      <c r="SDV15" s="133"/>
      <c r="SDW15" s="133"/>
      <c r="SDX15" s="133"/>
      <c r="SDY15" s="133"/>
      <c r="SDZ15" s="133"/>
      <c r="SEA15" s="133"/>
      <c r="SEB15" s="133"/>
      <c r="SEC15" s="133"/>
      <c r="SED15" s="133"/>
      <c r="SEE15" s="133"/>
      <c r="SEF15" s="133"/>
      <c r="SEG15" s="133"/>
      <c r="SEH15" s="133"/>
      <c r="SEI15" s="133"/>
      <c r="SEJ15" s="133"/>
      <c r="SEK15" s="133"/>
      <c r="SEL15" s="133"/>
      <c r="SEM15" s="133"/>
      <c r="SEN15" s="133"/>
      <c r="SEO15" s="133"/>
      <c r="SEP15" s="133"/>
      <c r="SEQ15" s="133"/>
      <c r="SER15" s="133"/>
      <c r="SES15" s="133"/>
      <c r="SET15" s="133"/>
      <c r="SEU15" s="133"/>
      <c r="SEV15" s="133"/>
      <c r="SEW15" s="133"/>
      <c r="SEX15" s="133"/>
      <c r="SEY15" s="133"/>
      <c r="SEZ15" s="133"/>
      <c r="SFA15" s="133"/>
      <c r="SFB15" s="133"/>
      <c r="SFC15" s="133"/>
      <c r="SFD15" s="133"/>
      <c r="SFE15" s="133"/>
      <c r="SFF15" s="133"/>
      <c r="SFG15" s="133"/>
      <c r="SFH15" s="133"/>
      <c r="SFI15" s="133"/>
      <c r="SFJ15" s="133"/>
      <c r="SFK15" s="133"/>
      <c r="SFL15" s="133"/>
      <c r="SFM15" s="133"/>
      <c r="SFN15" s="133"/>
      <c r="SFO15" s="133"/>
      <c r="SFP15" s="133"/>
      <c r="SFQ15" s="133"/>
      <c r="SFR15" s="133"/>
      <c r="SFS15" s="133"/>
      <c r="SFT15" s="133"/>
      <c r="SFU15" s="133"/>
      <c r="SFV15" s="133"/>
      <c r="SFW15" s="133"/>
      <c r="SFX15" s="133"/>
      <c r="SFY15" s="133"/>
      <c r="SFZ15" s="133"/>
      <c r="SGA15" s="133"/>
      <c r="SGB15" s="133"/>
      <c r="SGC15" s="133"/>
      <c r="SGD15" s="133"/>
      <c r="SGE15" s="133"/>
      <c r="SGF15" s="133"/>
      <c r="SGG15" s="133"/>
      <c r="SGH15" s="133"/>
      <c r="SGI15" s="133"/>
      <c r="SGJ15" s="133"/>
      <c r="SGK15" s="133"/>
      <c r="SGL15" s="133"/>
      <c r="SGM15" s="133"/>
      <c r="SGN15" s="133"/>
      <c r="SGO15" s="133"/>
      <c r="SGP15" s="133"/>
      <c r="SGQ15" s="133"/>
      <c r="SGR15" s="133"/>
      <c r="SGS15" s="133"/>
      <c r="SGT15" s="133"/>
      <c r="SGU15" s="133"/>
      <c r="SGV15" s="133"/>
      <c r="SGW15" s="133"/>
      <c r="SGX15" s="133"/>
      <c r="SGY15" s="133"/>
      <c r="SGZ15" s="133"/>
      <c r="SHA15" s="133"/>
      <c r="SHB15" s="133"/>
      <c r="SHC15" s="133"/>
      <c r="SHD15" s="133"/>
      <c r="SHE15" s="133"/>
      <c r="SHF15" s="133"/>
      <c r="SHG15" s="133"/>
      <c r="SHH15" s="133"/>
      <c r="SHI15" s="133"/>
      <c r="SHJ15" s="133"/>
      <c r="SHK15" s="133"/>
      <c r="SHL15" s="133"/>
      <c r="SHM15" s="133"/>
      <c r="SHN15" s="133"/>
      <c r="SHO15" s="133"/>
      <c r="SHP15" s="133"/>
      <c r="SHQ15" s="133"/>
      <c r="SHR15" s="133"/>
      <c r="SHS15" s="133"/>
      <c r="SHT15" s="133"/>
      <c r="SHU15" s="133"/>
      <c r="SHV15" s="133"/>
      <c r="SHW15" s="133"/>
      <c r="SHX15" s="133"/>
      <c r="SHY15" s="133"/>
      <c r="SHZ15" s="133"/>
      <c r="SIA15" s="133"/>
      <c r="SIB15" s="133"/>
      <c r="SIC15" s="133"/>
      <c r="SID15" s="133"/>
      <c r="SIE15" s="133"/>
      <c r="SIF15" s="133"/>
      <c r="SIG15" s="133"/>
      <c r="SIH15" s="133"/>
      <c r="SII15" s="133"/>
      <c r="SIJ15" s="133"/>
      <c r="SIK15" s="133"/>
      <c r="SIL15" s="133"/>
      <c r="SIM15" s="133"/>
      <c r="SIN15" s="133"/>
      <c r="SIO15" s="133"/>
      <c r="SIP15" s="133"/>
      <c r="SIQ15" s="133"/>
      <c r="SIR15" s="133"/>
      <c r="SIS15" s="133"/>
      <c r="SIT15" s="133"/>
      <c r="SIU15" s="133"/>
      <c r="SIV15" s="133"/>
      <c r="SIW15" s="133"/>
      <c r="SIX15" s="133"/>
      <c r="SIY15" s="133"/>
      <c r="SIZ15" s="133"/>
      <c r="SJA15" s="133"/>
      <c r="SJB15" s="133"/>
      <c r="SJC15" s="133"/>
      <c r="SJD15" s="133"/>
      <c r="SJE15" s="133"/>
      <c r="SJF15" s="133"/>
      <c r="SJG15" s="133"/>
      <c r="SJH15" s="133"/>
      <c r="SJI15" s="133"/>
      <c r="SJJ15" s="133"/>
      <c r="SJK15" s="133"/>
      <c r="SJL15" s="133"/>
      <c r="SJM15" s="133"/>
      <c r="SJN15" s="133"/>
      <c r="SJO15" s="133"/>
      <c r="SJP15" s="133"/>
      <c r="SJQ15" s="133"/>
      <c r="SJR15" s="133"/>
      <c r="SJS15" s="133"/>
      <c r="SJT15" s="133"/>
      <c r="SJU15" s="133"/>
      <c r="SJV15" s="133"/>
      <c r="SJW15" s="133"/>
      <c r="SJX15" s="133"/>
      <c r="SJY15" s="133"/>
      <c r="SJZ15" s="133"/>
      <c r="SKA15" s="133"/>
      <c r="SKB15" s="133"/>
      <c r="SKC15" s="133"/>
      <c r="SKD15" s="133"/>
      <c r="SKE15" s="133"/>
      <c r="SKF15" s="133"/>
      <c r="SKG15" s="133"/>
      <c r="SKH15" s="133"/>
      <c r="SKI15" s="133"/>
      <c r="SKJ15" s="133"/>
      <c r="SKK15" s="133"/>
      <c r="SKL15" s="133"/>
      <c r="SKM15" s="133"/>
      <c r="SKN15" s="133"/>
      <c r="SKO15" s="133"/>
      <c r="SKP15" s="133"/>
      <c r="SKQ15" s="133"/>
      <c r="SKR15" s="133"/>
      <c r="SKS15" s="133"/>
      <c r="SKT15" s="133"/>
      <c r="SKU15" s="133"/>
      <c r="SKV15" s="133"/>
      <c r="SKW15" s="133"/>
      <c r="SKX15" s="133"/>
      <c r="SKY15" s="133"/>
      <c r="SKZ15" s="133"/>
      <c r="SLA15" s="133"/>
      <c r="SLB15" s="133"/>
      <c r="SLC15" s="133"/>
      <c r="SLD15" s="133"/>
      <c r="SLE15" s="133"/>
      <c r="SLF15" s="133"/>
      <c r="SLG15" s="133"/>
      <c r="SLH15" s="133"/>
      <c r="SLI15" s="133"/>
      <c r="SLJ15" s="133"/>
      <c r="SLK15" s="133"/>
      <c r="SLL15" s="133"/>
      <c r="SLM15" s="133"/>
      <c r="SLN15" s="133"/>
      <c r="SLO15" s="133"/>
      <c r="SLP15" s="133"/>
      <c r="SLQ15" s="133"/>
      <c r="SLR15" s="133"/>
      <c r="SLS15" s="133"/>
      <c r="SLT15" s="133"/>
      <c r="SLU15" s="133"/>
      <c r="SLV15" s="133"/>
      <c r="SLW15" s="133"/>
      <c r="SLX15" s="133"/>
      <c r="SLY15" s="133"/>
      <c r="SLZ15" s="133"/>
      <c r="SMA15" s="133"/>
      <c r="SMB15" s="133"/>
      <c r="SMC15" s="133"/>
      <c r="SMD15" s="133"/>
      <c r="SME15" s="133"/>
      <c r="SMF15" s="133"/>
      <c r="SMG15" s="133"/>
      <c r="SMH15" s="133"/>
      <c r="SMI15" s="133"/>
      <c r="SMJ15" s="133"/>
      <c r="SMK15" s="133"/>
      <c r="SML15" s="133"/>
      <c r="SMM15" s="133"/>
      <c r="SMN15" s="133"/>
      <c r="SMO15" s="133"/>
      <c r="SMP15" s="133"/>
      <c r="SMQ15" s="133"/>
      <c r="SMR15" s="133"/>
      <c r="SMS15" s="133"/>
      <c r="SMT15" s="133"/>
      <c r="SMU15" s="133"/>
      <c r="SMV15" s="133"/>
      <c r="SMW15" s="133"/>
      <c r="SMX15" s="133"/>
      <c r="SMY15" s="133"/>
      <c r="SMZ15" s="133"/>
      <c r="SNA15" s="133"/>
      <c r="SNB15" s="133"/>
      <c r="SNC15" s="133"/>
      <c r="SND15" s="133"/>
      <c r="SNE15" s="133"/>
      <c r="SNF15" s="133"/>
      <c r="SNG15" s="133"/>
      <c r="SNH15" s="133"/>
      <c r="SNI15" s="133"/>
      <c r="SNJ15" s="133"/>
      <c r="SNK15" s="133"/>
      <c r="SNL15" s="133"/>
      <c r="SNM15" s="133"/>
      <c r="SNN15" s="133"/>
      <c r="SNO15" s="133"/>
      <c r="SNP15" s="133"/>
      <c r="SNQ15" s="133"/>
      <c r="SNR15" s="133"/>
      <c r="SNS15" s="133"/>
      <c r="SNT15" s="133"/>
      <c r="SNU15" s="133"/>
      <c r="SNV15" s="133"/>
      <c r="SNW15" s="133"/>
      <c r="SNX15" s="133"/>
      <c r="SNY15" s="133"/>
      <c r="SNZ15" s="133"/>
      <c r="SOA15" s="133"/>
      <c r="SOB15" s="133"/>
      <c r="SOC15" s="133"/>
      <c r="SOD15" s="133"/>
      <c r="SOE15" s="133"/>
      <c r="SOF15" s="133"/>
      <c r="SOG15" s="133"/>
      <c r="SOH15" s="133"/>
      <c r="SOI15" s="133"/>
      <c r="SOJ15" s="133"/>
      <c r="SOK15" s="133"/>
      <c r="SOL15" s="133"/>
      <c r="SOM15" s="133"/>
      <c r="SON15" s="133"/>
      <c r="SOO15" s="133"/>
      <c r="SOP15" s="133"/>
      <c r="SOQ15" s="133"/>
      <c r="SOR15" s="133"/>
      <c r="SOS15" s="133"/>
      <c r="SOT15" s="133"/>
      <c r="SOU15" s="133"/>
      <c r="SOV15" s="133"/>
      <c r="SOW15" s="133"/>
      <c r="SOX15" s="133"/>
      <c r="SOY15" s="133"/>
      <c r="SOZ15" s="133"/>
      <c r="SPA15" s="133"/>
      <c r="SPB15" s="133"/>
      <c r="SPC15" s="133"/>
      <c r="SPD15" s="133"/>
      <c r="SPE15" s="133"/>
      <c r="SPF15" s="133"/>
      <c r="SPG15" s="133"/>
      <c r="SPH15" s="133"/>
      <c r="SPI15" s="133"/>
      <c r="SPJ15" s="133"/>
      <c r="SPK15" s="133"/>
      <c r="SPL15" s="133"/>
      <c r="SPM15" s="133"/>
      <c r="SPN15" s="133"/>
      <c r="SPO15" s="133"/>
      <c r="SPP15" s="133"/>
      <c r="SPQ15" s="133"/>
      <c r="SPR15" s="133"/>
      <c r="SPS15" s="133"/>
      <c r="SPT15" s="133"/>
      <c r="SPU15" s="133"/>
      <c r="SPV15" s="133"/>
      <c r="SPW15" s="133"/>
      <c r="SPX15" s="133"/>
      <c r="SPY15" s="133"/>
      <c r="SPZ15" s="133"/>
      <c r="SQA15" s="133"/>
      <c r="SQB15" s="133"/>
      <c r="SQC15" s="133"/>
      <c r="SQD15" s="133"/>
      <c r="SQE15" s="133"/>
      <c r="SQF15" s="133"/>
      <c r="SQG15" s="133"/>
      <c r="SQH15" s="133"/>
      <c r="SQI15" s="133"/>
      <c r="SQJ15" s="133"/>
      <c r="SQK15" s="133"/>
      <c r="SQL15" s="133"/>
      <c r="SQM15" s="133"/>
      <c r="SQN15" s="133"/>
      <c r="SQO15" s="133"/>
      <c r="SQP15" s="133"/>
      <c r="SQQ15" s="133"/>
      <c r="SQR15" s="133"/>
      <c r="SQS15" s="133"/>
      <c r="SQT15" s="133"/>
      <c r="SQU15" s="133"/>
      <c r="SQV15" s="133"/>
      <c r="SQW15" s="133"/>
      <c r="SQX15" s="133"/>
      <c r="SQY15" s="133"/>
      <c r="SQZ15" s="133"/>
      <c r="SRA15" s="133"/>
      <c r="SRB15" s="133"/>
      <c r="SRC15" s="133"/>
      <c r="SRD15" s="133"/>
      <c r="SRE15" s="133"/>
      <c r="SRF15" s="133"/>
      <c r="SRG15" s="133"/>
      <c r="SRH15" s="133"/>
      <c r="SRI15" s="133"/>
      <c r="SRJ15" s="133"/>
      <c r="SRK15" s="133"/>
      <c r="SRL15" s="133"/>
      <c r="SRM15" s="133"/>
      <c r="SRN15" s="133"/>
      <c r="SRO15" s="133"/>
      <c r="SRP15" s="133"/>
      <c r="SRQ15" s="133"/>
      <c r="SRR15" s="133"/>
      <c r="SRS15" s="133"/>
      <c r="SRT15" s="133"/>
      <c r="SRU15" s="133"/>
      <c r="SRV15" s="133"/>
      <c r="SRW15" s="133"/>
      <c r="SRX15" s="133"/>
      <c r="SRY15" s="133"/>
      <c r="SRZ15" s="133"/>
      <c r="SSA15" s="133"/>
      <c r="SSB15" s="133"/>
      <c r="SSC15" s="133"/>
      <c r="SSD15" s="133"/>
      <c r="SSE15" s="133"/>
      <c r="SSF15" s="133"/>
      <c r="SSG15" s="133"/>
      <c r="SSH15" s="133"/>
      <c r="SSI15" s="133"/>
      <c r="SSJ15" s="133"/>
      <c r="SSK15" s="133"/>
      <c r="SSL15" s="133"/>
      <c r="SSM15" s="133"/>
      <c r="SSN15" s="133"/>
      <c r="SSO15" s="133"/>
      <c r="SSP15" s="133"/>
      <c r="SSQ15" s="133"/>
      <c r="SSR15" s="133"/>
      <c r="SSS15" s="133"/>
      <c r="SST15" s="133"/>
      <c r="SSU15" s="133"/>
      <c r="SSV15" s="133"/>
      <c r="SSW15" s="133"/>
      <c r="SSX15" s="133"/>
      <c r="SSY15" s="133"/>
      <c r="SSZ15" s="133"/>
      <c r="STA15" s="133"/>
      <c r="STB15" s="133"/>
      <c r="STC15" s="133"/>
      <c r="STD15" s="133"/>
      <c r="STE15" s="133"/>
      <c r="STF15" s="133"/>
      <c r="STG15" s="133"/>
      <c r="STH15" s="133"/>
      <c r="STI15" s="133"/>
      <c r="STJ15" s="133"/>
      <c r="STK15" s="133"/>
      <c r="STL15" s="133"/>
      <c r="STM15" s="133"/>
      <c r="STN15" s="133"/>
      <c r="STO15" s="133"/>
      <c r="STP15" s="133"/>
      <c r="STQ15" s="133"/>
      <c r="STR15" s="133"/>
      <c r="STS15" s="133"/>
      <c r="STT15" s="133"/>
      <c r="STU15" s="133"/>
      <c r="STV15" s="133"/>
      <c r="STW15" s="133"/>
      <c r="STX15" s="133"/>
      <c r="STY15" s="133"/>
      <c r="STZ15" s="133"/>
      <c r="SUA15" s="133"/>
      <c r="SUB15" s="133"/>
      <c r="SUC15" s="133"/>
      <c r="SUD15" s="133"/>
      <c r="SUE15" s="133"/>
      <c r="SUF15" s="133"/>
      <c r="SUG15" s="133"/>
      <c r="SUH15" s="133"/>
      <c r="SUI15" s="133"/>
      <c r="SUJ15" s="133"/>
      <c r="SUK15" s="133"/>
      <c r="SUL15" s="133"/>
      <c r="SUM15" s="133"/>
      <c r="SUN15" s="133"/>
      <c r="SUO15" s="133"/>
      <c r="SUP15" s="133"/>
      <c r="SUQ15" s="133"/>
      <c r="SUR15" s="133"/>
      <c r="SUS15" s="133"/>
      <c r="SUT15" s="133"/>
      <c r="SUU15" s="133"/>
      <c r="SUV15" s="133"/>
      <c r="SUW15" s="133"/>
      <c r="SUX15" s="133"/>
      <c r="SUY15" s="133"/>
      <c r="SUZ15" s="133"/>
      <c r="SVA15" s="133"/>
      <c r="SVB15" s="133"/>
      <c r="SVC15" s="133"/>
      <c r="SVD15" s="133"/>
      <c r="SVE15" s="133"/>
      <c r="SVF15" s="133"/>
      <c r="SVG15" s="133"/>
      <c r="SVH15" s="133"/>
      <c r="SVI15" s="133"/>
      <c r="SVJ15" s="133"/>
      <c r="SVK15" s="133"/>
      <c r="SVL15" s="133"/>
      <c r="SVM15" s="133"/>
      <c r="SVN15" s="133"/>
      <c r="SVO15" s="133"/>
      <c r="SVP15" s="133"/>
      <c r="SVQ15" s="133"/>
      <c r="SVR15" s="133"/>
      <c r="SVS15" s="133"/>
      <c r="SVT15" s="133"/>
      <c r="SVU15" s="133"/>
      <c r="SVV15" s="133"/>
      <c r="SVW15" s="133"/>
      <c r="SVX15" s="133"/>
      <c r="SVY15" s="133"/>
      <c r="SVZ15" s="133"/>
      <c r="SWA15" s="133"/>
      <c r="SWB15" s="133"/>
      <c r="SWC15" s="133"/>
      <c r="SWD15" s="133"/>
      <c r="SWE15" s="133"/>
      <c r="SWF15" s="133"/>
      <c r="SWG15" s="133"/>
      <c r="SWH15" s="133"/>
      <c r="SWI15" s="133"/>
      <c r="SWJ15" s="133"/>
      <c r="SWK15" s="133"/>
      <c r="SWL15" s="133"/>
      <c r="SWM15" s="133"/>
      <c r="SWN15" s="133"/>
      <c r="SWO15" s="133"/>
      <c r="SWP15" s="133"/>
      <c r="SWQ15" s="133"/>
      <c r="SWR15" s="133"/>
      <c r="SWS15" s="133"/>
      <c r="SWT15" s="133"/>
      <c r="SWU15" s="133"/>
      <c r="SWV15" s="133"/>
      <c r="SWW15" s="133"/>
      <c r="SWX15" s="133"/>
      <c r="SWY15" s="133"/>
      <c r="SWZ15" s="133"/>
      <c r="SXA15" s="133"/>
      <c r="SXB15" s="133"/>
      <c r="SXC15" s="133"/>
      <c r="SXD15" s="133"/>
      <c r="SXE15" s="133"/>
      <c r="SXF15" s="133"/>
      <c r="SXG15" s="133"/>
      <c r="SXH15" s="133"/>
      <c r="SXI15" s="133"/>
      <c r="SXJ15" s="133"/>
      <c r="SXK15" s="133"/>
      <c r="SXL15" s="133"/>
      <c r="SXM15" s="133"/>
      <c r="SXN15" s="133"/>
      <c r="SXO15" s="133"/>
      <c r="SXP15" s="133"/>
      <c r="SXQ15" s="133"/>
      <c r="SXR15" s="133"/>
      <c r="SXS15" s="133"/>
      <c r="SXT15" s="133"/>
      <c r="SXU15" s="133"/>
      <c r="SXV15" s="133"/>
      <c r="SXW15" s="133"/>
      <c r="SXX15" s="133"/>
      <c r="SXY15" s="133"/>
      <c r="SXZ15" s="133"/>
      <c r="SYA15" s="133"/>
      <c r="SYB15" s="133"/>
      <c r="SYC15" s="133"/>
      <c r="SYD15" s="133"/>
      <c r="SYE15" s="133"/>
      <c r="SYF15" s="133"/>
      <c r="SYG15" s="133"/>
      <c r="SYH15" s="133"/>
      <c r="SYI15" s="133"/>
      <c r="SYJ15" s="133"/>
      <c r="SYK15" s="133"/>
      <c r="SYL15" s="133"/>
      <c r="SYM15" s="133"/>
      <c r="SYN15" s="133"/>
      <c r="SYO15" s="133"/>
      <c r="SYP15" s="133"/>
      <c r="SYQ15" s="133"/>
      <c r="SYR15" s="133"/>
      <c r="SYS15" s="133"/>
      <c r="SYT15" s="133"/>
      <c r="SYU15" s="133"/>
      <c r="SYV15" s="133"/>
      <c r="SYW15" s="133"/>
      <c r="SYX15" s="133"/>
      <c r="SYY15" s="133"/>
      <c r="SYZ15" s="133"/>
      <c r="SZA15" s="133"/>
      <c r="SZB15" s="133"/>
      <c r="SZC15" s="133"/>
      <c r="SZD15" s="133"/>
      <c r="SZE15" s="133"/>
      <c r="SZF15" s="133"/>
      <c r="SZG15" s="133"/>
      <c r="SZH15" s="133"/>
      <c r="SZI15" s="133"/>
      <c r="SZJ15" s="133"/>
      <c r="SZK15" s="133"/>
      <c r="SZL15" s="133"/>
      <c r="SZM15" s="133"/>
      <c r="SZN15" s="133"/>
      <c r="SZO15" s="133"/>
      <c r="SZP15" s="133"/>
      <c r="SZQ15" s="133"/>
      <c r="SZR15" s="133"/>
      <c r="SZS15" s="133"/>
      <c r="SZT15" s="133"/>
      <c r="SZU15" s="133"/>
      <c r="SZV15" s="133"/>
      <c r="SZW15" s="133"/>
      <c r="SZX15" s="133"/>
      <c r="SZY15" s="133"/>
      <c r="SZZ15" s="133"/>
      <c r="TAA15" s="133"/>
      <c r="TAB15" s="133"/>
      <c r="TAC15" s="133"/>
      <c r="TAD15" s="133"/>
      <c r="TAE15" s="133"/>
      <c r="TAF15" s="133"/>
      <c r="TAG15" s="133"/>
      <c r="TAH15" s="133"/>
      <c r="TAI15" s="133"/>
      <c r="TAJ15" s="133"/>
      <c r="TAK15" s="133"/>
      <c r="TAL15" s="133"/>
      <c r="TAM15" s="133"/>
      <c r="TAN15" s="133"/>
      <c r="TAO15" s="133"/>
      <c r="TAP15" s="133"/>
      <c r="TAQ15" s="133"/>
      <c r="TAR15" s="133"/>
      <c r="TAS15" s="133"/>
      <c r="TAT15" s="133"/>
      <c r="TAU15" s="133"/>
      <c r="TAV15" s="133"/>
      <c r="TAW15" s="133"/>
      <c r="TAX15" s="133"/>
      <c r="TAY15" s="133"/>
      <c r="TAZ15" s="133"/>
      <c r="TBA15" s="133"/>
      <c r="TBB15" s="133"/>
      <c r="TBC15" s="133"/>
      <c r="TBD15" s="133"/>
      <c r="TBE15" s="133"/>
      <c r="TBF15" s="133"/>
      <c r="TBG15" s="133"/>
      <c r="TBH15" s="133"/>
      <c r="TBI15" s="133"/>
      <c r="TBJ15" s="133"/>
      <c r="TBK15" s="133"/>
      <c r="TBL15" s="133"/>
      <c r="TBM15" s="133"/>
      <c r="TBN15" s="133"/>
      <c r="TBO15" s="133"/>
      <c r="TBP15" s="133"/>
      <c r="TBQ15" s="133"/>
      <c r="TBR15" s="133"/>
      <c r="TBS15" s="133"/>
      <c r="TBT15" s="133"/>
      <c r="TBU15" s="133"/>
      <c r="TBV15" s="133"/>
      <c r="TBW15" s="133"/>
      <c r="TBX15" s="133"/>
      <c r="TBY15" s="133"/>
      <c r="TBZ15" s="133"/>
      <c r="TCA15" s="133"/>
      <c r="TCB15" s="133"/>
      <c r="TCC15" s="133"/>
      <c r="TCD15" s="133"/>
      <c r="TCE15" s="133"/>
      <c r="TCF15" s="133"/>
      <c r="TCG15" s="133"/>
      <c r="TCH15" s="133"/>
      <c r="TCI15" s="133"/>
      <c r="TCJ15" s="133"/>
      <c r="TCK15" s="133"/>
      <c r="TCL15" s="133"/>
      <c r="TCM15" s="133"/>
      <c r="TCN15" s="133"/>
      <c r="TCO15" s="133"/>
      <c r="TCP15" s="133"/>
      <c r="TCQ15" s="133"/>
      <c r="TCR15" s="133"/>
      <c r="TCS15" s="133"/>
      <c r="TCT15" s="133"/>
      <c r="TCU15" s="133"/>
      <c r="TCV15" s="133"/>
      <c r="TCW15" s="133"/>
      <c r="TCX15" s="133"/>
      <c r="TCY15" s="133"/>
      <c r="TCZ15" s="133"/>
      <c r="TDA15" s="133"/>
      <c r="TDB15" s="133"/>
      <c r="TDC15" s="133"/>
      <c r="TDD15" s="133"/>
      <c r="TDE15" s="133"/>
      <c r="TDF15" s="133"/>
      <c r="TDG15" s="133"/>
      <c r="TDH15" s="133"/>
      <c r="TDI15" s="133"/>
      <c r="TDJ15" s="133"/>
      <c r="TDK15" s="133"/>
      <c r="TDL15" s="133"/>
      <c r="TDM15" s="133"/>
      <c r="TDN15" s="133"/>
      <c r="TDO15" s="133"/>
      <c r="TDP15" s="133"/>
      <c r="TDQ15" s="133"/>
      <c r="TDR15" s="133"/>
      <c r="TDS15" s="133"/>
      <c r="TDT15" s="133"/>
      <c r="TDU15" s="133"/>
      <c r="TDV15" s="133"/>
      <c r="TDW15" s="133"/>
      <c r="TDX15" s="133"/>
      <c r="TDY15" s="133"/>
      <c r="TDZ15" s="133"/>
      <c r="TEA15" s="133"/>
      <c r="TEB15" s="133"/>
      <c r="TEC15" s="133"/>
      <c r="TED15" s="133"/>
      <c r="TEE15" s="133"/>
      <c r="TEF15" s="133"/>
      <c r="TEG15" s="133"/>
      <c r="TEH15" s="133"/>
      <c r="TEI15" s="133"/>
      <c r="TEJ15" s="133"/>
      <c r="TEK15" s="133"/>
      <c r="TEL15" s="133"/>
      <c r="TEM15" s="133"/>
      <c r="TEN15" s="133"/>
      <c r="TEO15" s="133"/>
      <c r="TEP15" s="133"/>
      <c r="TEQ15" s="133"/>
      <c r="TER15" s="133"/>
      <c r="TES15" s="133"/>
      <c r="TET15" s="133"/>
      <c r="TEU15" s="133"/>
      <c r="TEV15" s="133"/>
      <c r="TEW15" s="133"/>
      <c r="TEX15" s="133"/>
      <c r="TEY15" s="133"/>
      <c r="TEZ15" s="133"/>
      <c r="TFA15" s="133"/>
      <c r="TFB15" s="133"/>
      <c r="TFC15" s="133"/>
      <c r="TFD15" s="133"/>
      <c r="TFE15" s="133"/>
      <c r="TFF15" s="133"/>
      <c r="TFG15" s="133"/>
      <c r="TFH15" s="133"/>
      <c r="TFI15" s="133"/>
      <c r="TFJ15" s="133"/>
      <c r="TFK15" s="133"/>
      <c r="TFL15" s="133"/>
      <c r="TFM15" s="133"/>
      <c r="TFN15" s="133"/>
      <c r="TFO15" s="133"/>
      <c r="TFP15" s="133"/>
      <c r="TFQ15" s="133"/>
      <c r="TFR15" s="133"/>
      <c r="TFS15" s="133"/>
      <c r="TFT15" s="133"/>
      <c r="TFU15" s="133"/>
      <c r="TFV15" s="133"/>
      <c r="TFW15" s="133"/>
      <c r="TFX15" s="133"/>
      <c r="TFY15" s="133"/>
      <c r="TFZ15" s="133"/>
      <c r="TGA15" s="133"/>
      <c r="TGB15" s="133"/>
      <c r="TGC15" s="133"/>
      <c r="TGD15" s="133"/>
      <c r="TGE15" s="133"/>
      <c r="TGF15" s="133"/>
      <c r="TGG15" s="133"/>
      <c r="TGH15" s="133"/>
      <c r="TGI15" s="133"/>
      <c r="TGJ15" s="133"/>
      <c r="TGK15" s="133"/>
      <c r="TGL15" s="133"/>
      <c r="TGM15" s="133"/>
      <c r="TGN15" s="133"/>
      <c r="TGO15" s="133"/>
      <c r="TGP15" s="133"/>
      <c r="TGQ15" s="133"/>
      <c r="TGR15" s="133"/>
      <c r="TGS15" s="133"/>
      <c r="TGT15" s="133"/>
      <c r="TGU15" s="133"/>
      <c r="TGV15" s="133"/>
      <c r="TGW15" s="133"/>
      <c r="TGX15" s="133"/>
      <c r="TGY15" s="133"/>
      <c r="TGZ15" s="133"/>
      <c r="THA15" s="133"/>
      <c r="THB15" s="133"/>
      <c r="THC15" s="133"/>
      <c r="THD15" s="133"/>
      <c r="THE15" s="133"/>
      <c r="THF15" s="133"/>
      <c r="THG15" s="133"/>
      <c r="THH15" s="133"/>
      <c r="THI15" s="133"/>
      <c r="THJ15" s="133"/>
      <c r="THK15" s="133"/>
      <c r="THL15" s="133"/>
      <c r="THM15" s="133"/>
      <c r="THN15" s="133"/>
      <c r="THO15" s="133"/>
      <c r="THP15" s="133"/>
      <c r="THQ15" s="133"/>
      <c r="THR15" s="133"/>
      <c r="THS15" s="133"/>
      <c r="THT15" s="133"/>
      <c r="THU15" s="133"/>
      <c r="THV15" s="133"/>
      <c r="THW15" s="133"/>
      <c r="THX15" s="133"/>
      <c r="THY15" s="133"/>
      <c r="THZ15" s="133"/>
      <c r="TIA15" s="133"/>
      <c r="TIB15" s="133"/>
      <c r="TIC15" s="133"/>
      <c r="TID15" s="133"/>
      <c r="TIE15" s="133"/>
      <c r="TIF15" s="133"/>
      <c r="TIG15" s="133"/>
      <c r="TIH15" s="133"/>
      <c r="TII15" s="133"/>
      <c r="TIJ15" s="133"/>
      <c r="TIK15" s="133"/>
      <c r="TIL15" s="133"/>
      <c r="TIM15" s="133"/>
      <c r="TIN15" s="133"/>
      <c r="TIO15" s="133"/>
      <c r="TIP15" s="133"/>
      <c r="TIQ15" s="133"/>
      <c r="TIR15" s="133"/>
      <c r="TIS15" s="133"/>
      <c r="TIT15" s="133"/>
      <c r="TIU15" s="133"/>
      <c r="TIV15" s="133"/>
      <c r="TIW15" s="133"/>
      <c r="TIX15" s="133"/>
      <c r="TIY15" s="133"/>
      <c r="TIZ15" s="133"/>
      <c r="TJA15" s="133"/>
      <c r="TJB15" s="133"/>
      <c r="TJC15" s="133"/>
      <c r="TJD15" s="133"/>
      <c r="TJE15" s="133"/>
      <c r="TJF15" s="133"/>
      <c r="TJG15" s="133"/>
      <c r="TJH15" s="133"/>
      <c r="TJI15" s="133"/>
      <c r="TJJ15" s="133"/>
      <c r="TJK15" s="133"/>
      <c r="TJL15" s="133"/>
      <c r="TJM15" s="133"/>
      <c r="TJN15" s="133"/>
      <c r="TJO15" s="133"/>
      <c r="TJP15" s="133"/>
      <c r="TJQ15" s="133"/>
      <c r="TJR15" s="133"/>
      <c r="TJS15" s="133"/>
      <c r="TJT15" s="133"/>
      <c r="TJU15" s="133"/>
      <c r="TJV15" s="133"/>
      <c r="TJW15" s="133"/>
      <c r="TJX15" s="133"/>
      <c r="TJY15" s="133"/>
      <c r="TJZ15" s="133"/>
      <c r="TKA15" s="133"/>
      <c r="TKB15" s="133"/>
      <c r="TKC15" s="133"/>
      <c r="TKD15" s="133"/>
      <c r="TKE15" s="133"/>
      <c r="TKF15" s="133"/>
      <c r="TKG15" s="133"/>
      <c r="TKH15" s="133"/>
      <c r="TKI15" s="133"/>
      <c r="TKJ15" s="133"/>
      <c r="TKK15" s="133"/>
      <c r="TKL15" s="133"/>
      <c r="TKM15" s="133"/>
      <c r="TKN15" s="133"/>
      <c r="TKO15" s="133"/>
      <c r="TKP15" s="133"/>
      <c r="TKQ15" s="133"/>
      <c r="TKR15" s="133"/>
      <c r="TKS15" s="133"/>
      <c r="TKT15" s="133"/>
      <c r="TKU15" s="133"/>
      <c r="TKV15" s="133"/>
      <c r="TKW15" s="133"/>
      <c r="TKX15" s="133"/>
      <c r="TKY15" s="133"/>
      <c r="TKZ15" s="133"/>
      <c r="TLA15" s="133"/>
      <c r="TLB15" s="133"/>
      <c r="TLC15" s="133"/>
      <c r="TLD15" s="133"/>
      <c r="TLE15" s="133"/>
      <c r="TLF15" s="133"/>
      <c r="TLG15" s="133"/>
      <c r="TLH15" s="133"/>
      <c r="TLI15" s="133"/>
      <c r="TLJ15" s="133"/>
      <c r="TLK15" s="133"/>
      <c r="TLL15" s="133"/>
      <c r="TLM15" s="133"/>
      <c r="TLN15" s="133"/>
      <c r="TLO15" s="133"/>
      <c r="TLP15" s="133"/>
      <c r="TLQ15" s="133"/>
      <c r="TLR15" s="133"/>
      <c r="TLS15" s="133"/>
      <c r="TLT15" s="133"/>
      <c r="TLU15" s="133"/>
      <c r="TLV15" s="133"/>
      <c r="TLW15" s="133"/>
      <c r="TLX15" s="133"/>
      <c r="TLY15" s="133"/>
      <c r="TLZ15" s="133"/>
      <c r="TMA15" s="133"/>
      <c r="TMB15" s="133"/>
      <c r="TMC15" s="133"/>
      <c r="TMD15" s="133"/>
      <c r="TME15" s="133"/>
      <c r="TMF15" s="133"/>
      <c r="TMG15" s="133"/>
      <c r="TMH15" s="133"/>
      <c r="TMI15" s="133"/>
      <c r="TMJ15" s="133"/>
      <c r="TMK15" s="133"/>
      <c r="TML15" s="133"/>
      <c r="TMM15" s="133"/>
      <c r="TMN15" s="133"/>
      <c r="TMO15" s="133"/>
      <c r="TMP15" s="133"/>
      <c r="TMQ15" s="133"/>
      <c r="TMR15" s="133"/>
      <c r="TMS15" s="133"/>
      <c r="TMT15" s="133"/>
      <c r="TMU15" s="133"/>
      <c r="TMV15" s="133"/>
      <c r="TMW15" s="133"/>
      <c r="TMX15" s="133"/>
      <c r="TMY15" s="133"/>
      <c r="TMZ15" s="133"/>
      <c r="TNA15" s="133"/>
      <c r="TNB15" s="133"/>
      <c r="TNC15" s="133"/>
      <c r="TND15" s="133"/>
      <c r="TNE15" s="133"/>
      <c r="TNF15" s="133"/>
      <c r="TNG15" s="133"/>
      <c r="TNH15" s="133"/>
      <c r="TNI15" s="133"/>
      <c r="TNJ15" s="133"/>
      <c r="TNK15" s="133"/>
      <c r="TNL15" s="133"/>
      <c r="TNM15" s="133"/>
      <c r="TNN15" s="133"/>
      <c r="TNO15" s="133"/>
      <c r="TNP15" s="133"/>
      <c r="TNQ15" s="133"/>
      <c r="TNR15" s="133"/>
      <c r="TNS15" s="133"/>
      <c r="TNT15" s="133"/>
      <c r="TNU15" s="133"/>
      <c r="TNV15" s="133"/>
      <c r="TNW15" s="133"/>
      <c r="TNX15" s="133"/>
      <c r="TNY15" s="133"/>
      <c r="TNZ15" s="133"/>
      <c r="TOA15" s="133"/>
      <c r="TOB15" s="133"/>
      <c r="TOC15" s="133"/>
      <c r="TOD15" s="133"/>
      <c r="TOE15" s="133"/>
      <c r="TOF15" s="133"/>
      <c r="TOG15" s="133"/>
      <c r="TOH15" s="133"/>
      <c r="TOI15" s="133"/>
      <c r="TOJ15" s="133"/>
      <c r="TOK15" s="133"/>
      <c r="TOL15" s="133"/>
      <c r="TOM15" s="133"/>
      <c r="TON15" s="133"/>
      <c r="TOO15" s="133"/>
      <c r="TOP15" s="133"/>
      <c r="TOQ15" s="133"/>
      <c r="TOR15" s="133"/>
      <c r="TOS15" s="133"/>
      <c r="TOT15" s="133"/>
      <c r="TOU15" s="133"/>
      <c r="TOV15" s="133"/>
      <c r="TOW15" s="133"/>
      <c r="TOX15" s="133"/>
      <c r="TOY15" s="133"/>
      <c r="TOZ15" s="133"/>
      <c r="TPA15" s="133"/>
      <c r="TPB15" s="133"/>
      <c r="TPC15" s="133"/>
      <c r="TPD15" s="133"/>
      <c r="TPE15" s="133"/>
      <c r="TPF15" s="133"/>
      <c r="TPG15" s="133"/>
      <c r="TPH15" s="133"/>
      <c r="TPI15" s="133"/>
      <c r="TPJ15" s="133"/>
      <c r="TPK15" s="133"/>
      <c r="TPL15" s="133"/>
      <c r="TPM15" s="133"/>
      <c r="TPN15" s="133"/>
      <c r="TPO15" s="133"/>
      <c r="TPP15" s="133"/>
      <c r="TPQ15" s="133"/>
      <c r="TPR15" s="133"/>
      <c r="TPS15" s="133"/>
      <c r="TPT15" s="133"/>
      <c r="TPU15" s="133"/>
      <c r="TPV15" s="133"/>
      <c r="TPW15" s="133"/>
      <c r="TPX15" s="133"/>
      <c r="TPY15" s="133"/>
      <c r="TPZ15" s="133"/>
      <c r="TQA15" s="133"/>
      <c r="TQB15" s="133"/>
      <c r="TQC15" s="133"/>
      <c r="TQD15" s="133"/>
      <c r="TQE15" s="133"/>
      <c r="TQF15" s="133"/>
      <c r="TQG15" s="133"/>
      <c r="TQH15" s="133"/>
      <c r="TQI15" s="133"/>
      <c r="TQJ15" s="133"/>
      <c r="TQK15" s="133"/>
      <c r="TQL15" s="133"/>
      <c r="TQM15" s="133"/>
      <c r="TQN15" s="133"/>
      <c r="TQO15" s="133"/>
      <c r="TQP15" s="133"/>
      <c r="TQQ15" s="133"/>
      <c r="TQR15" s="133"/>
      <c r="TQS15" s="133"/>
      <c r="TQT15" s="133"/>
      <c r="TQU15" s="133"/>
      <c r="TQV15" s="133"/>
      <c r="TQW15" s="133"/>
      <c r="TQX15" s="133"/>
      <c r="TQY15" s="133"/>
      <c r="TQZ15" s="133"/>
      <c r="TRA15" s="133"/>
      <c r="TRB15" s="133"/>
      <c r="TRC15" s="133"/>
      <c r="TRD15" s="133"/>
      <c r="TRE15" s="133"/>
      <c r="TRF15" s="133"/>
      <c r="TRG15" s="133"/>
      <c r="TRH15" s="133"/>
      <c r="TRI15" s="133"/>
      <c r="TRJ15" s="133"/>
      <c r="TRK15" s="133"/>
      <c r="TRL15" s="133"/>
      <c r="TRM15" s="133"/>
      <c r="TRN15" s="133"/>
      <c r="TRO15" s="133"/>
      <c r="TRP15" s="133"/>
      <c r="TRQ15" s="133"/>
      <c r="TRR15" s="133"/>
      <c r="TRS15" s="133"/>
      <c r="TRT15" s="133"/>
      <c r="TRU15" s="133"/>
      <c r="TRV15" s="133"/>
      <c r="TRW15" s="133"/>
      <c r="TRX15" s="133"/>
      <c r="TRY15" s="133"/>
      <c r="TRZ15" s="133"/>
      <c r="TSA15" s="133"/>
      <c r="TSB15" s="133"/>
      <c r="TSC15" s="133"/>
      <c r="TSD15" s="133"/>
      <c r="TSE15" s="133"/>
      <c r="TSF15" s="133"/>
      <c r="TSG15" s="133"/>
      <c r="TSH15" s="133"/>
      <c r="TSI15" s="133"/>
      <c r="TSJ15" s="133"/>
      <c r="TSK15" s="133"/>
      <c r="TSL15" s="133"/>
      <c r="TSM15" s="133"/>
      <c r="TSN15" s="133"/>
      <c r="TSO15" s="133"/>
      <c r="TSP15" s="133"/>
      <c r="TSQ15" s="133"/>
      <c r="TSR15" s="133"/>
      <c r="TSS15" s="133"/>
      <c r="TST15" s="133"/>
      <c r="TSU15" s="133"/>
      <c r="TSV15" s="133"/>
      <c r="TSW15" s="133"/>
      <c r="TSX15" s="133"/>
      <c r="TSY15" s="133"/>
      <c r="TSZ15" s="133"/>
      <c r="TTA15" s="133"/>
      <c r="TTB15" s="133"/>
      <c r="TTC15" s="133"/>
      <c r="TTD15" s="133"/>
      <c r="TTE15" s="133"/>
      <c r="TTF15" s="133"/>
      <c r="TTG15" s="133"/>
      <c r="TTH15" s="133"/>
      <c r="TTI15" s="133"/>
      <c r="TTJ15" s="133"/>
      <c r="TTK15" s="133"/>
      <c r="TTL15" s="133"/>
      <c r="TTM15" s="133"/>
      <c r="TTN15" s="133"/>
      <c r="TTO15" s="133"/>
      <c r="TTP15" s="133"/>
      <c r="TTQ15" s="133"/>
      <c r="TTR15" s="133"/>
      <c r="TTS15" s="133"/>
      <c r="TTT15" s="133"/>
      <c r="TTU15" s="133"/>
      <c r="TTV15" s="133"/>
      <c r="TTW15" s="133"/>
      <c r="TTX15" s="133"/>
      <c r="TTY15" s="133"/>
      <c r="TTZ15" s="133"/>
      <c r="TUA15" s="133"/>
      <c r="TUB15" s="133"/>
      <c r="TUC15" s="133"/>
      <c r="TUD15" s="133"/>
      <c r="TUE15" s="133"/>
      <c r="TUF15" s="133"/>
      <c r="TUG15" s="133"/>
      <c r="TUH15" s="133"/>
      <c r="TUI15" s="133"/>
      <c r="TUJ15" s="133"/>
      <c r="TUK15" s="133"/>
      <c r="TUL15" s="133"/>
      <c r="TUM15" s="133"/>
      <c r="TUN15" s="133"/>
      <c r="TUO15" s="133"/>
      <c r="TUP15" s="133"/>
      <c r="TUQ15" s="133"/>
      <c r="TUR15" s="133"/>
      <c r="TUS15" s="133"/>
      <c r="TUT15" s="133"/>
      <c r="TUU15" s="133"/>
      <c r="TUV15" s="133"/>
      <c r="TUW15" s="133"/>
      <c r="TUX15" s="133"/>
      <c r="TUY15" s="133"/>
      <c r="TUZ15" s="133"/>
      <c r="TVA15" s="133"/>
      <c r="TVB15" s="133"/>
      <c r="TVC15" s="133"/>
      <c r="TVD15" s="133"/>
      <c r="TVE15" s="133"/>
      <c r="TVF15" s="133"/>
      <c r="TVG15" s="133"/>
      <c r="TVH15" s="133"/>
      <c r="TVI15" s="133"/>
      <c r="TVJ15" s="133"/>
      <c r="TVK15" s="133"/>
      <c r="TVL15" s="133"/>
      <c r="TVM15" s="133"/>
      <c r="TVN15" s="133"/>
      <c r="TVO15" s="133"/>
      <c r="TVP15" s="133"/>
      <c r="TVQ15" s="133"/>
      <c r="TVR15" s="133"/>
      <c r="TVS15" s="133"/>
      <c r="TVT15" s="133"/>
      <c r="TVU15" s="133"/>
      <c r="TVV15" s="133"/>
      <c r="TVW15" s="133"/>
      <c r="TVX15" s="133"/>
      <c r="TVY15" s="133"/>
      <c r="TVZ15" s="133"/>
      <c r="TWA15" s="133"/>
      <c r="TWB15" s="133"/>
      <c r="TWC15" s="133"/>
      <c r="TWD15" s="133"/>
      <c r="TWE15" s="133"/>
      <c r="TWF15" s="133"/>
      <c r="TWG15" s="133"/>
      <c r="TWH15" s="133"/>
      <c r="TWI15" s="133"/>
      <c r="TWJ15" s="133"/>
      <c r="TWK15" s="133"/>
      <c r="TWL15" s="133"/>
      <c r="TWM15" s="133"/>
      <c r="TWN15" s="133"/>
      <c r="TWO15" s="133"/>
      <c r="TWP15" s="133"/>
      <c r="TWQ15" s="133"/>
      <c r="TWR15" s="133"/>
      <c r="TWS15" s="133"/>
      <c r="TWT15" s="133"/>
      <c r="TWU15" s="133"/>
      <c r="TWV15" s="133"/>
      <c r="TWW15" s="133"/>
      <c r="TWX15" s="133"/>
      <c r="TWY15" s="133"/>
      <c r="TWZ15" s="133"/>
      <c r="TXA15" s="133"/>
      <c r="TXB15" s="133"/>
      <c r="TXC15" s="133"/>
      <c r="TXD15" s="133"/>
      <c r="TXE15" s="133"/>
      <c r="TXF15" s="133"/>
      <c r="TXG15" s="133"/>
      <c r="TXH15" s="133"/>
      <c r="TXI15" s="133"/>
      <c r="TXJ15" s="133"/>
      <c r="TXK15" s="133"/>
      <c r="TXL15" s="133"/>
      <c r="TXM15" s="133"/>
      <c r="TXN15" s="133"/>
      <c r="TXO15" s="133"/>
      <c r="TXP15" s="133"/>
      <c r="TXQ15" s="133"/>
      <c r="TXR15" s="133"/>
      <c r="TXS15" s="133"/>
      <c r="TXT15" s="133"/>
      <c r="TXU15" s="133"/>
      <c r="TXV15" s="133"/>
      <c r="TXW15" s="133"/>
      <c r="TXX15" s="133"/>
      <c r="TXY15" s="133"/>
      <c r="TXZ15" s="133"/>
      <c r="TYA15" s="133"/>
      <c r="TYB15" s="133"/>
      <c r="TYC15" s="133"/>
      <c r="TYD15" s="133"/>
      <c r="TYE15" s="133"/>
      <c r="TYF15" s="133"/>
      <c r="TYG15" s="133"/>
      <c r="TYH15" s="133"/>
      <c r="TYI15" s="133"/>
      <c r="TYJ15" s="133"/>
      <c r="TYK15" s="133"/>
      <c r="TYL15" s="133"/>
      <c r="TYM15" s="133"/>
      <c r="TYN15" s="133"/>
      <c r="TYO15" s="133"/>
      <c r="TYP15" s="133"/>
      <c r="TYQ15" s="133"/>
      <c r="TYR15" s="133"/>
      <c r="TYS15" s="133"/>
      <c r="TYT15" s="133"/>
      <c r="TYU15" s="133"/>
      <c r="TYV15" s="133"/>
      <c r="TYW15" s="133"/>
      <c r="TYX15" s="133"/>
      <c r="TYY15" s="133"/>
      <c r="TYZ15" s="133"/>
      <c r="TZA15" s="133"/>
      <c r="TZB15" s="133"/>
      <c r="TZC15" s="133"/>
      <c r="TZD15" s="133"/>
      <c r="TZE15" s="133"/>
      <c r="TZF15" s="133"/>
      <c r="TZG15" s="133"/>
      <c r="TZH15" s="133"/>
      <c r="TZI15" s="133"/>
      <c r="TZJ15" s="133"/>
      <c r="TZK15" s="133"/>
      <c r="TZL15" s="133"/>
      <c r="TZM15" s="133"/>
      <c r="TZN15" s="133"/>
      <c r="TZO15" s="133"/>
      <c r="TZP15" s="133"/>
      <c r="TZQ15" s="133"/>
      <c r="TZR15" s="133"/>
      <c r="TZS15" s="133"/>
      <c r="TZT15" s="133"/>
      <c r="TZU15" s="133"/>
      <c r="TZV15" s="133"/>
      <c r="TZW15" s="133"/>
      <c r="TZX15" s="133"/>
      <c r="TZY15" s="133"/>
      <c r="TZZ15" s="133"/>
      <c r="UAA15" s="133"/>
      <c r="UAB15" s="133"/>
      <c r="UAC15" s="133"/>
      <c r="UAD15" s="133"/>
      <c r="UAE15" s="133"/>
      <c r="UAF15" s="133"/>
      <c r="UAG15" s="133"/>
      <c r="UAH15" s="133"/>
      <c r="UAI15" s="133"/>
      <c r="UAJ15" s="133"/>
      <c r="UAK15" s="133"/>
      <c r="UAL15" s="133"/>
      <c r="UAM15" s="133"/>
      <c r="UAN15" s="133"/>
      <c r="UAO15" s="133"/>
      <c r="UAP15" s="133"/>
      <c r="UAQ15" s="133"/>
      <c r="UAR15" s="133"/>
      <c r="UAS15" s="133"/>
      <c r="UAT15" s="133"/>
      <c r="UAU15" s="133"/>
      <c r="UAV15" s="133"/>
      <c r="UAW15" s="133"/>
      <c r="UAX15" s="133"/>
      <c r="UAY15" s="133"/>
      <c r="UAZ15" s="133"/>
      <c r="UBA15" s="133"/>
      <c r="UBB15" s="133"/>
      <c r="UBC15" s="133"/>
      <c r="UBD15" s="133"/>
      <c r="UBE15" s="133"/>
      <c r="UBF15" s="133"/>
      <c r="UBG15" s="133"/>
      <c r="UBH15" s="133"/>
      <c r="UBI15" s="133"/>
      <c r="UBJ15" s="133"/>
      <c r="UBK15" s="133"/>
      <c r="UBL15" s="133"/>
      <c r="UBM15" s="133"/>
      <c r="UBN15" s="133"/>
      <c r="UBO15" s="133"/>
      <c r="UBP15" s="133"/>
      <c r="UBQ15" s="133"/>
      <c r="UBR15" s="133"/>
      <c r="UBS15" s="133"/>
      <c r="UBT15" s="133"/>
      <c r="UBU15" s="133"/>
      <c r="UBV15" s="133"/>
      <c r="UBW15" s="133"/>
      <c r="UBX15" s="133"/>
      <c r="UBY15" s="133"/>
      <c r="UBZ15" s="133"/>
      <c r="UCA15" s="133"/>
      <c r="UCB15" s="133"/>
      <c r="UCC15" s="133"/>
      <c r="UCD15" s="133"/>
      <c r="UCE15" s="133"/>
      <c r="UCF15" s="133"/>
      <c r="UCG15" s="133"/>
      <c r="UCH15" s="133"/>
      <c r="UCI15" s="133"/>
      <c r="UCJ15" s="133"/>
      <c r="UCK15" s="133"/>
      <c r="UCL15" s="133"/>
      <c r="UCM15" s="133"/>
      <c r="UCN15" s="133"/>
      <c r="UCO15" s="133"/>
      <c r="UCP15" s="133"/>
      <c r="UCQ15" s="133"/>
      <c r="UCR15" s="133"/>
      <c r="UCS15" s="133"/>
      <c r="UCT15" s="133"/>
      <c r="UCU15" s="133"/>
      <c r="UCV15" s="133"/>
      <c r="UCW15" s="133"/>
      <c r="UCX15" s="133"/>
      <c r="UCY15" s="133"/>
      <c r="UCZ15" s="133"/>
      <c r="UDA15" s="133"/>
      <c r="UDB15" s="133"/>
      <c r="UDC15" s="133"/>
      <c r="UDD15" s="133"/>
      <c r="UDE15" s="133"/>
      <c r="UDF15" s="133"/>
      <c r="UDG15" s="133"/>
      <c r="UDH15" s="133"/>
      <c r="UDI15" s="133"/>
      <c r="UDJ15" s="133"/>
      <c r="UDK15" s="133"/>
      <c r="UDL15" s="133"/>
      <c r="UDM15" s="133"/>
      <c r="UDN15" s="133"/>
      <c r="UDO15" s="133"/>
      <c r="UDP15" s="133"/>
      <c r="UDQ15" s="133"/>
      <c r="UDR15" s="133"/>
      <c r="UDS15" s="133"/>
      <c r="UDT15" s="133"/>
      <c r="UDU15" s="133"/>
      <c r="UDV15" s="133"/>
      <c r="UDW15" s="133"/>
      <c r="UDX15" s="133"/>
      <c r="UDY15" s="133"/>
      <c r="UDZ15" s="133"/>
      <c r="UEA15" s="133"/>
      <c r="UEB15" s="133"/>
      <c r="UEC15" s="133"/>
      <c r="UED15" s="133"/>
      <c r="UEE15" s="133"/>
      <c r="UEF15" s="133"/>
      <c r="UEG15" s="133"/>
      <c r="UEH15" s="133"/>
      <c r="UEI15" s="133"/>
      <c r="UEJ15" s="133"/>
      <c r="UEK15" s="133"/>
      <c r="UEL15" s="133"/>
      <c r="UEM15" s="133"/>
      <c r="UEN15" s="133"/>
      <c r="UEO15" s="133"/>
      <c r="UEP15" s="133"/>
      <c r="UEQ15" s="133"/>
      <c r="UER15" s="133"/>
      <c r="UES15" s="133"/>
      <c r="UET15" s="133"/>
      <c r="UEU15" s="133"/>
      <c r="UEV15" s="133"/>
      <c r="UEW15" s="133"/>
      <c r="UEX15" s="133"/>
      <c r="UEY15" s="133"/>
      <c r="UEZ15" s="133"/>
      <c r="UFA15" s="133"/>
      <c r="UFB15" s="133"/>
      <c r="UFC15" s="133"/>
      <c r="UFD15" s="133"/>
      <c r="UFE15" s="133"/>
      <c r="UFF15" s="133"/>
      <c r="UFG15" s="133"/>
      <c r="UFH15" s="133"/>
      <c r="UFI15" s="133"/>
      <c r="UFJ15" s="133"/>
      <c r="UFK15" s="133"/>
      <c r="UFL15" s="133"/>
      <c r="UFM15" s="133"/>
      <c r="UFN15" s="133"/>
      <c r="UFO15" s="133"/>
      <c r="UFP15" s="133"/>
      <c r="UFQ15" s="133"/>
      <c r="UFR15" s="133"/>
      <c r="UFS15" s="133"/>
      <c r="UFT15" s="133"/>
      <c r="UFU15" s="133"/>
      <c r="UFV15" s="133"/>
      <c r="UFW15" s="133"/>
      <c r="UFX15" s="133"/>
      <c r="UFY15" s="133"/>
      <c r="UFZ15" s="133"/>
      <c r="UGA15" s="133"/>
      <c r="UGB15" s="133"/>
      <c r="UGC15" s="133"/>
      <c r="UGD15" s="133"/>
      <c r="UGE15" s="133"/>
      <c r="UGF15" s="133"/>
      <c r="UGG15" s="133"/>
      <c r="UGH15" s="133"/>
      <c r="UGI15" s="133"/>
      <c r="UGJ15" s="133"/>
      <c r="UGK15" s="133"/>
      <c r="UGL15" s="133"/>
      <c r="UGM15" s="133"/>
      <c r="UGN15" s="133"/>
      <c r="UGO15" s="133"/>
      <c r="UGP15" s="133"/>
      <c r="UGQ15" s="133"/>
      <c r="UGR15" s="133"/>
      <c r="UGS15" s="133"/>
      <c r="UGT15" s="133"/>
      <c r="UGU15" s="133"/>
      <c r="UGV15" s="133"/>
      <c r="UGW15" s="133"/>
      <c r="UGX15" s="133"/>
      <c r="UGY15" s="133"/>
      <c r="UGZ15" s="133"/>
      <c r="UHA15" s="133"/>
      <c r="UHB15" s="133"/>
      <c r="UHC15" s="133"/>
      <c r="UHD15" s="133"/>
      <c r="UHE15" s="133"/>
      <c r="UHF15" s="133"/>
      <c r="UHG15" s="133"/>
      <c r="UHH15" s="133"/>
      <c r="UHI15" s="133"/>
      <c r="UHJ15" s="133"/>
      <c r="UHK15" s="133"/>
      <c r="UHL15" s="133"/>
      <c r="UHM15" s="133"/>
      <c r="UHN15" s="133"/>
      <c r="UHO15" s="133"/>
      <c r="UHP15" s="133"/>
      <c r="UHQ15" s="133"/>
      <c r="UHR15" s="133"/>
      <c r="UHS15" s="133"/>
      <c r="UHT15" s="133"/>
      <c r="UHU15" s="133"/>
      <c r="UHV15" s="133"/>
      <c r="UHW15" s="133"/>
      <c r="UHX15" s="133"/>
      <c r="UHY15" s="133"/>
      <c r="UHZ15" s="133"/>
      <c r="UIA15" s="133"/>
      <c r="UIB15" s="133"/>
      <c r="UIC15" s="133"/>
      <c r="UID15" s="133"/>
      <c r="UIE15" s="133"/>
      <c r="UIF15" s="133"/>
      <c r="UIG15" s="133"/>
      <c r="UIH15" s="133"/>
      <c r="UII15" s="133"/>
      <c r="UIJ15" s="133"/>
      <c r="UIK15" s="133"/>
      <c r="UIL15" s="133"/>
      <c r="UIM15" s="133"/>
      <c r="UIN15" s="133"/>
      <c r="UIO15" s="133"/>
      <c r="UIP15" s="133"/>
      <c r="UIQ15" s="133"/>
      <c r="UIR15" s="133"/>
      <c r="UIS15" s="133"/>
      <c r="UIT15" s="133"/>
      <c r="UIU15" s="133"/>
      <c r="UIV15" s="133"/>
      <c r="UIW15" s="133"/>
      <c r="UIX15" s="133"/>
      <c r="UIY15" s="133"/>
      <c r="UIZ15" s="133"/>
      <c r="UJA15" s="133"/>
      <c r="UJB15" s="133"/>
      <c r="UJC15" s="133"/>
      <c r="UJD15" s="133"/>
      <c r="UJE15" s="133"/>
      <c r="UJF15" s="133"/>
      <c r="UJG15" s="133"/>
      <c r="UJH15" s="133"/>
      <c r="UJI15" s="133"/>
      <c r="UJJ15" s="133"/>
      <c r="UJK15" s="133"/>
      <c r="UJL15" s="133"/>
      <c r="UJM15" s="133"/>
      <c r="UJN15" s="133"/>
      <c r="UJO15" s="133"/>
      <c r="UJP15" s="133"/>
      <c r="UJQ15" s="133"/>
      <c r="UJR15" s="133"/>
      <c r="UJS15" s="133"/>
      <c r="UJT15" s="133"/>
      <c r="UJU15" s="133"/>
      <c r="UJV15" s="133"/>
      <c r="UJW15" s="133"/>
      <c r="UJX15" s="133"/>
      <c r="UJY15" s="133"/>
      <c r="UJZ15" s="133"/>
      <c r="UKA15" s="133"/>
      <c r="UKB15" s="133"/>
      <c r="UKC15" s="133"/>
      <c r="UKD15" s="133"/>
      <c r="UKE15" s="133"/>
      <c r="UKF15" s="133"/>
      <c r="UKG15" s="133"/>
      <c r="UKH15" s="133"/>
      <c r="UKI15" s="133"/>
      <c r="UKJ15" s="133"/>
      <c r="UKK15" s="133"/>
      <c r="UKL15" s="133"/>
      <c r="UKM15" s="133"/>
      <c r="UKN15" s="133"/>
      <c r="UKO15" s="133"/>
      <c r="UKP15" s="133"/>
      <c r="UKQ15" s="133"/>
      <c r="UKR15" s="133"/>
      <c r="UKS15" s="133"/>
      <c r="UKT15" s="133"/>
      <c r="UKU15" s="133"/>
      <c r="UKV15" s="133"/>
      <c r="UKW15" s="133"/>
      <c r="UKX15" s="133"/>
      <c r="UKY15" s="133"/>
      <c r="UKZ15" s="133"/>
      <c r="ULA15" s="133"/>
      <c r="ULB15" s="133"/>
      <c r="ULC15" s="133"/>
      <c r="ULD15" s="133"/>
      <c r="ULE15" s="133"/>
      <c r="ULF15" s="133"/>
      <c r="ULG15" s="133"/>
      <c r="ULH15" s="133"/>
      <c r="ULI15" s="133"/>
      <c r="ULJ15" s="133"/>
      <c r="ULK15" s="133"/>
      <c r="ULL15" s="133"/>
      <c r="ULM15" s="133"/>
      <c r="ULN15" s="133"/>
      <c r="ULO15" s="133"/>
      <c r="ULP15" s="133"/>
      <c r="ULQ15" s="133"/>
      <c r="ULR15" s="133"/>
      <c r="ULS15" s="133"/>
      <c r="ULT15" s="133"/>
      <c r="ULU15" s="133"/>
      <c r="ULV15" s="133"/>
      <c r="ULW15" s="133"/>
      <c r="ULX15" s="133"/>
      <c r="ULY15" s="133"/>
      <c r="ULZ15" s="133"/>
      <c r="UMA15" s="133"/>
      <c r="UMB15" s="133"/>
      <c r="UMC15" s="133"/>
      <c r="UMD15" s="133"/>
      <c r="UME15" s="133"/>
      <c r="UMF15" s="133"/>
      <c r="UMG15" s="133"/>
      <c r="UMH15" s="133"/>
      <c r="UMI15" s="133"/>
      <c r="UMJ15" s="133"/>
      <c r="UMK15" s="133"/>
      <c r="UML15" s="133"/>
      <c r="UMM15" s="133"/>
      <c r="UMN15" s="133"/>
      <c r="UMO15" s="133"/>
      <c r="UMP15" s="133"/>
      <c r="UMQ15" s="133"/>
      <c r="UMR15" s="133"/>
      <c r="UMS15" s="133"/>
      <c r="UMT15" s="133"/>
      <c r="UMU15" s="133"/>
      <c r="UMV15" s="133"/>
      <c r="UMW15" s="133"/>
      <c r="UMX15" s="133"/>
      <c r="UMY15" s="133"/>
      <c r="UMZ15" s="133"/>
      <c r="UNA15" s="133"/>
      <c r="UNB15" s="133"/>
      <c r="UNC15" s="133"/>
      <c r="UND15" s="133"/>
      <c r="UNE15" s="133"/>
      <c r="UNF15" s="133"/>
      <c r="UNG15" s="133"/>
      <c r="UNH15" s="133"/>
      <c r="UNI15" s="133"/>
      <c r="UNJ15" s="133"/>
      <c r="UNK15" s="133"/>
      <c r="UNL15" s="133"/>
      <c r="UNM15" s="133"/>
      <c r="UNN15" s="133"/>
      <c r="UNO15" s="133"/>
      <c r="UNP15" s="133"/>
      <c r="UNQ15" s="133"/>
      <c r="UNR15" s="133"/>
      <c r="UNS15" s="133"/>
      <c r="UNT15" s="133"/>
      <c r="UNU15" s="133"/>
      <c r="UNV15" s="133"/>
      <c r="UNW15" s="133"/>
      <c r="UNX15" s="133"/>
      <c r="UNY15" s="133"/>
      <c r="UNZ15" s="133"/>
      <c r="UOA15" s="133"/>
      <c r="UOB15" s="133"/>
      <c r="UOC15" s="133"/>
      <c r="UOD15" s="133"/>
      <c r="UOE15" s="133"/>
      <c r="UOF15" s="133"/>
      <c r="UOG15" s="133"/>
      <c r="UOH15" s="133"/>
      <c r="UOI15" s="133"/>
      <c r="UOJ15" s="133"/>
      <c r="UOK15" s="133"/>
      <c r="UOL15" s="133"/>
      <c r="UOM15" s="133"/>
      <c r="UON15" s="133"/>
      <c r="UOO15" s="133"/>
      <c r="UOP15" s="133"/>
      <c r="UOQ15" s="133"/>
      <c r="UOR15" s="133"/>
      <c r="UOS15" s="133"/>
      <c r="UOT15" s="133"/>
      <c r="UOU15" s="133"/>
      <c r="UOV15" s="133"/>
      <c r="UOW15" s="133"/>
      <c r="UOX15" s="133"/>
      <c r="UOY15" s="133"/>
      <c r="UOZ15" s="133"/>
      <c r="UPA15" s="133"/>
      <c r="UPB15" s="133"/>
      <c r="UPC15" s="133"/>
      <c r="UPD15" s="133"/>
      <c r="UPE15" s="133"/>
      <c r="UPF15" s="133"/>
      <c r="UPG15" s="133"/>
      <c r="UPH15" s="133"/>
      <c r="UPI15" s="133"/>
      <c r="UPJ15" s="133"/>
      <c r="UPK15" s="133"/>
      <c r="UPL15" s="133"/>
      <c r="UPM15" s="133"/>
      <c r="UPN15" s="133"/>
      <c r="UPO15" s="133"/>
      <c r="UPP15" s="133"/>
      <c r="UPQ15" s="133"/>
      <c r="UPR15" s="133"/>
      <c r="UPS15" s="133"/>
      <c r="UPT15" s="133"/>
      <c r="UPU15" s="133"/>
      <c r="UPV15" s="133"/>
      <c r="UPW15" s="133"/>
      <c r="UPX15" s="133"/>
      <c r="UPY15" s="133"/>
      <c r="UPZ15" s="133"/>
      <c r="UQA15" s="133"/>
      <c r="UQB15" s="133"/>
      <c r="UQC15" s="133"/>
      <c r="UQD15" s="133"/>
      <c r="UQE15" s="133"/>
      <c r="UQF15" s="133"/>
      <c r="UQG15" s="133"/>
      <c r="UQH15" s="133"/>
      <c r="UQI15" s="133"/>
      <c r="UQJ15" s="133"/>
      <c r="UQK15" s="133"/>
      <c r="UQL15" s="133"/>
      <c r="UQM15" s="133"/>
      <c r="UQN15" s="133"/>
      <c r="UQO15" s="133"/>
      <c r="UQP15" s="133"/>
      <c r="UQQ15" s="133"/>
      <c r="UQR15" s="133"/>
      <c r="UQS15" s="133"/>
      <c r="UQT15" s="133"/>
      <c r="UQU15" s="133"/>
      <c r="UQV15" s="133"/>
      <c r="UQW15" s="133"/>
      <c r="UQX15" s="133"/>
      <c r="UQY15" s="133"/>
      <c r="UQZ15" s="133"/>
      <c r="URA15" s="133"/>
      <c r="URB15" s="133"/>
      <c r="URC15" s="133"/>
      <c r="URD15" s="133"/>
      <c r="URE15" s="133"/>
      <c r="URF15" s="133"/>
      <c r="URG15" s="133"/>
      <c r="URH15" s="133"/>
      <c r="URI15" s="133"/>
      <c r="URJ15" s="133"/>
      <c r="URK15" s="133"/>
      <c r="URL15" s="133"/>
      <c r="URM15" s="133"/>
      <c r="URN15" s="133"/>
      <c r="URO15" s="133"/>
      <c r="URP15" s="133"/>
      <c r="URQ15" s="133"/>
      <c r="URR15" s="133"/>
      <c r="URS15" s="133"/>
      <c r="URT15" s="133"/>
      <c r="URU15" s="133"/>
      <c r="URV15" s="133"/>
      <c r="URW15" s="133"/>
      <c r="URX15" s="133"/>
      <c r="URY15" s="133"/>
      <c r="URZ15" s="133"/>
      <c r="USA15" s="133"/>
      <c r="USB15" s="133"/>
      <c r="USC15" s="133"/>
      <c r="USD15" s="133"/>
      <c r="USE15" s="133"/>
      <c r="USF15" s="133"/>
      <c r="USG15" s="133"/>
      <c r="USH15" s="133"/>
      <c r="USI15" s="133"/>
      <c r="USJ15" s="133"/>
      <c r="USK15" s="133"/>
      <c r="USL15" s="133"/>
      <c r="USM15" s="133"/>
      <c r="USN15" s="133"/>
      <c r="USO15" s="133"/>
      <c r="USP15" s="133"/>
      <c r="USQ15" s="133"/>
      <c r="USR15" s="133"/>
      <c r="USS15" s="133"/>
      <c r="UST15" s="133"/>
      <c r="USU15" s="133"/>
      <c r="USV15" s="133"/>
      <c r="USW15" s="133"/>
      <c r="USX15" s="133"/>
      <c r="USY15" s="133"/>
      <c r="USZ15" s="133"/>
      <c r="UTA15" s="133"/>
      <c r="UTB15" s="133"/>
      <c r="UTC15" s="133"/>
      <c r="UTD15" s="133"/>
      <c r="UTE15" s="133"/>
      <c r="UTF15" s="133"/>
      <c r="UTG15" s="133"/>
      <c r="UTH15" s="133"/>
      <c r="UTI15" s="133"/>
      <c r="UTJ15" s="133"/>
      <c r="UTK15" s="133"/>
      <c r="UTL15" s="133"/>
      <c r="UTM15" s="133"/>
      <c r="UTN15" s="133"/>
      <c r="UTO15" s="133"/>
      <c r="UTP15" s="133"/>
      <c r="UTQ15" s="133"/>
      <c r="UTR15" s="133"/>
      <c r="UTS15" s="133"/>
      <c r="UTT15" s="133"/>
      <c r="UTU15" s="133"/>
      <c r="UTV15" s="133"/>
      <c r="UTW15" s="133"/>
      <c r="UTX15" s="133"/>
      <c r="UTY15" s="133"/>
      <c r="UTZ15" s="133"/>
      <c r="UUA15" s="133"/>
      <c r="UUB15" s="133"/>
      <c r="UUC15" s="133"/>
      <c r="UUD15" s="133"/>
      <c r="UUE15" s="133"/>
      <c r="UUF15" s="133"/>
      <c r="UUG15" s="133"/>
      <c r="UUH15" s="133"/>
      <c r="UUI15" s="133"/>
      <c r="UUJ15" s="133"/>
      <c r="UUK15" s="133"/>
      <c r="UUL15" s="133"/>
      <c r="UUM15" s="133"/>
      <c r="UUN15" s="133"/>
      <c r="UUO15" s="133"/>
      <c r="UUP15" s="133"/>
      <c r="UUQ15" s="133"/>
      <c r="UUR15" s="133"/>
      <c r="UUS15" s="133"/>
      <c r="UUT15" s="133"/>
      <c r="UUU15" s="133"/>
      <c r="UUV15" s="133"/>
      <c r="UUW15" s="133"/>
      <c r="UUX15" s="133"/>
      <c r="UUY15" s="133"/>
      <c r="UUZ15" s="133"/>
      <c r="UVA15" s="133"/>
      <c r="UVB15" s="133"/>
      <c r="UVC15" s="133"/>
      <c r="UVD15" s="133"/>
      <c r="UVE15" s="133"/>
      <c r="UVF15" s="133"/>
      <c r="UVG15" s="133"/>
      <c r="UVH15" s="133"/>
      <c r="UVI15" s="133"/>
      <c r="UVJ15" s="133"/>
      <c r="UVK15" s="133"/>
      <c r="UVL15" s="133"/>
      <c r="UVM15" s="133"/>
      <c r="UVN15" s="133"/>
      <c r="UVO15" s="133"/>
      <c r="UVP15" s="133"/>
      <c r="UVQ15" s="133"/>
      <c r="UVR15" s="133"/>
      <c r="UVS15" s="133"/>
      <c r="UVT15" s="133"/>
      <c r="UVU15" s="133"/>
      <c r="UVV15" s="133"/>
      <c r="UVW15" s="133"/>
      <c r="UVX15" s="133"/>
      <c r="UVY15" s="133"/>
      <c r="UVZ15" s="133"/>
      <c r="UWA15" s="133"/>
      <c r="UWB15" s="133"/>
      <c r="UWC15" s="133"/>
      <c r="UWD15" s="133"/>
      <c r="UWE15" s="133"/>
      <c r="UWF15" s="133"/>
      <c r="UWG15" s="133"/>
      <c r="UWH15" s="133"/>
      <c r="UWI15" s="133"/>
      <c r="UWJ15" s="133"/>
      <c r="UWK15" s="133"/>
      <c r="UWL15" s="133"/>
      <c r="UWM15" s="133"/>
      <c r="UWN15" s="133"/>
      <c r="UWO15" s="133"/>
      <c r="UWP15" s="133"/>
      <c r="UWQ15" s="133"/>
      <c r="UWR15" s="133"/>
      <c r="UWS15" s="133"/>
      <c r="UWT15" s="133"/>
      <c r="UWU15" s="133"/>
      <c r="UWV15" s="133"/>
      <c r="UWW15" s="133"/>
      <c r="UWX15" s="133"/>
      <c r="UWY15" s="133"/>
      <c r="UWZ15" s="133"/>
      <c r="UXA15" s="133"/>
      <c r="UXB15" s="133"/>
      <c r="UXC15" s="133"/>
      <c r="UXD15" s="133"/>
      <c r="UXE15" s="133"/>
      <c r="UXF15" s="133"/>
      <c r="UXG15" s="133"/>
      <c r="UXH15" s="133"/>
      <c r="UXI15" s="133"/>
      <c r="UXJ15" s="133"/>
      <c r="UXK15" s="133"/>
      <c r="UXL15" s="133"/>
      <c r="UXM15" s="133"/>
      <c r="UXN15" s="133"/>
      <c r="UXO15" s="133"/>
      <c r="UXP15" s="133"/>
      <c r="UXQ15" s="133"/>
      <c r="UXR15" s="133"/>
      <c r="UXS15" s="133"/>
      <c r="UXT15" s="133"/>
      <c r="UXU15" s="133"/>
      <c r="UXV15" s="133"/>
      <c r="UXW15" s="133"/>
      <c r="UXX15" s="133"/>
      <c r="UXY15" s="133"/>
      <c r="UXZ15" s="133"/>
      <c r="UYA15" s="133"/>
      <c r="UYB15" s="133"/>
      <c r="UYC15" s="133"/>
      <c r="UYD15" s="133"/>
      <c r="UYE15" s="133"/>
      <c r="UYF15" s="133"/>
      <c r="UYG15" s="133"/>
      <c r="UYH15" s="133"/>
      <c r="UYI15" s="133"/>
      <c r="UYJ15" s="133"/>
      <c r="UYK15" s="133"/>
      <c r="UYL15" s="133"/>
      <c r="UYM15" s="133"/>
      <c r="UYN15" s="133"/>
      <c r="UYO15" s="133"/>
      <c r="UYP15" s="133"/>
      <c r="UYQ15" s="133"/>
      <c r="UYR15" s="133"/>
      <c r="UYS15" s="133"/>
      <c r="UYT15" s="133"/>
      <c r="UYU15" s="133"/>
      <c r="UYV15" s="133"/>
      <c r="UYW15" s="133"/>
      <c r="UYX15" s="133"/>
      <c r="UYY15" s="133"/>
      <c r="UYZ15" s="133"/>
      <c r="UZA15" s="133"/>
      <c r="UZB15" s="133"/>
      <c r="UZC15" s="133"/>
      <c r="UZD15" s="133"/>
      <c r="UZE15" s="133"/>
      <c r="UZF15" s="133"/>
      <c r="UZG15" s="133"/>
      <c r="UZH15" s="133"/>
      <c r="UZI15" s="133"/>
      <c r="UZJ15" s="133"/>
      <c r="UZK15" s="133"/>
      <c r="UZL15" s="133"/>
      <c r="UZM15" s="133"/>
      <c r="UZN15" s="133"/>
      <c r="UZO15" s="133"/>
      <c r="UZP15" s="133"/>
      <c r="UZQ15" s="133"/>
      <c r="UZR15" s="133"/>
      <c r="UZS15" s="133"/>
      <c r="UZT15" s="133"/>
      <c r="UZU15" s="133"/>
      <c r="UZV15" s="133"/>
      <c r="UZW15" s="133"/>
      <c r="UZX15" s="133"/>
      <c r="UZY15" s="133"/>
      <c r="UZZ15" s="133"/>
      <c r="VAA15" s="133"/>
      <c r="VAB15" s="133"/>
      <c r="VAC15" s="133"/>
      <c r="VAD15" s="133"/>
      <c r="VAE15" s="133"/>
      <c r="VAF15" s="133"/>
      <c r="VAG15" s="133"/>
      <c r="VAH15" s="133"/>
      <c r="VAI15" s="133"/>
      <c r="VAJ15" s="133"/>
      <c r="VAK15" s="133"/>
      <c r="VAL15" s="133"/>
      <c r="VAM15" s="133"/>
      <c r="VAN15" s="133"/>
      <c r="VAO15" s="133"/>
      <c r="VAP15" s="133"/>
      <c r="VAQ15" s="133"/>
      <c r="VAR15" s="133"/>
      <c r="VAS15" s="133"/>
      <c r="VAT15" s="133"/>
      <c r="VAU15" s="133"/>
      <c r="VAV15" s="133"/>
      <c r="VAW15" s="133"/>
      <c r="VAX15" s="133"/>
      <c r="VAY15" s="133"/>
      <c r="VAZ15" s="133"/>
      <c r="VBA15" s="133"/>
      <c r="VBB15" s="133"/>
      <c r="VBC15" s="133"/>
      <c r="VBD15" s="133"/>
      <c r="VBE15" s="133"/>
      <c r="VBF15" s="133"/>
      <c r="VBG15" s="133"/>
      <c r="VBH15" s="133"/>
      <c r="VBI15" s="133"/>
      <c r="VBJ15" s="133"/>
      <c r="VBK15" s="133"/>
      <c r="VBL15" s="133"/>
      <c r="VBM15" s="133"/>
      <c r="VBN15" s="133"/>
      <c r="VBO15" s="133"/>
      <c r="VBP15" s="133"/>
      <c r="VBQ15" s="133"/>
      <c r="VBR15" s="133"/>
      <c r="VBS15" s="133"/>
      <c r="VBT15" s="133"/>
      <c r="VBU15" s="133"/>
      <c r="VBV15" s="133"/>
      <c r="VBW15" s="133"/>
      <c r="VBX15" s="133"/>
      <c r="VBY15" s="133"/>
      <c r="VBZ15" s="133"/>
      <c r="VCA15" s="133"/>
      <c r="VCB15" s="133"/>
      <c r="VCC15" s="133"/>
      <c r="VCD15" s="133"/>
      <c r="VCE15" s="133"/>
      <c r="VCF15" s="133"/>
      <c r="VCG15" s="133"/>
      <c r="VCH15" s="133"/>
      <c r="VCI15" s="133"/>
      <c r="VCJ15" s="133"/>
      <c r="VCK15" s="133"/>
      <c r="VCL15" s="133"/>
      <c r="VCM15" s="133"/>
      <c r="VCN15" s="133"/>
      <c r="VCO15" s="133"/>
      <c r="VCP15" s="133"/>
      <c r="VCQ15" s="133"/>
      <c r="VCR15" s="133"/>
      <c r="VCS15" s="133"/>
      <c r="VCT15" s="133"/>
      <c r="VCU15" s="133"/>
      <c r="VCV15" s="133"/>
      <c r="VCW15" s="133"/>
      <c r="VCX15" s="133"/>
      <c r="VCY15" s="133"/>
      <c r="VCZ15" s="133"/>
      <c r="VDA15" s="133"/>
      <c r="VDB15" s="133"/>
      <c r="VDC15" s="133"/>
      <c r="VDD15" s="133"/>
      <c r="VDE15" s="133"/>
      <c r="VDF15" s="133"/>
      <c r="VDG15" s="133"/>
      <c r="VDH15" s="133"/>
      <c r="VDI15" s="133"/>
      <c r="VDJ15" s="133"/>
      <c r="VDK15" s="133"/>
      <c r="VDL15" s="133"/>
      <c r="VDM15" s="133"/>
      <c r="VDN15" s="133"/>
      <c r="VDO15" s="133"/>
      <c r="VDP15" s="133"/>
      <c r="VDQ15" s="133"/>
      <c r="VDR15" s="133"/>
      <c r="VDS15" s="133"/>
      <c r="VDT15" s="133"/>
      <c r="VDU15" s="133"/>
      <c r="VDV15" s="133"/>
      <c r="VDW15" s="133"/>
      <c r="VDX15" s="133"/>
      <c r="VDY15" s="133"/>
      <c r="VDZ15" s="133"/>
      <c r="VEA15" s="133"/>
      <c r="VEB15" s="133"/>
      <c r="VEC15" s="133"/>
      <c r="VED15" s="133"/>
      <c r="VEE15" s="133"/>
      <c r="VEF15" s="133"/>
      <c r="VEG15" s="133"/>
      <c r="VEH15" s="133"/>
      <c r="VEI15" s="133"/>
      <c r="VEJ15" s="133"/>
      <c r="VEK15" s="133"/>
      <c r="VEL15" s="133"/>
      <c r="VEM15" s="133"/>
      <c r="VEN15" s="133"/>
      <c r="VEO15" s="133"/>
      <c r="VEP15" s="133"/>
      <c r="VEQ15" s="133"/>
      <c r="VER15" s="133"/>
      <c r="VES15" s="133"/>
      <c r="VET15" s="133"/>
      <c r="VEU15" s="133"/>
      <c r="VEV15" s="133"/>
      <c r="VEW15" s="133"/>
      <c r="VEX15" s="133"/>
      <c r="VEY15" s="133"/>
      <c r="VEZ15" s="133"/>
      <c r="VFA15" s="133"/>
      <c r="VFB15" s="133"/>
      <c r="VFC15" s="133"/>
      <c r="VFD15" s="133"/>
      <c r="VFE15" s="133"/>
      <c r="VFF15" s="133"/>
      <c r="VFG15" s="133"/>
      <c r="VFH15" s="133"/>
      <c r="VFI15" s="133"/>
      <c r="VFJ15" s="133"/>
      <c r="VFK15" s="133"/>
      <c r="VFL15" s="133"/>
      <c r="VFM15" s="133"/>
      <c r="VFN15" s="133"/>
      <c r="VFO15" s="133"/>
      <c r="VFP15" s="133"/>
      <c r="VFQ15" s="133"/>
      <c r="VFR15" s="133"/>
      <c r="VFS15" s="133"/>
      <c r="VFT15" s="133"/>
      <c r="VFU15" s="133"/>
      <c r="VFV15" s="133"/>
      <c r="VFW15" s="133"/>
      <c r="VFX15" s="133"/>
      <c r="VFY15" s="133"/>
      <c r="VFZ15" s="133"/>
      <c r="VGA15" s="133"/>
      <c r="VGB15" s="133"/>
      <c r="VGC15" s="133"/>
      <c r="VGD15" s="133"/>
      <c r="VGE15" s="133"/>
      <c r="VGF15" s="133"/>
      <c r="VGG15" s="133"/>
      <c r="VGH15" s="133"/>
      <c r="VGI15" s="133"/>
      <c r="VGJ15" s="133"/>
      <c r="VGK15" s="133"/>
      <c r="VGL15" s="133"/>
      <c r="VGM15" s="133"/>
      <c r="VGN15" s="133"/>
      <c r="VGO15" s="133"/>
      <c r="VGP15" s="133"/>
      <c r="VGQ15" s="133"/>
      <c r="VGR15" s="133"/>
      <c r="VGS15" s="133"/>
      <c r="VGT15" s="133"/>
      <c r="VGU15" s="133"/>
      <c r="VGV15" s="133"/>
      <c r="VGW15" s="133"/>
      <c r="VGX15" s="133"/>
      <c r="VGY15" s="133"/>
      <c r="VGZ15" s="133"/>
      <c r="VHA15" s="133"/>
      <c r="VHB15" s="133"/>
      <c r="VHC15" s="133"/>
      <c r="VHD15" s="133"/>
      <c r="VHE15" s="133"/>
      <c r="VHF15" s="133"/>
      <c r="VHG15" s="133"/>
      <c r="VHH15" s="133"/>
      <c r="VHI15" s="133"/>
      <c r="VHJ15" s="133"/>
      <c r="VHK15" s="133"/>
      <c r="VHL15" s="133"/>
      <c r="VHM15" s="133"/>
      <c r="VHN15" s="133"/>
      <c r="VHO15" s="133"/>
      <c r="VHP15" s="133"/>
      <c r="VHQ15" s="133"/>
      <c r="VHR15" s="133"/>
      <c r="VHS15" s="133"/>
      <c r="VHT15" s="133"/>
      <c r="VHU15" s="133"/>
      <c r="VHV15" s="133"/>
      <c r="VHW15" s="133"/>
      <c r="VHX15" s="133"/>
      <c r="VHY15" s="133"/>
      <c r="VHZ15" s="133"/>
      <c r="VIA15" s="133"/>
      <c r="VIB15" s="133"/>
      <c r="VIC15" s="133"/>
      <c r="VID15" s="133"/>
      <c r="VIE15" s="133"/>
      <c r="VIF15" s="133"/>
      <c r="VIG15" s="133"/>
      <c r="VIH15" s="133"/>
      <c r="VII15" s="133"/>
      <c r="VIJ15" s="133"/>
      <c r="VIK15" s="133"/>
      <c r="VIL15" s="133"/>
      <c r="VIM15" s="133"/>
      <c r="VIN15" s="133"/>
      <c r="VIO15" s="133"/>
      <c r="VIP15" s="133"/>
      <c r="VIQ15" s="133"/>
      <c r="VIR15" s="133"/>
      <c r="VIS15" s="133"/>
      <c r="VIT15" s="133"/>
      <c r="VIU15" s="133"/>
      <c r="VIV15" s="133"/>
      <c r="VIW15" s="133"/>
      <c r="VIX15" s="133"/>
      <c r="VIY15" s="133"/>
      <c r="VIZ15" s="133"/>
      <c r="VJA15" s="133"/>
      <c r="VJB15" s="133"/>
      <c r="VJC15" s="133"/>
      <c r="VJD15" s="133"/>
      <c r="VJE15" s="133"/>
      <c r="VJF15" s="133"/>
      <c r="VJG15" s="133"/>
      <c r="VJH15" s="133"/>
      <c r="VJI15" s="133"/>
      <c r="VJJ15" s="133"/>
      <c r="VJK15" s="133"/>
      <c r="VJL15" s="133"/>
      <c r="VJM15" s="133"/>
      <c r="VJN15" s="133"/>
      <c r="VJO15" s="133"/>
      <c r="VJP15" s="133"/>
      <c r="VJQ15" s="133"/>
      <c r="VJR15" s="133"/>
      <c r="VJS15" s="133"/>
      <c r="VJT15" s="133"/>
      <c r="VJU15" s="133"/>
      <c r="VJV15" s="133"/>
      <c r="VJW15" s="133"/>
      <c r="VJX15" s="133"/>
      <c r="VJY15" s="133"/>
      <c r="VJZ15" s="133"/>
      <c r="VKA15" s="133"/>
      <c r="VKB15" s="133"/>
      <c r="VKC15" s="133"/>
      <c r="VKD15" s="133"/>
      <c r="VKE15" s="133"/>
      <c r="VKF15" s="133"/>
      <c r="VKG15" s="133"/>
      <c r="VKH15" s="133"/>
      <c r="VKI15" s="133"/>
      <c r="VKJ15" s="133"/>
      <c r="VKK15" s="133"/>
      <c r="VKL15" s="133"/>
      <c r="VKM15" s="133"/>
      <c r="VKN15" s="133"/>
      <c r="VKO15" s="133"/>
      <c r="VKP15" s="133"/>
      <c r="VKQ15" s="133"/>
      <c r="VKR15" s="133"/>
      <c r="VKS15" s="133"/>
      <c r="VKT15" s="133"/>
      <c r="VKU15" s="133"/>
      <c r="VKV15" s="133"/>
      <c r="VKW15" s="133"/>
      <c r="VKX15" s="133"/>
      <c r="VKY15" s="133"/>
      <c r="VKZ15" s="133"/>
      <c r="VLA15" s="133"/>
      <c r="VLB15" s="133"/>
      <c r="VLC15" s="133"/>
      <c r="VLD15" s="133"/>
      <c r="VLE15" s="133"/>
      <c r="VLF15" s="133"/>
      <c r="VLG15" s="133"/>
      <c r="VLH15" s="133"/>
      <c r="VLI15" s="133"/>
      <c r="VLJ15" s="133"/>
      <c r="VLK15" s="133"/>
      <c r="VLL15" s="133"/>
      <c r="VLM15" s="133"/>
      <c r="VLN15" s="133"/>
      <c r="VLO15" s="133"/>
      <c r="VLP15" s="133"/>
      <c r="VLQ15" s="133"/>
      <c r="VLR15" s="133"/>
      <c r="VLS15" s="133"/>
      <c r="VLT15" s="133"/>
      <c r="VLU15" s="133"/>
      <c r="VLV15" s="133"/>
      <c r="VLW15" s="133"/>
      <c r="VLX15" s="133"/>
      <c r="VLY15" s="133"/>
      <c r="VLZ15" s="133"/>
      <c r="VMA15" s="133"/>
      <c r="VMB15" s="133"/>
      <c r="VMC15" s="133"/>
      <c r="VMD15" s="133"/>
      <c r="VME15" s="133"/>
      <c r="VMF15" s="133"/>
      <c r="VMG15" s="133"/>
      <c r="VMH15" s="133"/>
      <c r="VMI15" s="133"/>
      <c r="VMJ15" s="133"/>
      <c r="VMK15" s="133"/>
      <c r="VML15" s="133"/>
      <c r="VMM15" s="133"/>
      <c r="VMN15" s="133"/>
      <c r="VMO15" s="133"/>
      <c r="VMP15" s="133"/>
      <c r="VMQ15" s="133"/>
      <c r="VMR15" s="133"/>
      <c r="VMS15" s="133"/>
      <c r="VMT15" s="133"/>
      <c r="VMU15" s="133"/>
      <c r="VMV15" s="133"/>
      <c r="VMW15" s="133"/>
      <c r="VMX15" s="133"/>
      <c r="VMY15" s="133"/>
      <c r="VMZ15" s="133"/>
      <c r="VNA15" s="133"/>
      <c r="VNB15" s="133"/>
      <c r="VNC15" s="133"/>
      <c r="VND15" s="133"/>
      <c r="VNE15" s="133"/>
      <c r="VNF15" s="133"/>
      <c r="VNG15" s="133"/>
      <c r="VNH15" s="133"/>
      <c r="VNI15" s="133"/>
      <c r="VNJ15" s="133"/>
      <c r="VNK15" s="133"/>
      <c r="VNL15" s="133"/>
      <c r="VNM15" s="133"/>
      <c r="VNN15" s="133"/>
      <c r="VNO15" s="133"/>
      <c r="VNP15" s="133"/>
      <c r="VNQ15" s="133"/>
      <c r="VNR15" s="133"/>
      <c r="VNS15" s="133"/>
      <c r="VNT15" s="133"/>
      <c r="VNU15" s="133"/>
      <c r="VNV15" s="133"/>
      <c r="VNW15" s="133"/>
      <c r="VNX15" s="133"/>
      <c r="VNY15" s="133"/>
      <c r="VNZ15" s="133"/>
      <c r="VOA15" s="133"/>
      <c r="VOB15" s="133"/>
      <c r="VOC15" s="133"/>
      <c r="VOD15" s="133"/>
      <c r="VOE15" s="133"/>
      <c r="VOF15" s="133"/>
      <c r="VOG15" s="133"/>
      <c r="VOH15" s="133"/>
      <c r="VOI15" s="133"/>
      <c r="VOJ15" s="133"/>
      <c r="VOK15" s="133"/>
      <c r="VOL15" s="133"/>
      <c r="VOM15" s="133"/>
      <c r="VON15" s="133"/>
      <c r="VOO15" s="133"/>
      <c r="VOP15" s="133"/>
      <c r="VOQ15" s="133"/>
      <c r="VOR15" s="133"/>
      <c r="VOS15" s="133"/>
      <c r="VOT15" s="133"/>
      <c r="VOU15" s="133"/>
      <c r="VOV15" s="133"/>
      <c r="VOW15" s="133"/>
      <c r="VOX15" s="133"/>
      <c r="VOY15" s="133"/>
      <c r="VOZ15" s="133"/>
      <c r="VPA15" s="133"/>
      <c r="VPB15" s="133"/>
      <c r="VPC15" s="133"/>
      <c r="VPD15" s="133"/>
      <c r="VPE15" s="133"/>
      <c r="VPF15" s="133"/>
      <c r="VPG15" s="133"/>
      <c r="VPH15" s="133"/>
      <c r="VPI15" s="133"/>
      <c r="VPJ15" s="133"/>
      <c r="VPK15" s="133"/>
      <c r="VPL15" s="133"/>
      <c r="VPM15" s="133"/>
      <c r="VPN15" s="133"/>
      <c r="VPO15" s="133"/>
      <c r="VPP15" s="133"/>
      <c r="VPQ15" s="133"/>
      <c r="VPR15" s="133"/>
      <c r="VPS15" s="133"/>
      <c r="VPT15" s="133"/>
      <c r="VPU15" s="133"/>
      <c r="VPV15" s="133"/>
      <c r="VPW15" s="133"/>
      <c r="VPX15" s="133"/>
      <c r="VPY15" s="133"/>
      <c r="VPZ15" s="133"/>
      <c r="VQA15" s="133"/>
      <c r="VQB15" s="133"/>
      <c r="VQC15" s="133"/>
      <c r="VQD15" s="133"/>
      <c r="VQE15" s="133"/>
      <c r="VQF15" s="133"/>
      <c r="VQG15" s="133"/>
      <c r="VQH15" s="133"/>
      <c r="VQI15" s="133"/>
      <c r="VQJ15" s="133"/>
      <c r="VQK15" s="133"/>
      <c r="VQL15" s="133"/>
      <c r="VQM15" s="133"/>
      <c r="VQN15" s="133"/>
      <c r="VQO15" s="133"/>
      <c r="VQP15" s="133"/>
      <c r="VQQ15" s="133"/>
      <c r="VQR15" s="133"/>
      <c r="VQS15" s="133"/>
      <c r="VQT15" s="133"/>
      <c r="VQU15" s="133"/>
      <c r="VQV15" s="133"/>
      <c r="VQW15" s="133"/>
      <c r="VQX15" s="133"/>
      <c r="VQY15" s="133"/>
      <c r="VQZ15" s="133"/>
      <c r="VRA15" s="133"/>
      <c r="VRB15" s="133"/>
      <c r="VRC15" s="133"/>
      <c r="VRD15" s="133"/>
      <c r="VRE15" s="133"/>
      <c r="VRF15" s="133"/>
      <c r="VRG15" s="133"/>
      <c r="VRH15" s="133"/>
      <c r="VRI15" s="133"/>
      <c r="VRJ15" s="133"/>
      <c r="VRK15" s="133"/>
      <c r="VRL15" s="133"/>
      <c r="VRM15" s="133"/>
      <c r="VRN15" s="133"/>
      <c r="VRO15" s="133"/>
      <c r="VRP15" s="133"/>
      <c r="VRQ15" s="133"/>
      <c r="VRR15" s="133"/>
      <c r="VRS15" s="133"/>
      <c r="VRT15" s="133"/>
      <c r="VRU15" s="133"/>
      <c r="VRV15" s="133"/>
      <c r="VRW15" s="133"/>
      <c r="VRX15" s="133"/>
      <c r="VRY15" s="133"/>
      <c r="VRZ15" s="133"/>
      <c r="VSA15" s="133"/>
      <c r="VSB15" s="133"/>
      <c r="VSC15" s="133"/>
      <c r="VSD15" s="133"/>
      <c r="VSE15" s="133"/>
      <c r="VSF15" s="133"/>
      <c r="VSG15" s="133"/>
      <c r="VSH15" s="133"/>
      <c r="VSI15" s="133"/>
      <c r="VSJ15" s="133"/>
      <c r="VSK15" s="133"/>
      <c r="VSL15" s="133"/>
      <c r="VSM15" s="133"/>
      <c r="VSN15" s="133"/>
      <c r="VSO15" s="133"/>
      <c r="VSP15" s="133"/>
      <c r="VSQ15" s="133"/>
      <c r="VSR15" s="133"/>
      <c r="VSS15" s="133"/>
      <c r="VST15" s="133"/>
      <c r="VSU15" s="133"/>
      <c r="VSV15" s="133"/>
      <c r="VSW15" s="133"/>
      <c r="VSX15" s="133"/>
      <c r="VSY15" s="133"/>
      <c r="VSZ15" s="133"/>
      <c r="VTA15" s="133"/>
      <c r="VTB15" s="133"/>
      <c r="VTC15" s="133"/>
      <c r="VTD15" s="133"/>
      <c r="VTE15" s="133"/>
      <c r="VTF15" s="133"/>
      <c r="VTG15" s="133"/>
      <c r="VTH15" s="133"/>
      <c r="VTI15" s="133"/>
      <c r="VTJ15" s="133"/>
      <c r="VTK15" s="133"/>
      <c r="VTL15" s="133"/>
      <c r="VTM15" s="133"/>
      <c r="VTN15" s="133"/>
      <c r="VTO15" s="133"/>
      <c r="VTP15" s="133"/>
      <c r="VTQ15" s="133"/>
      <c r="VTR15" s="133"/>
      <c r="VTS15" s="133"/>
      <c r="VTT15" s="133"/>
      <c r="VTU15" s="133"/>
      <c r="VTV15" s="133"/>
      <c r="VTW15" s="133"/>
      <c r="VTX15" s="133"/>
      <c r="VTY15" s="133"/>
      <c r="VTZ15" s="133"/>
      <c r="VUA15" s="133"/>
      <c r="VUB15" s="133"/>
      <c r="VUC15" s="133"/>
      <c r="VUD15" s="133"/>
      <c r="VUE15" s="133"/>
      <c r="VUF15" s="133"/>
      <c r="VUG15" s="133"/>
      <c r="VUH15" s="133"/>
      <c r="VUI15" s="133"/>
      <c r="VUJ15" s="133"/>
      <c r="VUK15" s="133"/>
      <c r="VUL15" s="133"/>
      <c r="VUM15" s="133"/>
      <c r="VUN15" s="133"/>
      <c r="VUO15" s="133"/>
      <c r="VUP15" s="133"/>
      <c r="VUQ15" s="133"/>
      <c r="VUR15" s="133"/>
      <c r="VUS15" s="133"/>
      <c r="VUT15" s="133"/>
      <c r="VUU15" s="133"/>
      <c r="VUV15" s="133"/>
      <c r="VUW15" s="133"/>
      <c r="VUX15" s="133"/>
      <c r="VUY15" s="133"/>
      <c r="VUZ15" s="133"/>
      <c r="VVA15" s="133"/>
      <c r="VVB15" s="133"/>
      <c r="VVC15" s="133"/>
      <c r="VVD15" s="133"/>
      <c r="VVE15" s="133"/>
      <c r="VVF15" s="133"/>
      <c r="VVG15" s="133"/>
      <c r="VVH15" s="133"/>
      <c r="VVI15" s="133"/>
      <c r="VVJ15" s="133"/>
      <c r="VVK15" s="133"/>
      <c r="VVL15" s="133"/>
      <c r="VVM15" s="133"/>
      <c r="VVN15" s="133"/>
      <c r="VVO15" s="133"/>
      <c r="VVP15" s="133"/>
      <c r="VVQ15" s="133"/>
      <c r="VVR15" s="133"/>
      <c r="VVS15" s="133"/>
      <c r="VVT15" s="133"/>
      <c r="VVU15" s="133"/>
      <c r="VVV15" s="133"/>
      <c r="VVW15" s="133"/>
      <c r="VVX15" s="133"/>
      <c r="VVY15" s="133"/>
      <c r="VVZ15" s="133"/>
      <c r="VWA15" s="133"/>
      <c r="VWB15" s="133"/>
      <c r="VWC15" s="133"/>
      <c r="VWD15" s="133"/>
      <c r="VWE15" s="133"/>
      <c r="VWF15" s="133"/>
      <c r="VWG15" s="133"/>
      <c r="VWH15" s="133"/>
      <c r="VWI15" s="133"/>
      <c r="VWJ15" s="133"/>
      <c r="VWK15" s="133"/>
      <c r="VWL15" s="133"/>
      <c r="VWM15" s="133"/>
      <c r="VWN15" s="133"/>
      <c r="VWO15" s="133"/>
      <c r="VWP15" s="133"/>
      <c r="VWQ15" s="133"/>
      <c r="VWR15" s="133"/>
      <c r="VWS15" s="133"/>
      <c r="VWT15" s="133"/>
      <c r="VWU15" s="133"/>
      <c r="VWV15" s="133"/>
      <c r="VWW15" s="133"/>
      <c r="VWX15" s="133"/>
      <c r="VWY15" s="133"/>
      <c r="VWZ15" s="133"/>
      <c r="VXA15" s="133"/>
      <c r="VXB15" s="133"/>
      <c r="VXC15" s="133"/>
      <c r="VXD15" s="133"/>
      <c r="VXE15" s="133"/>
      <c r="VXF15" s="133"/>
      <c r="VXG15" s="133"/>
      <c r="VXH15" s="133"/>
      <c r="VXI15" s="133"/>
      <c r="VXJ15" s="133"/>
      <c r="VXK15" s="133"/>
      <c r="VXL15" s="133"/>
      <c r="VXM15" s="133"/>
      <c r="VXN15" s="133"/>
      <c r="VXO15" s="133"/>
      <c r="VXP15" s="133"/>
      <c r="VXQ15" s="133"/>
      <c r="VXR15" s="133"/>
      <c r="VXS15" s="133"/>
      <c r="VXT15" s="133"/>
      <c r="VXU15" s="133"/>
      <c r="VXV15" s="133"/>
      <c r="VXW15" s="133"/>
      <c r="VXX15" s="133"/>
      <c r="VXY15" s="133"/>
      <c r="VXZ15" s="133"/>
      <c r="VYA15" s="133"/>
      <c r="VYB15" s="133"/>
      <c r="VYC15" s="133"/>
      <c r="VYD15" s="133"/>
      <c r="VYE15" s="133"/>
      <c r="VYF15" s="133"/>
      <c r="VYG15" s="133"/>
      <c r="VYH15" s="133"/>
      <c r="VYI15" s="133"/>
      <c r="VYJ15" s="133"/>
      <c r="VYK15" s="133"/>
      <c r="VYL15" s="133"/>
      <c r="VYM15" s="133"/>
      <c r="VYN15" s="133"/>
      <c r="VYO15" s="133"/>
      <c r="VYP15" s="133"/>
      <c r="VYQ15" s="133"/>
      <c r="VYR15" s="133"/>
      <c r="VYS15" s="133"/>
      <c r="VYT15" s="133"/>
      <c r="VYU15" s="133"/>
      <c r="VYV15" s="133"/>
      <c r="VYW15" s="133"/>
      <c r="VYX15" s="133"/>
      <c r="VYY15" s="133"/>
      <c r="VYZ15" s="133"/>
      <c r="VZA15" s="133"/>
      <c r="VZB15" s="133"/>
      <c r="VZC15" s="133"/>
      <c r="VZD15" s="133"/>
      <c r="VZE15" s="133"/>
      <c r="VZF15" s="133"/>
      <c r="VZG15" s="133"/>
      <c r="VZH15" s="133"/>
      <c r="VZI15" s="133"/>
      <c r="VZJ15" s="133"/>
      <c r="VZK15" s="133"/>
      <c r="VZL15" s="133"/>
      <c r="VZM15" s="133"/>
      <c r="VZN15" s="133"/>
      <c r="VZO15" s="133"/>
      <c r="VZP15" s="133"/>
      <c r="VZQ15" s="133"/>
      <c r="VZR15" s="133"/>
      <c r="VZS15" s="133"/>
      <c r="VZT15" s="133"/>
      <c r="VZU15" s="133"/>
      <c r="VZV15" s="133"/>
      <c r="VZW15" s="133"/>
      <c r="VZX15" s="133"/>
      <c r="VZY15" s="133"/>
      <c r="VZZ15" s="133"/>
      <c r="WAA15" s="133"/>
      <c r="WAB15" s="133"/>
      <c r="WAC15" s="133"/>
      <c r="WAD15" s="133"/>
      <c r="WAE15" s="133"/>
      <c r="WAF15" s="133"/>
      <c r="WAG15" s="133"/>
      <c r="WAH15" s="133"/>
      <c r="WAI15" s="133"/>
      <c r="WAJ15" s="133"/>
      <c r="WAK15" s="133"/>
      <c r="WAL15" s="133"/>
      <c r="WAM15" s="133"/>
      <c r="WAN15" s="133"/>
      <c r="WAO15" s="133"/>
      <c r="WAP15" s="133"/>
      <c r="WAQ15" s="133"/>
      <c r="WAR15" s="133"/>
      <c r="WAS15" s="133"/>
      <c r="WAT15" s="133"/>
      <c r="WAU15" s="133"/>
      <c r="WAV15" s="133"/>
      <c r="WAW15" s="133"/>
      <c r="WAX15" s="133"/>
      <c r="WAY15" s="133"/>
      <c r="WAZ15" s="133"/>
      <c r="WBA15" s="133"/>
      <c r="WBB15" s="133"/>
      <c r="WBC15" s="133"/>
      <c r="WBD15" s="133"/>
      <c r="WBE15" s="133"/>
      <c r="WBF15" s="133"/>
      <c r="WBG15" s="133"/>
      <c r="WBH15" s="133"/>
      <c r="WBI15" s="133"/>
      <c r="WBJ15" s="133"/>
      <c r="WBK15" s="133"/>
      <c r="WBL15" s="133"/>
      <c r="WBM15" s="133"/>
      <c r="WBN15" s="133"/>
      <c r="WBO15" s="133"/>
      <c r="WBP15" s="133"/>
      <c r="WBQ15" s="133"/>
      <c r="WBR15" s="133"/>
      <c r="WBS15" s="133"/>
      <c r="WBT15" s="133"/>
      <c r="WBU15" s="133"/>
      <c r="WBV15" s="133"/>
      <c r="WBW15" s="133"/>
      <c r="WBX15" s="133"/>
      <c r="WBY15" s="133"/>
      <c r="WBZ15" s="133"/>
      <c r="WCA15" s="133"/>
      <c r="WCB15" s="133"/>
      <c r="WCC15" s="133"/>
      <c r="WCD15" s="133"/>
      <c r="WCE15" s="133"/>
      <c r="WCF15" s="133"/>
      <c r="WCG15" s="133"/>
      <c r="WCH15" s="133"/>
      <c r="WCI15" s="133"/>
      <c r="WCJ15" s="133"/>
      <c r="WCK15" s="133"/>
      <c r="WCL15" s="133"/>
      <c r="WCM15" s="133"/>
      <c r="WCN15" s="133"/>
      <c r="WCO15" s="133"/>
      <c r="WCP15" s="133"/>
      <c r="WCQ15" s="133"/>
      <c r="WCR15" s="133"/>
      <c r="WCS15" s="133"/>
      <c r="WCT15" s="133"/>
      <c r="WCU15" s="133"/>
      <c r="WCV15" s="133"/>
      <c r="WCW15" s="133"/>
      <c r="WCX15" s="133"/>
      <c r="WCY15" s="133"/>
      <c r="WCZ15" s="133"/>
      <c r="WDA15" s="133"/>
      <c r="WDB15" s="133"/>
      <c r="WDC15" s="133"/>
      <c r="WDD15" s="133"/>
      <c r="WDE15" s="133"/>
      <c r="WDF15" s="133"/>
      <c r="WDG15" s="133"/>
      <c r="WDH15" s="133"/>
      <c r="WDI15" s="133"/>
      <c r="WDJ15" s="133"/>
      <c r="WDK15" s="133"/>
      <c r="WDL15" s="133"/>
      <c r="WDM15" s="133"/>
      <c r="WDN15" s="133"/>
      <c r="WDO15" s="133"/>
      <c r="WDP15" s="133"/>
      <c r="WDQ15" s="133"/>
      <c r="WDR15" s="133"/>
      <c r="WDS15" s="133"/>
      <c r="WDT15" s="133"/>
      <c r="WDU15" s="133"/>
      <c r="WDV15" s="133"/>
      <c r="WDW15" s="133"/>
      <c r="WDX15" s="133"/>
      <c r="WDY15" s="133"/>
      <c r="WDZ15" s="133"/>
      <c r="WEA15" s="133"/>
      <c r="WEB15" s="133"/>
      <c r="WEC15" s="133"/>
      <c r="WED15" s="133"/>
      <c r="WEE15" s="133"/>
      <c r="WEF15" s="133"/>
      <c r="WEG15" s="133"/>
      <c r="WEH15" s="133"/>
      <c r="WEI15" s="133"/>
      <c r="WEJ15" s="133"/>
      <c r="WEK15" s="133"/>
      <c r="WEL15" s="133"/>
      <c r="WEM15" s="133"/>
      <c r="WEN15" s="133"/>
      <c r="WEO15" s="133"/>
      <c r="WEP15" s="133"/>
      <c r="WEQ15" s="133"/>
      <c r="WER15" s="133"/>
      <c r="WES15" s="133"/>
      <c r="WET15" s="133"/>
      <c r="WEU15" s="133"/>
      <c r="WEV15" s="133"/>
      <c r="WEW15" s="133"/>
      <c r="WEX15" s="133"/>
      <c r="WEY15" s="133"/>
      <c r="WEZ15" s="133"/>
      <c r="WFA15" s="133"/>
      <c r="WFB15" s="133"/>
      <c r="WFC15" s="133"/>
      <c r="WFD15" s="133"/>
      <c r="WFE15" s="133"/>
      <c r="WFF15" s="133"/>
      <c r="WFG15" s="133"/>
      <c r="WFH15" s="133"/>
      <c r="WFI15" s="133"/>
      <c r="WFJ15" s="133"/>
      <c r="WFK15" s="133"/>
      <c r="WFL15" s="133"/>
      <c r="WFM15" s="133"/>
      <c r="WFN15" s="133"/>
      <c r="WFO15" s="133"/>
      <c r="WFP15" s="133"/>
      <c r="WFQ15" s="133"/>
      <c r="WFR15" s="133"/>
      <c r="WFS15" s="133"/>
      <c r="WFT15" s="133"/>
      <c r="WFU15" s="133"/>
      <c r="WFV15" s="133"/>
      <c r="WFW15" s="133"/>
      <c r="WFX15" s="133"/>
      <c r="WFY15" s="133"/>
      <c r="WFZ15" s="133"/>
      <c r="WGA15" s="133"/>
      <c r="WGB15" s="133"/>
      <c r="WGC15" s="133"/>
      <c r="WGD15" s="133"/>
      <c r="WGE15" s="133"/>
      <c r="WGF15" s="133"/>
      <c r="WGG15" s="133"/>
      <c r="WGH15" s="133"/>
      <c r="WGI15" s="133"/>
      <c r="WGJ15" s="133"/>
      <c r="WGK15" s="133"/>
      <c r="WGL15" s="133"/>
      <c r="WGM15" s="133"/>
      <c r="WGN15" s="133"/>
      <c r="WGO15" s="133"/>
      <c r="WGP15" s="133"/>
      <c r="WGQ15" s="133"/>
      <c r="WGR15" s="133"/>
      <c r="WGS15" s="133"/>
      <c r="WGT15" s="133"/>
      <c r="WGU15" s="133"/>
      <c r="WGV15" s="133"/>
      <c r="WGW15" s="133"/>
      <c r="WGX15" s="133"/>
      <c r="WGY15" s="133"/>
      <c r="WGZ15" s="133"/>
      <c r="WHA15" s="133"/>
      <c r="WHB15" s="133"/>
      <c r="WHC15" s="133"/>
      <c r="WHD15" s="133"/>
      <c r="WHE15" s="133"/>
      <c r="WHF15" s="133"/>
      <c r="WHG15" s="133"/>
      <c r="WHH15" s="133"/>
      <c r="WHI15" s="133"/>
      <c r="WHJ15" s="133"/>
      <c r="WHK15" s="133"/>
      <c r="WHL15" s="133"/>
      <c r="WHM15" s="133"/>
      <c r="WHN15" s="133"/>
      <c r="WHO15" s="133"/>
      <c r="WHP15" s="133"/>
      <c r="WHQ15" s="133"/>
      <c r="WHR15" s="133"/>
      <c r="WHS15" s="133"/>
      <c r="WHT15" s="133"/>
      <c r="WHU15" s="133"/>
      <c r="WHV15" s="133"/>
      <c r="WHW15" s="133"/>
      <c r="WHX15" s="133"/>
      <c r="WHY15" s="133"/>
      <c r="WHZ15" s="133"/>
      <c r="WIA15" s="133"/>
      <c r="WIB15" s="133"/>
      <c r="WIC15" s="133"/>
      <c r="WID15" s="133"/>
      <c r="WIE15" s="133"/>
      <c r="WIF15" s="133"/>
      <c r="WIG15" s="133"/>
      <c r="WIH15" s="133"/>
      <c r="WII15" s="133"/>
      <c r="WIJ15" s="133"/>
      <c r="WIK15" s="133"/>
      <c r="WIL15" s="133"/>
      <c r="WIM15" s="133"/>
      <c r="WIN15" s="133"/>
      <c r="WIO15" s="133"/>
      <c r="WIP15" s="133"/>
      <c r="WIQ15" s="133"/>
      <c r="WIR15" s="133"/>
      <c r="WIS15" s="133"/>
      <c r="WIT15" s="133"/>
      <c r="WIU15" s="133"/>
      <c r="WIV15" s="133"/>
      <c r="WIW15" s="133"/>
      <c r="WIX15" s="133"/>
      <c r="WIY15" s="133"/>
      <c r="WIZ15" s="133"/>
      <c r="WJA15" s="133"/>
      <c r="WJB15" s="133"/>
      <c r="WJC15" s="133"/>
      <c r="WJD15" s="133"/>
      <c r="WJE15" s="133"/>
      <c r="WJF15" s="133"/>
      <c r="WJG15" s="133"/>
      <c r="WJH15" s="133"/>
      <c r="WJI15" s="133"/>
      <c r="WJJ15" s="133"/>
      <c r="WJK15" s="133"/>
      <c r="WJL15" s="133"/>
      <c r="WJM15" s="133"/>
      <c r="WJN15" s="133"/>
      <c r="WJO15" s="133"/>
      <c r="WJP15" s="133"/>
      <c r="WJQ15" s="133"/>
      <c r="WJR15" s="133"/>
      <c r="WJS15" s="133"/>
      <c r="WJT15" s="133"/>
      <c r="WJU15" s="133"/>
      <c r="WJV15" s="133"/>
      <c r="WJW15" s="133"/>
      <c r="WJX15" s="133"/>
      <c r="WJY15" s="133"/>
      <c r="WJZ15" s="133"/>
      <c r="WKA15" s="133"/>
      <c r="WKB15" s="133"/>
      <c r="WKC15" s="133"/>
      <c r="WKD15" s="133"/>
      <c r="WKE15" s="133"/>
      <c r="WKF15" s="133"/>
      <c r="WKG15" s="133"/>
      <c r="WKH15" s="133"/>
      <c r="WKI15" s="133"/>
      <c r="WKJ15" s="133"/>
      <c r="WKK15" s="133"/>
      <c r="WKL15" s="133"/>
      <c r="WKM15" s="133"/>
      <c r="WKN15" s="133"/>
      <c r="WKO15" s="133"/>
      <c r="WKP15" s="133"/>
      <c r="WKQ15" s="133"/>
      <c r="WKR15" s="133"/>
      <c r="WKS15" s="133"/>
      <c r="WKT15" s="133"/>
      <c r="WKU15" s="133"/>
      <c r="WKV15" s="133"/>
      <c r="WKW15" s="133"/>
      <c r="WKX15" s="133"/>
      <c r="WKY15" s="133"/>
      <c r="WKZ15" s="133"/>
      <c r="WLA15" s="133"/>
      <c r="WLB15" s="133"/>
      <c r="WLC15" s="133"/>
      <c r="WLD15" s="133"/>
      <c r="WLE15" s="133"/>
      <c r="WLF15" s="133"/>
      <c r="WLG15" s="133"/>
      <c r="WLH15" s="133"/>
      <c r="WLI15" s="133"/>
      <c r="WLJ15" s="133"/>
      <c r="WLK15" s="133"/>
      <c r="WLL15" s="133"/>
      <c r="WLM15" s="133"/>
      <c r="WLN15" s="133"/>
      <c r="WLO15" s="133"/>
      <c r="WLP15" s="133"/>
      <c r="WLQ15" s="133"/>
      <c r="WLR15" s="133"/>
      <c r="WLS15" s="133"/>
      <c r="WLT15" s="133"/>
      <c r="WLU15" s="133"/>
      <c r="WLV15" s="133"/>
      <c r="WLW15" s="133"/>
      <c r="WLX15" s="133"/>
      <c r="WLY15" s="133"/>
      <c r="WLZ15" s="133"/>
      <c r="WMA15" s="133"/>
      <c r="WMB15" s="133"/>
      <c r="WMC15" s="133"/>
      <c r="WMD15" s="133"/>
      <c r="WME15" s="133"/>
      <c r="WMF15" s="133"/>
      <c r="WMG15" s="133"/>
      <c r="WMH15" s="133"/>
      <c r="WMI15" s="133"/>
      <c r="WMJ15" s="133"/>
      <c r="WMK15" s="133"/>
      <c r="WML15" s="133"/>
      <c r="WMM15" s="133"/>
      <c r="WMN15" s="133"/>
      <c r="WMO15" s="133"/>
      <c r="WMP15" s="133"/>
      <c r="WMQ15" s="133"/>
      <c r="WMR15" s="133"/>
      <c r="WMS15" s="133"/>
      <c r="WMT15" s="133"/>
      <c r="WMU15" s="133"/>
      <c r="WMV15" s="133"/>
      <c r="WMW15" s="133"/>
      <c r="WMX15" s="133"/>
      <c r="WMY15" s="133"/>
      <c r="WMZ15" s="133"/>
      <c r="WNA15" s="133"/>
      <c r="WNB15" s="133"/>
      <c r="WNC15" s="133"/>
      <c r="WND15" s="133"/>
      <c r="WNE15" s="133"/>
      <c r="WNF15" s="133"/>
      <c r="WNG15" s="133"/>
      <c r="WNH15" s="133"/>
      <c r="WNI15" s="133"/>
      <c r="WNJ15" s="133"/>
      <c r="WNK15" s="133"/>
      <c r="WNL15" s="133"/>
      <c r="WNM15" s="133"/>
      <c r="WNN15" s="133"/>
      <c r="WNO15" s="133"/>
      <c r="WNP15" s="133"/>
      <c r="WNQ15" s="133"/>
      <c r="WNR15" s="133"/>
      <c r="WNS15" s="133"/>
      <c r="WNT15" s="133"/>
      <c r="WNU15" s="133"/>
      <c r="WNV15" s="133"/>
      <c r="WNW15" s="133"/>
      <c r="WNX15" s="133"/>
      <c r="WNY15" s="133"/>
      <c r="WNZ15" s="133"/>
      <c r="WOA15" s="133"/>
      <c r="WOB15" s="133"/>
      <c r="WOC15" s="133"/>
      <c r="WOD15" s="133"/>
      <c r="WOE15" s="133"/>
      <c r="WOF15" s="133"/>
      <c r="WOG15" s="133"/>
      <c r="WOH15" s="133"/>
      <c r="WOI15" s="133"/>
      <c r="WOJ15" s="133"/>
      <c r="WOK15" s="133"/>
      <c r="WOL15" s="133"/>
      <c r="WOM15" s="133"/>
      <c r="WON15" s="133"/>
      <c r="WOO15" s="133"/>
      <c r="WOP15" s="133"/>
      <c r="WOQ15" s="133"/>
      <c r="WOR15" s="133"/>
      <c r="WOS15" s="133"/>
      <c r="WOT15" s="133"/>
      <c r="WOU15" s="133"/>
      <c r="WOV15" s="133"/>
      <c r="WOW15" s="133"/>
      <c r="WOX15" s="133"/>
      <c r="WOY15" s="133"/>
      <c r="WOZ15" s="133"/>
      <c r="WPA15" s="133"/>
      <c r="WPB15" s="133"/>
      <c r="WPC15" s="133"/>
      <c r="WPD15" s="133"/>
      <c r="WPE15" s="133"/>
      <c r="WPF15" s="133"/>
      <c r="WPG15" s="133"/>
      <c r="WPH15" s="133"/>
      <c r="WPI15" s="133"/>
      <c r="WPJ15" s="133"/>
      <c r="WPK15" s="133"/>
      <c r="WPL15" s="133"/>
      <c r="WPM15" s="133"/>
      <c r="WPN15" s="133"/>
      <c r="WPO15" s="133"/>
      <c r="WPP15" s="133"/>
      <c r="WPQ15" s="133"/>
      <c r="WPR15" s="133"/>
      <c r="WPS15" s="133"/>
      <c r="WPT15" s="133"/>
      <c r="WPU15" s="133"/>
      <c r="WPV15" s="133"/>
      <c r="WPW15" s="133"/>
      <c r="WPX15" s="133"/>
      <c r="WPY15" s="133"/>
      <c r="WPZ15" s="133"/>
      <c r="WQA15" s="133"/>
      <c r="WQB15" s="133"/>
      <c r="WQC15" s="133"/>
      <c r="WQD15" s="133"/>
      <c r="WQE15" s="133"/>
      <c r="WQF15" s="133"/>
      <c r="WQG15" s="133"/>
      <c r="WQH15" s="133"/>
      <c r="WQI15" s="133"/>
      <c r="WQJ15" s="133"/>
      <c r="WQK15" s="133"/>
      <c r="WQL15" s="133"/>
      <c r="WQM15" s="133"/>
      <c r="WQN15" s="133"/>
      <c r="WQO15" s="133"/>
      <c r="WQP15" s="133"/>
      <c r="WQQ15" s="133"/>
      <c r="WQR15" s="133"/>
      <c r="WQS15" s="133"/>
      <c r="WQT15" s="133"/>
      <c r="WQU15" s="133"/>
      <c r="WQV15" s="133"/>
      <c r="WQW15" s="133"/>
      <c r="WQX15" s="133"/>
      <c r="WQY15" s="133"/>
      <c r="WQZ15" s="133"/>
      <c r="WRA15" s="133"/>
      <c r="WRB15" s="133"/>
      <c r="WRC15" s="133"/>
      <c r="WRD15" s="133"/>
      <c r="WRE15" s="133"/>
      <c r="WRF15" s="133"/>
      <c r="WRG15" s="133"/>
      <c r="WRH15" s="133"/>
      <c r="WRI15" s="133"/>
      <c r="WRJ15" s="133"/>
      <c r="WRK15" s="133"/>
      <c r="WRL15" s="133"/>
      <c r="WRM15" s="133"/>
      <c r="WRN15" s="133"/>
      <c r="WRO15" s="133"/>
      <c r="WRP15" s="133"/>
      <c r="WRQ15" s="133"/>
      <c r="WRR15" s="133"/>
      <c r="WRS15" s="133"/>
      <c r="WRT15" s="133"/>
      <c r="WRU15" s="133"/>
      <c r="WRV15" s="133"/>
      <c r="WRW15" s="133"/>
      <c r="WRX15" s="133"/>
      <c r="WRY15" s="133"/>
      <c r="WRZ15" s="133"/>
      <c r="WSA15" s="133"/>
      <c r="WSB15" s="133"/>
      <c r="WSC15" s="133"/>
      <c r="WSD15" s="133"/>
      <c r="WSE15" s="133"/>
      <c r="WSF15" s="133"/>
      <c r="WSG15" s="133"/>
      <c r="WSH15" s="133"/>
      <c r="WSI15" s="133"/>
      <c r="WSJ15" s="133"/>
      <c r="WSK15" s="133"/>
      <c r="WSL15" s="133"/>
      <c r="WSM15" s="133"/>
      <c r="WSN15" s="133"/>
      <c r="WSO15" s="133"/>
      <c r="WSP15" s="133"/>
      <c r="WSQ15" s="133"/>
      <c r="WSR15" s="133"/>
      <c r="WSS15" s="133"/>
      <c r="WST15" s="133"/>
      <c r="WSU15" s="133"/>
      <c r="WSV15" s="133"/>
      <c r="WSW15" s="133"/>
      <c r="WSX15" s="133"/>
      <c r="WSY15" s="133"/>
      <c r="WSZ15" s="133"/>
      <c r="WTA15" s="133"/>
      <c r="WTB15" s="133"/>
      <c r="WTC15" s="133"/>
      <c r="WTD15" s="133"/>
      <c r="WTE15" s="133"/>
      <c r="WTF15" s="133"/>
      <c r="WTG15" s="133"/>
      <c r="WTH15" s="133"/>
      <c r="WTI15" s="133"/>
      <c r="WTJ15" s="133"/>
      <c r="WTK15" s="133"/>
      <c r="WTL15" s="133"/>
      <c r="WTM15" s="133"/>
      <c r="WTN15" s="133"/>
      <c r="WTO15" s="133"/>
      <c r="WTP15" s="133"/>
      <c r="WTQ15" s="133"/>
      <c r="WTR15" s="133"/>
      <c r="WTS15" s="133"/>
      <c r="WTT15" s="133"/>
      <c r="WTU15" s="133"/>
      <c r="WTV15" s="133"/>
      <c r="WTW15" s="133"/>
      <c r="WTX15" s="133"/>
      <c r="WTY15" s="133"/>
      <c r="WTZ15" s="133"/>
      <c r="WUA15" s="133"/>
      <c r="WUB15" s="133"/>
      <c r="WUC15" s="133"/>
      <c r="WUD15" s="133"/>
      <c r="WUE15" s="133"/>
      <c r="WUF15" s="133"/>
      <c r="WUG15" s="133"/>
      <c r="WUH15" s="133"/>
      <c r="WUI15" s="133"/>
      <c r="WUJ15" s="133"/>
      <c r="WUK15" s="133"/>
      <c r="WUL15" s="133"/>
      <c r="WUM15" s="133"/>
      <c r="WUN15" s="133"/>
      <c r="WUO15" s="133"/>
      <c r="WUP15" s="133"/>
      <c r="WUQ15" s="133"/>
      <c r="WUR15" s="133"/>
      <c r="WUS15" s="133"/>
      <c r="WUT15" s="133"/>
      <c r="WUU15" s="133"/>
      <c r="WUV15" s="133"/>
      <c r="WUW15" s="133"/>
      <c r="WUX15" s="133"/>
      <c r="WUY15" s="133"/>
      <c r="WUZ15" s="133"/>
      <c r="WVA15" s="133"/>
      <c r="WVB15" s="133"/>
      <c r="WVC15" s="133"/>
      <c r="WVD15" s="133"/>
      <c r="WVE15" s="133"/>
      <c r="WVF15" s="133"/>
      <c r="WVG15" s="133"/>
      <c r="WVH15" s="133"/>
      <c r="WVI15" s="133"/>
      <c r="WVJ15" s="133"/>
      <c r="WVK15" s="133"/>
      <c r="WVL15" s="133"/>
      <c r="WVM15" s="133"/>
      <c r="WVN15" s="133"/>
      <c r="WVO15" s="133"/>
      <c r="WVP15" s="133"/>
      <c r="WVQ15" s="133"/>
      <c r="WVR15" s="133"/>
      <c r="WVS15" s="133"/>
      <c r="WVT15" s="133"/>
      <c r="WVU15" s="133"/>
      <c r="WVV15" s="133"/>
      <c r="WVW15" s="133"/>
      <c r="WVX15" s="133"/>
      <c r="WVY15" s="133"/>
      <c r="WVZ15" s="133"/>
      <c r="WWA15" s="133"/>
      <c r="WWB15" s="133"/>
      <c r="WWC15" s="133"/>
      <c r="WWD15" s="133"/>
      <c r="WWE15" s="133"/>
      <c r="WWF15" s="133"/>
      <c r="WWG15" s="133"/>
      <c r="WWH15" s="133"/>
      <c r="WWI15" s="133"/>
      <c r="WWJ15" s="133"/>
      <c r="WWK15" s="133"/>
      <c r="WWL15" s="133"/>
      <c r="WWM15" s="133"/>
      <c r="WWN15" s="133"/>
      <c r="WWO15" s="133"/>
      <c r="WWP15" s="133"/>
      <c r="WWQ15" s="133"/>
      <c r="WWR15" s="133"/>
      <c r="WWS15" s="133"/>
      <c r="WWT15" s="133"/>
      <c r="WWU15" s="133"/>
      <c r="WWV15" s="133"/>
      <c r="WWW15" s="133"/>
      <c r="WWX15" s="133"/>
      <c r="WWY15" s="133"/>
      <c r="WWZ15" s="133"/>
      <c r="WXA15" s="133"/>
      <c r="WXB15" s="133"/>
      <c r="WXC15" s="133"/>
      <c r="WXD15" s="133"/>
      <c r="WXE15" s="133"/>
      <c r="WXF15" s="133"/>
      <c r="WXG15" s="133"/>
      <c r="WXH15" s="133"/>
      <c r="WXI15" s="133"/>
      <c r="WXJ15" s="133"/>
      <c r="WXK15" s="133"/>
      <c r="WXL15" s="133"/>
      <c r="WXM15" s="133"/>
      <c r="WXN15" s="133"/>
      <c r="WXO15" s="133"/>
      <c r="WXP15" s="133"/>
      <c r="WXQ15" s="133"/>
      <c r="WXR15" s="133"/>
      <c r="WXS15" s="133"/>
      <c r="WXT15" s="133"/>
      <c r="WXU15" s="133"/>
      <c r="WXV15" s="133"/>
      <c r="WXW15" s="133"/>
      <c r="WXX15" s="133"/>
      <c r="WXY15" s="133"/>
      <c r="WXZ15" s="133"/>
      <c r="WYA15" s="133"/>
      <c r="WYB15" s="133"/>
      <c r="WYC15" s="133"/>
      <c r="WYD15" s="133"/>
      <c r="WYE15" s="133"/>
      <c r="WYF15" s="133"/>
      <c r="WYG15" s="133"/>
      <c r="WYH15" s="133"/>
      <c r="WYI15" s="133"/>
      <c r="WYJ15" s="133"/>
      <c r="WYK15" s="133"/>
      <c r="WYL15" s="133"/>
      <c r="WYM15" s="133"/>
      <c r="WYN15" s="133"/>
      <c r="WYO15" s="133"/>
      <c r="WYP15" s="133"/>
      <c r="WYQ15" s="133"/>
      <c r="WYR15" s="133"/>
      <c r="WYS15" s="133"/>
      <c r="WYT15" s="133"/>
      <c r="WYU15" s="133"/>
      <c r="WYV15" s="133"/>
      <c r="WYW15" s="133"/>
      <c r="WYX15" s="133"/>
      <c r="WYY15" s="133"/>
      <c r="WYZ15" s="133"/>
      <c r="WZA15" s="133"/>
      <c r="WZB15" s="133"/>
      <c r="WZC15" s="133"/>
      <c r="WZD15" s="133"/>
      <c r="WZE15" s="133"/>
      <c r="WZF15" s="133"/>
      <c r="WZG15" s="133"/>
      <c r="WZH15" s="133"/>
      <c r="WZI15" s="133"/>
      <c r="WZJ15" s="133"/>
      <c r="WZK15" s="133"/>
      <c r="WZL15" s="133"/>
      <c r="WZM15" s="133"/>
      <c r="WZN15" s="133"/>
      <c r="WZO15" s="133"/>
      <c r="WZP15" s="133"/>
      <c r="WZQ15" s="133"/>
      <c r="WZR15" s="133"/>
      <c r="WZS15" s="133"/>
      <c r="WZT15" s="133"/>
      <c r="WZU15" s="133"/>
      <c r="WZV15" s="133"/>
      <c r="WZW15" s="133"/>
      <c r="WZX15" s="133"/>
      <c r="WZY15" s="133"/>
      <c r="WZZ15" s="133"/>
      <c r="XAA15" s="133"/>
      <c r="XAB15" s="133"/>
      <c r="XAC15" s="133"/>
      <c r="XAD15" s="133"/>
      <c r="XAE15" s="133"/>
      <c r="XAF15" s="133"/>
      <c r="XAG15" s="133"/>
      <c r="XAH15" s="133"/>
      <c r="XAI15" s="133"/>
      <c r="XAJ15" s="133"/>
      <c r="XAK15" s="133"/>
      <c r="XAL15" s="133"/>
      <c r="XAM15" s="133"/>
      <c r="XAN15" s="133"/>
      <c r="XAO15" s="133"/>
      <c r="XAP15" s="133"/>
      <c r="XAQ15" s="133"/>
      <c r="XAR15" s="133"/>
      <c r="XAS15" s="133"/>
      <c r="XAT15" s="133"/>
      <c r="XAU15" s="133"/>
      <c r="XAV15" s="133"/>
      <c r="XAW15" s="133"/>
      <c r="XAX15" s="133"/>
      <c r="XAY15" s="133"/>
      <c r="XAZ15" s="133"/>
      <c r="XBA15" s="133"/>
      <c r="XBB15" s="133"/>
      <c r="XBC15" s="133"/>
      <c r="XBD15" s="133"/>
      <c r="XBE15" s="133"/>
      <c r="XBF15" s="133"/>
      <c r="XBG15" s="133"/>
      <c r="XBH15" s="133"/>
      <c r="XBI15" s="133"/>
      <c r="XBJ15" s="133"/>
      <c r="XBK15" s="133"/>
      <c r="XBL15" s="133"/>
      <c r="XBM15" s="133"/>
      <c r="XBN15" s="133"/>
      <c r="XBO15" s="133"/>
      <c r="XBP15" s="133"/>
      <c r="XBQ15" s="133"/>
      <c r="XBR15" s="133"/>
      <c r="XBS15" s="133"/>
      <c r="XBT15" s="133"/>
      <c r="XBU15" s="133"/>
      <c r="XBV15" s="133"/>
      <c r="XBW15" s="133"/>
      <c r="XBX15" s="133"/>
      <c r="XBY15" s="133"/>
      <c r="XBZ15" s="133"/>
      <c r="XCA15" s="133"/>
      <c r="XCB15" s="133"/>
      <c r="XCC15" s="133"/>
      <c r="XCD15" s="133"/>
      <c r="XCE15" s="133"/>
      <c r="XCF15" s="133"/>
      <c r="XCG15" s="133"/>
      <c r="XCH15" s="133"/>
      <c r="XCI15" s="133"/>
      <c r="XCJ15" s="133"/>
      <c r="XCK15" s="133"/>
      <c r="XCL15" s="133"/>
      <c r="XCM15" s="133"/>
      <c r="XCN15" s="133"/>
      <c r="XCO15" s="133"/>
      <c r="XCP15" s="133"/>
      <c r="XCQ15" s="133"/>
      <c r="XCR15" s="133"/>
      <c r="XCS15" s="133"/>
      <c r="XCT15" s="133"/>
      <c r="XCU15" s="133"/>
      <c r="XCV15" s="133"/>
      <c r="XCW15" s="133"/>
      <c r="XCX15" s="133"/>
      <c r="XCY15" s="133"/>
      <c r="XCZ15" s="133"/>
      <c r="XDA15" s="133"/>
      <c r="XDB15" s="133"/>
      <c r="XDC15" s="133"/>
      <c r="XDD15" s="133"/>
      <c r="XDE15" s="133"/>
      <c r="XDF15" s="133"/>
      <c r="XDG15" s="133"/>
      <c r="XDH15" s="133"/>
      <c r="XDI15" s="133"/>
      <c r="XDJ15" s="133"/>
      <c r="XDK15" s="133"/>
      <c r="XDL15" s="133"/>
      <c r="XDM15" s="133"/>
      <c r="XDN15" s="133"/>
      <c r="XDO15" s="133"/>
      <c r="XDP15" s="133"/>
      <c r="XDQ15" s="133"/>
      <c r="XDR15" s="133"/>
      <c r="XDS15" s="133"/>
      <c r="XDT15" s="133"/>
      <c r="XDU15" s="133"/>
      <c r="XDV15" s="133"/>
      <c r="XDW15" s="133"/>
      <c r="XDX15" s="133"/>
      <c r="XDY15" s="133"/>
      <c r="XDZ15" s="133"/>
      <c r="XEA15" s="133"/>
      <c r="XEB15" s="133"/>
      <c r="XEC15" s="133"/>
      <c r="XED15" s="133"/>
      <c r="XEE15" s="133"/>
      <c r="XEF15" s="133"/>
      <c r="XEG15" s="133"/>
      <c r="XEH15" s="133"/>
      <c r="XEI15" s="133"/>
      <c r="XEJ15" s="133"/>
      <c r="XEK15" s="133"/>
      <c r="XEL15" s="133"/>
      <c r="XEM15" s="133"/>
      <c r="XEN15" s="133"/>
      <c r="XEO15" s="133"/>
      <c r="XEP15" s="133"/>
      <c r="XEQ15" s="133"/>
      <c r="XER15" s="133"/>
      <c r="XES15" s="133"/>
      <c r="XET15" s="133"/>
      <c r="XEU15" s="133"/>
      <c r="XEV15" s="133"/>
      <c r="XEW15" s="133"/>
      <c r="XEX15" s="133"/>
      <c r="XEY15" s="133"/>
    </row>
    <row r="16" spans="1:16379" s="70" customFormat="1" ht="15.75" x14ac:dyDescent="0.25">
      <c r="A16" s="66"/>
      <c r="B16" s="28" t="s">
        <v>59</v>
      </c>
      <c r="C16" s="67"/>
      <c r="D16" s="62"/>
      <c r="E16" s="64" t="s">
        <v>73</v>
      </c>
      <c r="F16" s="64" t="s">
        <v>74</v>
      </c>
      <c r="G16" s="64" t="s">
        <v>74</v>
      </c>
      <c r="H16" s="62"/>
      <c r="I16" s="31">
        <f t="shared" si="0"/>
        <v>10</v>
      </c>
      <c r="J16" s="31" t="str">
        <f t="shared" si="1"/>
        <v>Насл.режим</v>
      </c>
      <c r="K16" s="68" t="s">
        <v>77</v>
      </c>
      <c r="L16" s="71" t="s">
        <v>75</v>
      </c>
      <c r="M16" s="29" t="s">
        <v>63</v>
      </c>
      <c r="N16" s="29" t="s">
        <v>64</v>
      </c>
      <c r="O16" s="29"/>
      <c r="P16" s="67"/>
      <c r="Q16" s="67"/>
      <c r="R16" s="29" t="s">
        <v>66</v>
      </c>
      <c r="S16" s="29" t="s">
        <v>66</v>
      </c>
      <c r="T16" s="29" t="s">
        <v>66</v>
      </c>
      <c r="U16" s="29" t="s">
        <v>66</v>
      </c>
      <c r="V16" s="67"/>
      <c r="W16" s="67"/>
      <c r="X16" s="29" t="s">
        <v>66</v>
      </c>
      <c r="Y16" s="69">
        <v>0</v>
      </c>
      <c r="Z16" s="67"/>
      <c r="AA16" s="63">
        <v>0</v>
      </c>
      <c r="AB16" s="63"/>
      <c r="AC16" s="63"/>
      <c r="AD16" s="63"/>
      <c r="AE16" s="63"/>
      <c r="AF16" s="63">
        <v>0</v>
      </c>
      <c r="AG16" s="63">
        <v>0</v>
      </c>
      <c r="AH16" s="63">
        <v>0</v>
      </c>
      <c r="AI16" s="75" t="s">
        <v>76</v>
      </c>
      <c r="AJ16" s="65" t="s">
        <v>343</v>
      </c>
      <c r="AK16" s="65" t="s">
        <v>78</v>
      </c>
      <c r="AL16" s="65" t="s">
        <v>79</v>
      </c>
      <c r="AM16" s="65" t="s">
        <v>80</v>
      </c>
      <c r="AN16" s="65"/>
      <c r="AO16" s="65" t="s">
        <v>81</v>
      </c>
      <c r="AP16" s="65" t="str">
        <f>CONCATENATE(AJ16, ".", AL16)</f>
        <v>LLN0.GrRef.setSrcRef</v>
      </c>
      <c r="AQ16" s="65" t="s">
        <v>82</v>
      </c>
      <c r="AR16" s="63">
        <v>0</v>
      </c>
      <c r="AS16" s="63">
        <v>0</v>
      </c>
      <c r="AT16" s="63">
        <v>0</v>
      </c>
      <c r="AU16" s="63">
        <v>0</v>
      </c>
      <c r="AV16" s="63">
        <v>0</v>
      </c>
      <c r="AW16" s="63">
        <v>0</v>
      </c>
      <c r="AX16" s="63">
        <f t="shared" ref="AX14:AX18" si="5">BIN2DEC(CONCATENATE(0,0,0,0,AT16,AU16,AV16,AW16))</f>
        <v>0</v>
      </c>
      <c r="AY16" s="73"/>
      <c r="AZ16" s="67"/>
      <c r="BA16" s="67"/>
      <c r="BB16" s="67"/>
      <c r="BC16" s="67"/>
      <c r="BD16" s="67"/>
      <c r="BE16" s="67"/>
      <c r="BF16" s="67"/>
      <c r="BG16" s="38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7" spans="1:60" s="70" customFormat="1" ht="15.75" x14ac:dyDescent="0.25">
      <c r="A17" s="66"/>
      <c r="B17" s="28" t="s">
        <v>59</v>
      </c>
      <c r="C17" s="67"/>
      <c r="D17" s="62"/>
      <c r="E17" s="64" t="s">
        <v>87</v>
      </c>
      <c r="F17" s="64" t="s">
        <v>88</v>
      </c>
      <c r="G17" s="64" t="s">
        <v>88</v>
      </c>
      <c r="H17" s="62"/>
      <c r="I17" s="31">
        <f t="shared" si="0"/>
        <v>8</v>
      </c>
      <c r="J17" s="31" t="str">
        <f t="shared" si="1"/>
        <v>Ош.крит.</v>
      </c>
      <c r="K17" s="68" t="s">
        <v>89</v>
      </c>
      <c r="L17" s="32" t="s">
        <v>72</v>
      </c>
      <c r="M17" s="29" t="s">
        <v>63</v>
      </c>
      <c r="N17" s="29" t="s">
        <v>64</v>
      </c>
      <c r="O17" s="29"/>
      <c r="P17" s="67"/>
      <c r="Q17" s="67"/>
      <c r="R17" s="29" t="s">
        <v>66</v>
      </c>
      <c r="S17" s="29" t="s">
        <v>66</v>
      </c>
      <c r="T17" s="29" t="s">
        <v>66</v>
      </c>
      <c r="U17" s="29" t="s">
        <v>66</v>
      </c>
      <c r="V17" s="67"/>
      <c r="W17" s="67"/>
      <c r="X17" s="29" t="s">
        <v>66</v>
      </c>
      <c r="Y17" s="69">
        <v>0</v>
      </c>
      <c r="Z17" s="67"/>
      <c r="AA17" s="63">
        <v>0</v>
      </c>
      <c r="AB17" s="63"/>
      <c r="AC17" s="63"/>
      <c r="AD17" s="63"/>
      <c r="AE17" s="63"/>
      <c r="AF17" s="63">
        <v>0</v>
      </c>
      <c r="AG17" s="63">
        <v>0</v>
      </c>
      <c r="AH17" s="63">
        <v>0</v>
      </c>
      <c r="AI17" s="34"/>
      <c r="AJ17" s="65"/>
      <c r="AK17" s="65"/>
      <c r="AL17" s="65"/>
      <c r="AM17" s="65"/>
      <c r="AN17" s="65"/>
      <c r="AO17" s="65"/>
      <c r="AP17" s="65"/>
      <c r="AQ17" s="65"/>
      <c r="AR17" s="63">
        <v>0</v>
      </c>
      <c r="AS17" s="63">
        <v>0</v>
      </c>
      <c r="AT17" s="63">
        <v>0</v>
      </c>
      <c r="AU17" s="63">
        <v>0</v>
      </c>
      <c r="AV17" s="63">
        <v>0</v>
      </c>
      <c r="AW17" s="63">
        <v>0</v>
      </c>
      <c r="AX17" s="63">
        <f t="shared" si="5"/>
        <v>0</v>
      </c>
      <c r="AY17" s="73"/>
      <c r="AZ17" s="67"/>
      <c r="BA17" s="67"/>
      <c r="BB17" s="67"/>
      <c r="BC17" s="67"/>
      <c r="BD17" s="67"/>
      <c r="BE17" s="67"/>
      <c r="BF17" s="67"/>
      <c r="BG17" s="38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8" spans="1:60" s="70" customFormat="1" ht="15.75" x14ac:dyDescent="0.25">
      <c r="A18" s="66"/>
      <c r="B18" s="28" t="s">
        <v>59</v>
      </c>
      <c r="C18" s="67"/>
      <c r="D18" s="62"/>
      <c r="E18" s="64" t="s">
        <v>90</v>
      </c>
      <c r="F18" s="64" t="s">
        <v>91</v>
      </c>
      <c r="G18" s="64" t="s">
        <v>91</v>
      </c>
      <c r="H18" s="62"/>
      <c r="I18" s="31">
        <f t="shared" si="0"/>
        <v>6</v>
      </c>
      <c r="J18" s="31" t="str">
        <f t="shared" si="1"/>
        <v>Ошибка</v>
      </c>
      <c r="K18" s="68" t="s">
        <v>92</v>
      </c>
      <c r="L18" s="32" t="s">
        <v>72</v>
      </c>
      <c r="M18" s="29" t="s">
        <v>63</v>
      </c>
      <c r="N18" s="29" t="s">
        <v>64</v>
      </c>
      <c r="O18" s="29"/>
      <c r="P18" s="67"/>
      <c r="Q18" s="67"/>
      <c r="R18" s="29" t="s">
        <v>66</v>
      </c>
      <c r="S18" s="29" t="s">
        <v>66</v>
      </c>
      <c r="T18" s="29" t="s">
        <v>66</v>
      </c>
      <c r="U18" s="29" t="s">
        <v>66</v>
      </c>
      <c r="V18" s="67"/>
      <c r="W18" s="67"/>
      <c r="X18" s="29" t="s">
        <v>66</v>
      </c>
      <c r="Y18" s="69">
        <v>0</v>
      </c>
      <c r="Z18" s="67"/>
      <c r="AA18" s="63">
        <v>0</v>
      </c>
      <c r="AB18" s="63"/>
      <c r="AC18" s="63"/>
      <c r="AD18" s="63"/>
      <c r="AE18" s="63"/>
      <c r="AF18" s="63">
        <v>0</v>
      </c>
      <c r="AG18" s="63">
        <v>0</v>
      </c>
      <c r="AH18" s="63">
        <v>0</v>
      </c>
      <c r="AI18" s="34"/>
      <c r="AJ18" s="65"/>
      <c r="AK18" s="65"/>
      <c r="AL18" s="65"/>
      <c r="AM18" s="65"/>
      <c r="AN18" s="65"/>
      <c r="AO18" s="65"/>
      <c r="AP18" s="65"/>
      <c r="AQ18" s="65"/>
      <c r="AR18" s="63">
        <v>0</v>
      </c>
      <c r="AS18" s="63">
        <v>0</v>
      </c>
      <c r="AT18" s="63">
        <v>0</v>
      </c>
      <c r="AU18" s="63">
        <v>0</v>
      </c>
      <c r="AV18" s="63">
        <v>0</v>
      </c>
      <c r="AW18" s="63">
        <v>0</v>
      </c>
      <c r="AX18" s="63">
        <f t="shared" si="5"/>
        <v>0</v>
      </c>
      <c r="AY18" s="73"/>
      <c r="AZ18" s="67"/>
      <c r="BA18" s="67"/>
      <c r="BB18" s="67"/>
      <c r="BC18" s="67"/>
      <c r="BD18" s="67"/>
      <c r="BE18" s="67"/>
      <c r="BF18" s="67"/>
      <c r="BG18" s="38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7"/>
      <c r="BC19" s="4"/>
      <c r="BD19" s="17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7"/>
      <c r="BC20" s="4"/>
      <c r="BD20" s="17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7"/>
      <c r="BC21" s="4"/>
      <c r="BD21" s="17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7"/>
      <c r="BC22" s="4"/>
      <c r="BD22" s="17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7"/>
      <c r="BC23" s="4"/>
      <c r="BD23" s="17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7"/>
      <c r="BC24" s="4"/>
      <c r="BD24" s="17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7"/>
      <c r="BC25" s="4"/>
      <c r="BD25" s="17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7"/>
      <c r="BC26" s="4"/>
      <c r="BD26" s="17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7"/>
      <c r="BC27" s="4"/>
      <c r="BD27" s="17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7"/>
      <c r="BC28" s="4"/>
      <c r="BD28" s="17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7"/>
      <c r="BC29" s="4"/>
      <c r="BD29" s="17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7"/>
      <c r="BC30" s="4"/>
      <c r="BD30" s="17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7"/>
      <c r="BC31" s="4"/>
      <c r="BD31" s="17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7"/>
      <c r="BC32" s="4"/>
      <c r="BD32" s="1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7"/>
      <c r="BC33" s="4"/>
      <c r="BD33" s="1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7"/>
      <c r="BC34" s="4"/>
      <c r="BD34" s="1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7"/>
      <c r="BC35" s="4"/>
      <c r="BD35" s="1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7"/>
      <c r="BC36" s="4"/>
      <c r="BD36" s="1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7"/>
      <c r="BC37" s="4"/>
      <c r="BD37" s="1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7"/>
      <c r="BC38" s="4"/>
      <c r="BD38" s="1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7"/>
      <c r="BC39" s="4"/>
      <c r="BD39" s="1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7"/>
      <c r="BC40" s="4"/>
      <c r="BD40" s="1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7"/>
      <c r="BC41" s="4"/>
      <c r="BD41" s="1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7"/>
      <c r="BC42" s="4"/>
      <c r="BD42" s="1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7"/>
      <c r="BC43" s="4"/>
      <c r="BD43" s="1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7"/>
      <c r="BC44" s="4"/>
      <c r="BD44" s="1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7"/>
      <c r="BC45" s="4"/>
      <c r="BD45" s="1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7"/>
      <c r="BC46" s="4"/>
      <c r="BD46" s="1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7"/>
      <c r="BC47" s="4"/>
      <c r="BD47" s="1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7"/>
      <c r="BC48" s="4"/>
      <c r="BD48" s="1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7"/>
      <c r="BC49" s="4"/>
      <c r="BD49" s="1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7"/>
      <c r="BC50" s="4"/>
      <c r="BD50" s="1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7"/>
      <c r="BC51" s="4"/>
      <c r="BD51" s="1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7"/>
      <c r="BC52" s="4"/>
      <c r="BD52" s="1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7"/>
      <c r="BC53" s="4"/>
      <c r="BD53" s="1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7"/>
      <c r="BC54" s="4"/>
      <c r="BD54" s="1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7"/>
      <c r="BC55" s="4"/>
      <c r="BD55" s="1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7"/>
      <c r="BC56" s="4"/>
      <c r="BD56" s="1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7"/>
      <c r="BC57" s="4"/>
      <c r="BD57" s="1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7"/>
      <c r="BC58" s="4"/>
      <c r="BD58" s="1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7"/>
      <c r="BC59" s="4"/>
      <c r="BD59" s="1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7"/>
      <c r="BC60" s="4"/>
      <c r="BD60" s="1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7"/>
      <c r="BC61" s="4"/>
      <c r="BD61" s="1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7"/>
      <c r="BC62" s="4"/>
      <c r="BD62" s="1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7"/>
      <c r="BC63" s="4"/>
      <c r="BD63" s="1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7"/>
      <c r="BC64" s="4"/>
      <c r="BD64" s="1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7"/>
      <c r="BC65" s="4"/>
      <c r="BD65" s="1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7"/>
      <c r="BC66" s="4"/>
      <c r="BD66" s="1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7"/>
      <c r="BC67" s="4"/>
      <c r="BD67" s="1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7"/>
      <c r="BC68" s="4"/>
      <c r="BD68" s="1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7"/>
      <c r="BC69" s="4"/>
      <c r="BD69" s="1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7"/>
      <c r="BC70" s="4"/>
      <c r="BD70" s="1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7"/>
      <c r="BC71" s="4"/>
      <c r="BD71" s="1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7"/>
      <c r="BC72" s="4"/>
      <c r="BD72" s="1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7"/>
      <c r="BC73" s="4"/>
      <c r="BD73" s="1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7"/>
      <c r="BC74" s="4"/>
      <c r="BD74" s="1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7"/>
      <c r="BC75" s="4"/>
      <c r="BD75" s="1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7"/>
      <c r="BC76" s="4"/>
      <c r="BD76" s="1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7"/>
      <c r="BC77" s="4"/>
      <c r="BD77" s="1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7"/>
      <c r="BC78" s="4"/>
      <c r="BD78" s="1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7"/>
      <c r="BC79" s="4"/>
      <c r="BD79" s="1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7"/>
      <c r="BC80" s="4"/>
      <c r="BD80" s="1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7"/>
      <c r="BC81" s="4"/>
      <c r="BD81" s="1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7"/>
      <c r="BC82" s="4"/>
      <c r="BD82" s="1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7"/>
      <c r="BC83" s="4"/>
      <c r="BD83" s="1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7"/>
      <c r="BC84" s="4"/>
      <c r="BD84" s="1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7"/>
      <c r="BC85" s="4"/>
      <c r="BD85" s="1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7"/>
      <c r="BC86" s="4"/>
      <c r="BD86" s="1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7"/>
      <c r="BC87" s="4"/>
      <c r="BD87" s="1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7"/>
      <c r="BC88" s="4"/>
      <c r="BD88" s="1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7"/>
      <c r="BC89" s="4"/>
      <c r="BD89" s="1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7"/>
      <c r="BC90" s="4"/>
      <c r="BD90" s="1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7"/>
      <c r="BC91" s="4"/>
      <c r="BD91" s="1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7"/>
      <c r="BC92" s="4"/>
      <c r="BD92" s="1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7"/>
      <c r="BC93" s="4"/>
      <c r="BD93" s="1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7"/>
      <c r="BC94" s="4"/>
      <c r="BD94" s="1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7"/>
      <c r="BC95" s="4"/>
      <c r="BD95" s="1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7"/>
      <c r="BC96" s="4"/>
      <c r="BD96" s="1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7"/>
      <c r="BC97" s="4"/>
      <c r="BD97" s="1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7"/>
      <c r="BC98" s="4"/>
      <c r="BD98" s="1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7"/>
      <c r="BC99" s="4"/>
      <c r="BD99" s="1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7"/>
      <c r="BC100" s="4"/>
      <c r="BD100" s="1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7"/>
      <c r="BC101" s="4"/>
      <c r="BD101" s="1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7"/>
      <c r="BC102" s="4"/>
      <c r="BD102" s="1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7"/>
      <c r="BC103" s="4"/>
      <c r="BD103" s="1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7"/>
      <c r="BC104" s="4"/>
      <c r="BD104" s="1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7"/>
      <c r="BC105" s="4"/>
      <c r="BD105" s="1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7"/>
      <c r="BC106" s="4"/>
      <c r="BD106" s="1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7"/>
      <c r="BC107" s="4"/>
      <c r="BD107" s="1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7"/>
      <c r="BC108" s="4"/>
      <c r="BD108" s="1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7"/>
      <c r="BC109" s="4"/>
      <c r="BD109" s="1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7"/>
      <c r="BC110" s="4"/>
      <c r="BD110" s="1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7"/>
      <c r="BC111" s="4"/>
      <c r="BD111" s="1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7"/>
      <c r="BC112" s="4"/>
      <c r="BD112" s="1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7"/>
      <c r="BC113" s="4"/>
      <c r="BD113" s="1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7"/>
      <c r="BC114" s="4"/>
      <c r="BD114" s="1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7"/>
      <c r="BC115" s="4"/>
      <c r="BD115" s="1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7"/>
      <c r="BC116" s="4"/>
      <c r="BD116" s="1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7"/>
      <c r="BC117" s="4"/>
      <c r="BD117" s="1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7"/>
      <c r="BC118" s="4"/>
      <c r="BD118" s="1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7"/>
      <c r="BC119" s="4"/>
      <c r="BD119" s="1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7"/>
      <c r="BC120" s="4"/>
      <c r="BD120" s="1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7"/>
      <c r="BC121" s="4"/>
      <c r="BD121" s="1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7"/>
      <c r="BC122" s="4"/>
      <c r="BD122" s="1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7"/>
      <c r="BC123" s="4"/>
      <c r="BD123" s="1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7"/>
      <c r="BC124" s="4"/>
      <c r="BD124" s="1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7"/>
      <c r="BC125" s="4"/>
      <c r="BD125" s="1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7"/>
      <c r="BC126" s="4"/>
      <c r="BD126" s="1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7"/>
      <c r="BC127" s="4"/>
      <c r="BD127" s="1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7"/>
      <c r="BC128" s="4"/>
      <c r="BD128" s="1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7"/>
      <c r="BC129" s="4"/>
      <c r="BD129" s="1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7"/>
      <c r="BC130" s="4"/>
      <c r="BD130" s="1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7"/>
      <c r="BC131" s="4"/>
      <c r="BD131" s="1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7"/>
      <c r="BC132" s="4"/>
      <c r="BD132" s="1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7"/>
      <c r="BC133" s="4"/>
      <c r="BD133" s="1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7"/>
      <c r="BC134" s="4"/>
      <c r="BD134" s="1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7"/>
      <c r="BC135" s="4"/>
      <c r="BD135" s="1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7"/>
      <c r="BC136" s="4"/>
      <c r="BD136" s="1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7"/>
      <c r="BC137" s="4"/>
      <c r="BD137" s="1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7"/>
      <c r="BC138" s="4"/>
      <c r="BD138" s="1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7"/>
      <c r="BC139" s="4"/>
      <c r="BD139" s="1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7"/>
      <c r="BC140" s="4"/>
      <c r="BD140" s="1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7"/>
      <c r="BC141" s="4"/>
      <c r="BD141" s="1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7"/>
      <c r="BC142" s="4"/>
      <c r="BD142" s="1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7"/>
      <c r="BC143" s="4"/>
      <c r="BD143" s="1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7"/>
      <c r="BC144" s="4"/>
      <c r="BD144" s="1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7"/>
      <c r="BC145" s="4"/>
      <c r="BD145" s="1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7"/>
      <c r="BC146" s="4"/>
      <c r="BD146" s="1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7"/>
      <c r="BC147" s="4"/>
      <c r="BD147" s="1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7"/>
      <c r="BC148" s="4"/>
      <c r="BD148" s="1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7"/>
      <c r="BC149" s="4"/>
      <c r="BD149" s="1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7"/>
      <c r="BC150" s="4"/>
      <c r="BD150" s="1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7"/>
      <c r="BC151" s="4"/>
      <c r="BD151" s="1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7"/>
      <c r="BC152" s="4"/>
      <c r="BD152" s="1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7"/>
      <c r="BC153" s="4"/>
      <c r="BD153" s="1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7"/>
      <c r="BC154" s="4"/>
      <c r="BD154" s="1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7"/>
      <c r="BC155" s="4"/>
      <c r="BD155" s="1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7"/>
      <c r="BC156" s="4"/>
      <c r="BD156" s="1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7"/>
      <c r="BC157" s="4"/>
      <c r="BD157" s="1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7"/>
      <c r="BC158" s="4"/>
      <c r="BD158" s="1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7"/>
      <c r="BC159" s="4"/>
      <c r="BD159" s="1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7"/>
      <c r="BC160" s="4"/>
      <c r="BD160" s="1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7"/>
      <c r="BC161" s="4"/>
      <c r="BD161" s="1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7"/>
      <c r="BC162" s="4"/>
      <c r="BD162" s="1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7"/>
      <c r="BC163" s="4"/>
      <c r="BD163" s="1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7"/>
      <c r="BC164" s="4"/>
      <c r="BD164" s="1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7"/>
      <c r="BC165" s="4"/>
      <c r="BD165" s="1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7"/>
      <c r="BC166" s="4"/>
      <c r="BD166" s="1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7"/>
      <c r="BC167" s="4"/>
      <c r="BD167" s="1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7"/>
      <c r="BC168" s="4"/>
      <c r="BD168" s="1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7"/>
      <c r="BC169" s="4"/>
      <c r="BD169" s="1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7"/>
      <c r="BC170" s="4"/>
      <c r="BD170" s="1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7"/>
      <c r="BC171" s="4"/>
      <c r="BD171" s="1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7"/>
      <c r="BC172" s="4"/>
      <c r="BD172" s="1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7"/>
      <c r="BC173" s="4"/>
      <c r="BD173" s="1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7"/>
      <c r="BC174" s="4"/>
      <c r="BD174" s="1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7"/>
      <c r="BC175" s="4"/>
      <c r="BD175" s="1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7"/>
      <c r="BC176" s="4"/>
      <c r="BD176" s="1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7"/>
      <c r="BC177" s="4"/>
      <c r="BD177" s="1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7"/>
      <c r="BC178" s="4"/>
      <c r="BD178" s="1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7"/>
      <c r="BC179" s="4"/>
      <c r="BD179" s="1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7"/>
      <c r="BC180" s="4"/>
      <c r="BD180" s="1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7"/>
      <c r="BC181" s="4"/>
      <c r="BD181" s="1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7"/>
      <c r="BC182" s="4"/>
      <c r="BD182" s="1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7"/>
      <c r="BC183" s="4"/>
      <c r="BD183" s="1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7"/>
      <c r="BC184" s="4"/>
      <c r="BD184" s="1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7"/>
      <c r="BC185" s="4"/>
      <c r="BD185" s="1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7"/>
      <c r="BC186" s="4"/>
      <c r="BD186" s="1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7"/>
      <c r="BC187" s="4"/>
      <c r="BD187" s="1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7"/>
      <c r="BC188" s="4"/>
      <c r="BD188" s="1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7"/>
      <c r="BC189" s="4"/>
      <c r="BD189" s="1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7"/>
      <c r="BC190" s="4"/>
      <c r="BD190" s="1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7"/>
      <c r="BC191" s="4"/>
      <c r="BD191" s="1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7"/>
      <c r="BC192" s="4"/>
      <c r="BD192" s="1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7"/>
      <c r="BC193" s="4"/>
      <c r="BD193" s="1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7"/>
      <c r="BC194" s="4"/>
      <c r="BD194" s="1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7"/>
      <c r="BC195" s="4"/>
      <c r="BD195" s="1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7"/>
      <c r="BC196" s="4"/>
      <c r="BD196" s="1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7"/>
      <c r="BC197" s="4"/>
      <c r="BD197" s="1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7"/>
      <c r="BC198" s="4"/>
      <c r="BD198" s="1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7"/>
      <c r="BC199" s="4"/>
      <c r="BD199" s="1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7"/>
      <c r="BC200" s="4"/>
      <c r="BD200" s="1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7"/>
      <c r="BC201" s="4"/>
      <c r="BD201" s="1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7"/>
      <c r="BC202" s="4"/>
      <c r="BD202" s="1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7"/>
      <c r="BC203" s="4"/>
      <c r="BD203" s="1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7"/>
      <c r="BC204" s="4"/>
      <c r="BD204" s="1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7"/>
      <c r="BC205" s="4"/>
      <c r="BD205" s="1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7"/>
      <c r="BC206" s="4"/>
      <c r="BD206" s="1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7"/>
      <c r="BC207" s="4"/>
      <c r="BD207" s="1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7"/>
      <c r="BC208" s="4"/>
      <c r="BD208" s="1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7"/>
      <c r="BC209" s="4"/>
      <c r="BD209" s="1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7"/>
      <c r="BC210" s="4"/>
      <c r="BD210" s="1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7"/>
      <c r="BC211" s="4"/>
      <c r="BD211" s="1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7"/>
      <c r="BC212" s="4"/>
      <c r="BD212" s="1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7"/>
      <c r="BC213" s="4"/>
      <c r="BD213" s="1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7"/>
      <c r="BC214" s="4"/>
      <c r="BD214" s="1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7"/>
      <c r="BC215" s="4"/>
      <c r="BD215" s="17"/>
      <c r="BE215" s="4"/>
      <c r="BF215" s="4"/>
      <c r="BG215" s="1"/>
      <c r="BH21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38"/>
  <sheetViews>
    <sheetView topLeftCell="A13" zoomScale="80" zoomScaleNormal="80" workbookViewId="0">
      <selection activeCell="B3" sqref="B3:B4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customWidth="1"/>
    <col min="3" max="3" width="19.7109375" style="1" customWidth="1"/>
    <col min="4" max="4" width="17" style="1" customWidth="1"/>
    <col min="5" max="5" width="66" style="2" customWidth="1"/>
    <col min="6" max="7" width="22.140625" style="2" customWidth="1" outlineLevel="1"/>
    <col min="8" max="8" width="33.140625" style="2" customWidth="1" outlineLevel="1"/>
    <col min="9" max="9" width="15.710937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25.5703125" style="1" bestFit="1" customWidth="1"/>
    <col min="36" max="36" width="23.7109375" style="2" bestFit="1" customWidth="1"/>
    <col min="37" max="37" width="26.28515625" style="2" customWidth="1"/>
    <col min="38" max="38" width="22.5703125" style="2" customWidth="1"/>
    <col min="39" max="40" width="21" style="2" customWidth="1"/>
    <col min="41" max="41" width="10.28515625" style="2" bestFit="1" customWidth="1"/>
    <col min="42" max="42" width="23.85546875" style="2" customWidth="1"/>
    <col min="43" max="43" width="16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7" hidden="1" customWidth="1" outlineLevel="1"/>
    <col min="55" max="55" width="13.28515625" style="4" hidden="1" customWidth="1" outlineLevel="1"/>
    <col min="56" max="56" width="13" style="1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SUM(AA3:AA95)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62"/>
      <c r="AZ1" s="113" t="s">
        <v>0</v>
      </c>
      <c r="BA1" s="114"/>
      <c r="BB1" s="114"/>
      <c r="BC1" s="114"/>
      <c r="BD1" s="114"/>
      <c r="BE1" s="114"/>
      <c r="BF1" s="114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08" t="s">
        <v>413</v>
      </c>
      <c r="AW2" s="108" t="s">
        <v>414</v>
      </c>
      <c r="AX2" s="108" t="s">
        <v>415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70" customFormat="1" ht="15.75" x14ac:dyDescent="0.25">
      <c r="A3" s="66"/>
      <c r="B3" s="110" t="s">
        <v>416</v>
      </c>
      <c r="C3" s="67"/>
      <c r="D3" s="74" t="s">
        <v>373</v>
      </c>
      <c r="E3" s="64" t="s">
        <v>93</v>
      </c>
      <c r="F3" s="77" t="s">
        <v>94</v>
      </c>
      <c r="G3" s="77" t="s">
        <v>94</v>
      </c>
      <c r="H3" s="62"/>
      <c r="I3" s="64">
        <f t="shared" ref="I3:I42" si="0">LEN(F3)</f>
        <v>4</v>
      </c>
      <c r="J3" s="64" t="str">
        <f t="shared" ref="J3:J42" si="1">IF(LEN(F3)&lt;=$J$1,F3,"")</f>
        <v>Ввод</v>
      </c>
      <c r="K3" s="68" t="s">
        <v>191</v>
      </c>
      <c r="L3" s="71" t="s">
        <v>72</v>
      </c>
      <c r="M3" s="69" t="s">
        <v>63</v>
      </c>
      <c r="N3" s="69" t="s">
        <v>64</v>
      </c>
      <c r="O3" s="69"/>
      <c r="P3" s="72"/>
      <c r="Q3" s="72"/>
      <c r="R3" s="69" t="s">
        <v>66</v>
      </c>
      <c r="S3" s="69" t="s">
        <v>66</v>
      </c>
      <c r="T3" s="69" t="s">
        <v>66</v>
      </c>
      <c r="U3" s="69" t="s">
        <v>66</v>
      </c>
      <c r="V3" s="67"/>
      <c r="W3" s="67"/>
      <c r="X3" s="69" t="s">
        <v>66</v>
      </c>
      <c r="Y3" s="69">
        <v>2</v>
      </c>
      <c r="Z3" s="67"/>
      <c r="AA3" s="63">
        <v>0</v>
      </c>
      <c r="AB3" s="63"/>
      <c r="AC3" s="63"/>
      <c r="AD3" s="63"/>
      <c r="AE3" s="63"/>
      <c r="AF3" s="63">
        <v>0</v>
      </c>
      <c r="AG3" s="63">
        <v>0</v>
      </c>
      <c r="AH3" s="63">
        <v>0</v>
      </c>
      <c r="AI3" s="34"/>
      <c r="AJ3" s="65"/>
      <c r="AK3" s="65"/>
      <c r="AL3" s="65"/>
      <c r="AM3" s="65"/>
      <c r="AN3" s="65"/>
      <c r="AO3" s="65"/>
      <c r="AP3" s="65"/>
      <c r="AQ3" s="65"/>
      <c r="AR3" s="67">
        <v>0</v>
      </c>
      <c r="AS3" s="67">
        <v>1</v>
      </c>
      <c r="AT3" s="67">
        <v>0</v>
      </c>
      <c r="AU3" s="67">
        <v>1</v>
      </c>
      <c r="AV3" s="109">
        <v>1</v>
      </c>
      <c r="AW3" s="109">
        <v>1</v>
      </c>
      <c r="AX3" s="109">
        <v>1</v>
      </c>
      <c r="AY3" s="73"/>
      <c r="AZ3" s="67"/>
      <c r="BA3" s="67"/>
      <c r="BB3" s="67"/>
      <c r="BC3" s="67"/>
      <c r="BD3" s="67"/>
      <c r="BE3" s="67"/>
      <c r="BF3" s="67"/>
      <c r="BG3" s="76" t="str">
        <f t="shared" ref="BG3:BG42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70" customFormat="1" ht="15.75" x14ac:dyDescent="0.25">
      <c r="A4" s="66"/>
      <c r="B4" s="110" t="s">
        <v>416</v>
      </c>
      <c r="C4" s="67"/>
      <c r="D4" s="74" t="s">
        <v>373</v>
      </c>
      <c r="E4" s="64" t="s">
        <v>95</v>
      </c>
      <c r="F4" s="77" t="s">
        <v>329</v>
      </c>
      <c r="G4" s="74" t="s">
        <v>329</v>
      </c>
      <c r="H4" s="62"/>
      <c r="I4" s="64">
        <f t="shared" si="0"/>
        <v>17</v>
      </c>
      <c r="J4" s="64" t="str">
        <f t="shared" si="1"/>
        <v>Оперативный вывод</v>
      </c>
      <c r="K4" s="68" t="s">
        <v>192</v>
      </c>
      <c r="L4" s="71" t="s">
        <v>72</v>
      </c>
      <c r="M4" s="69" t="s">
        <v>63</v>
      </c>
      <c r="N4" s="69" t="s">
        <v>64</v>
      </c>
      <c r="O4" s="69"/>
      <c r="P4" s="72"/>
      <c r="Q4" s="72"/>
      <c r="R4" s="69" t="s">
        <v>66</v>
      </c>
      <c r="S4" s="69" t="s">
        <v>66</v>
      </c>
      <c r="T4" s="69" t="s">
        <v>66</v>
      </c>
      <c r="U4" s="69" t="s">
        <v>66</v>
      </c>
      <c r="V4" s="67"/>
      <c r="W4" s="67"/>
      <c r="X4" s="69" t="s">
        <v>66</v>
      </c>
      <c r="Y4" s="69">
        <v>2</v>
      </c>
      <c r="Z4" s="67"/>
      <c r="AA4" s="63">
        <v>0</v>
      </c>
      <c r="AB4" s="63"/>
      <c r="AC4" s="63"/>
      <c r="AD4" s="63"/>
      <c r="AE4" s="63"/>
      <c r="AF4" s="63">
        <v>0</v>
      </c>
      <c r="AG4" s="63">
        <v>0</v>
      </c>
      <c r="AH4" s="63">
        <v>0</v>
      </c>
      <c r="AI4" s="34"/>
      <c r="AJ4" s="65"/>
      <c r="AK4" s="65"/>
      <c r="AL4" s="65"/>
      <c r="AM4" s="65"/>
      <c r="AN4" s="65"/>
      <c r="AO4" s="65"/>
      <c r="AP4" s="65"/>
      <c r="AQ4" s="65"/>
      <c r="AR4" s="67">
        <v>0</v>
      </c>
      <c r="AS4" s="67">
        <v>1</v>
      </c>
      <c r="AT4" s="67">
        <v>0</v>
      </c>
      <c r="AU4" s="67">
        <v>1</v>
      </c>
      <c r="AV4" s="109">
        <v>1</v>
      </c>
      <c r="AW4" s="109">
        <v>1</v>
      </c>
      <c r="AX4" s="109">
        <v>1</v>
      </c>
      <c r="AY4" s="73"/>
      <c r="AZ4" s="67"/>
      <c r="BA4" s="67"/>
      <c r="BB4" s="67"/>
      <c r="BC4" s="67"/>
      <c r="BD4" s="67"/>
      <c r="BE4" s="67"/>
      <c r="BF4" s="67"/>
      <c r="BG4" s="76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70" customFormat="1" ht="15.75" x14ac:dyDescent="0.25">
      <c r="A5" s="66"/>
      <c r="B5" s="110" t="s">
        <v>416</v>
      </c>
      <c r="C5" s="69"/>
      <c r="D5" s="74" t="s">
        <v>373</v>
      </c>
      <c r="E5" s="64" t="s">
        <v>306</v>
      </c>
      <c r="F5" s="64" t="s">
        <v>307</v>
      </c>
      <c r="G5" s="64" t="s">
        <v>307</v>
      </c>
      <c r="H5" s="64"/>
      <c r="I5" s="64">
        <f t="shared" si="0"/>
        <v>6</v>
      </c>
      <c r="J5" s="64" t="str">
        <f t="shared" si="1"/>
        <v>ИО 3I0</v>
      </c>
      <c r="K5" s="66" t="s">
        <v>308</v>
      </c>
      <c r="L5" s="71" t="s">
        <v>72</v>
      </c>
      <c r="M5" s="69" t="s">
        <v>63</v>
      </c>
      <c r="N5" s="69" t="s">
        <v>64</v>
      </c>
      <c r="O5" s="69"/>
      <c r="P5" s="73"/>
      <c r="Q5" s="73"/>
      <c r="R5" s="69" t="s">
        <v>66</v>
      </c>
      <c r="S5" s="69" t="s">
        <v>66</v>
      </c>
      <c r="T5" s="69" t="s">
        <v>66</v>
      </c>
      <c r="U5" s="69" t="s">
        <v>66</v>
      </c>
      <c r="V5" s="69"/>
      <c r="W5" s="69"/>
      <c r="X5" s="69" t="s">
        <v>66</v>
      </c>
      <c r="Y5" s="69">
        <v>2</v>
      </c>
      <c r="Z5" s="68"/>
      <c r="AA5" s="63">
        <v>0</v>
      </c>
      <c r="AB5" s="63"/>
      <c r="AC5" s="63"/>
      <c r="AD5" s="63"/>
      <c r="AE5" s="63"/>
      <c r="AF5" s="63">
        <v>0</v>
      </c>
      <c r="AG5" s="63">
        <v>0</v>
      </c>
      <c r="AH5" s="63">
        <v>0</v>
      </c>
      <c r="AI5" s="75"/>
      <c r="AJ5" s="65"/>
      <c r="AK5" s="65"/>
      <c r="AL5" s="65"/>
      <c r="AM5" s="65"/>
      <c r="AN5" s="65"/>
      <c r="AO5" s="65"/>
      <c r="AP5" s="65"/>
      <c r="AQ5" s="65"/>
      <c r="AR5" s="67">
        <v>0</v>
      </c>
      <c r="AS5" s="67">
        <v>1</v>
      </c>
      <c r="AT5" s="67">
        <v>0</v>
      </c>
      <c r="AU5" s="67">
        <v>1</v>
      </c>
      <c r="AV5" s="109">
        <v>1</v>
      </c>
      <c r="AW5" s="109">
        <v>1</v>
      </c>
      <c r="AX5" s="109">
        <v>1</v>
      </c>
      <c r="AY5" s="73"/>
      <c r="AZ5" s="67"/>
      <c r="BA5" s="67"/>
      <c r="BB5" s="67"/>
      <c r="BC5" s="67"/>
      <c r="BD5" s="67"/>
      <c r="BE5" s="67"/>
      <c r="BF5" s="67"/>
      <c r="BG5" s="76" t="str">
        <f t="shared" si="2"/>
        <v>description: "ИО 3I0", note: "Пуск ИО тока НП", group: "status", minValue: null, maxValue: null, step: null, units: "null", defaultValue: null, eventRegistration: 2</v>
      </c>
    </row>
    <row r="6" spans="1:16379" s="70" customFormat="1" ht="15.75" x14ac:dyDescent="0.25">
      <c r="A6" s="66"/>
      <c r="B6" s="110" t="s">
        <v>416</v>
      </c>
      <c r="C6" s="69"/>
      <c r="D6" s="74" t="s">
        <v>373</v>
      </c>
      <c r="E6" s="64" t="s">
        <v>310</v>
      </c>
      <c r="F6" s="64" t="s">
        <v>309</v>
      </c>
      <c r="G6" s="64" t="s">
        <v>309</v>
      </c>
      <c r="H6" s="64"/>
      <c r="I6" s="64">
        <f t="shared" si="0"/>
        <v>6</v>
      </c>
      <c r="J6" s="64" t="str">
        <f t="shared" si="1"/>
        <v>ИО 3U0</v>
      </c>
      <c r="K6" s="66" t="s">
        <v>311</v>
      </c>
      <c r="L6" s="71" t="s">
        <v>72</v>
      </c>
      <c r="M6" s="69" t="s">
        <v>63</v>
      </c>
      <c r="N6" s="69" t="s">
        <v>64</v>
      </c>
      <c r="O6" s="69"/>
      <c r="P6" s="73"/>
      <c r="Q6" s="73"/>
      <c r="R6" s="69" t="s">
        <v>66</v>
      </c>
      <c r="S6" s="69" t="s">
        <v>66</v>
      </c>
      <c r="T6" s="69" t="s">
        <v>66</v>
      </c>
      <c r="U6" s="69" t="s">
        <v>66</v>
      </c>
      <c r="V6" s="69"/>
      <c r="W6" s="69"/>
      <c r="X6" s="69" t="s">
        <v>66</v>
      </c>
      <c r="Y6" s="69">
        <v>2</v>
      </c>
      <c r="Z6" s="68"/>
      <c r="AA6" s="63">
        <v>0</v>
      </c>
      <c r="AB6" s="63"/>
      <c r="AC6" s="63"/>
      <c r="AD6" s="63"/>
      <c r="AE6" s="63"/>
      <c r="AF6" s="63">
        <v>0</v>
      </c>
      <c r="AG6" s="63">
        <v>0</v>
      </c>
      <c r="AH6" s="63">
        <v>0</v>
      </c>
      <c r="AI6" s="75"/>
      <c r="AJ6" s="65"/>
      <c r="AK6" s="65"/>
      <c r="AL6" s="65"/>
      <c r="AM6" s="65"/>
      <c r="AN6" s="65"/>
      <c r="AO6" s="65"/>
      <c r="AP6" s="65"/>
      <c r="AQ6" s="65"/>
      <c r="AR6" s="67">
        <v>0</v>
      </c>
      <c r="AS6" s="67">
        <v>1</v>
      </c>
      <c r="AT6" s="67">
        <v>0</v>
      </c>
      <c r="AU6" s="67">
        <v>1</v>
      </c>
      <c r="AV6" s="109">
        <v>1</v>
      </c>
      <c r="AW6" s="109">
        <v>1</v>
      </c>
      <c r="AX6" s="109">
        <v>1</v>
      </c>
      <c r="AY6" s="73"/>
      <c r="AZ6" s="67"/>
      <c r="BA6" s="67"/>
      <c r="BB6" s="67"/>
      <c r="BC6" s="67"/>
      <c r="BD6" s="67"/>
      <c r="BE6" s="67"/>
      <c r="BF6" s="67"/>
      <c r="BG6" s="76" t="str">
        <f t="shared" si="2"/>
        <v>description: "ИО 3U0", note: "Пуск ИО напряжения НП", group: "status", minValue: null, maxValue: null, step: null, units: "null", defaultValue: null, eventRegistration: 2</v>
      </c>
    </row>
    <row r="7" spans="1:16379" s="70" customFormat="1" ht="15.75" x14ac:dyDescent="0.25">
      <c r="A7" s="66"/>
      <c r="B7" s="110" t="s">
        <v>416</v>
      </c>
      <c r="C7" s="69"/>
      <c r="D7" s="74" t="s">
        <v>373</v>
      </c>
      <c r="E7" s="64" t="s">
        <v>96</v>
      </c>
      <c r="F7" s="64" t="s">
        <v>96</v>
      </c>
      <c r="G7" s="64" t="s">
        <v>96</v>
      </c>
      <c r="H7" s="64"/>
      <c r="I7" s="64">
        <f t="shared" si="0"/>
        <v>4</v>
      </c>
      <c r="J7" s="64" t="str">
        <f t="shared" si="1"/>
        <v>Пуск</v>
      </c>
      <c r="K7" s="66" t="s">
        <v>193</v>
      </c>
      <c r="L7" s="71" t="s">
        <v>72</v>
      </c>
      <c r="M7" s="69" t="s">
        <v>63</v>
      </c>
      <c r="N7" s="69" t="s">
        <v>64</v>
      </c>
      <c r="O7" s="69"/>
      <c r="P7" s="73"/>
      <c r="Q7" s="73"/>
      <c r="R7" s="69" t="s">
        <v>66</v>
      </c>
      <c r="S7" s="69" t="s">
        <v>66</v>
      </c>
      <c r="T7" s="69" t="s">
        <v>66</v>
      </c>
      <c r="U7" s="69" t="s">
        <v>66</v>
      </c>
      <c r="V7" s="69"/>
      <c r="W7" s="69"/>
      <c r="X7" s="69" t="s">
        <v>66</v>
      </c>
      <c r="Y7" s="69">
        <v>2</v>
      </c>
      <c r="Z7" s="68"/>
      <c r="AA7" s="63">
        <v>0</v>
      </c>
      <c r="AB7" s="63"/>
      <c r="AC7" s="63"/>
      <c r="AD7" s="63"/>
      <c r="AE7" s="63"/>
      <c r="AF7" s="63">
        <v>0</v>
      </c>
      <c r="AG7" s="63">
        <v>0</v>
      </c>
      <c r="AH7" s="63">
        <v>0</v>
      </c>
      <c r="AI7" s="75" t="s">
        <v>230</v>
      </c>
      <c r="AJ7" s="65" t="s">
        <v>231</v>
      </c>
      <c r="AK7" s="65" t="s">
        <v>97</v>
      </c>
      <c r="AL7" s="65" t="s">
        <v>98</v>
      </c>
      <c r="AM7" s="65" t="s">
        <v>99</v>
      </c>
      <c r="AN7" s="65"/>
      <c r="AO7" s="65" t="s">
        <v>86</v>
      </c>
      <c r="AP7" s="65" t="str">
        <f t="shared" ref="AP7" si="3">CONCATENATE(AJ7, ".", AL7)</f>
        <v>ZSPTOC1.Str.general</v>
      </c>
      <c r="AQ7" s="65" t="s">
        <v>82</v>
      </c>
      <c r="AR7" s="67">
        <v>0</v>
      </c>
      <c r="AS7" s="67">
        <v>1</v>
      </c>
      <c r="AT7" s="67">
        <v>0</v>
      </c>
      <c r="AU7" s="67">
        <v>1</v>
      </c>
      <c r="AV7" s="109">
        <v>1</v>
      </c>
      <c r="AW7" s="109">
        <v>1</v>
      </c>
      <c r="AX7" s="109">
        <v>1</v>
      </c>
      <c r="AY7" s="73"/>
      <c r="AZ7" s="67"/>
      <c r="BA7" s="67"/>
      <c r="BB7" s="67"/>
      <c r="BC7" s="67"/>
      <c r="BD7" s="67"/>
      <c r="BE7" s="67"/>
      <c r="BF7" s="67"/>
      <c r="BG7" s="76" t="str">
        <f t="shared" si="2"/>
        <v>description: "Пуск", note: "Пуск", group: "status", minValue: null, maxValue: null, step: null, units: "null", defaultValue: null, eventRegistration: 2</v>
      </c>
    </row>
    <row r="8" spans="1:16379" s="70" customFormat="1" ht="15" customHeight="1" x14ac:dyDescent="0.25">
      <c r="A8" s="66"/>
      <c r="B8" s="110" t="s">
        <v>416</v>
      </c>
      <c r="C8" s="69"/>
      <c r="D8" s="74" t="s">
        <v>373</v>
      </c>
      <c r="E8" s="64" t="s">
        <v>312</v>
      </c>
      <c r="F8" s="64" t="s">
        <v>313</v>
      </c>
      <c r="G8" s="64" t="s">
        <v>313</v>
      </c>
      <c r="H8" s="64"/>
      <c r="I8" s="64">
        <f t="shared" si="0"/>
        <v>17</v>
      </c>
      <c r="J8" s="64" t="str">
        <f t="shared" si="1"/>
        <v>Срабатывание сигн</v>
      </c>
      <c r="K8" s="66" t="s">
        <v>314</v>
      </c>
      <c r="L8" s="71" t="s">
        <v>72</v>
      </c>
      <c r="M8" s="69" t="s">
        <v>63</v>
      </c>
      <c r="N8" s="69" t="s">
        <v>64</v>
      </c>
      <c r="O8" s="69"/>
      <c r="P8" s="73"/>
      <c r="Q8" s="73"/>
      <c r="R8" s="69" t="s">
        <v>66</v>
      </c>
      <c r="S8" s="69" t="s">
        <v>66</v>
      </c>
      <c r="T8" s="69" t="s">
        <v>66</v>
      </c>
      <c r="U8" s="69" t="s">
        <v>66</v>
      </c>
      <c r="V8" s="69"/>
      <c r="W8" s="69"/>
      <c r="X8" s="69" t="s">
        <v>66</v>
      </c>
      <c r="Y8" s="69">
        <v>2</v>
      </c>
      <c r="Z8" s="68"/>
      <c r="AA8" s="63">
        <v>0</v>
      </c>
      <c r="AB8" s="63"/>
      <c r="AC8" s="63"/>
      <c r="AD8" s="63"/>
      <c r="AE8" s="63"/>
      <c r="AF8" s="63">
        <v>0</v>
      </c>
      <c r="AG8" s="63">
        <v>0</v>
      </c>
      <c r="AH8" s="63">
        <v>0</v>
      </c>
      <c r="AI8" s="75"/>
      <c r="AJ8" s="65"/>
      <c r="AK8" s="65"/>
      <c r="AL8" s="65"/>
      <c r="AM8" s="65"/>
      <c r="AN8" s="65"/>
      <c r="AO8" s="65"/>
      <c r="AP8" s="65"/>
      <c r="AQ8" s="65"/>
      <c r="AR8" s="67">
        <v>0</v>
      </c>
      <c r="AS8" s="67">
        <v>1</v>
      </c>
      <c r="AT8" s="67">
        <v>0</v>
      </c>
      <c r="AU8" s="67">
        <v>1</v>
      </c>
      <c r="AV8" s="109">
        <v>1</v>
      </c>
      <c r="AW8" s="109">
        <v>1</v>
      </c>
      <c r="AX8" s="109">
        <v>1</v>
      </c>
      <c r="AY8" s="73"/>
      <c r="AZ8" s="67"/>
      <c r="BA8" s="67"/>
      <c r="BB8" s="67"/>
      <c r="BC8" s="67"/>
      <c r="BD8" s="67"/>
      <c r="BE8" s="67"/>
      <c r="BF8" s="67"/>
      <c r="BG8" s="76" t="str">
        <f t="shared" si="2"/>
        <v>description: "Срабатывание сигн", note: "Срабатывание на сигнал", group: "status", minValue: null, maxValue: null, step: null, units: "null", defaultValue: null, eventRegistration: 2</v>
      </c>
    </row>
    <row r="9" spans="1:16379" s="70" customFormat="1" ht="15" customHeight="1" x14ac:dyDescent="0.25">
      <c r="A9" s="66"/>
      <c r="B9" s="110" t="s">
        <v>416</v>
      </c>
      <c r="C9" s="69"/>
      <c r="D9" s="74" t="s">
        <v>373</v>
      </c>
      <c r="E9" s="64" t="s">
        <v>287</v>
      </c>
      <c r="F9" s="64" t="s">
        <v>287</v>
      </c>
      <c r="G9" s="64" t="s">
        <v>287</v>
      </c>
      <c r="H9" s="64"/>
      <c r="I9" s="64">
        <f t="shared" si="0"/>
        <v>12</v>
      </c>
      <c r="J9" s="64" t="str">
        <f t="shared" si="1"/>
        <v>Срабатывание</v>
      </c>
      <c r="K9" s="66" t="s">
        <v>194</v>
      </c>
      <c r="L9" s="71" t="s">
        <v>72</v>
      </c>
      <c r="M9" s="69" t="s">
        <v>63</v>
      </c>
      <c r="N9" s="69" t="s">
        <v>64</v>
      </c>
      <c r="O9" s="69"/>
      <c r="P9" s="73"/>
      <c r="Q9" s="73"/>
      <c r="R9" s="69" t="s">
        <v>66</v>
      </c>
      <c r="S9" s="69" t="s">
        <v>66</v>
      </c>
      <c r="T9" s="69" t="s">
        <v>66</v>
      </c>
      <c r="U9" s="69" t="s">
        <v>66</v>
      </c>
      <c r="V9" s="69"/>
      <c r="W9" s="69"/>
      <c r="X9" s="69" t="s">
        <v>66</v>
      </c>
      <c r="Y9" s="69">
        <v>2</v>
      </c>
      <c r="Z9" s="68"/>
      <c r="AA9" s="63">
        <v>0</v>
      </c>
      <c r="AB9" s="63"/>
      <c r="AC9" s="63"/>
      <c r="AD9" s="63"/>
      <c r="AE9" s="63"/>
      <c r="AF9" s="63">
        <v>0</v>
      </c>
      <c r="AG9" s="63">
        <v>0</v>
      </c>
      <c r="AH9" s="63">
        <v>0</v>
      </c>
      <c r="AI9" s="75" t="s">
        <v>230</v>
      </c>
      <c r="AJ9" s="65" t="s">
        <v>233</v>
      </c>
      <c r="AK9" s="65" t="s">
        <v>100</v>
      </c>
      <c r="AL9" s="65" t="s">
        <v>98</v>
      </c>
      <c r="AM9" s="65" t="s">
        <v>99</v>
      </c>
      <c r="AN9" s="65"/>
      <c r="AO9" s="65" t="s">
        <v>86</v>
      </c>
      <c r="AP9" s="65" t="str">
        <f>CONCATENATE(AJ9, ".", AL9)</f>
        <v>ZSPTOC1.Op.general</v>
      </c>
      <c r="AQ9" s="65" t="s">
        <v>82</v>
      </c>
      <c r="AR9" s="67">
        <v>0</v>
      </c>
      <c r="AS9" s="67">
        <v>1</v>
      </c>
      <c r="AT9" s="67">
        <v>0</v>
      </c>
      <c r="AU9" s="67">
        <v>1</v>
      </c>
      <c r="AV9" s="109">
        <v>1</v>
      </c>
      <c r="AW9" s="109">
        <v>1</v>
      </c>
      <c r="AX9" s="109">
        <v>1</v>
      </c>
      <c r="AY9" s="73"/>
      <c r="AZ9" s="67"/>
      <c r="BA9" s="67"/>
      <c r="BB9" s="67"/>
      <c r="BC9" s="67"/>
      <c r="BD9" s="67"/>
      <c r="BE9" s="67"/>
      <c r="BF9" s="67"/>
      <c r="BG9" s="76" t="str">
        <f t="shared" si="2"/>
        <v>description: "Срабатывание", note: "Срабатывание", group: "status", minValue: null, maxValue: null, step: null, units: "null", defaultValue: null, eventRegistration: 2</v>
      </c>
    </row>
    <row r="10" spans="1:16379" s="70" customFormat="1" ht="15" customHeight="1" x14ac:dyDescent="0.25">
      <c r="A10" s="66"/>
      <c r="B10" s="110" t="s">
        <v>416</v>
      </c>
      <c r="C10" s="67"/>
      <c r="D10" s="74" t="s">
        <v>373</v>
      </c>
      <c r="E10" s="64" t="s">
        <v>381</v>
      </c>
      <c r="F10" s="77" t="s">
        <v>381</v>
      </c>
      <c r="G10" s="77" t="s">
        <v>381</v>
      </c>
      <c r="H10" s="62"/>
      <c r="I10" s="64">
        <v>17</v>
      </c>
      <c r="J10" s="64" t="s">
        <v>381</v>
      </c>
      <c r="K10" s="68" t="s">
        <v>382</v>
      </c>
      <c r="L10" s="71" t="s">
        <v>120</v>
      </c>
      <c r="M10" s="69" t="s">
        <v>63</v>
      </c>
      <c r="N10" s="69" t="s">
        <v>64</v>
      </c>
      <c r="O10" s="69"/>
      <c r="P10" s="72"/>
      <c r="Q10" s="72"/>
      <c r="R10" s="69" t="s">
        <v>66</v>
      </c>
      <c r="S10" s="69" t="s">
        <v>66</v>
      </c>
      <c r="T10" s="69" t="s">
        <v>66</v>
      </c>
      <c r="U10" s="69" t="s">
        <v>66</v>
      </c>
      <c r="V10" s="67"/>
      <c r="W10" s="67"/>
      <c r="X10" s="69" t="s">
        <v>66</v>
      </c>
      <c r="Y10" s="69">
        <v>0</v>
      </c>
      <c r="Z10" s="67"/>
      <c r="AA10" s="63">
        <v>0</v>
      </c>
      <c r="AB10" s="63"/>
      <c r="AC10" s="63"/>
      <c r="AD10" s="63"/>
      <c r="AE10" s="63"/>
      <c r="AF10" s="63">
        <v>0</v>
      </c>
      <c r="AG10" s="63">
        <v>0</v>
      </c>
      <c r="AH10" s="63">
        <v>0</v>
      </c>
      <c r="AI10" s="75" t="s">
        <v>230</v>
      </c>
      <c r="AJ10" s="65" t="s">
        <v>231</v>
      </c>
      <c r="AK10" s="65" t="s">
        <v>97</v>
      </c>
      <c r="AL10" s="65" t="s">
        <v>337</v>
      </c>
      <c r="AM10" s="65" t="s">
        <v>84</v>
      </c>
      <c r="AN10" s="65" t="s">
        <v>263</v>
      </c>
      <c r="AO10" s="65" t="s">
        <v>86</v>
      </c>
      <c r="AP10" s="65" t="str">
        <f>CONCATENATE(AJ10, ".", AL10)</f>
        <v>ZSPTOC1.Str.dirGeneral</v>
      </c>
      <c r="AQ10" s="65" t="s">
        <v>82</v>
      </c>
      <c r="AR10" s="67">
        <v>0</v>
      </c>
      <c r="AS10" s="67">
        <v>0</v>
      </c>
      <c r="AT10" s="67">
        <v>0</v>
      </c>
      <c r="AU10" s="67">
        <v>0</v>
      </c>
      <c r="AV10" s="109">
        <v>1</v>
      </c>
      <c r="AW10" s="109">
        <v>1</v>
      </c>
      <c r="AX10" s="109">
        <v>1</v>
      </c>
      <c r="AY10" s="73"/>
      <c r="AZ10" s="67"/>
      <c r="BA10" s="67"/>
      <c r="BB10" s="67"/>
      <c r="BC10" s="67"/>
      <c r="BD10" s="67"/>
      <c r="BE10" s="67"/>
      <c r="BF10" s="67"/>
      <c r="BG10" s="76" t="str">
        <f t="shared" si="2"/>
        <v>description: "Направление пуска", note: "Направление пуска", group: "status", minValue: null, maxValue: null, step: null, units: "null", defaultValue: null, eventRegistration: 0</v>
      </c>
    </row>
    <row r="11" spans="1:16379" s="92" customFormat="1" ht="15.75" x14ac:dyDescent="0.25">
      <c r="A11" s="78"/>
      <c r="B11" s="110" t="s">
        <v>416</v>
      </c>
      <c r="C11" s="79"/>
      <c r="D11" s="80" t="s">
        <v>374</v>
      </c>
      <c r="E11" s="81" t="s">
        <v>93</v>
      </c>
      <c r="F11" s="82" t="s">
        <v>94</v>
      </c>
      <c r="G11" s="82" t="s">
        <v>94</v>
      </c>
      <c r="H11" s="83"/>
      <c r="I11" s="81">
        <f t="shared" si="0"/>
        <v>4</v>
      </c>
      <c r="J11" s="81" t="str">
        <f t="shared" si="1"/>
        <v>Ввод</v>
      </c>
      <c r="K11" s="84" t="s">
        <v>195</v>
      </c>
      <c r="L11" s="85" t="s">
        <v>72</v>
      </c>
      <c r="M11" s="86" t="s">
        <v>63</v>
      </c>
      <c r="N11" s="86" t="s">
        <v>64</v>
      </c>
      <c r="O11" s="86"/>
      <c r="P11" s="87"/>
      <c r="Q11" s="87"/>
      <c r="R11" s="86" t="s">
        <v>66</v>
      </c>
      <c r="S11" s="86" t="s">
        <v>66</v>
      </c>
      <c r="T11" s="86" t="s">
        <v>66</v>
      </c>
      <c r="U11" s="86" t="s">
        <v>66</v>
      </c>
      <c r="V11" s="79"/>
      <c r="W11" s="79"/>
      <c r="X11" s="86" t="s">
        <v>66</v>
      </c>
      <c r="Y11" s="86">
        <v>2</v>
      </c>
      <c r="Z11" s="79"/>
      <c r="AA11" s="88">
        <v>0</v>
      </c>
      <c r="AB11" s="88"/>
      <c r="AC11" s="88"/>
      <c r="AD11" s="88"/>
      <c r="AE11" s="88"/>
      <c r="AF11" s="88">
        <v>0</v>
      </c>
      <c r="AG11" s="88">
        <v>0</v>
      </c>
      <c r="AH11" s="88">
        <v>0</v>
      </c>
      <c r="AI11" s="25"/>
      <c r="AJ11" s="89"/>
      <c r="AK11" s="89"/>
      <c r="AL11" s="89"/>
      <c r="AM11" s="89"/>
      <c r="AN11" s="89"/>
      <c r="AO11" s="89"/>
      <c r="AP11" s="89"/>
      <c r="AQ11" s="89"/>
      <c r="AR11" s="79">
        <v>0</v>
      </c>
      <c r="AS11" s="79">
        <v>1</v>
      </c>
      <c r="AT11" s="79">
        <v>0</v>
      </c>
      <c r="AU11" s="79">
        <v>1</v>
      </c>
      <c r="AV11" s="109">
        <v>1</v>
      </c>
      <c r="AW11" s="109">
        <v>1</v>
      </c>
      <c r="AX11" s="109">
        <v>1</v>
      </c>
      <c r="AY11" s="90"/>
      <c r="AZ11" s="79"/>
      <c r="BA11" s="79"/>
      <c r="BB11" s="79"/>
      <c r="BC11" s="79"/>
      <c r="BD11" s="79"/>
      <c r="BE11" s="79"/>
      <c r="BF11" s="79"/>
      <c r="BG11" s="91" t="str">
        <f t="shared" si="2"/>
        <v>description: "Ввод", note: "Функция введена в работу", group: "status", minValue: null, maxValue: null, step: null, units: "null", defaultValue: null, eventRegistration: 2</v>
      </c>
    </row>
    <row r="12" spans="1:16379" s="92" customFormat="1" ht="15.75" x14ac:dyDescent="0.25">
      <c r="A12" s="78"/>
      <c r="B12" s="110" t="s">
        <v>416</v>
      </c>
      <c r="C12" s="79"/>
      <c r="D12" s="80" t="s">
        <v>374</v>
      </c>
      <c r="E12" s="81" t="s">
        <v>95</v>
      </c>
      <c r="F12" s="82" t="s">
        <v>329</v>
      </c>
      <c r="G12" s="80" t="s">
        <v>329</v>
      </c>
      <c r="H12" s="83"/>
      <c r="I12" s="81">
        <f t="shared" si="0"/>
        <v>17</v>
      </c>
      <c r="J12" s="81" t="str">
        <f t="shared" si="1"/>
        <v>Оперативный вывод</v>
      </c>
      <c r="K12" s="84" t="s">
        <v>196</v>
      </c>
      <c r="L12" s="85" t="s">
        <v>72</v>
      </c>
      <c r="M12" s="86" t="s">
        <v>63</v>
      </c>
      <c r="N12" s="86" t="s">
        <v>64</v>
      </c>
      <c r="O12" s="86"/>
      <c r="P12" s="87"/>
      <c r="Q12" s="87"/>
      <c r="R12" s="86" t="s">
        <v>66</v>
      </c>
      <c r="S12" s="86" t="s">
        <v>66</v>
      </c>
      <c r="T12" s="86" t="s">
        <v>66</v>
      </c>
      <c r="U12" s="86" t="s">
        <v>66</v>
      </c>
      <c r="V12" s="79"/>
      <c r="W12" s="79"/>
      <c r="X12" s="86" t="s">
        <v>66</v>
      </c>
      <c r="Y12" s="86">
        <v>2</v>
      </c>
      <c r="Z12" s="79"/>
      <c r="AA12" s="88">
        <v>0</v>
      </c>
      <c r="AB12" s="88"/>
      <c r="AC12" s="88"/>
      <c r="AD12" s="88"/>
      <c r="AE12" s="88"/>
      <c r="AF12" s="88">
        <v>0</v>
      </c>
      <c r="AG12" s="88">
        <v>0</v>
      </c>
      <c r="AH12" s="88">
        <v>0</v>
      </c>
      <c r="AI12" s="25"/>
      <c r="AJ12" s="89"/>
      <c r="AK12" s="89"/>
      <c r="AL12" s="89"/>
      <c r="AM12" s="89"/>
      <c r="AN12" s="89"/>
      <c r="AO12" s="89"/>
      <c r="AP12" s="89"/>
      <c r="AQ12" s="89"/>
      <c r="AR12" s="79">
        <v>0</v>
      </c>
      <c r="AS12" s="79">
        <v>1</v>
      </c>
      <c r="AT12" s="79">
        <v>0</v>
      </c>
      <c r="AU12" s="79">
        <v>1</v>
      </c>
      <c r="AV12" s="109">
        <v>1</v>
      </c>
      <c r="AW12" s="109">
        <v>1</v>
      </c>
      <c r="AX12" s="109">
        <v>1</v>
      </c>
      <c r="AY12" s="90"/>
      <c r="AZ12" s="79"/>
      <c r="BA12" s="79"/>
      <c r="BB12" s="79"/>
      <c r="BC12" s="79"/>
      <c r="BD12" s="79"/>
      <c r="BE12" s="79"/>
      <c r="BF12" s="79"/>
      <c r="BG12" s="91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3" spans="1:16379" s="92" customFormat="1" ht="15.75" x14ac:dyDescent="0.25">
      <c r="A13" s="78"/>
      <c r="B13" s="110" t="s">
        <v>416</v>
      </c>
      <c r="C13" s="86"/>
      <c r="D13" s="80" t="s">
        <v>374</v>
      </c>
      <c r="E13" s="81" t="s">
        <v>306</v>
      </c>
      <c r="F13" s="81" t="s">
        <v>307</v>
      </c>
      <c r="G13" s="81" t="s">
        <v>307</v>
      </c>
      <c r="H13" s="81"/>
      <c r="I13" s="81">
        <f t="shared" si="0"/>
        <v>6</v>
      </c>
      <c r="J13" s="81" t="str">
        <f t="shared" si="1"/>
        <v>ИО 3I0</v>
      </c>
      <c r="K13" s="78" t="s">
        <v>315</v>
      </c>
      <c r="L13" s="85" t="s">
        <v>72</v>
      </c>
      <c r="M13" s="86" t="s">
        <v>63</v>
      </c>
      <c r="N13" s="86" t="s">
        <v>64</v>
      </c>
      <c r="O13" s="86"/>
      <c r="P13" s="90"/>
      <c r="Q13" s="90"/>
      <c r="R13" s="86" t="s">
        <v>66</v>
      </c>
      <c r="S13" s="86" t="s">
        <v>66</v>
      </c>
      <c r="T13" s="86" t="s">
        <v>66</v>
      </c>
      <c r="U13" s="86" t="s">
        <v>66</v>
      </c>
      <c r="V13" s="86"/>
      <c r="W13" s="86"/>
      <c r="X13" s="86" t="s">
        <v>66</v>
      </c>
      <c r="Y13" s="86">
        <v>2</v>
      </c>
      <c r="Z13" s="84"/>
      <c r="AA13" s="88">
        <v>0</v>
      </c>
      <c r="AB13" s="88"/>
      <c r="AC13" s="88"/>
      <c r="AD13" s="88"/>
      <c r="AE13" s="88"/>
      <c r="AF13" s="88">
        <v>0</v>
      </c>
      <c r="AG13" s="88">
        <v>0</v>
      </c>
      <c r="AH13" s="88">
        <v>0</v>
      </c>
      <c r="AI13" s="93"/>
      <c r="AJ13" s="89"/>
      <c r="AK13" s="89"/>
      <c r="AL13" s="89"/>
      <c r="AM13" s="89"/>
      <c r="AN13" s="89"/>
      <c r="AO13" s="89"/>
      <c r="AP13" s="89"/>
      <c r="AQ13" s="89"/>
      <c r="AR13" s="79">
        <v>0</v>
      </c>
      <c r="AS13" s="79">
        <v>1</v>
      </c>
      <c r="AT13" s="79">
        <v>0</v>
      </c>
      <c r="AU13" s="79">
        <v>1</v>
      </c>
      <c r="AV13" s="109">
        <v>1</v>
      </c>
      <c r="AW13" s="109">
        <v>1</v>
      </c>
      <c r="AX13" s="109">
        <v>1</v>
      </c>
      <c r="AY13" s="90"/>
      <c r="AZ13" s="79"/>
      <c r="BA13" s="79"/>
      <c r="BB13" s="79"/>
      <c r="BC13" s="79"/>
      <c r="BD13" s="79"/>
      <c r="BE13" s="79"/>
      <c r="BF13" s="79"/>
      <c r="BG13" s="91" t="str">
        <f t="shared" si="2"/>
        <v>description: "ИО 3I0", note: "Пуск ИО тока НП", group: "status", minValue: null, maxValue: null, step: null, units: "null", defaultValue: null, eventRegistration: 2</v>
      </c>
    </row>
    <row r="14" spans="1:16379" s="92" customFormat="1" ht="15.75" x14ac:dyDescent="0.25">
      <c r="A14" s="78"/>
      <c r="B14" s="110" t="s">
        <v>416</v>
      </c>
      <c r="C14" s="86"/>
      <c r="D14" s="80" t="s">
        <v>374</v>
      </c>
      <c r="E14" s="81" t="s">
        <v>310</v>
      </c>
      <c r="F14" s="81" t="s">
        <v>309</v>
      </c>
      <c r="G14" s="81" t="s">
        <v>309</v>
      </c>
      <c r="H14" s="81"/>
      <c r="I14" s="81">
        <f t="shared" si="0"/>
        <v>6</v>
      </c>
      <c r="J14" s="81" t="str">
        <f t="shared" si="1"/>
        <v>ИО 3U0</v>
      </c>
      <c r="K14" s="78" t="s">
        <v>316</v>
      </c>
      <c r="L14" s="85" t="s">
        <v>72</v>
      </c>
      <c r="M14" s="86" t="s">
        <v>63</v>
      </c>
      <c r="N14" s="86" t="s">
        <v>64</v>
      </c>
      <c r="O14" s="86"/>
      <c r="P14" s="90"/>
      <c r="Q14" s="90"/>
      <c r="R14" s="86" t="s">
        <v>66</v>
      </c>
      <c r="S14" s="86" t="s">
        <v>66</v>
      </c>
      <c r="T14" s="86" t="s">
        <v>66</v>
      </c>
      <c r="U14" s="86" t="s">
        <v>66</v>
      </c>
      <c r="V14" s="86"/>
      <c r="W14" s="86"/>
      <c r="X14" s="86" t="s">
        <v>66</v>
      </c>
      <c r="Y14" s="86">
        <v>2</v>
      </c>
      <c r="Z14" s="84"/>
      <c r="AA14" s="88">
        <v>0</v>
      </c>
      <c r="AB14" s="88"/>
      <c r="AC14" s="88"/>
      <c r="AD14" s="88"/>
      <c r="AE14" s="88"/>
      <c r="AF14" s="88">
        <v>0</v>
      </c>
      <c r="AG14" s="88">
        <v>0</v>
      </c>
      <c r="AH14" s="88">
        <v>0</v>
      </c>
      <c r="AI14" s="93"/>
      <c r="AJ14" s="89"/>
      <c r="AK14" s="89"/>
      <c r="AL14" s="89"/>
      <c r="AM14" s="89"/>
      <c r="AN14" s="89"/>
      <c r="AO14" s="89"/>
      <c r="AP14" s="89"/>
      <c r="AQ14" s="89"/>
      <c r="AR14" s="79">
        <v>0</v>
      </c>
      <c r="AS14" s="79">
        <v>1</v>
      </c>
      <c r="AT14" s="79">
        <v>0</v>
      </c>
      <c r="AU14" s="79">
        <v>1</v>
      </c>
      <c r="AV14" s="109">
        <v>1</v>
      </c>
      <c r="AW14" s="109">
        <v>1</v>
      </c>
      <c r="AX14" s="109">
        <v>1</v>
      </c>
      <c r="AY14" s="90"/>
      <c r="AZ14" s="79"/>
      <c r="BA14" s="79"/>
      <c r="BB14" s="79"/>
      <c r="BC14" s="79"/>
      <c r="BD14" s="79"/>
      <c r="BE14" s="79"/>
      <c r="BF14" s="79"/>
      <c r="BG14" s="91" t="str">
        <f t="shared" si="2"/>
        <v>description: "ИО 3U0", note: "Пуск ИО напряжения НП", group: "status", minValue: null, maxValue: null, step: null, units: "null", defaultValue: null, eventRegistration: 2</v>
      </c>
    </row>
    <row r="15" spans="1:16379" s="92" customFormat="1" ht="15.75" x14ac:dyDescent="0.25">
      <c r="A15" s="78"/>
      <c r="B15" s="110" t="s">
        <v>416</v>
      </c>
      <c r="C15" s="86"/>
      <c r="D15" s="80" t="s">
        <v>374</v>
      </c>
      <c r="E15" s="81" t="s">
        <v>96</v>
      </c>
      <c r="F15" s="81" t="s">
        <v>96</v>
      </c>
      <c r="G15" s="81" t="s">
        <v>96</v>
      </c>
      <c r="H15" s="81"/>
      <c r="I15" s="81">
        <f t="shared" si="0"/>
        <v>4</v>
      </c>
      <c r="J15" s="81" t="str">
        <f t="shared" si="1"/>
        <v>Пуск</v>
      </c>
      <c r="K15" s="78" t="s">
        <v>197</v>
      </c>
      <c r="L15" s="85" t="s">
        <v>72</v>
      </c>
      <c r="M15" s="86" t="s">
        <v>63</v>
      </c>
      <c r="N15" s="86" t="s">
        <v>64</v>
      </c>
      <c r="O15" s="86"/>
      <c r="P15" s="90"/>
      <c r="Q15" s="90"/>
      <c r="R15" s="86" t="s">
        <v>66</v>
      </c>
      <c r="S15" s="86" t="s">
        <v>66</v>
      </c>
      <c r="T15" s="86" t="s">
        <v>66</v>
      </c>
      <c r="U15" s="86" t="s">
        <v>66</v>
      </c>
      <c r="V15" s="86"/>
      <c r="W15" s="86"/>
      <c r="X15" s="86" t="s">
        <v>66</v>
      </c>
      <c r="Y15" s="86">
        <v>2</v>
      </c>
      <c r="Z15" s="84"/>
      <c r="AA15" s="88">
        <v>0</v>
      </c>
      <c r="AB15" s="88"/>
      <c r="AC15" s="88"/>
      <c r="AD15" s="88"/>
      <c r="AE15" s="88"/>
      <c r="AF15" s="88">
        <v>0</v>
      </c>
      <c r="AG15" s="88">
        <v>0</v>
      </c>
      <c r="AH15" s="88">
        <v>0</v>
      </c>
      <c r="AI15" s="93" t="s">
        <v>230</v>
      </c>
      <c r="AJ15" s="89" t="s">
        <v>232</v>
      </c>
      <c r="AK15" s="89" t="s">
        <v>97</v>
      </c>
      <c r="AL15" s="89" t="s">
        <v>98</v>
      </c>
      <c r="AM15" s="89" t="s">
        <v>99</v>
      </c>
      <c r="AN15" s="89"/>
      <c r="AO15" s="89" t="s">
        <v>86</v>
      </c>
      <c r="AP15" s="89" t="str">
        <f t="shared" ref="AP15" si="4">CONCATENATE(AJ15, ".", AL15)</f>
        <v>ZSPTOC2.Str.general</v>
      </c>
      <c r="AQ15" s="89" t="s">
        <v>82</v>
      </c>
      <c r="AR15" s="79">
        <v>0</v>
      </c>
      <c r="AS15" s="79">
        <v>1</v>
      </c>
      <c r="AT15" s="79">
        <v>0</v>
      </c>
      <c r="AU15" s="79">
        <v>1</v>
      </c>
      <c r="AV15" s="109">
        <v>1</v>
      </c>
      <c r="AW15" s="109">
        <v>1</v>
      </c>
      <c r="AX15" s="109">
        <v>1</v>
      </c>
      <c r="AY15" s="90"/>
      <c r="AZ15" s="79"/>
      <c r="BA15" s="79"/>
      <c r="BB15" s="79"/>
      <c r="BC15" s="79"/>
      <c r="BD15" s="79"/>
      <c r="BE15" s="79"/>
      <c r="BF15" s="79"/>
      <c r="BG15" s="91" t="str">
        <f t="shared" si="2"/>
        <v>description: "Пуск", note: "Пуск", group: "status", minValue: null, maxValue: null, step: null, units: "null", defaultValue: null, eventRegistration: 2</v>
      </c>
    </row>
    <row r="16" spans="1:16379" s="92" customFormat="1" ht="15" customHeight="1" x14ac:dyDescent="0.25">
      <c r="A16" s="78"/>
      <c r="B16" s="110" t="s">
        <v>416</v>
      </c>
      <c r="C16" s="86"/>
      <c r="D16" s="80" t="s">
        <v>374</v>
      </c>
      <c r="E16" s="81" t="s">
        <v>312</v>
      </c>
      <c r="F16" s="81" t="s">
        <v>313</v>
      </c>
      <c r="G16" s="81" t="s">
        <v>313</v>
      </c>
      <c r="H16" s="81"/>
      <c r="I16" s="81">
        <f t="shared" si="0"/>
        <v>17</v>
      </c>
      <c r="J16" s="81" t="str">
        <f t="shared" si="1"/>
        <v>Срабатывание сигн</v>
      </c>
      <c r="K16" s="78" t="s">
        <v>317</v>
      </c>
      <c r="L16" s="85" t="s">
        <v>72</v>
      </c>
      <c r="M16" s="86" t="s">
        <v>63</v>
      </c>
      <c r="N16" s="86" t="s">
        <v>64</v>
      </c>
      <c r="O16" s="86"/>
      <c r="P16" s="90"/>
      <c r="Q16" s="90"/>
      <c r="R16" s="86" t="s">
        <v>66</v>
      </c>
      <c r="S16" s="86" t="s">
        <v>66</v>
      </c>
      <c r="T16" s="86" t="s">
        <v>66</v>
      </c>
      <c r="U16" s="86" t="s">
        <v>66</v>
      </c>
      <c r="V16" s="86"/>
      <c r="W16" s="86"/>
      <c r="X16" s="86" t="s">
        <v>66</v>
      </c>
      <c r="Y16" s="86">
        <v>2</v>
      </c>
      <c r="Z16" s="84"/>
      <c r="AA16" s="88">
        <v>0</v>
      </c>
      <c r="AB16" s="88"/>
      <c r="AC16" s="88"/>
      <c r="AD16" s="88"/>
      <c r="AE16" s="88"/>
      <c r="AF16" s="88">
        <v>0</v>
      </c>
      <c r="AG16" s="88">
        <v>0</v>
      </c>
      <c r="AH16" s="88">
        <v>0</v>
      </c>
      <c r="AI16" s="93"/>
      <c r="AJ16" s="89"/>
      <c r="AK16" s="89"/>
      <c r="AL16" s="89"/>
      <c r="AM16" s="89"/>
      <c r="AN16" s="89"/>
      <c r="AO16" s="89"/>
      <c r="AP16" s="89"/>
      <c r="AQ16" s="89"/>
      <c r="AR16" s="79">
        <v>0</v>
      </c>
      <c r="AS16" s="79">
        <v>1</v>
      </c>
      <c r="AT16" s="79">
        <v>0</v>
      </c>
      <c r="AU16" s="79">
        <v>1</v>
      </c>
      <c r="AV16" s="109">
        <v>1</v>
      </c>
      <c r="AW16" s="109">
        <v>1</v>
      </c>
      <c r="AX16" s="109">
        <v>1</v>
      </c>
      <c r="AY16" s="90"/>
      <c r="AZ16" s="79"/>
      <c r="BA16" s="79"/>
      <c r="BB16" s="79"/>
      <c r="BC16" s="79"/>
      <c r="BD16" s="79"/>
      <c r="BE16" s="79"/>
      <c r="BF16" s="79"/>
      <c r="BG16" s="91" t="str">
        <f t="shared" si="2"/>
        <v>description: "Срабатывание сигн", note: "Срабатывание на сигнал", group: "status", minValue: null, maxValue: null, step: null, units: "null", defaultValue: null, eventRegistration: 2</v>
      </c>
    </row>
    <row r="17" spans="1:59" s="92" customFormat="1" ht="15.75" x14ac:dyDescent="0.25">
      <c r="A17" s="78"/>
      <c r="B17" s="110" t="s">
        <v>416</v>
      </c>
      <c r="C17" s="86"/>
      <c r="D17" s="80" t="s">
        <v>374</v>
      </c>
      <c r="E17" s="81" t="s">
        <v>287</v>
      </c>
      <c r="F17" s="81" t="s">
        <v>287</v>
      </c>
      <c r="G17" s="81" t="s">
        <v>287</v>
      </c>
      <c r="H17" s="81"/>
      <c r="I17" s="81">
        <f t="shared" si="0"/>
        <v>12</v>
      </c>
      <c r="J17" s="81" t="str">
        <f t="shared" si="1"/>
        <v>Срабатывание</v>
      </c>
      <c r="K17" s="78" t="s">
        <v>198</v>
      </c>
      <c r="L17" s="85" t="s">
        <v>72</v>
      </c>
      <c r="M17" s="86" t="s">
        <v>63</v>
      </c>
      <c r="N17" s="86" t="s">
        <v>64</v>
      </c>
      <c r="O17" s="86"/>
      <c r="P17" s="90"/>
      <c r="Q17" s="90"/>
      <c r="R17" s="86" t="s">
        <v>66</v>
      </c>
      <c r="S17" s="86" t="s">
        <v>66</v>
      </c>
      <c r="T17" s="86" t="s">
        <v>66</v>
      </c>
      <c r="U17" s="86" t="s">
        <v>66</v>
      </c>
      <c r="V17" s="86"/>
      <c r="W17" s="86"/>
      <c r="X17" s="86" t="s">
        <v>66</v>
      </c>
      <c r="Y17" s="86">
        <v>2</v>
      </c>
      <c r="Z17" s="84"/>
      <c r="AA17" s="88">
        <v>0</v>
      </c>
      <c r="AB17" s="88"/>
      <c r="AC17" s="88"/>
      <c r="AD17" s="88"/>
      <c r="AE17" s="88"/>
      <c r="AF17" s="88">
        <v>0</v>
      </c>
      <c r="AG17" s="88">
        <v>0</v>
      </c>
      <c r="AH17" s="88">
        <v>0</v>
      </c>
      <c r="AI17" s="93" t="s">
        <v>230</v>
      </c>
      <c r="AJ17" s="89" t="s">
        <v>234</v>
      </c>
      <c r="AK17" s="89" t="s">
        <v>100</v>
      </c>
      <c r="AL17" s="89" t="s">
        <v>98</v>
      </c>
      <c r="AM17" s="89" t="s">
        <v>99</v>
      </c>
      <c r="AN17" s="89"/>
      <c r="AO17" s="89" t="s">
        <v>86</v>
      </c>
      <c r="AP17" s="89" t="str">
        <f>CONCATENATE(AJ17, ".", AL17)</f>
        <v>ZSPTOC2.Op.general</v>
      </c>
      <c r="AQ17" s="89" t="s">
        <v>82</v>
      </c>
      <c r="AR17" s="79">
        <v>0</v>
      </c>
      <c r="AS17" s="79">
        <v>1</v>
      </c>
      <c r="AT17" s="79">
        <v>0</v>
      </c>
      <c r="AU17" s="79">
        <v>1</v>
      </c>
      <c r="AV17" s="109">
        <v>1</v>
      </c>
      <c r="AW17" s="109">
        <v>1</v>
      </c>
      <c r="AX17" s="109">
        <v>1</v>
      </c>
      <c r="AY17" s="90"/>
      <c r="AZ17" s="79"/>
      <c r="BA17" s="79"/>
      <c r="BB17" s="79"/>
      <c r="BC17" s="79"/>
      <c r="BD17" s="79"/>
      <c r="BE17" s="79"/>
      <c r="BF17" s="79"/>
      <c r="BG17" s="91" t="str">
        <f t="shared" si="2"/>
        <v>description: "Срабатывание", note: "Срабатывание", group: "status", minValue: null, maxValue: null, step: null, units: "null", defaultValue: null, eventRegistration: 2</v>
      </c>
    </row>
    <row r="18" spans="1:59" s="92" customFormat="1" ht="15.75" x14ac:dyDescent="0.25">
      <c r="A18" s="78"/>
      <c r="B18" s="110" t="s">
        <v>416</v>
      </c>
      <c r="C18" s="79"/>
      <c r="D18" s="80" t="s">
        <v>374</v>
      </c>
      <c r="E18" s="81" t="s">
        <v>381</v>
      </c>
      <c r="F18" s="82" t="s">
        <v>381</v>
      </c>
      <c r="G18" s="82" t="s">
        <v>381</v>
      </c>
      <c r="H18" s="83"/>
      <c r="I18" s="81">
        <v>17</v>
      </c>
      <c r="J18" s="81" t="s">
        <v>381</v>
      </c>
      <c r="K18" s="84" t="s">
        <v>383</v>
      </c>
      <c r="L18" s="85" t="s">
        <v>120</v>
      </c>
      <c r="M18" s="86" t="s">
        <v>63</v>
      </c>
      <c r="N18" s="86" t="s">
        <v>64</v>
      </c>
      <c r="O18" s="86"/>
      <c r="P18" s="87"/>
      <c r="Q18" s="87"/>
      <c r="R18" s="86" t="s">
        <v>66</v>
      </c>
      <c r="S18" s="86" t="s">
        <v>66</v>
      </c>
      <c r="T18" s="86" t="s">
        <v>66</v>
      </c>
      <c r="U18" s="86" t="s">
        <v>66</v>
      </c>
      <c r="V18" s="79"/>
      <c r="W18" s="79"/>
      <c r="X18" s="86" t="s">
        <v>66</v>
      </c>
      <c r="Y18" s="86">
        <v>0</v>
      </c>
      <c r="Z18" s="79"/>
      <c r="AA18" s="88">
        <v>0</v>
      </c>
      <c r="AB18" s="88"/>
      <c r="AC18" s="88"/>
      <c r="AD18" s="88"/>
      <c r="AE18" s="88"/>
      <c r="AF18" s="88">
        <v>0</v>
      </c>
      <c r="AG18" s="88">
        <v>0</v>
      </c>
      <c r="AH18" s="88">
        <v>0</v>
      </c>
      <c r="AI18" s="93" t="s">
        <v>230</v>
      </c>
      <c r="AJ18" s="89" t="s">
        <v>232</v>
      </c>
      <c r="AK18" s="89" t="s">
        <v>97</v>
      </c>
      <c r="AL18" s="89" t="s">
        <v>337</v>
      </c>
      <c r="AM18" s="89" t="s">
        <v>84</v>
      </c>
      <c r="AN18" s="89" t="s">
        <v>263</v>
      </c>
      <c r="AO18" s="89" t="s">
        <v>86</v>
      </c>
      <c r="AP18" s="89" t="str">
        <f>CONCATENATE(AJ18, ".", AL18)</f>
        <v>ZSPTOC2.Str.dirGeneral</v>
      </c>
      <c r="AQ18" s="89" t="s">
        <v>82</v>
      </c>
      <c r="AR18" s="79">
        <v>0</v>
      </c>
      <c r="AS18" s="79">
        <v>0</v>
      </c>
      <c r="AT18" s="79">
        <v>0</v>
      </c>
      <c r="AU18" s="79">
        <v>0</v>
      </c>
      <c r="AV18" s="109">
        <v>1</v>
      </c>
      <c r="AW18" s="109">
        <v>1</v>
      </c>
      <c r="AX18" s="109">
        <v>1</v>
      </c>
      <c r="AY18" s="90"/>
      <c r="AZ18" s="79"/>
      <c r="BA18" s="79"/>
      <c r="BB18" s="79"/>
      <c r="BC18" s="79"/>
      <c r="BD18" s="79"/>
      <c r="BE18" s="79"/>
      <c r="BF18" s="79"/>
      <c r="BG18" s="91" t="str">
        <f t="shared" si="2"/>
        <v>description: "Направление пуска", note: "Направление пуска", group: "status", minValue: null, maxValue: null, step: null, units: "null", defaultValue: null, eventRegistration: 0</v>
      </c>
    </row>
    <row r="19" spans="1:59" s="56" customFormat="1" ht="15.75" x14ac:dyDescent="0.25">
      <c r="A19" s="44"/>
      <c r="B19" s="110" t="s">
        <v>416</v>
      </c>
      <c r="C19" s="45"/>
      <c r="D19" s="46" t="s">
        <v>177</v>
      </c>
      <c r="E19" s="47" t="s">
        <v>199</v>
      </c>
      <c r="F19" s="47" t="s">
        <v>96</v>
      </c>
      <c r="G19" s="47" t="s">
        <v>96</v>
      </c>
      <c r="H19" s="47"/>
      <c r="I19" s="47">
        <f t="shared" si="0"/>
        <v>4</v>
      </c>
      <c r="J19" s="47" t="str">
        <f t="shared" si="1"/>
        <v>Пуск</v>
      </c>
      <c r="K19" s="44" t="s">
        <v>200</v>
      </c>
      <c r="L19" s="48" t="s">
        <v>72</v>
      </c>
      <c r="M19" s="45" t="s">
        <v>63</v>
      </c>
      <c r="N19" s="45" t="s">
        <v>64</v>
      </c>
      <c r="O19" s="45"/>
      <c r="P19" s="49"/>
      <c r="Q19" s="49"/>
      <c r="R19" s="45" t="s">
        <v>66</v>
      </c>
      <c r="S19" s="45" t="s">
        <v>66</v>
      </c>
      <c r="T19" s="45" t="s">
        <v>66</v>
      </c>
      <c r="U19" s="45" t="s">
        <v>66</v>
      </c>
      <c r="V19" s="45"/>
      <c r="W19" s="45"/>
      <c r="X19" s="45" t="s">
        <v>66</v>
      </c>
      <c r="Y19" s="45">
        <v>2</v>
      </c>
      <c r="Z19" s="50"/>
      <c r="AA19" s="51">
        <v>0</v>
      </c>
      <c r="AB19" s="51"/>
      <c r="AC19" s="51"/>
      <c r="AD19" s="51"/>
      <c r="AE19" s="51"/>
      <c r="AF19" s="51">
        <v>0</v>
      </c>
      <c r="AG19" s="51">
        <v>0</v>
      </c>
      <c r="AH19" s="51">
        <v>0</v>
      </c>
      <c r="AI19" s="52" t="s">
        <v>235</v>
      </c>
      <c r="AJ19" s="53" t="s">
        <v>236</v>
      </c>
      <c r="AK19" s="53" t="s">
        <v>97</v>
      </c>
      <c r="AL19" s="53" t="s">
        <v>98</v>
      </c>
      <c r="AM19" s="53" t="s">
        <v>99</v>
      </c>
      <c r="AN19" s="53"/>
      <c r="AO19" s="53" t="s">
        <v>86</v>
      </c>
      <c r="AP19" s="53" t="str">
        <f t="shared" ref="AP19:AP23" si="5">CONCATENATE(AJ19, ".", AL19)</f>
        <v>AUAPSSU1.Str.general</v>
      </c>
      <c r="AQ19" s="53" t="s">
        <v>82</v>
      </c>
      <c r="AR19" s="54">
        <v>0</v>
      </c>
      <c r="AS19" s="54">
        <v>1</v>
      </c>
      <c r="AT19" s="54">
        <v>0</v>
      </c>
      <c r="AU19" s="54">
        <v>1</v>
      </c>
      <c r="AV19" s="109">
        <v>1</v>
      </c>
      <c r="AW19" s="109">
        <v>1</v>
      </c>
      <c r="AX19" s="109">
        <v>1</v>
      </c>
      <c r="AY19" s="49"/>
      <c r="AZ19" s="54"/>
      <c r="BA19" s="54"/>
      <c r="BB19" s="54"/>
      <c r="BC19" s="54"/>
      <c r="BD19" s="54"/>
      <c r="BE19" s="54"/>
      <c r="BF19" s="54"/>
      <c r="BG19" s="55" t="str">
        <f t="shared" si="2"/>
        <v>description: "Пуск", note: "Пуск автоматического ускорения ТЗНП", group: "status", minValue: null, maxValue: null, step: null, units: "null", defaultValue: null, eventRegistration: 2</v>
      </c>
    </row>
    <row r="20" spans="1:59" s="70" customFormat="1" ht="15.75" x14ac:dyDescent="0.25">
      <c r="A20" s="66"/>
      <c r="B20" s="110" t="s">
        <v>416</v>
      </c>
      <c r="C20" s="67"/>
      <c r="D20" s="74" t="s">
        <v>139</v>
      </c>
      <c r="E20" s="64" t="s">
        <v>330</v>
      </c>
      <c r="F20" s="77" t="s">
        <v>96</v>
      </c>
      <c r="G20" s="77" t="s">
        <v>96</v>
      </c>
      <c r="H20" s="62"/>
      <c r="I20" s="64">
        <f t="shared" si="0"/>
        <v>4</v>
      </c>
      <c r="J20" s="64" t="str">
        <f t="shared" si="1"/>
        <v>Пуск</v>
      </c>
      <c r="K20" s="68" t="s">
        <v>180</v>
      </c>
      <c r="L20" s="71" t="s">
        <v>72</v>
      </c>
      <c r="M20" s="69" t="s">
        <v>63</v>
      </c>
      <c r="N20" s="69" t="s">
        <v>64</v>
      </c>
      <c r="O20" s="69"/>
      <c r="P20" s="72"/>
      <c r="Q20" s="72"/>
      <c r="R20" s="69" t="s">
        <v>66</v>
      </c>
      <c r="S20" s="69" t="s">
        <v>66</v>
      </c>
      <c r="T20" s="69" t="s">
        <v>66</v>
      </c>
      <c r="U20" s="69" t="s">
        <v>66</v>
      </c>
      <c r="V20" s="67"/>
      <c r="W20" s="67"/>
      <c r="X20" s="69" t="s">
        <v>66</v>
      </c>
      <c r="Y20" s="69">
        <v>2</v>
      </c>
      <c r="Z20" s="67"/>
      <c r="AA20" s="63">
        <v>0</v>
      </c>
      <c r="AB20" s="63"/>
      <c r="AC20" s="63"/>
      <c r="AD20" s="63"/>
      <c r="AE20" s="63"/>
      <c r="AF20" s="63">
        <v>0</v>
      </c>
      <c r="AG20" s="63">
        <v>0</v>
      </c>
      <c r="AH20" s="63">
        <v>0</v>
      </c>
      <c r="AI20" s="75" t="s">
        <v>242</v>
      </c>
      <c r="AJ20" s="65" t="s">
        <v>334</v>
      </c>
      <c r="AK20" s="65" t="s">
        <v>97</v>
      </c>
      <c r="AL20" s="65" t="s">
        <v>98</v>
      </c>
      <c r="AM20" s="65" t="s">
        <v>99</v>
      </c>
      <c r="AN20" s="65"/>
      <c r="AO20" s="65" t="s">
        <v>86</v>
      </c>
      <c r="AP20" s="65" t="str">
        <f t="shared" si="5"/>
        <v>RDIR1.Dir.general</v>
      </c>
      <c r="AQ20" s="65" t="s">
        <v>82</v>
      </c>
      <c r="AR20" s="67">
        <v>0</v>
      </c>
      <c r="AS20" s="67">
        <v>1</v>
      </c>
      <c r="AT20" s="67">
        <v>0</v>
      </c>
      <c r="AU20" s="67">
        <v>1</v>
      </c>
      <c r="AV20" s="109">
        <v>1</v>
      </c>
      <c r="AW20" s="109">
        <v>1</v>
      </c>
      <c r="AX20" s="109">
        <v>1</v>
      </c>
      <c r="AY20" s="73"/>
      <c r="AZ20" s="67"/>
      <c r="BA20" s="67"/>
      <c r="BB20" s="67"/>
      <c r="BC20" s="67"/>
      <c r="BD20" s="67"/>
      <c r="BE20" s="67"/>
      <c r="BF20" s="67"/>
      <c r="BG20" s="76" t="str">
        <f t="shared" si="2"/>
        <v>description: "Пуск", note: "Пуск ОНМ НП", group: "status", minValue: null, maxValue: null, step: null, units: "null", defaultValue: null, eventRegistration: 2</v>
      </c>
    </row>
    <row r="21" spans="1:59" s="70" customFormat="1" ht="15.75" x14ac:dyDescent="0.25">
      <c r="A21" s="66"/>
      <c r="B21" s="110" t="s">
        <v>416</v>
      </c>
      <c r="C21" s="67"/>
      <c r="D21" s="74" t="s">
        <v>139</v>
      </c>
      <c r="E21" s="64" t="s">
        <v>181</v>
      </c>
      <c r="F21" s="77" t="s">
        <v>182</v>
      </c>
      <c r="G21" s="77" t="s">
        <v>182</v>
      </c>
      <c r="H21" s="62"/>
      <c r="I21" s="64">
        <f t="shared" si="0"/>
        <v>6</v>
      </c>
      <c r="J21" s="64" t="str">
        <f t="shared" si="1"/>
        <v>Прямое</v>
      </c>
      <c r="K21" s="68" t="s">
        <v>183</v>
      </c>
      <c r="L21" s="71" t="s">
        <v>72</v>
      </c>
      <c r="M21" s="69" t="s">
        <v>63</v>
      </c>
      <c r="N21" s="69" t="s">
        <v>64</v>
      </c>
      <c r="O21" s="69"/>
      <c r="P21" s="72"/>
      <c r="Q21" s="72"/>
      <c r="R21" s="69" t="s">
        <v>66</v>
      </c>
      <c r="S21" s="69" t="s">
        <v>66</v>
      </c>
      <c r="T21" s="69" t="s">
        <v>66</v>
      </c>
      <c r="U21" s="69" t="s">
        <v>66</v>
      </c>
      <c r="V21" s="67"/>
      <c r="W21" s="67"/>
      <c r="X21" s="69" t="s">
        <v>66</v>
      </c>
      <c r="Y21" s="69">
        <v>2</v>
      </c>
      <c r="Z21" s="67"/>
      <c r="AA21" s="63">
        <v>0</v>
      </c>
      <c r="AB21" s="63"/>
      <c r="AC21" s="63"/>
      <c r="AD21" s="63"/>
      <c r="AE21" s="63"/>
      <c r="AF21" s="63">
        <v>0</v>
      </c>
      <c r="AG21" s="63">
        <v>0</v>
      </c>
      <c r="AH21" s="63">
        <v>0</v>
      </c>
      <c r="AI21" s="34"/>
      <c r="AJ21" s="65"/>
      <c r="AK21" s="65"/>
      <c r="AL21" s="65"/>
      <c r="AM21" s="65"/>
      <c r="AN21" s="65"/>
      <c r="AO21" s="65"/>
      <c r="AP21" s="65"/>
      <c r="AQ21" s="65"/>
      <c r="AR21" s="67">
        <v>0</v>
      </c>
      <c r="AS21" s="67">
        <v>1</v>
      </c>
      <c r="AT21" s="67">
        <v>0</v>
      </c>
      <c r="AU21" s="67">
        <v>1</v>
      </c>
      <c r="AV21" s="109">
        <v>1</v>
      </c>
      <c r="AW21" s="109">
        <v>1</v>
      </c>
      <c r="AX21" s="109">
        <v>1</v>
      </c>
      <c r="AY21" s="73"/>
      <c r="AZ21" s="67"/>
      <c r="BA21" s="67"/>
      <c r="BB21" s="67"/>
      <c r="BC21" s="67"/>
      <c r="BD21" s="67"/>
      <c r="BE21" s="67"/>
      <c r="BF21" s="67"/>
      <c r="BG21" s="76" t="str">
        <f t="shared" si="2"/>
        <v>description: "Прямое", note: "Прямое направление ОНМ НП", group: "status", minValue: null, maxValue: null, step: null, units: "null", defaultValue: null, eventRegistration: 2</v>
      </c>
    </row>
    <row r="22" spans="1:59" s="70" customFormat="1" ht="15.75" x14ac:dyDescent="0.25">
      <c r="A22" s="66"/>
      <c r="B22" s="110" t="s">
        <v>416</v>
      </c>
      <c r="C22" s="67"/>
      <c r="D22" s="74" t="s">
        <v>139</v>
      </c>
      <c r="E22" s="64" t="s">
        <v>184</v>
      </c>
      <c r="F22" s="77" t="s">
        <v>185</v>
      </c>
      <c r="G22" s="77" t="s">
        <v>185</v>
      </c>
      <c r="H22" s="62"/>
      <c r="I22" s="64">
        <f t="shared" si="0"/>
        <v>8</v>
      </c>
      <c r="J22" s="64" t="str">
        <f t="shared" si="1"/>
        <v>Обратное</v>
      </c>
      <c r="K22" s="68" t="s">
        <v>186</v>
      </c>
      <c r="L22" s="71" t="s">
        <v>72</v>
      </c>
      <c r="M22" s="69" t="s">
        <v>63</v>
      </c>
      <c r="N22" s="69" t="s">
        <v>64</v>
      </c>
      <c r="O22" s="69"/>
      <c r="P22" s="72"/>
      <c r="Q22" s="72"/>
      <c r="R22" s="69" t="s">
        <v>66</v>
      </c>
      <c r="S22" s="69" t="s">
        <v>66</v>
      </c>
      <c r="T22" s="69" t="s">
        <v>66</v>
      </c>
      <c r="U22" s="69" t="s">
        <v>66</v>
      </c>
      <c r="V22" s="67"/>
      <c r="W22" s="67"/>
      <c r="X22" s="69" t="s">
        <v>66</v>
      </c>
      <c r="Y22" s="69">
        <v>2</v>
      </c>
      <c r="Z22" s="67"/>
      <c r="AA22" s="63">
        <v>0</v>
      </c>
      <c r="AB22" s="63"/>
      <c r="AC22" s="63"/>
      <c r="AD22" s="63"/>
      <c r="AE22" s="63"/>
      <c r="AF22" s="63">
        <v>0</v>
      </c>
      <c r="AG22" s="63">
        <v>0</v>
      </c>
      <c r="AH22" s="63">
        <v>0</v>
      </c>
      <c r="AI22" s="34"/>
      <c r="AJ22" s="65"/>
      <c r="AK22" s="65"/>
      <c r="AL22" s="65"/>
      <c r="AM22" s="65"/>
      <c r="AN22" s="65"/>
      <c r="AO22" s="65"/>
      <c r="AP22" s="65"/>
      <c r="AQ22" s="65"/>
      <c r="AR22" s="67">
        <v>0</v>
      </c>
      <c r="AS22" s="67">
        <v>1</v>
      </c>
      <c r="AT22" s="67">
        <v>0</v>
      </c>
      <c r="AU22" s="67">
        <v>1</v>
      </c>
      <c r="AV22" s="109">
        <v>1</v>
      </c>
      <c r="AW22" s="109">
        <v>1</v>
      </c>
      <c r="AX22" s="109">
        <v>1</v>
      </c>
      <c r="AY22" s="73"/>
      <c r="AZ22" s="67"/>
      <c r="BA22" s="67"/>
      <c r="BB22" s="67"/>
      <c r="BC22" s="67"/>
      <c r="BD22" s="67"/>
      <c r="BE22" s="67"/>
      <c r="BF22" s="67"/>
      <c r="BG22" s="76" t="str">
        <f t="shared" si="2"/>
        <v>description: "Обратное", note: "Обратное направление ОНМ НП", group: "status", minValue: null, maxValue: null, step: null, units: "null", defaultValue: null, eventRegistration: 2</v>
      </c>
    </row>
    <row r="23" spans="1:59" s="70" customFormat="1" ht="15.75" x14ac:dyDescent="0.25">
      <c r="A23" s="66"/>
      <c r="B23" s="110" t="s">
        <v>416</v>
      </c>
      <c r="C23" s="67"/>
      <c r="D23" s="74" t="s">
        <v>139</v>
      </c>
      <c r="E23" s="64" t="s">
        <v>335</v>
      </c>
      <c r="F23" s="77" t="s">
        <v>335</v>
      </c>
      <c r="G23" s="77" t="s">
        <v>335</v>
      </c>
      <c r="H23" s="62"/>
      <c r="I23" s="64">
        <f t="shared" ref="I23" si="6">LEN(F23)</f>
        <v>11</v>
      </c>
      <c r="J23" s="64" t="str">
        <f t="shared" si="1"/>
        <v>Направление</v>
      </c>
      <c r="K23" s="68" t="s">
        <v>336</v>
      </c>
      <c r="L23" s="71" t="s">
        <v>120</v>
      </c>
      <c r="M23" s="69" t="s">
        <v>63</v>
      </c>
      <c r="N23" s="69" t="s">
        <v>64</v>
      </c>
      <c r="O23" s="69"/>
      <c r="P23" s="72"/>
      <c r="Q23" s="72"/>
      <c r="R23" s="69" t="s">
        <v>66</v>
      </c>
      <c r="S23" s="69" t="s">
        <v>66</v>
      </c>
      <c r="T23" s="69" t="s">
        <v>66</v>
      </c>
      <c r="U23" s="69" t="s">
        <v>66</v>
      </c>
      <c r="V23" s="67"/>
      <c r="W23" s="67"/>
      <c r="X23" s="69" t="s">
        <v>66</v>
      </c>
      <c r="Y23" s="69">
        <v>0</v>
      </c>
      <c r="Z23" s="67"/>
      <c r="AA23" s="63">
        <v>0</v>
      </c>
      <c r="AB23" s="63"/>
      <c r="AC23" s="63"/>
      <c r="AD23" s="63"/>
      <c r="AE23" s="63"/>
      <c r="AF23" s="63">
        <v>0</v>
      </c>
      <c r="AG23" s="63">
        <v>0</v>
      </c>
      <c r="AH23" s="63">
        <v>0</v>
      </c>
      <c r="AI23" s="75" t="s">
        <v>242</v>
      </c>
      <c r="AJ23" s="65" t="s">
        <v>334</v>
      </c>
      <c r="AK23" s="65" t="s">
        <v>97</v>
      </c>
      <c r="AL23" s="65" t="s">
        <v>337</v>
      </c>
      <c r="AM23" s="65" t="s">
        <v>84</v>
      </c>
      <c r="AN23" s="65" t="s">
        <v>263</v>
      </c>
      <c r="AO23" s="65" t="s">
        <v>86</v>
      </c>
      <c r="AP23" s="65" t="str">
        <f t="shared" si="5"/>
        <v>RDIR1.Dir.dirGeneral</v>
      </c>
      <c r="AQ23" s="65" t="s">
        <v>82</v>
      </c>
      <c r="AR23" s="67">
        <v>0</v>
      </c>
      <c r="AS23" s="67">
        <v>0</v>
      </c>
      <c r="AT23" s="67">
        <v>0</v>
      </c>
      <c r="AU23" s="67">
        <v>0</v>
      </c>
      <c r="AV23" s="109">
        <v>1</v>
      </c>
      <c r="AW23" s="109">
        <v>1</v>
      </c>
      <c r="AX23" s="109">
        <v>1</v>
      </c>
      <c r="AY23" s="73"/>
      <c r="AZ23" s="67"/>
      <c r="BA23" s="67"/>
      <c r="BB23" s="67"/>
      <c r="BC23" s="67"/>
      <c r="BD23" s="67"/>
      <c r="BE23" s="67"/>
      <c r="BF23" s="67"/>
      <c r="BG23" s="76" t="str">
        <f t="shared" si="2"/>
        <v>description: "Направление", note: "Направление", group: "status", minValue: null, maxValue: null, step: null, units: "null", defaultValue: null, eventRegistration: 0</v>
      </c>
    </row>
    <row r="24" spans="1:59" s="92" customFormat="1" ht="15.75" x14ac:dyDescent="0.25">
      <c r="A24" s="78"/>
      <c r="B24" s="110" t="s">
        <v>416</v>
      </c>
      <c r="C24" s="86"/>
      <c r="D24" s="80" t="s">
        <v>143</v>
      </c>
      <c r="E24" s="81" t="s">
        <v>189</v>
      </c>
      <c r="F24" s="81" t="s">
        <v>96</v>
      </c>
      <c r="G24" s="81" t="s">
        <v>96</v>
      </c>
      <c r="H24" s="81"/>
      <c r="I24" s="81">
        <f t="shared" si="0"/>
        <v>4</v>
      </c>
      <c r="J24" s="81" t="str">
        <f t="shared" si="1"/>
        <v>Пуск</v>
      </c>
      <c r="K24" s="78" t="s">
        <v>190</v>
      </c>
      <c r="L24" s="85" t="s">
        <v>72</v>
      </c>
      <c r="M24" s="86" t="s">
        <v>63</v>
      </c>
      <c r="N24" s="86" t="s">
        <v>64</v>
      </c>
      <c r="O24" s="86"/>
      <c r="P24" s="90"/>
      <c r="Q24" s="90"/>
      <c r="R24" s="86" t="s">
        <v>66</v>
      </c>
      <c r="S24" s="86" t="s">
        <v>66</v>
      </c>
      <c r="T24" s="86" t="s">
        <v>66</v>
      </c>
      <c r="U24" s="86" t="s">
        <v>66</v>
      </c>
      <c r="V24" s="86"/>
      <c r="W24" s="86"/>
      <c r="X24" s="86" t="s">
        <v>66</v>
      </c>
      <c r="Y24" s="86">
        <v>2</v>
      </c>
      <c r="Z24" s="84"/>
      <c r="AA24" s="88">
        <v>0</v>
      </c>
      <c r="AB24" s="88"/>
      <c r="AC24" s="88"/>
      <c r="AD24" s="88"/>
      <c r="AE24" s="88"/>
      <c r="AF24" s="88">
        <v>0</v>
      </c>
      <c r="AG24" s="88">
        <v>0</v>
      </c>
      <c r="AH24" s="88">
        <v>0</v>
      </c>
      <c r="AI24" s="93" t="s">
        <v>237</v>
      </c>
      <c r="AJ24" s="89" t="s">
        <v>238</v>
      </c>
      <c r="AK24" s="89" t="s">
        <v>97</v>
      </c>
      <c r="AL24" s="89" t="s">
        <v>98</v>
      </c>
      <c r="AM24" s="89" t="s">
        <v>99</v>
      </c>
      <c r="AN24" s="89"/>
      <c r="AO24" s="89" t="s">
        <v>86</v>
      </c>
      <c r="AP24" s="89" t="str">
        <f t="shared" ref="AP24:AP26" si="7">CONCATENATE(AJ24, ".", AL24)</f>
        <v>PHAR1.Str.general</v>
      </c>
      <c r="AQ24" s="89" t="s">
        <v>82</v>
      </c>
      <c r="AR24" s="79">
        <v>0</v>
      </c>
      <c r="AS24" s="79">
        <v>1</v>
      </c>
      <c r="AT24" s="79">
        <v>0</v>
      </c>
      <c r="AU24" s="79">
        <v>1</v>
      </c>
      <c r="AV24" s="109">
        <v>1</v>
      </c>
      <c r="AW24" s="109">
        <v>1</v>
      </c>
      <c r="AX24" s="109">
        <v>1</v>
      </c>
      <c r="AY24" s="90"/>
      <c r="AZ24" s="79"/>
      <c r="BA24" s="79"/>
      <c r="BB24" s="79"/>
      <c r="BC24" s="79"/>
      <c r="BD24" s="79"/>
      <c r="BE24" s="79"/>
      <c r="BF24" s="79"/>
      <c r="BG24" s="91" t="str">
        <f t="shared" si="2"/>
        <v>description: "Пуск", note: "Пуск БНТ НП", group: "status", minValue: null, maxValue: null, step: null, units: "null", defaultValue: null, eventRegistration: 2</v>
      </c>
    </row>
    <row r="25" spans="1:59" s="56" customFormat="1" ht="15.75" x14ac:dyDescent="0.25">
      <c r="A25" s="44"/>
      <c r="B25" s="110" t="s">
        <v>416</v>
      </c>
      <c r="C25" s="54"/>
      <c r="D25" s="46" t="s">
        <v>142</v>
      </c>
      <c r="E25" s="47" t="s">
        <v>187</v>
      </c>
      <c r="F25" s="57" t="s">
        <v>142</v>
      </c>
      <c r="G25" s="57" t="s">
        <v>142</v>
      </c>
      <c r="H25" s="58"/>
      <c r="I25" s="47">
        <f t="shared" si="0"/>
        <v>3</v>
      </c>
      <c r="J25" s="47" t="str">
        <f t="shared" si="1"/>
        <v>БЧС</v>
      </c>
      <c r="K25" s="50" t="s">
        <v>188</v>
      </c>
      <c r="L25" s="48" t="s">
        <v>72</v>
      </c>
      <c r="M25" s="45" t="s">
        <v>63</v>
      </c>
      <c r="N25" s="45" t="s">
        <v>64</v>
      </c>
      <c r="O25" s="45"/>
      <c r="P25" s="59"/>
      <c r="Q25" s="59"/>
      <c r="R25" s="45" t="s">
        <v>66</v>
      </c>
      <c r="S25" s="45" t="s">
        <v>66</v>
      </c>
      <c r="T25" s="45" t="s">
        <v>66</v>
      </c>
      <c r="U25" s="45" t="s">
        <v>66</v>
      </c>
      <c r="V25" s="54"/>
      <c r="W25" s="54"/>
      <c r="X25" s="45" t="s">
        <v>66</v>
      </c>
      <c r="Y25" s="45">
        <v>2</v>
      </c>
      <c r="Z25" s="54"/>
      <c r="AA25" s="51">
        <v>0</v>
      </c>
      <c r="AB25" s="51"/>
      <c r="AC25" s="51"/>
      <c r="AD25" s="51"/>
      <c r="AE25" s="51"/>
      <c r="AF25" s="51">
        <v>0</v>
      </c>
      <c r="AG25" s="51">
        <v>0</v>
      </c>
      <c r="AH25" s="51">
        <v>0</v>
      </c>
      <c r="AI25" s="52" t="s">
        <v>239</v>
      </c>
      <c r="AJ25" s="53" t="s">
        <v>240</v>
      </c>
      <c r="AK25" s="53" t="s">
        <v>241</v>
      </c>
      <c r="AL25" s="53" t="s">
        <v>83</v>
      </c>
      <c r="AM25" s="53" t="s">
        <v>99</v>
      </c>
      <c r="AN25" s="53"/>
      <c r="AO25" s="53" t="s">
        <v>86</v>
      </c>
      <c r="AP25" s="53" t="str">
        <f t="shared" si="7"/>
        <v>GAPC1.BlkOp.stVal</v>
      </c>
      <c r="AQ25" s="53" t="s">
        <v>82</v>
      </c>
      <c r="AR25" s="54">
        <v>0</v>
      </c>
      <c r="AS25" s="54">
        <v>1</v>
      </c>
      <c r="AT25" s="54">
        <v>0</v>
      </c>
      <c r="AU25" s="54">
        <v>1</v>
      </c>
      <c r="AV25" s="109">
        <v>1</v>
      </c>
      <c r="AW25" s="109">
        <v>1</v>
      </c>
      <c r="AX25" s="109">
        <v>1</v>
      </c>
      <c r="AY25" s="49"/>
      <c r="AZ25" s="54"/>
      <c r="BA25" s="54"/>
      <c r="BB25" s="54"/>
      <c r="BC25" s="54"/>
      <c r="BD25" s="54"/>
      <c r="BE25" s="54"/>
      <c r="BF25" s="54"/>
      <c r="BG25" s="55" t="str">
        <f t="shared" si="2"/>
        <v>description: "БЧС", note: "Блокировка чувствительных ступеней", group: "status", minValue: null, maxValue: null, step: null, units: "null", defaultValue: null, eventRegistration: 2</v>
      </c>
    </row>
    <row r="26" spans="1:59" s="70" customFormat="1" ht="15.75" x14ac:dyDescent="0.25">
      <c r="A26" s="66"/>
      <c r="B26" s="110" t="s">
        <v>416</v>
      </c>
      <c r="C26" s="67"/>
      <c r="D26" s="74" t="s">
        <v>284</v>
      </c>
      <c r="E26" s="64" t="s">
        <v>287</v>
      </c>
      <c r="F26" s="77" t="s">
        <v>287</v>
      </c>
      <c r="G26" s="77" t="s">
        <v>287</v>
      </c>
      <c r="H26" s="62"/>
      <c r="I26" s="64">
        <f t="shared" si="0"/>
        <v>12</v>
      </c>
      <c r="J26" s="64" t="str">
        <f t="shared" si="1"/>
        <v>Срабатывание</v>
      </c>
      <c r="K26" s="68" t="s">
        <v>394</v>
      </c>
      <c r="L26" s="71" t="s">
        <v>72</v>
      </c>
      <c r="M26" s="69" t="s">
        <v>63</v>
      </c>
      <c r="N26" s="69" t="s">
        <v>64</v>
      </c>
      <c r="O26" s="69"/>
      <c r="P26" s="72"/>
      <c r="Q26" s="72"/>
      <c r="R26" s="69" t="s">
        <v>66</v>
      </c>
      <c r="S26" s="69" t="s">
        <v>66</v>
      </c>
      <c r="T26" s="69" t="s">
        <v>66</v>
      </c>
      <c r="U26" s="69" t="s">
        <v>66</v>
      </c>
      <c r="V26" s="67"/>
      <c r="W26" s="67"/>
      <c r="X26" s="69" t="s">
        <v>66</v>
      </c>
      <c r="Y26" s="69">
        <v>2</v>
      </c>
      <c r="Z26" s="67"/>
      <c r="AA26" s="63">
        <v>0</v>
      </c>
      <c r="AB26" s="63"/>
      <c r="AC26" s="63"/>
      <c r="AD26" s="63"/>
      <c r="AE26" s="63"/>
      <c r="AF26" s="63">
        <v>0</v>
      </c>
      <c r="AG26" s="63">
        <v>0</v>
      </c>
      <c r="AH26" s="63">
        <v>0</v>
      </c>
      <c r="AI26" s="75" t="s">
        <v>388</v>
      </c>
      <c r="AJ26" s="65" t="s">
        <v>393</v>
      </c>
      <c r="AK26" s="65" t="s">
        <v>100</v>
      </c>
      <c r="AL26" s="65" t="s">
        <v>98</v>
      </c>
      <c r="AM26" s="65" t="s">
        <v>99</v>
      </c>
      <c r="AN26" s="65"/>
      <c r="AO26" s="65" t="s">
        <v>86</v>
      </c>
      <c r="AP26" s="65" t="str">
        <f t="shared" si="7"/>
        <v>OPAPSSU1.Op.general</v>
      </c>
      <c r="AQ26" s="65" t="s">
        <v>82</v>
      </c>
      <c r="AR26" s="67">
        <v>0</v>
      </c>
      <c r="AS26" s="67">
        <v>1</v>
      </c>
      <c r="AT26" s="67">
        <v>0</v>
      </c>
      <c r="AU26" s="67">
        <v>1</v>
      </c>
      <c r="AV26" s="109">
        <v>1</v>
      </c>
      <c r="AW26" s="109">
        <v>1</v>
      </c>
      <c r="AX26" s="109">
        <v>1</v>
      </c>
      <c r="AY26" s="73"/>
      <c r="AZ26" s="67"/>
      <c r="BA26" s="67"/>
      <c r="BB26" s="67"/>
      <c r="BC26" s="67"/>
      <c r="BD26" s="67"/>
      <c r="BE26" s="67"/>
      <c r="BF26" s="67"/>
      <c r="BG26" s="76" t="str">
        <f t="shared" si="2"/>
        <v>description: "Срабатывание", note: "Срабатывание", group: "status", minValue: null, maxValue: null, step: null, units: "null", defaultValue: null, eventRegistration: 2</v>
      </c>
    </row>
    <row r="27" spans="1:59" s="92" customFormat="1" ht="15" customHeight="1" x14ac:dyDescent="0.25">
      <c r="A27" s="78"/>
      <c r="B27" s="110" t="s">
        <v>416</v>
      </c>
      <c r="C27" s="79"/>
      <c r="D27" s="80"/>
      <c r="E27" s="81" t="s">
        <v>101</v>
      </c>
      <c r="F27" s="81" t="s">
        <v>102</v>
      </c>
      <c r="G27" s="81" t="s">
        <v>102</v>
      </c>
      <c r="H27" s="79"/>
      <c r="I27" s="81">
        <f t="shared" si="0"/>
        <v>12</v>
      </c>
      <c r="J27" s="81" t="str">
        <f t="shared" si="1"/>
        <v>Поведение LD</v>
      </c>
      <c r="K27" s="84" t="s">
        <v>103</v>
      </c>
      <c r="L27" s="85" t="s">
        <v>75</v>
      </c>
      <c r="M27" s="86" t="s">
        <v>63</v>
      </c>
      <c r="N27" s="86" t="s">
        <v>64</v>
      </c>
      <c r="O27" s="86"/>
      <c r="P27" s="79"/>
      <c r="Q27" s="79"/>
      <c r="R27" s="86" t="s">
        <v>66</v>
      </c>
      <c r="S27" s="86" t="s">
        <v>66</v>
      </c>
      <c r="T27" s="86" t="s">
        <v>66</v>
      </c>
      <c r="U27" s="86" t="s">
        <v>66</v>
      </c>
      <c r="V27" s="79"/>
      <c r="W27" s="79"/>
      <c r="X27" s="86" t="s">
        <v>66</v>
      </c>
      <c r="Y27" s="86">
        <v>0</v>
      </c>
      <c r="Z27" s="79"/>
      <c r="AA27" s="88">
        <v>0</v>
      </c>
      <c r="AB27" s="88"/>
      <c r="AC27" s="88"/>
      <c r="AD27" s="88"/>
      <c r="AE27" s="88"/>
      <c r="AF27" s="88">
        <v>0</v>
      </c>
      <c r="AG27" s="88">
        <v>0</v>
      </c>
      <c r="AH27" s="88">
        <v>0</v>
      </c>
      <c r="AI27" s="93" t="s">
        <v>76</v>
      </c>
      <c r="AJ27" s="89" t="s">
        <v>344</v>
      </c>
      <c r="AK27" s="89" t="s">
        <v>104</v>
      </c>
      <c r="AL27" s="89" t="s">
        <v>83</v>
      </c>
      <c r="AM27" s="89" t="s">
        <v>84</v>
      </c>
      <c r="AN27" s="89" t="s">
        <v>85</v>
      </c>
      <c r="AO27" s="89" t="s">
        <v>86</v>
      </c>
      <c r="AP27" s="89" t="str">
        <f t="shared" ref="AP27:AP38" si="8">CONCATENATE(AJ27, ".", AL27)</f>
        <v>LLN0.Beh.stVal</v>
      </c>
      <c r="AQ27" s="89" t="s">
        <v>82</v>
      </c>
      <c r="AR27" s="79">
        <v>0</v>
      </c>
      <c r="AS27" s="79">
        <v>0</v>
      </c>
      <c r="AT27" s="79">
        <v>0</v>
      </c>
      <c r="AU27" s="79">
        <v>0</v>
      </c>
      <c r="AV27" s="79">
        <v>0</v>
      </c>
      <c r="AW27" s="79">
        <v>0</v>
      </c>
      <c r="AX27" s="79">
        <f t="shared" ref="AX27:AX42" si="9">BIN2DEC(CONCATENATE(0,0,0,0,AT27,AU27,AV27,AW27))</f>
        <v>0</v>
      </c>
      <c r="AY27" s="90"/>
      <c r="AZ27" s="79"/>
      <c r="BA27" s="79"/>
      <c r="BB27" s="79"/>
      <c r="BC27" s="79"/>
      <c r="BD27" s="79"/>
      <c r="BE27" s="79"/>
      <c r="BF27" s="79"/>
      <c r="BG27" s="91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28" spans="1:59" s="92" customFormat="1" ht="15.75" x14ac:dyDescent="0.25">
      <c r="A28" s="78"/>
      <c r="B28" s="110" t="s">
        <v>416</v>
      </c>
      <c r="C28" s="79"/>
      <c r="D28" s="80"/>
      <c r="E28" s="81" t="s">
        <v>105</v>
      </c>
      <c r="F28" s="81" t="s">
        <v>106</v>
      </c>
      <c r="G28" s="81" t="s">
        <v>106</v>
      </c>
      <c r="H28" s="79"/>
      <c r="I28" s="81">
        <f t="shared" si="0"/>
        <v>14</v>
      </c>
      <c r="J28" s="81" t="str">
        <f t="shared" si="1"/>
        <v>Исправность LD</v>
      </c>
      <c r="K28" s="84" t="s">
        <v>107</v>
      </c>
      <c r="L28" s="85" t="s">
        <v>75</v>
      </c>
      <c r="M28" s="86" t="s">
        <v>63</v>
      </c>
      <c r="N28" s="86" t="s">
        <v>64</v>
      </c>
      <c r="O28" s="86"/>
      <c r="P28" s="87"/>
      <c r="Q28" s="87"/>
      <c r="R28" s="86" t="s">
        <v>66</v>
      </c>
      <c r="S28" s="86" t="s">
        <v>66</v>
      </c>
      <c r="T28" s="86" t="s">
        <v>66</v>
      </c>
      <c r="U28" s="86" t="s">
        <v>66</v>
      </c>
      <c r="V28" s="79"/>
      <c r="W28" s="79"/>
      <c r="X28" s="86" t="s">
        <v>66</v>
      </c>
      <c r="Y28" s="86">
        <v>0</v>
      </c>
      <c r="Z28" s="79"/>
      <c r="AA28" s="88">
        <v>0</v>
      </c>
      <c r="AB28" s="88"/>
      <c r="AC28" s="88"/>
      <c r="AD28" s="88"/>
      <c r="AE28" s="88"/>
      <c r="AF28" s="88">
        <v>0</v>
      </c>
      <c r="AG28" s="88">
        <v>0</v>
      </c>
      <c r="AH28" s="88">
        <v>0</v>
      </c>
      <c r="AI28" s="93" t="s">
        <v>76</v>
      </c>
      <c r="AJ28" s="89" t="s">
        <v>345</v>
      </c>
      <c r="AK28" s="89" t="s">
        <v>104</v>
      </c>
      <c r="AL28" s="89" t="s">
        <v>83</v>
      </c>
      <c r="AM28" s="89" t="s">
        <v>84</v>
      </c>
      <c r="AN28" s="89" t="s">
        <v>108</v>
      </c>
      <c r="AO28" s="89" t="s">
        <v>86</v>
      </c>
      <c r="AP28" s="89" t="str">
        <f t="shared" si="8"/>
        <v>LLN0.Health.stVal</v>
      </c>
      <c r="AQ28" s="89" t="s">
        <v>82</v>
      </c>
      <c r="AR28" s="79">
        <v>0</v>
      </c>
      <c r="AS28" s="79">
        <v>0</v>
      </c>
      <c r="AT28" s="79">
        <v>0</v>
      </c>
      <c r="AU28" s="79">
        <v>0</v>
      </c>
      <c r="AV28" s="79">
        <v>0</v>
      </c>
      <c r="AW28" s="79">
        <v>0</v>
      </c>
      <c r="AX28" s="79">
        <f t="shared" si="9"/>
        <v>0</v>
      </c>
      <c r="AY28" s="90"/>
      <c r="AZ28" s="79"/>
      <c r="BA28" s="79"/>
      <c r="BB28" s="79"/>
      <c r="BC28" s="79"/>
      <c r="BD28" s="79"/>
      <c r="BE28" s="79"/>
      <c r="BF28" s="79"/>
      <c r="BG28" s="91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29" spans="1:59" s="56" customFormat="1" ht="15.75" x14ac:dyDescent="0.25">
      <c r="A29" s="44"/>
      <c r="B29" s="110" t="s">
        <v>416</v>
      </c>
      <c r="C29" s="54"/>
      <c r="D29" s="46" t="s">
        <v>373</v>
      </c>
      <c r="E29" s="47" t="s">
        <v>213</v>
      </c>
      <c r="F29" s="47" t="s">
        <v>109</v>
      </c>
      <c r="G29" s="47" t="s">
        <v>109</v>
      </c>
      <c r="H29" s="54"/>
      <c r="I29" s="47">
        <f t="shared" si="0"/>
        <v>9</v>
      </c>
      <c r="J29" s="47" t="str">
        <f t="shared" si="1"/>
        <v>Поведение</v>
      </c>
      <c r="K29" s="50" t="s">
        <v>215</v>
      </c>
      <c r="L29" s="48" t="s">
        <v>75</v>
      </c>
      <c r="M29" s="45" t="s">
        <v>63</v>
      </c>
      <c r="N29" s="45" t="s">
        <v>64</v>
      </c>
      <c r="O29" s="45"/>
      <c r="P29" s="54"/>
      <c r="Q29" s="54"/>
      <c r="R29" s="45" t="s">
        <v>66</v>
      </c>
      <c r="S29" s="45" t="s">
        <v>66</v>
      </c>
      <c r="T29" s="45" t="s">
        <v>66</v>
      </c>
      <c r="U29" s="45" t="s">
        <v>66</v>
      </c>
      <c r="V29" s="54"/>
      <c r="W29" s="54"/>
      <c r="X29" s="45" t="s">
        <v>66</v>
      </c>
      <c r="Y29" s="45">
        <v>0</v>
      </c>
      <c r="Z29" s="54"/>
      <c r="AA29" s="51">
        <v>0</v>
      </c>
      <c r="AB29" s="51"/>
      <c r="AC29" s="51"/>
      <c r="AD29" s="51"/>
      <c r="AE29" s="51"/>
      <c r="AF29" s="51">
        <v>0</v>
      </c>
      <c r="AG29" s="51">
        <v>0</v>
      </c>
      <c r="AH29" s="51">
        <v>0</v>
      </c>
      <c r="AI29" s="52" t="s">
        <v>230</v>
      </c>
      <c r="AJ29" s="53" t="s">
        <v>243</v>
      </c>
      <c r="AK29" s="53" t="s">
        <v>104</v>
      </c>
      <c r="AL29" s="53" t="s">
        <v>83</v>
      </c>
      <c r="AM29" s="53" t="s">
        <v>84</v>
      </c>
      <c r="AN29" s="53" t="s">
        <v>85</v>
      </c>
      <c r="AO29" s="53" t="s">
        <v>86</v>
      </c>
      <c r="AP29" s="53" t="str">
        <f t="shared" ref="AP29:AP34" si="10">CONCATENATE(AJ29, ".", AL29)</f>
        <v>ZSPTOC1.Beh.stVal</v>
      </c>
      <c r="AQ29" s="53" t="s">
        <v>82</v>
      </c>
      <c r="AR29" s="54">
        <v>0</v>
      </c>
      <c r="AS29" s="54">
        <v>0</v>
      </c>
      <c r="AT29" s="54">
        <v>0</v>
      </c>
      <c r="AU29" s="54">
        <v>0</v>
      </c>
      <c r="AV29" s="54">
        <v>0</v>
      </c>
      <c r="AW29" s="54">
        <v>0</v>
      </c>
      <c r="AX29" s="54">
        <f t="shared" si="9"/>
        <v>0</v>
      </c>
      <c r="AY29" s="49"/>
      <c r="AZ29" s="54"/>
      <c r="BA29" s="54"/>
      <c r="BB29" s="54"/>
      <c r="BC29" s="54"/>
      <c r="BD29" s="54"/>
      <c r="BE29" s="54"/>
      <c r="BF29" s="54"/>
      <c r="BG29" s="55" t="str">
        <f t="shared" si="2"/>
        <v>description: "Поведение", note: "Индикация поведения логического узла ТЗНП 1 ст.", group: "status", minValue: null, maxValue: null, step: null, units: "null", defaultValue: null, eventRegistration: 0</v>
      </c>
    </row>
    <row r="30" spans="1:59" s="56" customFormat="1" ht="15.75" x14ac:dyDescent="0.25">
      <c r="A30" s="44"/>
      <c r="B30" s="110" t="s">
        <v>416</v>
      </c>
      <c r="C30" s="54"/>
      <c r="D30" s="46" t="s">
        <v>373</v>
      </c>
      <c r="E30" s="47" t="s">
        <v>214</v>
      </c>
      <c r="F30" s="47" t="s">
        <v>110</v>
      </c>
      <c r="G30" s="47" t="s">
        <v>110</v>
      </c>
      <c r="H30" s="54"/>
      <c r="I30" s="47">
        <f t="shared" si="0"/>
        <v>11</v>
      </c>
      <c r="J30" s="47" t="str">
        <f t="shared" si="1"/>
        <v>Исправность</v>
      </c>
      <c r="K30" s="50" t="s">
        <v>216</v>
      </c>
      <c r="L30" s="48" t="s">
        <v>75</v>
      </c>
      <c r="M30" s="45" t="s">
        <v>63</v>
      </c>
      <c r="N30" s="45" t="s">
        <v>64</v>
      </c>
      <c r="O30" s="45"/>
      <c r="P30" s="59"/>
      <c r="Q30" s="59"/>
      <c r="R30" s="45" t="s">
        <v>66</v>
      </c>
      <c r="S30" s="45" t="s">
        <v>66</v>
      </c>
      <c r="T30" s="45" t="s">
        <v>66</v>
      </c>
      <c r="U30" s="45" t="s">
        <v>66</v>
      </c>
      <c r="V30" s="54"/>
      <c r="W30" s="54"/>
      <c r="X30" s="45" t="s">
        <v>66</v>
      </c>
      <c r="Y30" s="45">
        <v>0</v>
      </c>
      <c r="Z30" s="54"/>
      <c r="AA30" s="51">
        <v>0</v>
      </c>
      <c r="AB30" s="51"/>
      <c r="AC30" s="51"/>
      <c r="AD30" s="51"/>
      <c r="AE30" s="51"/>
      <c r="AF30" s="51">
        <v>0</v>
      </c>
      <c r="AG30" s="51">
        <v>0</v>
      </c>
      <c r="AH30" s="51">
        <v>0</v>
      </c>
      <c r="AI30" s="52" t="s">
        <v>230</v>
      </c>
      <c r="AJ30" s="53" t="s">
        <v>244</v>
      </c>
      <c r="AK30" s="53" t="s">
        <v>104</v>
      </c>
      <c r="AL30" s="53" t="s">
        <v>83</v>
      </c>
      <c r="AM30" s="53" t="s">
        <v>84</v>
      </c>
      <c r="AN30" s="53" t="s">
        <v>108</v>
      </c>
      <c r="AO30" s="53" t="s">
        <v>86</v>
      </c>
      <c r="AP30" s="53" t="str">
        <f t="shared" si="10"/>
        <v>ZSPTOC1.Health.stVal</v>
      </c>
      <c r="AQ30" s="53" t="s">
        <v>82</v>
      </c>
      <c r="AR30" s="54">
        <v>0</v>
      </c>
      <c r="AS30" s="54">
        <v>0</v>
      </c>
      <c r="AT30" s="54">
        <v>0</v>
      </c>
      <c r="AU30" s="54">
        <v>0</v>
      </c>
      <c r="AV30" s="54">
        <v>0</v>
      </c>
      <c r="AW30" s="54">
        <v>0</v>
      </c>
      <c r="AX30" s="54">
        <f t="shared" si="9"/>
        <v>0</v>
      </c>
      <c r="AY30" s="49"/>
      <c r="AZ30" s="54"/>
      <c r="BA30" s="54"/>
      <c r="BB30" s="54"/>
      <c r="BC30" s="54"/>
      <c r="BD30" s="54"/>
      <c r="BE30" s="54"/>
      <c r="BF30" s="54"/>
      <c r="BG30" s="55" t="str">
        <f t="shared" si="2"/>
        <v>description: "Исправность", note: "Индикация исправности логического узла ТЗНП 1 ст.", group: "status", minValue: null, maxValue: null, step: null, units: "null", defaultValue: null, eventRegistration: 0</v>
      </c>
    </row>
    <row r="31" spans="1:59" s="70" customFormat="1" ht="15.75" x14ac:dyDescent="0.25">
      <c r="A31" s="66"/>
      <c r="B31" s="110" t="s">
        <v>416</v>
      </c>
      <c r="C31" s="67"/>
      <c r="D31" s="74" t="s">
        <v>374</v>
      </c>
      <c r="E31" s="64" t="s">
        <v>217</v>
      </c>
      <c r="F31" s="64" t="s">
        <v>109</v>
      </c>
      <c r="G31" s="64" t="s">
        <v>109</v>
      </c>
      <c r="H31" s="67"/>
      <c r="I31" s="64">
        <f t="shared" si="0"/>
        <v>9</v>
      </c>
      <c r="J31" s="64" t="str">
        <f t="shared" si="1"/>
        <v>Поведение</v>
      </c>
      <c r="K31" s="68" t="s">
        <v>219</v>
      </c>
      <c r="L31" s="71" t="s">
        <v>75</v>
      </c>
      <c r="M31" s="69" t="s">
        <v>63</v>
      </c>
      <c r="N31" s="69" t="s">
        <v>64</v>
      </c>
      <c r="O31" s="69"/>
      <c r="P31" s="67"/>
      <c r="Q31" s="67"/>
      <c r="R31" s="69" t="s">
        <v>66</v>
      </c>
      <c r="S31" s="69" t="s">
        <v>66</v>
      </c>
      <c r="T31" s="69" t="s">
        <v>66</v>
      </c>
      <c r="U31" s="69" t="s">
        <v>66</v>
      </c>
      <c r="V31" s="67"/>
      <c r="W31" s="67"/>
      <c r="X31" s="69" t="s">
        <v>66</v>
      </c>
      <c r="Y31" s="69">
        <v>0</v>
      </c>
      <c r="Z31" s="67"/>
      <c r="AA31" s="63">
        <v>0</v>
      </c>
      <c r="AB31" s="63"/>
      <c r="AC31" s="63"/>
      <c r="AD31" s="63"/>
      <c r="AE31" s="63"/>
      <c r="AF31" s="63">
        <v>0</v>
      </c>
      <c r="AG31" s="63">
        <v>0</v>
      </c>
      <c r="AH31" s="63">
        <v>0</v>
      </c>
      <c r="AI31" s="75" t="s">
        <v>230</v>
      </c>
      <c r="AJ31" s="65" t="s">
        <v>245</v>
      </c>
      <c r="AK31" s="65" t="s">
        <v>104</v>
      </c>
      <c r="AL31" s="65" t="s">
        <v>83</v>
      </c>
      <c r="AM31" s="65" t="s">
        <v>84</v>
      </c>
      <c r="AN31" s="65" t="s">
        <v>85</v>
      </c>
      <c r="AO31" s="65" t="s">
        <v>86</v>
      </c>
      <c r="AP31" s="65" t="str">
        <f t="shared" si="10"/>
        <v>ZSPTOC2.Beh.stVal</v>
      </c>
      <c r="AQ31" s="65" t="s">
        <v>82</v>
      </c>
      <c r="AR31" s="67">
        <v>0</v>
      </c>
      <c r="AS31" s="67">
        <v>0</v>
      </c>
      <c r="AT31" s="67">
        <v>0</v>
      </c>
      <c r="AU31" s="67">
        <v>0</v>
      </c>
      <c r="AV31" s="67">
        <v>0</v>
      </c>
      <c r="AW31" s="67">
        <v>0</v>
      </c>
      <c r="AX31" s="67">
        <f t="shared" si="9"/>
        <v>0</v>
      </c>
      <c r="AY31" s="73"/>
      <c r="AZ31" s="67"/>
      <c r="BA31" s="67"/>
      <c r="BB31" s="67"/>
      <c r="BC31" s="67"/>
      <c r="BD31" s="67"/>
      <c r="BE31" s="67"/>
      <c r="BF31" s="67"/>
      <c r="BG31" s="76" t="str">
        <f t="shared" si="2"/>
        <v>description: "Поведение", note: "Индикация поведения логического узла ТЗНП 2 ст.", group: "status", minValue: null, maxValue: null, step: null, units: "null", defaultValue: null, eventRegistration: 0</v>
      </c>
    </row>
    <row r="32" spans="1:59" s="70" customFormat="1" ht="15.75" x14ac:dyDescent="0.25">
      <c r="A32" s="66"/>
      <c r="B32" s="110" t="s">
        <v>416</v>
      </c>
      <c r="C32" s="67"/>
      <c r="D32" s="74" t="s">
        <v>374</v>
      </c>
      <c r="E32" s="64" t="s">
        <v>218</v>
      </c>
      <c r="F32" s="64" t="s">
        <v>110</v>
      </c>
      <c r="G32" s="64" t="s">
        <v>110</v>
      </c>
      <c r="H32" s="67"/>
      <c r="I32" s="64">
        <f t="shared" si="0"/>
        <v>11</v>
      </c>
      <c r="J32" s="64" t="str">
        <f t="shared" si="1"/>
        <v>Исправность</v>
      </c>
      <c r="K32" s="68" t="s">
        <v>220</v>
      </c>
      <c r="L32" s="71" t="s">
        <v>75</v>
      </c>
      <c r="M32" s="69" t="s">
        <v>63</v>
      </c>
      <c r="N32" s="69" t="s">
        <v>64</v>
      </c>
      <c r="O32" s="69"/>
      <c r="P32" s="72"/>
      <c r="Q32" s="72"/>
      <c r="R32" s="69" t="s">
        <v>66</v>
      </c>
      <c r="S32" s="69" t="s">
        <v>66</v>
      </c>
      <c r="T32" s="69" t="s">
        <v>66</v>
      </c>
      <c r="U32" s="69" t="s">
        <v>66</v>
      </c>
      <c r="V32" s="67"/>
      <c r="W32" s="67"/>
      <c r="X32" s="69" t="s">
        <v>66</v>
      </c>
      <c r="Y32" s="69">
        <v>0</v>
      </c>
      <c r="Z32" s="67"/>
      <c r="AA32" s="63">
        <v>0</v>
      </c>
      <c r="AB32" s="63"/>
      <c r="AC32" s="63"/>
      <c r="AD32" s="63"/>
      <c r="AE32" s="63"/>
      <c r="AF32" s="63">
        <v>0</v>
      </c>
      <c r="AG32" s="63">
        <v>0</v>
      </c>
      <c r="AH32" s="63">
        <v>0</v>
      </c>
      <c r="AI32" s="75" t="s">
        <v>230</v>
      </c>
      <c r="AJ32" s="65" t="s">
        <v>246</v>
      </c>
      <c r="AK32" s="65" t="s">
        <v>104</v>
      </c>
      <c r="AL32" s="65" t="s">
        <v>83</v>
      </c>
      <c r="AM32" s="65" t="s">
        <v>84</v>
      </c>
      <c r="AN32" s="65" t="s">
        <v>108</v>
      </c>
      <c r="AO32" s="65" t="s">
        <v>86</v>
      </c>
      <c r="AP32" s="65" t="str">
        <f t="shared" si="10"/>
        <v>ZSPTOC2.Health.stVal</v>
      </c>
      <c r="AQ32" s="65" t="s">
        <v>82</v>
      </c>
      <c r="AR32" s="67">
        <v>0</v>
      </c>
      <c r="AS32" s="67">
        <v>0</v>
      </c>
      <c r="AT32" s="67">
        <v>0</v>
      </c>
      <c r="AU32" s="67">
        <v>0</v>
      </c>
      <c r="AV32" s="67">
        <v>0</v>
      </c>
      <c r="AW32" s="67">
        <v>0</v>
      </c>
      <c r="AX32" s="67">
        <f t="shared" si="9"/>
        <v>0</v>
      </c>
      <c r="AY32" s="73"/>
      <c r="AZ32" s="67"/>
      <c r="BA32" s="67"/>
      <c r="BB32" s="67"/>
      <c r="BC32" s="67"/>
      <c r="BD32" s="67"/>
      <c r="BE32" s="67"/>
      <c r="BF32" s="67"/>
      <c r="BG32" s="76" t="str">
        <f t="shared" si="2"/>
        <v>description: "Исправность", note: "Индикация исправности логического узла ТЗНП 2 ст.", group: "status", minValue: null, maxValue: null, step: null, units: "null", defaultValue: null, eventRegistration: 0</v>
      </c>
    </row>
    <row r="33" spans="1:60" s="92" customFormat="1" ht="15.75" x14ac:dyDescent="0.25">
      <c r="A33" s="78"/>
      <c r="B33" s="110" t="s">
        <v>416</v>
      </c>
      <c r="C33" s="79"/>
      <c r="D33" s="80" t="s">
        <v>177</v>
      </c>
      <c r="E33" s="81" t="s">
        <v>221</v>
      </c>
      <c r="F33" s="81" t="s">
        <v>109</v>
      </c>
      <c r="G33" s="81" t="s">
        <v>109</v>
      </c>
      <c r="H33" s="79"/>
      <c r="I33" s="81">
        <f t="shared" si="0"/>
        <v>9</v>
      </c>
      <c r="J33" s="81" t="str">
        <f t="shared" si="1"/>
        <v>Поведение</v>
      </c>
      <c r="K33" s="84" t="s">
        <v>223</v>
      </c>
      <c r="L33" s="85" t="s">
        <v>75</v>
      </c>
      <c r="M33" s="86" t="s">
        <v>63</v>
      </c>
      <c r="N33" s="86" t="s">
        <v>64</v>
      </c>
      <c r="O33" s="86"/>
      <c r="P33" s="79"/>
      <c r="Q33" s="79"/>
      <c r="R33" s="86" t="s">
        <v>66</v>
      </c>
      <c r="S33" s="86" t="s">
        <v>66</v>
      </c>
      <c r="T33" s="86" t="s">
        <v>66</v>
      </c>
      <c r="U33" s="86" t="s">
        <v>66</v>
      </c>
      <c r="V33" s="79"/>
      <c r="W33" s="79"/>
      <c r="X33" s="86" t="s">
        <v>66</v>
      </c>
      <c r="Y33" s="86">
        <v>0</v>
      </c>
      <c r="Z33" s="79"/>
      <c r="AA33" s="88">
        <v>0</v>
      </c>
      <c r="AB33" s="88"/>
      <c r="AC33" s="88"/>
      <c r="AD33" s="88"/>
      <c r="AE33" s="88"/>
      <c r="AF33" s="88">
        <v>0</v>
      </c>
      <c r="AG33" s="88">
        <v>0</v>
      </c>
      <c r="AH33" s="88">
        <v>0</v>
      </c>
      <c r="AI33" s="93" t="s">
        <v>235</v>
      </c>
      <c r="AJ33" s="89" t="s">
        <v>247</v>
      </c>
      <c r="AK33" s="89" t="s">
        <v>104</v>
      </c>
      <c r="AL33" s="89" t="s">
        <v>83</v>
      </c>
      <c r="AM33" s="89" t="s">
        <v>84</v>
      </c>
      <c r="AN33" s="89" t="s">
        <v>85</v>
      </c>
      <c r="AO33" s="89" t="s">
        <v>86</v>
      </c>
      <c r="AP33" s="89" t="str">
        <f t="shared" si="10"/>
        <v>AUAPSSU1.Beh.stVal</v>
      </c>
      <c r="AQ33" s="89" t="s">
        <v>82</v>
      </c>
      <c r="AR33" s="79">
        <v>0</v>
      </c>
      <c r="AS33" s="79">
        <v>0</v>
      </c>
      <c r="AT33" s="79">
        <v>0</v>
      </c>
      <c r="AU33" s="79">
        <v>0</v>
      </c>
      <c r="AV33" s="79">
        <v>0</v>
      </c>
      <c r="AW33" s="79">
        <v>0</v>
      </c>
      <c r="AX33" s="79">
        <f t="shared" si="9"/>
        <v>0</v>
      </c>
      <c r="AY33" s="90"/>
      <c r="AZ33" s="79"/>
      <c r="BA33" s="79"/>
      <c r="BB33" s="79"/>
      <c r="BC33" s="79"/>
      <c r="BD33" s="79"/>
      <c r="BE33" s="79"/>
      <c r="BF33" s="79"/>
      <c r="BG33" s="91" t="str">
        <f t="shared" si="2"/>
        <v>description: "Поведение", note: "Индикация поведения логического узла АУ ТЗНП", group: "status", minValue: null, maxValue: null, step: null, units: "null", defaultValue: null, eventRegistration: 0</v>
      </c>
    </row>
    <row r="34" spans="1:60" s="92" customFormat="1" ht="15.75" x14ac:dyDescent="0.25">
      <c r="A34" s="78"/>
      <c r="B34" s="110" t="s">
        <v>416</v>
      </c>
      <c r="C34" s="79"/>
      <c r="D34" s="80" t="s">
        <v>177</v>
      </c>
      <c r="E34" s="81" t="s">
        <v>222</v>
      </c>
      <c r="F34" s="81" t="s">
        <v>110</v>
      </c>
      <c r="G34" s="81" t="s">
        <v>110</v>
      </c>
      <c r="H34" s="79"/>
      <c r="I34" s="81">
        <f t="shared" si="0"/>
        <v>11</v>
      </c>
      <c r="J34" s="81" t="str">
        <f t="shared" si="1"/>
        <v>Исправность</v>
      </c>
      <c r="K34" s="84" t="s">
        <v>224</v>
      </c>
      <c r="L34" s="85" t="s">
        <v>75</v>
      </c>
      <c r="M34" s="86" t="s">
        <v>63</v>
      </c>
      <c r="N34" s="86" t="s">
        <v>64</v>
      </c>
      <c r="O34" s="86"/>
      <c r="P34" s="87"/>
      <c r="Q34" s="87"/>
      <c r="R34" s="86" t="s">
        <v>66</v>
      </c>
      <c r="S34" s="86" t="s">
        <v>66</v>
      </c>
      <c r="T34" s="86" t="s">
        <v>66</v>
      </c>
      <c r="U34" s="86" t="s">
        <v>66</v>
      </c>
      <c r="V34" s="79"/>
      <c r="W34" s="79"/>
      <c r="X34" s="86" t="s">
        <v>66</v>
      </c>
      <c r="Y34" s="86">
        <v>0</v>
      </c>
      <c r="Z34" s="79"/>
      <c r="AA34" s="88">
        <v>0</v>
      </c>
      <c r="AB34" s="88"/>
      <c r="AC34" s="88"/>
      <c r="AD34" s="88"/>
      <c r="AE34" s="88"/>
      <c r="AF34" s="88">
        <v>0</v>
      </c>
      <c r="AG34" s="88">
        <v>0</v>
      </c>
      <c r="AH34" s="88">
        <v>0</v>
      </c>
      <c r="AI34" s="93" t="s">
        <v>235</v>
      </c>
      <c r="AJ34" s="89" t="s">
        <v>248</v>
      </c>
      <c r="AK34" s="89" t="s">
        <v>104</v>
      </c>
      <c r="AL34" s="89" t="s">
        <v>83</v>
      </c>
      <c r="AM34" s="89" t="s">
        <v>84</v>
      </c>
      <c r="AN34" s="89" t="s">
        <v>108</v>
      </c>
      <c r="AO34" s="89" t="s">
        <v>86</v>
      </c>
      <c r="AP34" s="89" t="str">
        <f t="shared" si="10"/>
        <v>AUAPSSU1.Health.stVal</v>
      </c>
      <c r="AQ34" s="89" t="s">
        <v>82</v>
      </c>
      <c r="AR34" s="79">
        <v>0</v>
      </c>
      <c r="AS34" s="79">
        <v>0</v>
      </c>
      <c r="AT34" s="79">
        <v>0</v>
      </c>
      <c r="AU34" s="79">
        <v>0</v>
      </c>
      <c r="AV34" s="79">
        <v>0</v>
      </c>
      <c r="AW34" s="79">
        <v>0</v>
      </c>
      <c r="AX34" s="79">
        <f t="shared" si="9"/>
        <v>0</v>
      </c>
      <c r="AY34" s="90"/>
      <c r="AZ34" s="79"/>
      <c r="BA34" s="79"/>
      <c r="BB34" s="79"/>
      <c r="BC34" s="79"/>
      <c r="BD34" s="79"/>
      <c r="BE34" s="79"/>
      <c r="BF34" s="79"/>
      <c r="BG34" s="91" t="str">
        <f t="shared" si="2"/>
        <v>description: "Исправность", note: "Индикация исправности логического узла АУ ТЗНП", group: "status", minValue: null, maxValue: null, step: null, units: "null", defaultValue: null, eventRegistration: 0</v>
      </c>
    </row>
    <row r="35" spans="1:60" s="56" customFormat="1" ht="15.75" x14ac:dyDescent="0.25">
      <c r="A35" s="44"/>
      <c r="B35" s="110" t="s">
        <v>416</v>
      </c>
      <c r="C35" s="54"/>
      <c r="D35" s="46" t="s">
        <v>139</v>
      </c>
      <c r="E35" s="47" t="s">
        <v>201</v>
      </c>
      <c r="F35" s="47" t="s">
        <v>109</v>
      </c>
      <c r="G35" s="47" t="s">
        <v>109</v>
      </c>
      <c r="H35" s="54"/>
      <c r="I35" s="47">
        <f t="shared" si="0"/>
        <v>9</v>
      </c>
      <c r="J35" s="47" t="str">
        <f t="shared" si="1"/>
        <v>Поведение</v>
      </c>
      <c r="K35" s="50" t="s">
        <v>203</v>
      </c>
      <c r="L35" s="48" t="s">
        <v>75</v>
      </c>
      <c r="M35" s="45" t="s">
        <v>63</v>
      </c>
      <c r="N35" s="45" t="s">
        <v>64</v>
      </c>
      <c r="O35" s="45"/>
      <c r="P35" s="54"/>
      <c r="Q35" s="54"/>
      <c r="R35" s="45" t="s">
        <v>66</v>
      </c>
      <c r="S35" s="45" t="s">
        <v>66</v>
      </c>
      <c r="T35" s="45" t="s">
        <v>66</v>
      </c>
      <c r="U35" s="45" t="s">
        <v>66</v>
      </c>
      <c r="V35" s="54"/>
      <c r="W35" s="54"/>
      <c r="X35" s="45" t="s">
        <v>66</v>
      </c>
      <c r="Y35" s="45">
        <v>0</v>
      </c>
      <c r="Z35" s="54"/>
      <c r="AA35" s="51">
        <v>0</v>
      </c>
      <c r="AB35" s="51"/>
      <c r="AC35" s="51"/>
      <c r="AD35" s="51"/>
      <c r="AE35" s="51"/>
      <c r="AF35" s="51">
        <v>0</v>
      </c>
      <c r="AG35" s="51">
        <v>0</v>
      </c>
      <c r="AH35" s="51">
        <v>0</v>
      </c>
      <c r="AI35" s="52" t="s">
        <v>242</v>
      </c>
      <c r="AJ35" s="53" t="s">
        <v>249</v>
      </c>
      <c r="AK35" s="53" t="s">
        <v>104</v>
      </c>
      <c r="AL35" s="53" t="s">
        <v>83</v>
      </c>
      <c r="AM35" s="53" t="s">
        <v>84</v>
      </c>
      <c r="AN35" s="53" t="s">
        <v>85</v>
      </c>
      <c r="AO35" s="53" t="s">
        <v>86</v>
      </c>
      <c r="AP35" s="53" t="str">
        <f t="shared" si="8"/>
        <v>RDIR1.Beh.stVal</v>
      </c>
      <c r="AQ35" s="53" t="s">
        <v>82</v>
      </c>
      <c r="AR35" s="54">
        <v>0</v>
      </c>
      <c r="AS35" s="54">
        <v>0</v>
      </c>
      <c r="AT35" s="54">
        <v>0</v>
      </c>
      <c r="AU35" s="54">
        <v>0</v>
      </c>
      <c r="AV35" s="54">
        <v>0</v>
      </c>
      <c r="AW35" s="54">
        <v>0</v>
      </c>
      <c r="AX35" s="54">
        <f t="shared" si="9"/>
        <v>0</v>
      </c>
      <c r="AY35" s="49"/>
      <c r="AZ35" s="54"/>
      <c r="BA35" s="54"/>
      <c r="BB35" s="54"/>
      <c r="BC35" s="54"/>
      <c r="BD35" s="54"/>
      <c r="BE35" s="54"/>
      <c r="BF35" s="54"/>
      <c r="BG35" s="55" t="str">
        <f t="shared" si="2"/>
        <v>description: "Поведение", note: "Индикация поведения логического узла ОНМ НП", group: "status", minValue: null, maxValue: null, step: null, units: "null", defaultValue: null, eventRegistration: 0</v>
      </c>
    </row>
    <row r="36" spans="1:60" s="56" customFormat="1" ht="15.75" x14ac:dyDescent="0.25">
      <c r="A36" s="44"/>
      <c r="B36" s="110" t="s">
        <v>416</v>
      </c>
      <c r="C36" s="54"/>
      <c r="D36" s="46" t="s">
        <v>139</v>
      </c>
      <c r="E36" s="47" t="s">
        <v>202</v>
      </c>
      <c r="F36" s="47" t="s">
        <v>110</v>
      </c>
      <c r="G36" s="47" t="s">
        <v>110</v>
      </c>
      <c r="H36" s="54"/>
      <c r="I36" s="47">
        <f t="shared" si="0"/>
        <v>11</v>
      </c>
      <c r="J36" s="47" t="str">
        <f t="shared" si="1"/>
        <v>Исправность</v>
      </c>
      <c r="K36" s="50" t="s">
        <v>204</v>
      </c>
      <c r="L36" s="48" t="s">
        <v>75</v>
      </c>
      <c r="M36" s="45" t="s">
        <v>63</v>
      </c>
      <c r="N36" s="45" t="s">
        <v>64</v>
      </c>
      <c r="O36" s="45"/>
      <c r="P36" s="59"/>
      <c r="Q36" s="59"/>
      <c r="R36" s="45" t="s">
        <v>66</v>
      </c>
      <c r="S36" s="45" t="s">
        <v>66</v>
      </c>
      <c r="T36" s="45" t="s">
        <v>66</v>
      </c>
      <c r="U36" s="45" t="s">
        <v>66</v>
      </c>
      <c r="V36" s="54"/>
      <c r="W36" s="54"/>
      <c r="X36" s="45" t="s">
        <v>66</v>
      </c>
      <c r="Y36" s="45">
        <v>0</v>
      </c>
      <c r="Z36" s="54"/>
      <c r="AA36" s="51">
        <v>0</v>
      </c>
      <c r="AB36" s="51"/>
      <c r="AC36" s="51"/>
      <c r="AD36" s="51"/>
      <c r="AE36" s="51"/>
      <c r="AF36" s="51">
        <v>0</v>
      </c>
      <c r="AG36" s="51">
        <v>0</v>
      </c>
      <c r="AH36" s="51">
        <v>0</v>
      </c>
      <c r="AI36" s="52" t="s">
        <v>242</v>
      </c>
      <c r="AJ36" s="53" t="s">
        <v>250</v>
      </c>
      <c r="AK36" s="53" t="s">
        <v>104</v>
      </c>
      <c r="AL36" s="53" t="s">
        <v>83</v>
      </c>
      <c r="AM36" s="53" t="s">
        <v>84</v>
      </c>
      <c r="AN36" s="53" t="s">
        <v>108</v>
      </c>
      <c r="AO36" s="53" t="s">
        <v>86</v>
      </c>
      <c r="AP36" s="53" t="str">
        <f t="shared" si="8"/>
        <v>RDIR1.Health.stVal</v>
      </c>
      <c r="AQ36" s="53" t="s">
        <v>82</v>
      </c>
      <c r="AR36" s="54">
        <v>0</v>
      </c>
      <c r="AS36" s="54">
        <v>0</v>
      </c>
      <c r="AT36" s="54">
        <v>0</v>
      </c>
      <c r="AU36" s="54">
        <v>0</v>
      </c>
      <c r="AV36" s="54">
        <v>0</v>
      </c>
      <c r="AW36" s="54">
        <v>0</v>
      </c>
      <c r="AX36" s="54">
        <f t="shared" si="9"/>
        <v>0</v>
      </c>
      <c r="AY36" s="49"/>
      <c r="AZ36" s="54"/>
      <c r="BA36" s="54"/>
      <c r="BB36" s="54"/>
      <c r="BC36" s="54"/>
      <c r="BD36" s="54"/>
      <c r="BE36" s="54"/>
      <c r="BF36" s="54"/>
      <c r="BG36" s="55" t="str">
        <f t="shared" si="2"/>
        <v>description: "Исправность", note: "Индикация исправности логического узла ОНМ НП", group: "status", minValue: null, maxValue: null, step: null, units: "null", defaultValue: null, eventRegistration: 0</v>
      </c>
    </row>
    <row r="37" spans="1:60" s="70" customFormat="1" ht="15.75" x14ac:dyDescent="0.25">
      <c r="A37" s="66"/>
      <c r="B37" s="110" t="s">
        <v>416</v>
      </c>
      <c r="C37" s="67"/>
      <c r="D37" s="74" t="s">
        <v>143</v>
      </c>
      <c r="E37" s="64" t="s">
        <v>209</v>
      </c>
      <c r="F37" s="64" t="s">
        <v>109</v>
      </c>
      <c r="G37" s="64" t="s">
        <v>109</v>
      </c>
      <c r="H37" s="67"/>
      <c r="I37" s="64">
        <f t="shared" si="0"/>
        <v>9</v>
      </c>
      <c r="J37" s="64" t="str">
        <f t="shared" si="1"/>
        <v>Поведение</v>
      </c>
      <c r="K37" s="68" t="s">
        <v>211</v>
      </c>
      <c r="L37" s="71" t="s">
        <v>75</v>
      </c>
      <c r="M37" s="69" t="s">
        <v>63</v>
      </c>
      <c r="N37" s="69" t="s">
        <v>64</v>
      </c>
      <c r="O37" s="69"/>
      <c r="P37" s="67"/>
      <c r="Q37" s="67"/>
      <c r="R37" s="69" t="s">
        <v>66</v>
      </c>
      <c r="S37" s="69" t="s">
        <v>66</v>
      </c>
      <c r="T37" s="69" t="s">
        <v>66</v>
      </c>
      <c r="U37" s="69" t="s">
        <v>66</v>
      </c>
      <c r="V37" s="67"/>
      <c r="W37" s="67"/>
      <c r="X37" s="69" t="s">
        <v>66</v>
      </c>
      <c r="Y37" s="69">
        <v>0</v>
      </c>
      <c r="Z37" s="67"/>
      <c r="AA37" s="63">
        <v>0</v>
      </c>
      <c r="AB37" s="63"/>
      <c r="AC37" s="63"/>
      <c r="AD37" s="63"/>
      <c r="AE37" s="63"/>
      <c r="AF37" s="63">
        <v>0</v>
      </c>
      <c r="AG37" s="63">
        <v>0</v>
      </c>
      <c r="AH37" s="63">
        <v>0</v>
      </c>
      <c r="AI37" s="75" t="s">
        <v>237</v>
      </c>
      <c r="AJ37" s="65" t="s">
        <v>251</v>
      </c>
      <c r="AK37" s="65" t="s">
        <v>104</v>
      </c>
      <c r="AL37" s="65" t="s">
        <v>83</v>
      </c>
      <c r="AM37" s="65" t="s">
        <v>84</v>
      </c>
      <c r="AN37" s="65" t="s">
        <v>85</v>
      </c>
      <c r="AO37" s="65" t="s">
        <v>86</v>
      </c>
      <c r="AP37" s="65" t="str">
        <f t="shared" si="8"/>
        <v>PHAR1.Beh.stVal</v>
      </c>
      <c r="AQ37" s="65" t="s">
        <v>82</v>
      </c>
      <c r="AR37" s="67">
        <v>0</v>
      </c>
      <c r="AS37" s="67">
        <v>0</v>
      </c>
      <c r="AT37" s="67">
        <v>0</v>
      </c>
      <c r="AU37" s="67">
        <v>0</v>
      </c>
      <c r="AV37" s="67">
        <v>0</v>
      </c>
      <c r="AW37" s="67">
        <v>0</v>
      </c>
      <c r="AX37" s="67">
        <f t="shared" si="9"/>
        <v>0</v>
      </c>
      <c r="AY37" s="73"/>
      <c r="AZ37" s="67"/>
      <c r="BA37" s="67"/>
      <c r="BB37" s="67"/>
      <c r="BC37" s="67"/>
      <c r="BD37" s="67"/>
      <c r="BE37" s="67"/>
      <c r="BF37" s="67"/>
      <c r="BG37" s="76" t="str">
        <f t="shared" si="2"/>
        <v>description: "Поведение", note: "Индикация поведения логического узла БНТ НП", group: "status", minValue: null, maxValue: null, step: null, units: "null", defaultValue: null, eventRegistration: 0</v>
      </c>
    </row>
    <row r="38" spans="1:60" s="70" customFormat="1" ht="15.75" x14ac:dyDescent="0.25">
      <c r="A38" s="66"/>
      <c r="B38" s="110" t="s">
        <v>416</v>
      </c>
      <c r="C38" s="67"/>
      <c r="D38" s="74" t="s">
        <v>143</v>
      </c>
      <c r="E38" s="64" t="s">
        <v>210</v>
      </c>
      <c r="F38" s="64" t="s">
        <v>110</v>
      </c>
      <c r="G38" s="64" t="s">
        <v>110</v>
      </c>
      <c r="H38" s="67"/>
      <c r="I38" s="64">
        <f t="shared" si="0"/>
        <v>11</v>
      </c>
      <c r="J38" s="64" t="str">
        <f t="shared" si="1"/>
        <v>Исправность</v>
      </c>
      <c r="K38" s="68" t="s">
        <v>212</v>
      </c>
      <c r="L38" s="71" t="s">
        <v>75</v>
      </c>
      <c r="M38" s="69" t="s">
        <v>63</v>
      </c>
      <c r="N38" s="69" t="s">
        <v>64</v>
      </c>
      <c r="O38" s="69"/>
      <c r="P38" s="72"/>
      <c r="Q38" s="72"/>
      <c r="R38" s="69" t="s">
        <v>66</v>
      </c>
      <c r="S38" s="69" t="s">
        <v>66</v>
      </c>
      <c r="T38" s="69" t="s">
        <v>66</v>
      </c>
      <c r="U38" s="69" t="s">
        <v>66</v>
      </c>
      <c r="V38" s="67"/>
      <c r="W38" s="67"/>
      <c r="X38" s="69" t="s">
        <v>66</v>
      </c>
      <c r="Y38" s="69">
        <v>0</v>
      </c>
      <c r="Z38" s="67"/>
      <c r="AA38" s="63">
        <v>0</v>
      </c>
      <c r="AB38" s="63"/>
      <c r="AC38" s="63"/>
      <c r="AD38" s="63"/>
      <c r="AE38" s="63"/>
      <c r="AF38" s="63">
        <v>0</v>
      </c>
      <c r="AG38" s="63">
        <v>0</v>
      </c>
      <c r="AH38" s="63">
        <v>0</v>
      </c>
      <c r="AI38" s="75" t="s">
        <v>237</v>
      </c>
      <c r="AJ38" s="65" t="s">
        <v>252</v>
      </c>
      <c r="AK38" s="65" t="s">
        <v>104</v>
      </c>
      <c r="AL38" s="65" t="s">
        <v>83</v>
      </c>
      <c r="AM38" s="65" t="s">
        <v>84</v>
      </c>
      <c r="AN38" s="65" t="s">
        <v>108</v>
      </c>
      <c r="AO38" s="65" t="s">
        <v>86</v>
      </c>
      <c r="AP38" s="65" t="str">
        <f t="shared" si="8"/>
        <v>PHAR1.Health.stVal</v>
      </c>
      <c r="AQ38" s="65" t="s">
        <v>82</v>
      </c>
      <c r="AR38" s="67">
        <v>0</v>
      </c>
      <c r="AS38" s="67">
        <v>0</v>
      </c>
      <c r="AT38" s="67">
        <v>0</v>
      </c>
      <c r="AU38" s="67">
        <v>0</v>
      </c>
      <c r="AV38" s="67">
        <v>0</v>
      </c>
      <c r="AW38" s="67">
        <v>0</v>
      </c>
      <c r="AX38" s="67">
        <f t="shared" si="9"/>
        <v>0</v>
      </c>
      <c r="AY38" s="73"/>
      <c r="AZ38" s="67"/>
      <c r="BA38" s="67"/>
      <c r="BB38" s="67"/>
      <c r="BC38" s="67"/>
      <c r="BD38" s="67"/>
      <c r="BE38" s="67"/>
      <c r="BF38" s="67"/>
      <c r="BG38" s="76" t="str">
        <f t="shared" si="2"/>
        <v>description: "Исправность", note: "Индикация исправности логического узла БНТ НП", group: "status", minValue: null, maxValue: null, step: null, units: "null", defaultValue: null, eventRegistration: 0</v>
      </c>
    </row>
    <row r="39" spans="1:60" s="92" customFormat="1" ht="15.75" x14ac:dyDescent="0.25">
      <c r="A39" s="78"/>
      <c r="B39" s="110" t="s">
        <v>416</v>
      </c>
      <c r="C39" s="79"/>
      <c r="D39" s="80" t="s">
        <v>142</v>
      </c>
      <c r="E39" s="81" t="s">
        <v>205</v>
      </c>
      <c r="F39" s="81" t="s">
        <v>109</v>
      </c>
      <c r="G39" s="81" t="s">
        <v>109</v>
      </c>
      <c r="H39" s="79"/>
      <c r="I39" s="81">
        <f t="shared" si="0"/>
        <v>9</v>
      </c>
      <c r="J39" s="81" t="str">
        <f t="shared" si="1"/>
        <v>Поведение</v>
      </c>
      <c r="K39" s="84" t="s">
        <v>207</v>
      </c>
      <c r="L39" s="85" t="s">
        <v>75</v>
      </c>
      <c r="M39" s="86" t="s">
        <v>63</v>
      </c>
      <c r="N39" s="86" t="s">
        <v>64</v>
      </c>
      <c r="O39" s="86"/>
      <c r="P39" s="79"/>
      <c r="Q39" s="79"/>
      <c r="R39" s="86" t="s">
        <v>66</v>
      </c>
      <c r="S39" s="86" t="s">
        <v>66</v>
      </c>
      <c r="T39" s="86" t="s">
        <v>66</v>
      </c>
      <c r="U39" s="86" t="s">
        <v>66</v>
      </c>
      <c r="V39" s="79"/>
      <c r="W39" s="79"/>
      <c r="X39" s="86" t="s">
        <v>66</v>
      </c>
      <c r="Y39" s="86">
        <v>0</v>
      </c>
      <c r="Z39" s="79"/>
      <c r="AA39" s="88">
        <v>0</v>
      </c>
      <c r="AB39" s="88"/>
      <c r="AC39" s="88"/>
      <c r="AD39" s="88"/>
      <c r="AE39" s="88"/>
      <c r="AF39" s="88">
        <v>0</v>
      </c>
      <c r="AG39" s="88">
        <v>0</v>
      </c>
      <c r="AH39" s="88">
        <v>0</v>
      </c>
      <c r="AI39" s="93" t="s">
        <v>239</v>
      </c>
      <c r="AJ39" s="89" t="s">
        <v>253</v>
      </c>
      <c r="AK39" s="89" t="s">
        <v>104</v>
      </c>
      <c r="AL39" s="89" t="s">
        <v>83</v>
      </c>
      <c r="AM39" s="89" t="s">
        <v>84</v>
      </c>
      <c r="AN39" s="89" t="s">
        <v>85</v>
      </c>
      <c r="AO39" s="89" t="s">
        <v>86</v>
      </c>
      <c r="AP39" s="89" t="str">
        <f>CONCATENATE(AJ39, ".", AL39)</f>
        <v>GAPC1.Beh.stVal</v>
      </c>
      <c r="AQ39" s="89" t="s">
        <v>82</v>
      </c>
      <c r="AR39" s="79">
        <v>0</v>
      </c>
      <c r="AS39" s="79">
        <v>0</v>
      </c>
      <c r="AT39" s="79">
        <v>0</v>
      </c>
      <c r="AU39" s="79">
        <v>0</v>
      </c>
      <c r="AV39" s="79">
        <v>0</v>
      </c>
      <c r="AW39" s="79">
        <v>0</v>
      </c>
      <c r="AX39" s="79">
        <f t="shared" si="9"/>
        <v>0</v>
      </c>
      <c r="AY39" s="90"/>
      <c r="AZ39" s="79"/>
      <c r="BA39" s="79"/>
      <c r="BB39" s="79"/>
      <c r="BC39" s="79"/>
      <c r="BD39" s="79"/>
      <c r="BE39" s="79"/>
      <c r="BF39" s="79"/>
      <c r="BG39" s="91" t="str">
        <f t="shared" si="2"/>
        <v>description: "Поведение", note: "Индикация поведения логического узла БЧС", group: "status", minValue: null, maxValue: null, step: null, units: "null", defaultValue: null, eventRegistration: 0</v>
      </c>
    </row>
    <row r="40" spans="1:60" s="92" customFormat="1" ht="15.75" x14ac:dyDescent="0.25">
      <c r="A40" s="78"/>
      <c r="B40" s="110" t="s">
        <v>416</v>
      </c>
      <c r="C40" s="79"/>
      <c r="D40" s="80" t="s">
        <v>142</v>
      </c>
      <c r="E40" s="81" t="s">
        <v>206</v>
      </c>
      <c r="F40" s="81" t="s">
        <v>110</v>
      </c>
      <c r="G40" s="81" t="s">
        <v>110</v>
      </c>
      <c r="H40" s="79"/>
      <c r="I40" s="81">
        <f t="shared" si="0"/>
        <v>11</v>
      </c>
      <c r="J40" s="81" t="str">
        <f t="shared" si="1"/>
        <v>Исправность</v>
      </c>
      <c r="K40" s="84" t="s">
        <v>208</v>
      </c>
      <c r="L40" s="85" t="s">
        <v>75</v>
      </c>
      <c r="M40" s="86" t="s">
        <v>63</v>
      </c>
      <c r="N40" s="86" t="s">
        <v>64</v>
      </c>
      <c r="O40" s="86"/>
      <c r="P40" s="87"/>
      <c r="Q40" s="87"/>
      <c r="R40" s="86" t="s">
        <v>66</v>
      </c>
      <c r="S40" s="86" t="s">
        <v>66</v>
      </c>
      <c r="T40" s="86" t="s">
        <v>66</v>
      </c>
      <c r="U40" s="86" t="s">
        <v>66</v>
      </c>
      <c r="V40" s="79"/>
      <c r="W40" s="79"/>
      <c r="X40" s="86" t="s">
        <v>66</v>
      </c>
      <c r="Y40" s="86">
        <v>0</v>
      </c>
      <c r="Z40" s="79"/>
      <c r="AA40" s="88">
        <v>0</v>
      </c>
      <c r="AB40" s="88"/>
      <c r="AC40" s="88"/>
      <c r="AD40" s="88"/>
      <c r="AE40" s="88"/>
      <c r="AF40" s="88">
        <v>0</v>
      </c>
      <c r="AG40" s="88">
        <v>0</v>
      </c>
      <c r="AH40" s="88">
        <v>0</v>
      </c>
      <c r="AI40" s="93" t="s">
        <v>239</v>
      </c>
      <c r="AJ40" s="89" t="s">
        <v>254</v>
      </c>
      <c r="AK40" s="89" t="s">
        <v>104</v>
      </c>
      <c r="AL40" s="89" t="s">
        <v>83</v>
      </c>
      <c r="AM40" s="89" t="s">
        <v>84</v>
      </c>
      <c r="AN40" s="89" t="s">
        <v>108</v>
      </c>
      <c r="AO40" s="89" t="s">
        <v>86</v>
      </c>
      <c r="AP40" s="89" t="str">
        <f>CONCATENATE(AJ40, ".", AL40)</f>
        <v>GAPC1.Health.stVal</v>
      </c>
      <c r="AQ40" s="89" t="s">
        <v>82</v>
      </c>
      <c r="AR40" s="79">
        <v>0</v>
      </c>
      <c r="AS40" s="79">
        <v>0</v>
      </c>
      <c r="AT40" s="79">
        <v>0</v>
      </c>
      <c r="AU40" s="79">
        <v>0</v>
      </c>
      <c r="AV40" s="79">
        <v>0</v>
      </c>
      <c r="AW40" s="79">
        <v>0</v>
      </c>
      <c r="AX40" s="79">
        <f t="shared" si="9"/>
        <v>0</v>
      </c>
      <c r="AY40" s="90"/>
      <c r="AZ40" s="79"/>
      <c r="BA40" s="79"/>
      <c r="BB40" s="79"/>
      <c r="BC40" s="79"/>
      <c r="BD40" s="79"/>
      <c r="BE40" s="79"/>
      <c r="BF40" s="79"/>
      <c r="BG40" s="91" t="str">
        <f t="shared" si="2"/>
        <v>description: "Исправность", note: "Индикация исправности логического узла БЧС", group: "status", minValue: null, maxValue: null, step: null, units: "null", defaultValue: null, eventRegistration: 0</v>
      </c>
    </row>
    <row r="41" spans="1:60" s="56" customFormat="1" ht="15.75" x14ac:dyDescent="0.25">
      <c r="A41" s="44"/>
      <c r="B41" s="110" t="s">
        <v>416</v>
      </c>
      <c r="C41" s="54"/>
      <c r="D41" s="46" t="s">
        <v>284</v>
      </c>
      <c r="E41" s="47" t="s">
        <v>288</v>
      </c>
      <c r="F41" s="47" t="s">
        <v>109</v>
      </c>
      <c r="G41" s="47" t="s">
        <v>109</v>
      </c>
      <c r="H41" s="54"/>
      <c r="I41" s="47">
        <f t="shared" si="0"/>
        <v>9</v>
      </c>
      <c r="J41" s="47" t="str">
        <f t="shared" si="1"/>
        <v>Поведение</v>
      </c>
      <c r="K41" s="50" t="s">
        <v>395</v>
      </c>
      <c r="L41" s="48" t="s">
        <v>75</v>
      </c>
      <c r="M41" s="45" t="s">
        <v>63</v>
      </c>
      <c r="N41" s="45" t="s">
        <v>64</v>
      </c>
      <c r="O41" s="45"/>
      <c r="P41" s="54"/>
      <c r="Q41" s="54"/>
      <c r="R41" s="45" t="s">
        <v>66</v>
      </c>
      <c r="S41" s="45" t="s">
        <v>66</v>
      </c>
      <c r="T41" s="45" t="s">
        <v>66</v>
      </c>
      <c r="U41" s="45" t="s">
        <v>66</v>
      </c>
      <c r="V41" s="54"/>
      <c r="W41" s="54"/>
      <c r="X41" s="45" t="s">
        <v>66</v>
      </c>
      <c r="Y41" s="45">
        <v>0</v>
      </c>
      <c r="Z41" s="54"/>
      <c r="AA41" s="51">
        <v>0</v>
      </c>
      <c r="AB41" s="51"/>
      <c r="AC41" s="51"/>
      <c r="AD41" s="51"/>
      <c r="AE41" s="51"/>
      <c r="AF41" s="51">
        <v>0</v>
      </c>
      <c r="AG41" s="51">
        <v>0</v>
      </c>
      <c r="AH41" s="51">
        <v>0</v>
      </c>
      <c r="AI41" s="52" t="s">
        <v>388</v>
      </c>
      <c r="AJ41" s="53" t="s">
        <v>391</v>
      </c>
      <c r="AK41" s="53" t="s">
        <v>104</v>
      </c>
      <c r="AL41" s="53" t="s">
        <v>83</v>
      </c>
      <c r="AM41" s="53" t="s">
        <v>84</v>
      </c>
      <c r="AN41" s="53" t="s">
        <v>85</v>
      </c>
      <c r="AO41" s="53" t="s">
        <v>86</v>
      </c>
      <c r="AP41" s="53" t="str">
        <f t="shared" ref="AP41:AP42" si="11">CONCATENATE(AJ41, ".", AL41)</f>
        <v>OPAPSSU1.Beh.stVal</v>
      </c>
      <c r="AQ41" s="53" t="s">
        <v>82</v>
      </c>
      <c r="AR41" s="54">
        <v>0</v>
      </c>
      <c r="AS41" s="54">
        <v>0</v>
      </c>
      <c r="AT41" s="54">
        <v>0</v>
      </c>
      <c r="AU41" s="54">
        <v>0</v>
      </c>
      <c r="AV41" s="54">
        <v>0</v>
      </c>
      <c r="AW41" s="54">
        <v>0</v>
      </c>
      <c r="AX41" s="54">
        <f t="shared" si="9"/>
        <v>0</v>
      </c>
      <c r="AY41" s="49"/>
      <c r="AZ41" s="54"/>
      <c r="BA41" s="54"/>
      <c r="BB41" s="54"/>
      <c r="BC41" s="54"/>
      <c r="BD41" s="54"/>
      <c r="BE41" s="54"/>
      <c r="BF41" s="54"/>
      <c r="BG41" s="55" t="str">
        <f t="shared" si="2"/>
        <v>description: "Поведение", note: "Индикация поведения логического узла ОУ ТЗНП", group: "status", minValue: null, maxValue: null, step: null, units: "null", defaultValue: null, eventRegistration: 0</v>
      </c>
    </row>
    <row r="42" spans="1:60" s="56" customFormat="1" ht="15.75" x14ac:dyDescent="0.25">
      <c r="A42" s="44"/>
      <c r="B42" s="110" t="s">
        <v>416</v>
      </c>
      <c r="C42" s="54"/>
      <c r="D42" s="46" t="s">
        <v>284</v>
      </c>
      <c r="E42" s="47" t="s">
        <v>289</v>
      </c>
      <c r="F42" s="47" t="s">
        <v>110</v>
      </c>
      <c r="G42" s="47" t="s">
        <v>110</v>
      </c>
      <c r="H42" s="54"/>
      <c r="I42" s="47">
        <f t="shared" si="0"/>
        <v>11</v>
      </c>
      <c r="J42" s="47" t="str">
        <f t="shared" si="1"/>
        <v>Исправность</v>
      </c>
      <c r="K42" s="50" t="s">
        <v>396</v>
      </c>
      <c r="L42" s="48" t="s">
        <v>75</v>
      </c>
      <c r="M42" s="45" t="s">
        <v>63</v>
      </c>
      <c r="N42" s="45" t="s">
        <v>64</v>
      </c>
      <c r="O42" s="45"/>
      <c r="P42" s="59"/>
      <c r="Q42" s="59"/>
      <c r="R42" s="45" t="s">
        <v>66</v>
      </c>
      <c r="S42" s="45" t="s">
        <v>66</v>
      </c>
      <c r="T42" s="45" t="s">
        <v>66</v>
      </c>
      <c r="U42" s="45" t="s">
        <v>66</v>
      </c>
      <c r="V42" s="54"/>
      <c r="W42" s="54"/>
      <c r="X42" s="45" t="s">
        <v>66</v>
      </c>
      <c r="Y42" s="45">
        <v>0</v>
      </c>
      <c r="Z42" s="54"/>
      <c r="AA42" s="51">
        <v>0</v>
      </c>
      <c r="AB42" s="51"/>
      <c r="AC42" s="51"/>
      <c r="AD42" s="51"/>
      <c r="AE42" s="51"/>
      <c r="AF42" s="51">
        <v>0</v>
      </c>
      <c r="AG42" s="51">
        <v>0</v>
      </c>
      <c r="AH42" s="51">
        <v>0</v>
      </c>
      <c r="AI42" s="52" t="s">
        <v>388</v>
      </c>
      <c r="AJ42" s="53" t="s">
        <v>392</v>
      </c>
      <c r="AK42" s="53" t="s">
        <v>104</v>
      </c>
      <c r="AL42" s="53" t="s">
        <v>83</v>
      </c>
      <c r="AM42" s="53" t="s">
        <v>84</v>
      </c>
      <c r="AN42" s="53" t="s">
        <v>108</v>
      </c>
      <c r="AO42" s="53" t="s">
        <v>86</v>
      </c>
      <c r="AP42" s="53" t="str">
        <f t="shared" si="11"/>
        <v>OPAPSSU1.Health.stVal</v>
      </c>
      <c r="AQ42" s="53" t="s">
        <v>82</v>
      </c>
      <c r="AR42" s="54">
        <v>0</v>
      </c>
      <c r="AS42" s="54">
        <v>0</v>
      </c>
      <c r="AT42" s="54">
        <v>0</v>
      </c>
      <c r="AU42" s="54">
        <v>0</v>
      </c>
      <c r="AV42" s="54">
        <v>0</v>
      </c>
      <c r="AW42" s="54">
        <v>0</v>
      </c>
      <c r="AX42" s="54">
        <f t="shared" si="9"/>
        <v>0</v>
      </c>
      <c r="AY42" s="49"/>
      <c r="AZ42" s="54"/>
      <c r="BA42" s="54"/>
      <c r="BB42" s="54"/>
      <c r="BC42" s="54"/>
      <c r="BD42" s="54"/>
      <c r="BE42" s="54"/>
      <c r="BF42" s="54"/>
      <c r="BG42" s="55" t="str">
        <f t="shared" si="2"/>
        <v>description: "Исправность", note: "Индикация исправности логического узла ОУ ТЗНП", group: "status", minValue: null, maxValue: null, step: null, units: "null", defaultValue: null, eventRegistration: 0</v>
      </c>
    </row>
    <row r="43" spans="1:60" s="41" customFormat="1" ht="15.75" x14ac:dyDescent="0.25">
      <c r="A43" s="40"/>
      <c r="B43" s="40"/>
      <c r="C43" s="40"/>
      <c r="D43" s="40"/>
      <c r="R43" s="70"/>
      <c r="S43" s="22"/>
      <c r="T43" s="22"/>
      <c r="U43" s="22"/>
      <c r="V43" s="22"/>
      <c r="W43" s="22"/>
      <c r="X43" s="22"/>
      <c r="Y43" s="22"/>
      <c r="Z43" s="40"/>
      <c r="AA43" s="22"/>
      <c r="AB43" s="22"/>
      <c r="AC43" s="22"/>
      <c r="AD43" s="22"/>
      <c r="AE43" s="22"/>
      <c r="AF43" s="22"/>
      <c r="AG43" s="22"/>
      <c r="AH43" s="40"/>
      <c r="AI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3"/>
      <c r="BC43" s="22"/>
      <c r="BD43" s="23"/>
      <c r="BE43" s="22"/>
      <c r="BF43" s="22"/>
      <c r="BG43" s="40"/>
      <c r="BH43" s="40"/>
    </row>
    <row r="44" spans="1:60" s="41" customFormat="1" ht="15.75" x14ac:dyDescent="0.25">
      <c r="A44" s="40"/>
      <c r="B44" s="40"/>
      <c r="C44" s="40"/>
      <c r="D44" s="40"/>
      <c r="R44" s="70"/>
      <c r="S44" s="22"/>
      <c r="T44" s="22"/>
      <c r="U44" s="22"/>
      <c r="V44" s="22"/>
      <c r="W44" s="22"/>
      <c r="X44" s="22"/>
      <c r="Y44" s="22"/>
      <c r="Z44" s="40"/>
      <c r="AA44" s="22"/>
      <c r="AB44" s="22"/>
      <c r="AC44" s="22"/>
      <c r="AD44" s="22"/>
      <c r="AE44" s="22"/>
      <c r="AF44" s="22"/>
      <c r="AG44" s="22"/>
      <c r="AH44" s="40"/>
      <c r="AI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3"/>
      <c r="BC44" s="22"/>
      <c r="BD44" s="23"/>
      <c r="BE44" s="22"/>
      <c r="BF44" s="22"/>
      <c r="BG44" s="40"/>
      <c r="BH44" s="40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7"/>
      <c r="BC45" s="4"/>
      <c r="BD45" s="1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7"/>
      <c r="BC46" s="4"/>
      <c r="BD46" s="1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7"/>
      <c r="BC47" s="4"/>
      <c r="BD47" s="1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7"/>
      <c r="BC48" s="4"/>
      <c r="BD48" s="1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7"/>
      <c r="BC49" s="4"/>
      <c r="BD49" s="1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7"/>
      <c r="BC50" s="4"/>
      <c r="BD50" s="1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7"/>
      <c r="BC51" s="4"/>
      <c r="BD51" s="1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7"/>
      <c r="BC52" s="4"/>
      <c r="BD52" s="1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7"/>
      <c r="BC53" s="4"/>
      <c r="BD53" s="1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7"/>
      <c r="BC54" s="4"/>
      <c r="BD54" s="1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7"/>
      <c r="BC55" s="4"/>
      <c r="BD55" s="1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7"/>
      <c r="BC56" s="4"/>
      <c r="BD56" s="1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7"/>
      <c r="BC57" s="4"/>
      <c r="BD57" s="1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7"/>
      <c r="BC58" s="4"/>
      <c r="BD58" s="1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7"/>
      <c r="BC59" s="4"/>
      <c r="BD59" s="1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7"/>
      <c r="BC60" s="4"/>
      <c r="BD60" s="1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7"/>
      <c r="BC61" s="4"/>
      <c r="BD61" s="1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7"/>
      <c r="BC62" s="4"/>
      <c r="BD62" s="1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7"/>
      <c r="BC63" s="4"/>
      <c r="BD63" s="1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7"/>
      <c r="BC64" s="4"/>
      <c r="BD64" s="1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7"/>
      <c r="BC65" s="4"/>
      <c r="BD65" s="1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7"/>
      <c r="BC66" s="4"/>
      <c r="BD66" s="1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7"/>
      <c r="BC67" s="4"/>
      <c r="BD67" s="1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7"/>
      <c r="BC68" s="4"/>
      <c r="BD68" s="1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7"/>
      <c r="BC69" s="4"/>
      <c r="BD69" s="1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7"/>
      <c r="BC70" s="4"/>
      <c r="BD70" s="1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7"/>
      <c r="BC71" s="4"/>
      <c r="BD71" s="1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7"/>
      <c r="BC72" s="4"/>
      <c r="BD72" s="1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7"/>
      <c r="BC73" s="4"/>
      <c r="BD73" s="1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7"/>
      <c r="BC74" s="4"/>
      <c r="BD74" s="1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7"/>
      <c r="BC75" s="4"/>
      <c r="BD75" s="1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7"/>
      <c r="BC76" s="4"/>
      <c r="BD76" s="1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7"/>
      <c r="BC77" s="4"/>
      <c r="BD77" s="1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7"/>
      <c r="BC78" s="4"/>
      <c r="BD78" s="1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7"/>
      <c r="BC79" s="4"/>
      <c r="BD79" s="1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7"/>
      <c r="BC80" s="4"/>
      <c r="BD80" s="1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7"/>
      <c r="BC81" s="4"/>
      <c r="BD81" s="1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7"/>
      <c r="BC82" s="4"/>
      <c r="BD82" s="1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7"/>
      <c r="BC83" s="4"/>
      <c r="BD83" s="1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7"/>
      <c r="BC84" s="4"/>
      <c r="BD84" s="1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7"/>
      <c r="BC85" s="4"/>
      <c r="BD85" s="1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7"/>
      <c r="BC86" s="4"/>
      <c r="BD86" s="1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7"/>
      <c r="BC87" s="4"/>
      <c r="BD87" s="1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7"/>
      <c r="BC88" s="4"/>
      <c r="BD88" s="1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7"/>
      <c r="BC89" s="4"/>
      <c r="BD89" s="1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7"/>
      <c r="BC90" s="4"/>
      <c r="BD90" s="1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7"/>
      <c r="BC91" s="4"/>
      <c r="BD91" s="1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7"/>
      <c r="BC92" s="4"/>
      <c r="BD92" s="1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7"/>
      <c r="BC93" s="4"/>
      <c r="BD93" s="1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7"/>
      <c r="BC94" s="4"/>
      <c r="BD94" s="1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7"/>
      <c r="BC95" s="4"/>
      <c r="BD95" s="1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7"/>
      <c r="BC96" s="4"/>
      <c r="BD96" s="1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7"/>
      <c r="BC97" s="4"/>
      <c r="BD97" s="1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7"/>
      <c r="BC98" s="4"/>
      <c r="BD98" s="1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7"/>
      <c r="BC99" s="4"/>
      <c r="BD99" s="1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7"/>
      <c r="BC100" s="4"/>
      <c r="BD100" s="1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7"/>
      <c r="BC101" s="4"/>
      <c r="BD101" s="1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7"/>
      <c r="BC102" s="4"/>
      <c r="BD102" s="1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7"/>
      <c r="BC103" s="4"/>
      <c r="BD103" s="1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7"/>
      <c r="BC104" s="4"/>
      <c r="BD104" s="1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7"/>
      <c r="BC105" s="4"/>
      <c r="BD105" s="1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7"/>
      <c r="BC106" s="4"/>
      <c r="BD106" s="1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7"/>
      <c r="BC107" s="4"/>
      <c r="BD107" s="1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7"/>
      <c r="BC108" s="4"/>
      <c r="BD108" s="1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7"/>
      <c r="BC109" s="4"/>
      <c r="BD109" s="1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7"/>
      <c r="BC110" s="4"/>
      <c r="BD110" s="1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7"/>
      <c r="BC111" s="4"/>
      <c r="BD111" s="1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7"/>
      <c r="BC112" s="4"/>
      <c r="BD112" s="1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7"/>
      <c r="BC113" s="4"/>
      <c r="BD113" s="1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7"/>
      <c r="BC114" s="4"/>
      <c r="BD114" s="1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7"/>
      <c r="BC115" s="4"/>
      <c r="BD115" s="1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7"/>
      <c r="BC116" s="4"/>
      <c r="BD116" s="1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7"/>
      <c r="BC117" s="4"/>
      <c r="BD117" s="1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7"/>
      <c r="BC118" s="4"/>
      <c r="BD118" s="1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7"/>
      <c r="BC119" s="4"/>
      <c r="BD119" s="1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7"/>
      <c r="BC120" s="4"/>
      <c r="BD120" s="1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7"/>
      <c r="BC121" s="4"/>
      <c r="BD121" s="1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7"/>
      <c r="BC122" s="4"/>
      <c r="BD122" s="1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7"/>
      <c r="BC123" s="4"/>
      <c r="BD123" s="1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7"/>
      <c r="BC124" s="4"/>
      <c r="BD124" s="1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7"/>
      <c r="BC125" s="4"/>
      <c r="BD125" s="1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7"/>
      <c r="BC126" s="4"/>
      <c r="BD126" s="1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7"/>
      <c r="BC127" s="4"/>
      <c r="BD127" s="1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7"/>
      <c r="BC128" s="4"/>
      <c r="BD128" s="1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7"/>
      <c r="BC129" s="4"/>
      <c r="BD129" s="1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7"/>
      <c r="BC130" s="4"/>
      <c r="BD130" s="1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7"/>
      <c r="BC131" s="4"/>
      <c r="BD131" s="1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7"/>
      <c r="BC132" s="4"/>
      <c r="BD132" s="1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7"/>
      <c r="BC133" s="4"/>
      <c r="BD133" s="1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7"/>
      <c r="BC134" s="4"/>
      <c r="BD134" s="1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7"/>
      <c r="BC135" s="4"/>
      <c r="BD135" s="1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7"/>
      <c r="BC136" s="4"/>
      <c r="BD136" s="1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7"/>
      <c r="BC137" s="4"/>
      <c r="BD137" s="1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7"/>
      <c r="BC138" s="4"/>
      <c r="BD138" s="1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7"/>
      <c r="BC139" s="4"/>
      <c r="BD139" s="1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7"/>
      <c r="BC140" s="4"/>
      <c r="BD140" s="1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7"/>
      <c r="BC141" s="4"/>
      <c r="BD141" s="1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7"/>
      <c r="BC142" s="4"/>
      <c r="BD142" s="1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7"/>
      <c r="BC143" s="4"/>
      <c r="BD143" s="1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7"/>
      <c r="BC144" s="4"/>
      <c r="BD144" s="1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7"/>
      <c r="BC145" s="4"/>
      <c r="BD145" s="1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7"/>
      <c r="BC146" s="4"/>
      <c r="BD146" s="1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7"/>
      <c r="BC147" s="4"/>
      <c r="BD147" s="1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7"/>
      <c r="BC148" s="4"/>
      <c r="BD148" s="1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7"/>
      <c r="BC149" s="4"/>
      <c r="BD149" s="1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7"/>
      <c r="BC150" s="4"/>
      <c r="BD150" s="1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7"/>
      <c r="BC151" s="4"/>
      <c r="BD151" s="1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7"/>
      <c r="BC152" s="4"/>
      <c r="BD152" s="1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7"/>
      <c r="BC153" s="4"/>
      <c r="BD153" s="1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7"/>
      <c r="BC154" s="4"/>
      <c r="BD154" s="1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7"/>
      <c r="BC155" s="4"/>
      <c r="BD155" s="1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7"/>
      <c r="BC156" s="4"/>
      <c r="BD156" s="1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7"/>
      <c r="BC157" s="4"/>
      <c r="BD157" s="1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7"/>
      <c r="BC158" s="4"/>
      <c r="BD158" s="1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7"/>
      <c r="BC159" s="4"/>
      <c r="BD159" s="1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7"/>
      <c r="BC160" s="4"/>
      <c r="BD160" s="1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7"/>
      <c r="BC161" s="4"/>
      <c r="BD161" s="1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7"/>
      <c r="BC162" s="4"/>
      <c r="BD162" s="1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7"/>
      <c r="BC163" s="4"/>
      <c r="BD163" s="1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7"/>
      <c r="BC164" s="4"/>
      <c r="BD164" s="1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7"/>
      <c r="BC165" s="4"/>
      <c r="BD165" s="1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7"/>
      <c r="BC166" s="4"/>
      <c r="BD166" s="1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7"/>
      <c r="BC167" s="4"/>
      <c r="BD167" s="1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7"/>
      <c r="BC168" s="4"/>
      <c r="BD168" s="1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7"/>
      <c r="BC169" s="4"/>
      <c r="BD169" s="1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7"/>
      <c r="BC170" s="4"/>
      <c r="BD170" s="1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7"/>
      <c r="BC171" s="4"/>
      <c r="BD171" s="1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7"/>
      <c r="BC172" s="4"/>
      <c r="BD172" s="1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7"/>
      <c r="BC173" s="4"/>
      <c r="BD173" s="1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7"/>
      <c r="BC174" s="4"/>
      <c r="BD174" s="1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7"/>
      <c r="BC175" s="4"/>
      <c r="BD175" s="1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7"/>
      <c r="BC176" s="4"/>
      <c r="BD176" s="1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7"/>
      <c r="BC177" s="4"/>
      <c r="BD177" s="1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7"/>
      <c r="BC178" s="4"/>
      <c r="BD178" s="1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7"/>
      <c r="BC179" s="4"/>
      <c r="BD179" s="1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17"/>
      <c r="BC180" s="4"/>
      <c r="BD180" s="1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17"/>
      <c r="BC181" s="4"/>
      <c r="BD181" s="1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17"/>
      <c r="BC182" s="4"/>
      <c r="BD182" s="1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17"/>
      <c r="BC183" s="4"/>
      <c r="BD183" s="1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17"/>
      <c r="BC184" s="4"/>
      <c r="BD184" s="1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17"/>
      <c r="BC185" s="4"/>
      <c r="BD185" s="1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17"/>
      <c r="BC186" s="4"/>
      <c r="BD186" s="1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17"/>
      <c r="BC187" s="4"/>
      <c r="BD187" s="1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17"/>
      <c r="BC188" s="4"/>
      <c r="BD188" s="1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17"/>
      <c r="BC189" s="4"/>
      <c r="BD189" s="1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17"/>
      <c r="BC190" s="4"/>
      <c r="BD190" s="1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17"/>
      <c r="BC191" s="4"/>
      <c r="BD191" s="1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17"/>
      <c r="BC192" s="4"/>
      <c r="BD192" s="1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17"/>
      <c r="BC193" s="4"/>
      <c r="BD193" s="1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17"/>
      <c r="BC194" s="4"/>
      <c r="BD194" s="1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17"/>
      <c r="BC195" s="4"/>
      <c r="BD195" s="1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17"/>
      <c r="BC196" s="4"/>
      <c r="BD196" s="1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17"/>
      <c r="BC197" s="4"/>
      <c r="BD197" s="1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17"/>
      <c r="BC198" s="4"/>
      <c r="BD198" s="1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17"/>
      <c r="BC199" s="4"/>
      <c r="BD199" s="1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4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7"/>
      <c r="BC200" s="4"/>
      <c r="BD200" s="1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7"/>
      <c r="BC201" s="4"/>
      <c r="BD201" s="1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7"/>
      <c r="BC202" s="4"/>
      <c r="BD202" s="1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4"/>
      <c r="AB203" s="4"/>
      <c r="AC203" s="4"/>
      <c r="AD203" s="4"/>
      <c r="AE203" s="4"/>
      <c r="AF203" s="4"/>
      <c r="AG203" s="4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7"/>
      <c r="BC203" s="4"/>
      <c r="BD203" s="1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4"/>
      <c r="AB204" s="4"/>
      <c r="AC204" s="4"/>
      <c r="AD204" s="4"/>
      <c r="AE204" s="4"/>
      <c r="AF204" s="4"/>
      <c r="AG204" s="4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7"/>
      <c r="BC204" s="4"/>
      <c r="BD204" s="1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4"/>
      <c r="AB205" s="4"/>
      <c r="AC205" s="4"/>
      <c r="AD205" s="4"/>
      <c r="AE205" s="4"/>
      <c r="AF205" s="4"/>
      <c r="AG205" s="4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7"/>
      <c r="BC205" s="4"/>
      <c r="BD205" s="1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4"/>
      <c r="AB206" s="4"/>
      <c r="AC206" s="4"/>
      <c r="AD206" s="4"/>
      <c r="AE206" s="4"/>
      <c r="AF206" s="4"/>
      <c r="AG206" s="4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7"/>
      <c r="BC206" s="4"/>
      <c r="BD206" s="1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4"/>
      <c r="AB207" s="4"/>
      <c r="AC207" s="4"/>
      <c r="AD207" s="4"/>
      <c r="AE207" s="4"/>
      <c r="AF207" s="4"/>
      <c r="AG207" s="4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7"/>
      <c r="BC207" s="4"/>
      <c r="BD207" s="1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4"/>
      <c r="AB208" s="4"/>
      <c r="AC208" s="4"/>
      <c r="AD208" s="4"/>
      <c r="AE208" s="4"/>
      <c r="AF208" s="4"/>
      <c r="AG208" s="4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7"/>
      <c r="BC208" s="4"/>
      <c r="BD208" s="1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4"/>
      <c r="AB209" s="4"/>
      <c r="AC209" s="4"/>
      <c r="AD209" s="4"/>
      <c r="AE209" s="4"/>
      <c r="AF209" s="4"/>
      <c r="AG209" s="4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7"/>
      <c r="BC209" s="4"/>
      <c r="BD209" s="1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4"/>
      <c r="AB210" s="4"/>
      <c r="AC210" s="4"/>
      <c r="AD210" s="4"/>
      <c r="AE210" s="4"/>
      <c r="AF210" s="4"/>
      <c r="AG210" s="4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7"/>
      <c r="BC210" s="4"/>
      <c r="BD210" s="1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4"/>
      <c r="AB211" s="4"/>
      <c r="AC211" s="4"/>
      <c r="AD211" s="4"/>
      <c r="AE211" s="4"/>
      <c r="AF211" s="4"/>
      <c r="AG211" s="4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7"/>
      <c r="BC211" s="4"/>
      <c r="BD211" s="1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7"/>
      <c r="BC212" s="4"/>
      <c r="BD212" s="1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7"/>
      <c r="BC213" s="4"/>
      <c r="BD213" s="1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7"/>
      <c r="BC214" s="4"/>
      <c r="BD214" s="1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7"/>
      <c r="BC215" s="4"/>
      <c r="BD215" s="17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7"/>
      <c r="BC216" s="4"/>
      <c r="BD216" s="17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7"/>
      <c r="BC217" s="4"/>
      <c r="BD217" s="17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7"/>
      <c r="BC218" s="4"/>
      <c r="BD218" s="17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17"/>
      <c r="BC219" s="4"/>
      <c r="BD219" s="17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17"/>
      <c r="BC220" s="4"/>
      <c r="BD220" s="17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17"/>
      <c r="BC221" s="4"/>
      <c r="BD221" s="17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17"/>
      <c r="BC222" s="4"/>
      <c r="BD222" s="17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17"/>
      <c r="BC223" s="4"/>
      <c r="BD223" s="17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17"/>
      <c r="BC224" s="4"/>
      <c r="BD224" s="17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17"/>
      <c r="BC225" s="4"/>
      <c r="BD225" s="17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17"/>
      <c r="BC226" s="4"/>
      <c r="BD226" s="17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17"/>
      <c r="BC227" s="4"/>
      <c r="BD227" s="17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R228" s="1"/>
      <c r="AS228" s="1"/>
      <c r="AT228" s="1"/>
      <c r="AU228" s="1"/>
      <c r="AV228" s="1"/>
      <c r="AW228" s="1"/>
      <c r="AX228" s="1"/>
      <c r="AY228" s="4"/>
      <c r="AZ228" s="4"/>
      <c r="BA228" s="4"/>
      <c r="BB228" s="17"/>
      <c r="BC228" s="4"/>
      <c r="BD228" s="17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R229" s="1"/>
      <c r="AS229" s="1"/>
      <c r="AT229" s="1"/>
      <c r="AU229" s="1"/>
      <c r="AV229" s="1"/>
      <c r="AW229" s="1"/>
      <c r="AX229" s="1"/>
      <c r="AY229" s="4"/>
      <c r="AZ229" s="4"/>
      <c r="BA229" s="4"/>
      <c r="BB229" s="17"/>
      <c r="BC229" s="4"/>
      <c r="BD229" s="17"/>
      <c r="BE229" s="4"/>
      <c r="BF229" s="4"/>
      <c r="BG229" s="1"/>
      <c r="BH229" s="1"/>
    </row>
    <row r="230" spans="1:60" s="2" customFormat="1" ht="15.75" x14ac:dyDescent="0.25">
      <c r="A230" s="1"/>
      <c r="B230" s="1"/>
      <c r="C230" s="1"/>
      <c r="D230" s="1"/>
      <c r="R230" s="3"/>
      <c r="S230" s="4"/>
      <c r="T230" s="4"/>
      <c r="U230" s="4"/>
      <c r="V230" s="4"/>
      <c r="W230" s="4"/>
      <c r="X230" s="4"/>
      <c r="Y230" s="4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R230" s="1"/>
      <c r="AS230" s="1"/>
      <c r="AT230" s="1"/>
      <c r="AU230" s="1"/>
      <c r="AV230" s="1"/>
      <c r="AW230" s="1"/>
      <c r="AX230" s="1"/>
      <c r="AY230" s="4"/>
      <c r="AZ230" s="4"/>
      <c r="BA230" s="4"/>
      <c r="BB230" s="17"/>
      <c r="BC230" s="4"/>
      <c r="BD230" s="17"/>
      <c r="BE230" s="4"/>
      <c r="BF230" s="4"/>
      <c r="BG230" s="1"/>
      <c r="BH230" s="1"/>
    </row>
    <row r="231" spans="1:60" s="2" customFormat="1" ht="15.75" x14ac:dyDescent="0.25">
      <c r="A231" s="1"/>
      <c r="B231" s="1"/>
      <c r="C231" s="1"/>
      <c r="D231" s="1"/>
      <c r="R231" s="3"/>
      <c r="S231" s="4"/>
      <c r="T231" s="4"/>
      <c r="U231" s="4"/>
      <c r="V231" s="4"/>
      <c r="W231" s="4"/>
      <c r="X231" s="4"/>
      <c r="Y231" s="4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R231" s="1"/>
      <c r="AS231" s="1"/>
      <c r="AT231" s="1"/>
      <c r="AU231" s="1"/>
      <c r="AV231" s="1"/>
      <c r="AW231" s="1"/>
      <c r="AX231" s="1"/>
      <c r="AY231" s="4"/>
      <c r="AZ231" s="4"/>
      <c r="BA231" s="4"/>
      <c r="BB231" s="17"/>
      <c r="BC231" s="4"/>
      <c r="BD231" s="17"/>
      <c r="BE231" s="4"/>
      <c r="BF231" s="4"/>
      <c r="BG231" s="1"/>
      <c r="BH231" s="1"/>
    </row>
    <row r="232" spans="1:60" s="2" customFormat="1" ht="15.75" x14ac:dyDescent="0.25">
      <c r="A232" s="1"/>
      <c r="B232" s="1"/>
      <c r="C232" s="1"/>
      <c r="D232" s="1"/>
      <c r="R232" s="3"/>
      <c r="S232" s="4"/>
      <c r="T232" s="4"/>
      <c r="U232" s="4"/>
      <c r="V232" s="4"/>
      <c r="W232" s="4"/>
      <c r="X232" s="4"/>
      <c r="Y232" s="4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R232" s="1"/>
      <c r="AS232" s="1"/>
      <c r="AT232" s="1"/>
      <c r="AU232" s="1"/>
      <c r="AV232" s="1"/>
      <c r="AW232" s="1"/>
      <c r="AX232" s="1"/>
      <c r="AY232" s="4"/>
      <c r="AZ232" s="4"/>
      <c r="BA232" s="4"/>
      <c r="BB232" s="17"/>
      <c r="BC232" s="4"/>
      <c r="BD232" s="17"/>
      <c r="BE232" s="4"/>
      <c r="BF232" s="4"/>
      <c r="BG232" s="1"/>
      <c r="BH232" s="1"/>
    </row>
    <row r="233" spans="1:60" s="2" customFormat="1" ht="15.75" x14ac:dyDescent="0.25">
      <c r="A233" s="1"/>
      <c r="B233" s="1"/>
      <c r="C233" s="1"/>
      <c r="D233" s="1"/>
      <c r="R233" s="3"/>
      <c r="S233" s="4"/>
      <c r="T233" s="4"/>
      <c r="U233" s="4"/>
      <c r="V233" s="4"/>
      <c r="W233" s="4"/>
      <c r="X233" s="4"/>
      <c r="Y233" s="4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R233" s="1"/>
      <c r="AS233" s="1"/>
      <c r="AT233" s="1"/>
      <c r="AU233" s="1"/>
      <c r="AV233" s="1"/>
      <c r="AW233" s="1"/>
      <c r="AX233" s="1"/>
      <c r="AY233" s="4"/>
      <c r="AZ233" s="4"/>
      <c r="BA233" s="4"/>
      <c r="BB233" s="17"/>
      <c r="BC233" s="4"/>
      <c r="BD233" s="17"/>
      <c r="BE233" s="4"/>
      <c r="BF233" s="4"/>
      <c r="BG233" s="1"/>
      <c r="BH233" s="1"/>
    </row>
    <row r="234" spans="1:60" s="2" customFormat="1" ht="15.75" x14ac:dyDescent="0.25">
      <c r="A234" s="1"/>
      <c r="B234" s="1"/>
      <c r="C234" s="1"/>
      <c r="D234" s="1"/>
      <c r="R234" s="3"/>
      <c r="S234" s="4"/>
      <c r="T234" s="4"/>
      <c r="U234" s="4"/>
      <c r="V234" s="4"/>
      <c r="W234" s="4"/>
      <c r="X234" s="4"/>
      <c r="Y234" s="4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R234" s="1"/>
      <c r="AS234" s="1"/>
      <c r="AT234" s="1"/>
      <c r="AU234" s="1"/>
      <c r="AV234" s="1"/>
      <c r="AW234" s="1"/>
      <c r="AX234" s="1"/>
      <c r="AY234" s="4"/>
      <c r="AZ234" s="4"/>
      <c r="BA234" s="4"/>
      <c r="BB234" s="17"/>
      <c r="BC234" s="4"/>
      <c r="BD234" s="17"/>
      <c r="BE234" s="4"/>
      <c r="BF234" s="4"/>
      <c r="BG234" s="1"/>
      <c r="BH234" s="1"/>
    </row>
    <row r="235" spans="1:60" s="2" customFormat="1" ht="15.75" x14ac:dyDescent="0.25">
      <c r="A235" s="1"/>
      <c r="B235" s="1"/>
      <c r="C235" s="1"/>
      <c r="D235" s="1"/>
      <c r="R235" s="3"/>
      <c r="S235" s="4"/>
      <c r="T235" s="4"/>
      <c r="U235" s="4"/>
      <c r="V235" s="4"/>
      <c r="W235" s="4"/>
      <c r="X235" s="4"/>
      <c r="Y235" s="4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R235" s="1"/>
      <c r="AS235" s="1"/>
      <c r="AT235" s="1"/>
      <c r="AU235" s="1"/>
      <c r="AV235" s="1"/>
      <c r="AW235" s="1"/>
      <c r="AX235" s="1"/>
      <c r="AY235" s="4"/>
      <c r="AZ235" s="4"/>
      <c r="BA235" s="4"/>
      <c r="BB235" s="17"/>
      <c r="BC235" s="4"/>
      <c r="BD235" s="17"/>
      <c r="BE235" s="4"/>
      <c r="BF235" s="4"/>
      <c r="BG235" s="1"/>
      <c r="BH235" s="1"/>
    </row>
    <row r="236" spans="1:60" s="2" customFormat="1" ht="15.75" x14ac:dyDescent="0.25">
      <c r="A236" s="1"/>
      <c r="B236" s="1"/>
      <c r="C236" s="1"/>
      <c r="D236" s="1"/>
      <c r="R236" s="3"/>
      <c r="S236" s="4"/>
      <c r="T236" s="4"/>
      <c r="U236" s="4"/>
      <c r="V236" s="4"/>
      <c r="W236" s="4"/>
      <c r="X236" s="4"/>
      <c r="Y236" s="4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R236" s="1"/>
      <c r="AS236" s="1"/>
      <c r="AT236" s="1"/>
      <c r="AU236" s="1"/>
      <c r="AV236" s="1"/>
      <c r="AW236" s="1"/>
      <c r="AX236" s="1"/>
      <c r="AY236" s="4"/>
      <c r="AZ236" s="4"/>
      <c r="BA236" s="4"/>
      <c r="BB236" s="17"/>
      <c r="BC236" s="4"/>
      <c r="BD236" s="17"/>
      <c r="BE236" s="4"/>
      <c r="BF236" s="4"/>
      <c r="BG236" s="1"/>
      <c r="BH236" s="1"/>
    </row>
    <row r="237" spans="1:60" s="2" customFormat="1" ht="15.75" x14ac:dyDescent="0.25">
      <c r="A237" s="1"/>
      <c r="B237" s="1"/>
      <c r="C237" s="1"/>
      <c r="D237" s="1"/>
      <c r="R237" s="3"/>
      <c r="S237" s="4"/>
      <c r="T237" s="4"/>
      <c r="U237" s="4"/>
      <c r="V237" s="4"/>
      <c r="W237" s="4"/>
      <c r="X237" s="4"/>
      <c r="Y237" s="4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R237" s="1"/>
      <c r="AS237" s="1"/>
      <c r="AT237" s="1"/>
      <c r="AU237" s="1"/>
      <c r="AV237" s="1"/>
      <c r="AW237" s="1"/>
      <c r="AX237" s="1"/>
      <c r="AY237" s="4"/>
      <c r="AZ237" s="4"/>
      <c r="BA237" s="4"/>
      <c r="BB237" s="17"/>
      <c r="BC237" s="4"/>
      <c r="BD237" s="17"/>
      <c r="BE237" s="4"/>
      <c r="BF237" s="4"/>
      <c r="BG237" s="1"/>
      <c r="BH237" s="1"/>
    </row>
    <row r="238" spans="1:60" s="2" customFormat="1" ht="15.75" x14ac:dyDescent="0.25">
      <c r="A238" s="1"/>
      <c r="B238" s="1"/>
      <c r="C238" s="1"/>
      <c r="D238" s="1"/>
      <c r="R238" s="3"/>
      <c r="S238" s="4"/>
      <c r="T238" s="4"/>
      <c r="U238" s="4"/>
      <c r="V238" s="4"/>
      <c r="W238" s="4"/>
      <c r="X238" s="4"/>
      <c r="Y238" s="4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R238" s="1"/>
      <c r="AS238" s="1"/>
      <c r="AT238" s="1"/>
      <c r="AU238" s="1"/>
      <c r="AV238" s="1"/>
      <c r="AW238" s="1"/>
      <c r="AX238" s="1"/>
      <c r="AY238" s="4"/>
      <c r="AZ238" s="4"/>
      <c r="BA238" s="4"/>
      <c r="BB238" s="17"/>
      <c r="BC238" s="4"/>
      <c r="BD238" s="17"/>
      <c r="BE238" s="4"/>
      <c r="BF238" s="4"/>
      <c r="BG238" s="1"/>
      <c r="BH23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A207"/>
  <sheetViews>
    <sheetView topLeftCell="A10" zoomScale="80" zoomScaleNormal="80" workbookViewId="0">
      <selection activeCell="B26" sqref="B26"/>
    </sheetView>
  </sheetViews>
  <sheetFormatPr defaultColWidth="9.140625" defaultRowHeight="5.65" customHeight="1" outlineLevelCol="1" x14ac:dyDescent="0.25"/>
  <cols>
    <col min="1" max="1" width="4.140625" style="1" customWidth="1"/>
    <col min="2" max="2" width="28.140625" style="1" customWidth="1"/>
    <col min="3" max="3" width="25" style="1" customWidth="1"/>
    <col min="4" max="4" width="19.7109375" style="1" customWidth="1"/>
    <col min="5" max="5" width="17" style="1" customWidth="1"/>
    <col min="6" max="6" width="82.5703125" style="2" customWidth="1"/>
    <col min="7" max="9" width="19.85546875" style="2" customWidth="1" outlineLevel="1"/>
    <col min="10" max="10" width="42.5703125" style="2" customWidth="1" outlineLevel="1"/>
    <col min="11" max="11" width="9.28515625" style="2" customWidth="1"/>
    <col min="12" max="12" width="35.140625" style="2" customWidth="1"/>
    <col min="13" max="13" width="38.85546875" style="2" customWidth="1"/>
    <col min="14" max="14" width="9.5703125" style="2" customWidth="1"/>
    <col min="15" max="16" width="19" style="2" customWidth="1" outlineLevel="1"/>
    <col min="17" max="17" width="8.85546875" style="2" customWidth="1" outlineLevel="1"/>
    <col min="18" max="18" width="19" style="2" customWidth="1" outlineLevel="1"/>
    <col min="19" max="19" width="25.140625" style="2" bestFit="1" customWidth="1" outlineLevel="1"/>
    <col min="20" max="20" width="6" style="3" bestFit="1" customWidth="1" outlineLevel="1"/>
    <col min="21" max="21" width="9.5703125" style="4" customWidth="1" outlineLevel="1"/>
    <col min="22" max="22" width="10.140625" style="4" bestFit="1" customWidth="1" outlineLevel="1"/>
    <col min="23" max="23" width="5.28515625" style="4" bestFit="1" customWidth="1" outlineLevel="1"/>
    <col min="24" max="25" width="13.5703125" style="4" customWidth="1" outlineLevel="1"/>
    <col min="26" max="26" width="13.140625" style="4" bestFit="1" customWidth="1" outlineLevel="1"/>
    <col min="27" max="27" width="9.7109375" style="4" customWidth="1"/>
    <col min="28" max="28" width="12.7109375" style="1" customWidth="1"/>
    <col min="29" max="29" width="14.28515625" style="1" customWidth="1"/>
    <col min="30" max="30" width="16.42578125" style="1" customWidth="1"/>
    <col min="31" max="31" width="16.7109375" style="1" customWidth="1"/>
    <col min="32" max="32" width="7.7109375" style="1" customWidth="1"/>
    <col min="33" max="33" width="33" style="1" customWidth="1"/>
    <col min="34" max="35" width="12.7109375" style="1" customWidth="1"/>
    <col min="36" max="36" width="9.28515625" style="1" customWidth="1"/>
    <col min="37" max="37" width="25.5703125" style="1" bestFit="1" customWidth="1"/>
    <col min="38" max="38" width="24.28515625" style="2" customWidth="1"/>
    <col min="39" max="39" width="24.5703125" style="2" customWidth="1"/>
    <col min="40" max="40" width="22.85546875" style="2" customWidth="1"/>
    <col min="41" max="42" width="24.5703125" style="2" customWidth="1"/>
    <col min="43" max="43" width="15.85546875" style="2" customWidth="1"/>
    <col min="44" max="44" width="30" style="2" customWidth="1"/>
    <col min="45" max="45" width="19.140625" style="2" customWidth="1"/>
    <col min="46" max="46" width="13.7109375" style="1" customWidth="1"/>
    <col min="47" max="47" width="15.85546875" style="1" customWidth="1"/>
    <col min="48" max="48" width="17.85546875" style="1" customWidth="1"/>
    <col min="49" max="49" width="9.140625" style="1" customWidth="1"/>
    <col min="50" max="50" width="14" style="1" customWidth="1"/>
    <col min="51" max="51" width="24.42578125" style="1" bestFit="1" customWidth="1"/>
    <col min="52" max="52" width="22.28515625" style="1" customWidth="1"/>
    <col min="53" max="53" width="2.5703125" style="4" customWidth="1"/>
    <col min="54" max="54" width="10.5703125" style="4" hidden="1" customWidth="1" outlineLevel="1"/>
    <col min="55" max="55" width="12.140625" style="4" hidden="1" customWidth="1" outlineLevel="1"/>
    <col min="56" max="56" width="13.28515625" style="17" hidden="1" customWidth="1" outlineLevel="1"/>
    <col min="57" max="57" width="13.28515625" style="4" hidden="1" customWidth="1" outlineLevel="1"/>
    <col min="58" max="58" width="13" style="17" hidden="1" customWidth="1" outlineLevel="1"/>
    <col min="59" max="59" width="11.140625" style="4" hidden="1" customWidth="1" outlineLevel="1"/>
    <col min="60" max="60" width="12.7109375" style="4" hidden="1" customWidth="1" outlineLevel="1"/>
    <col min="61" max="61" width="191.42578125" style="1" bestFit="1" customWidth="1" collapsed="1"/>
    <col min="62" max="16384" width="9.140625" style="1"/>
  </cols>
  <sheetData>
    <row r="1" spans="1:16381" ht="15.75" x14ac:dyDescent="0.25">
      <c r="F1" s="1"/>
      <c r="L1" s="2">
        <v>19</v>
      </c>
      <c r="AC1" s="5"/>
      <c r="AD1" s="5"/>
      <c r="AE1" s="5"/>
      <c r="AF1" s="5"/>
      <c r="AG1" s="5"/>
      <c r="AH1" s="6"/>
      <c r="AI1" s="6"/>
      <c r="AJ1" s="5">
        <f>SUM(AC3:AC64)</f>
        <v>0</v>
      </c>
      <c r="AK1" s="18"/>
      <c r="AL1" s="7"/>
      <c r="AM1" s="7"/>
      <c r="AN1" s="7"/>
      <c r="AO1" s="7"/>
      <c r="AP1" s="7"/>
      <c r="AQ1" s="7"/>
      <c r="AR1" s="7"/>
      <c r="AS1" s="7"/>
      <c r="AT1" s="18"/>
      <c r="AU1" s="6"/>
      <c r="AV1" s="6"/>
      <c r="AW1" s="6"/>
      <c r="AX1" s="6"/>
      <c r="AY1" s="6"/>
      <c r="AZ1" s="6"/>
      <c r="BA1" s="62"/>
      <c r="BB1" s="113" t="s">
        <v>0</v>
      </c>
      <c r="BC1" s="114"/>
      <c r="BD1" s="114"/>
      <c r="BE1" s="114"/>
      <c r="BF1" s="114"/>
      <c r="BG1" s="114"/>
      <c r="BH1" s="114"/>
    </row>
    <row r="2" spans="1:16381" s="16" customFormat="1" ht="54" customHeight="1" x14ac:dyDescent="0.25">
      <c r="A2" s="8" t="s">
        <v>1</v>
      </c>
      <c r="B2" s="112" t="s">
        <v>418</v>
      </c>
      <c r="C2" s="9" t="s">
        <v>2</v>
      </c>
      <c r="D2" s="10" t="s">
        <v>3</v>
      </c>
      <c r="E2" s="11" t="s">
        <v>4</v>
      </c>
      <c r="F2" s="8" t="s">
        <v>5</v>
      </c>
      <c r="G2" s="8" t="s">
        <v>6</v>
      </c>
      <c r="H2" s="8" t="s">
        <v>7</v>
      </c>
      <c r="I2" s="106" t="s">
        <v>412</v>
      </c>
      <c r="J2" s="8" t="s">
        <v>8</v>
      </c>
      <c r="K2" s="8" t="s">
        <v>9</v>
      </c>
      <c r="L2" s="8" t="s">
        <v>10</v>
      </c>
      <c r="M2" s="12" t="s">
        <v>11</v>
      </c>
      <c r="N2" s="12" t="s">
        <v>12</v>
      </c>
      <c r="O2" s="12" t="s">
        <v>13</v>
      </c>
      <c r="P2" s="12" t="s">
        <v>14</v>
      </c>
      <c r="Q2" s="12" t="s">
        <v>15</v>
      </c>
      <c r="R2" s="12" t="s">
        <v>16</v>
      </c>
      <c r="S2" s="12" t="s">
        <v>17</v>
      </c>
      <c r="T2" s="12" t="s">
        <v>18</v>
      </c>
      <c r="U2" s="12" t="s">
        <v>19</v>
      </c>
      <c r="V2" s="12" t="s">
        <v>20</v>
      </c>
      <c r="W2" s="12" t="s">
        <v>21</v>
      </c>
      <c r="X2" s="12" t="s">
        <v>22</v>
      </c>
      <c r="Y2" s="12" t="s">
        <v>23</v>
      </c>
      <c r="Z2" s="13" t="s">
        <v>24</v>
      </c>
      <c r="AA2" s="13" t="s">
        <v>25</v>
      </c>
      <c r="AB2" s="12" t="s">
        <v>26</v>
      </c>
      <c r="AC2" s="13" t="s">
        <v>27</v>
      </c>
      <c r="AD2" s="13" t="s">
        <v>28</v>
      </c>
      <c r="AE2" s="13" t="s">
        <v>29</v>
      </c>
      <c r="AF2" s="13" t="s">
        <v>30</v>
      </c>
      <c r="AG2" s="13" t="s">
        <v>31</v>
      </c>
      <c r="AH2" s="13" t="s">
        <v>32</v>
      </c>
      <c r="AI2" s="13" t="s">
        <v>33</v>
      </c>
      <c r="AJ2" s="12" t="s">
        <v>34</v>
      </c>
      <c r="AK2" s="14" t="s">
        <v>35</v>
      </c>
      <c r="AL2" s="8" t="s">
        <v>36</v>
      </c>
      <c r="AM2" s="8" t="s">
        <v>37</v>
      </c>
      <c r="AN2" s="8" t="s">
        <v>38</v>
      </c>
      <c r="AO2" s="8" t="s">
        <v>39</v>
      </c>
      <c r="AP2" s="8" t="s">
        <v>40</v>
      </c>
      <c r="AQ2" s="8" t="s">
        <v>41</v>
      </c>
      <c r="AR2" s="8" t="s">
        <v>42</v>
      </c>
      <c r="AS2" s="8" t="s">
        <v>43</v>
      </c>
      <c r="AT2" s="12" t="s">
        <v>44</v>
      </c>
      <c r="AU2" s="12" t="s">
        <v>45</v>
      </c>
      <c r="AV2" s="12" t="s">
        <v>46</v>
      </c>
      <c r="AW2" s="12" t="s">
        <v>47</v>
      </c>
      <c r="AX2" s="12" t="s">
        <v>48</v>
      </c>
      <c r="AY2" s="12" t="s">
        <v>49</v>
      </c>
      <c r="AZ2" s="12" t="s">
        <v>50</v>
      </c>
      <c r="BA2" s="13"/>
      <c r="BB2" s="12" t="s">
        <v>51</v>
      </c>
      <c r="BC2" s="12" t="s">
        <v>52</v>
      </c>
      <c r="BD2" s="15" t="s">
        <v>53</v>
      </c>
      <c r="BE2" s="12" t="s">
        <v>54</v>
      </c>
      <c r="BF2" s="15" t="s">
        <v>55</v>
      </c>
      <c r="BG2" s="12" t="s">
        <v>56</v>
      </c>
      <c r="BH2" s="12" t="s">
        <v>57</v>
      </c>
      <c r="BI2" s="13" t="s">
        <v>58</v>
      </c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</row>
    <row r="3" spans="1:16381" s="94" customFormat="1" ht="15.75" x14ac:dyDescent="0.25">
      <c r="A3" s="66"/>
      <c r="B3" s="66"/>
      <c r="C3" s="66" t="s">
        <v>111</v>
      </c>
      <c r="D3" s="69"/>
      <c r="E3" s="42" t="s">
        <v>373</v>
      </c>
      <c r="F3" s="64" t="s">
        <v>331</v>
      </c>
      <c r="G3" s="64" t="s">
        <v>319</v>
      </c>
      <c r="H3" s="64" t="s">
        <v>348</v>
      </c>
      <c r="I3" s="107" t="s">
        <v>348</v>
      </c>
      <c r="J3" s="64" t="s">
        <v>281</v>
      </c>
      <c r="K3" s="64">
        <f t="shared" ref="K3:K34" si="0">LEN(G3)</f>
        <v>12</v>
      </c>
      <c r="L3" s="64" t="str">
        <f t="shared" ref="L3:L34" si="1">IF(LEN(G3)&lt;=$L$1,G3,"")</f>
        <v>Ввод_функции</v>
      </c>
      <c r="M3" s="66" t="s">
        <v>147</v>
      </c>
      <c r="N3" s="71" t="s">
        <v>72</v>
      </c>
      <c r="O3" s="69" t="s">
        <v>64</v>
      </c>
      <c r="P3" s="69" t="s">
        <v>64</v>
      </c>
      <c r="Q3" s="69"/>
      <c r="R3" s="73">
        <v>0</v>
      </c>
      <c r="S3" s="73"/>
      <c r="T3" s="69" t="s">
        <v>66</v>
      </c>
      <c r="U3" s="69">
        <v>0</v>
      </c>
      <c r="V3" s="69">
        <v>1</v>
      </c>
      <c r="W3" s="69">
        <v>1</v>
      </c>
      <c r="X3" s="69"/>
      <c r="Y3" s="69"/>
      <c r="Z3" s="69">
        <v>0</v>
      </c>
      <c r="AA3" s="69">
        <v>0</v>
      </c>
      <c r="AB3" s="68"/>
      <c r="AC3" s="63">
        <v>0</v>
      </c>
      <c r="AD3" s="63"/>
      <c r="AE3" s="63"/>
      <c r="AF3" s="63"/>
      <c r="AG3" s="63"/>
      <c r="AH3" s="63">
        <v>0</v>
      </c>
      <c r="AI3" s="63">
        <v>0</v>
      </c>
      <c r="AJ3" s="63">
        <v>0</v>
      </c>
      <c r="AK3" s="36"/>
      <c r="AL3" s="67"/>
      <c r="AM3" s="67"/>
      <c r="AN3" s="67"/>
      <c r="AO3" s="67"/>
      <c r="AP3" s="67"/>
      <c r="AQ3" s="67"/>
      <c r="AR3" s="67"/>
      <c r="AS3" s="67"/>
      <c r="AT3" s="67">
        <v>0</v>
      </c>
      <c r="AU3" s="67">
        <v>0</v>
      </c>
      <c r="AV3" s="67">
        <v>0</v>
      </c>
      <c r="AW3" s="67">
        <v>0</v>
      </c>
      <c r="AX3" s="67">
        <f t="shared" ref="AX3:AX34" si="2">BIN2DEC(CONCATENATE(0,0,0,0,AT3,AU3,AV3,AW3))</f>
        <v>0</v>
      </c>
      <c r="AY3" s="67" t="s">
        <v>291</v>
      </c>
      <c r="AZ3" s="67"/>
      <c r="BA3" s="73"/>
      <c r="BB3" s="67"/>
      <c r="BC3" s="67"/>
      <c r="BD3" s="67"/>
      <c r="BE3" s="67"/>
      <c r="BF3" s="67"/>
      <c r="BG3" s="67"/>
      <c r="BH3" s="67"/>
      <c r="BI3" s="76" t="str">
        <f t="shared" ref="BI3" si="3">CONCATENATE("description: """,G3,"""", ", ", "note: """,F3,"""",", ","group: """, C3, """",", ","minValue: ", U3,", ","maxValue: ", V3,", ","step: ", W3,", ","units: """, T3, """",", ","defaultValue: ", Z3,", ","eventRegistration: ", AA3,)</f>
        <v>description: "Ввод_функции", note: "Ввод функции в работу", group: "setting", minValue: 0, maxValue: 1, step: 1, units: "null", defaultValue: 0, eventRegistration: 0</v>
      </c>
    </row>
    <row r="4" spans="1:16381" s="94" customFormat="1" ht="15.75" x14ac:dyDescent="0.25">
      <c r="A4" s="66"/>
      <c r="B4" s="66"/>
      <c r="C4" s="66" t="s">
        <v>111</v>
      </c>
      <c r="D4" s="69"/>
      <c r="E4" s="42" t="s">
        <v>373</v>
      </c>
      <c r="F4" s="64" t="s">
        <v>156</v>
      </c>
      <c r="G4" s="64" t="s">
        <v>157</v>
      </c>
      <c r="H4" s="64" t="s">
        <v>349</v>
      </c>
      <c r="I4" s="107" t="s">
        <v>349</v>
      </c>
      <c r="J4" s="64" t="s">
        <v>281</v>
      </c>
      <c r="K4" s="64">
        <f t="shared" si="0"/>
        <v>7</v>
      </c>
      <c r="L4" s="64" t="str">
        <f t="shared" si="1"/>
        <v>Реж_БЧС</v>
      </c>
      <c r="M4" s="66" t="s">
        <v>158</v>
      </c>
      <c r="N4" s="71" t="s">
        <v>72</v>
      </c>
      <c r="O4" s="69" t="s">
        <v>64</v>
      </c>
      <c r="P4" s="69" t="s">
        <v>64</v>
      </c>
      <c r="Q4" s="69"/>
      <c r="R4" s="73">
        <v>0</v>
      </c>
      <c r="S4" s="73"/>
      <c r="T4" s="69" t="s">
        <v>66</v>
      </c>
      <c r="U4" s="69">
        <v>0</v>
      </c>
      <c r="V4" s="69">
        <v>1</v>
      </c>
      <c r="W4" s="69">
        <v>1</v>
      </c>
      <c r="X4" s="69"/>
      <c r="Y4" s="69"/>
      <c r="Z4" s="69">
        <v>0</v>
      </c>
      <c r="AA4" s="69">
        <v>0</v>
      </c>
      <c r="AB4" s="68"/>
      <c r="AC4" s="63">
        <v>0</v>
      </c>
      <c r="AD4" s="63"/>
      <c r="AE4" s="63"/>
      <c r="AF4" s="63"/>
      <c r="AG4" s="63"/>
      <c r="AH4" s="63">
        <v>0</v>
      </c>
      <c r="AI4" s="63">
        <v>0</v>
      </c>
      <c r="AJ4" s="63">
        <v>0</v>
      </c>
      <c r="AK4" s="63" t="s">
        <v>230</v>
      </c>
      <c r="AL4" s="67" t="s">
        <v>266</v>
      </c>
      <c r="AM4" s="67" t="s">
        <v>267</v>
      </c>
      <c r="AN4" s="67" t="s">
        <v>260</v>
      </c>
      <c r="AO4" s="67" t="s">
        <v>99</v>
      </c>
      <c r="AP4" s="67"/>
      <c r="AQ4" s="67" t="s">
        <v>397</v>
      </c>
      <c r="AR4" s="65" t="str">
        <f>CONCATENATE(AL4, ".", AN4)</f>
        <v>ZSPTOC1.OpBlkMod.setVal</v>
      </c>
      <c r="AS4" s="67" t="s">
        <v>82</v>
      </c>
      <c r="AT4" s="67">
        <v>0</v>
      </c>
      <c r="AU4" s="67">
        <v>0</v>
      </c>
      <c r="AV4" s="67">
        <v>0</v>
      </c>
      <c r="AW4" s="67">
        <v>0</v>
      </c>
      <c r="AX4" s="67">
        <f t="shared" si="2"/>
        <v>0</v>
      </c>
      <c r="AY4" s="67" t="s">
        <v>291</v>
      </c>
      <c r="AZ4" s="67"/>
      <c r="BA4" s="73"/>
      <c r="BB4" s="67"/>
      <c r="BC4" s="67"/>
      <c r="BD4" s="67"/>
      <c r="BE4" s="67"/>
      <c r="BF4" s="67"/>
      <c r="BG4" s="67"/>
      <c r="BH4" s="67"/>
      <c r="BI4" s="76" t="str">
        <f t="shared" ref="BI4" si="4">CONCATENATE("description: """,G4,"""", ", ", "note: """,F4,"""",", ","group: """, C4, """",", ","minValue: ", U4,", ","maxValue: ", V4,", ","step: ", W4,", ","units: """, T4, """",", ","defaultValue: ", Z4,", ","eventRegistration: ", AA4,)</f>
        <v>description: "Реж_БЧС", note: "Режим оперативного блокирования ЧС", group: "setting", minValue: 0, maxValue: 1, step: 1, units: "null", defaultValue: 0, eventRegistration: 0</v>
      </c>
    </row>
    <row r="5" spans="1:16381" s="94" customFormat="1" ht="15.75" x14ac:dyDescent="0.25">
      <c r="A5" s="66"/>
      <c r="B5" s="66"/>
      <c r="C5" s="66" t="s">
        <v>111</v>
      </c>
      <c r="D5" s="69"/>
      <c r="E5" s="42" t="s">
        <v>373</v>
      </c>
      <c r="F5" s="64" t="s">
        <v>159</v>
      </c>
      <c r="G5" s="64" t="s">
        <v>160</v>
      </c>
      <c r="H5" s="64" t="s">
        <v>350</v>
      </c>
      <c r="I5" s="107" t="s">
        <v>350</v>
      </c>
      <c r="J5" s="64" t="s">
        <v>281</v>
      </c>
      <c r="K5" s="64">
        <f t="shared" si="0"/>
        <v>7</v>
      </c>
      <c r="L5" s="64" t="str">
        <f t="shared" si="1"/>
        <v>Реж_БНТ</v>
      </c>
      <c r="M5" s="66" t="s">
        <v>161</v>
      </c>
      <c r="N5" s="71" t="s">
        <v>72</v>
      </c>
      <c r="O5" s="69" t="s">
        <v>64</v>
      </c>
      <c r="P5" s="69" t="s">
        <v>64</v>
      </c>
      <c r="Q5" s="69"/>
      <c r="R5" s="73">
        <v>0</v>
      </c>
      <c r="S5" s="73"/>
      <c r="T5" s="69" t="s">
        <v>66</v>
      </c>
      <c r="U5" s="69">
        <v>0</v>
      </c>
      <c r="V5" s="69">
        <v>1</v>
      </c>
      <c r="W5" s="69">
        <v>1</v>
      </c>
      <c r="X5" s="69"/>
      <c r="Y5" s="69"/>
      <c r="Z5" s="69">
        <v>0</v>
      </c>
      <c r="AA5" s="69">
        <v>0</v>
      </c>
      <c r="AB5" s="68"/>
      <c r="AC5" s="63">
        <v>0</v>
      </c>
      <c r="AD5" s="63"/>
      <c r="AE5" s="63"/>
      <c r="AF5" s="63"/>
      <c r="AG5" s="63"/>
      <c r="AH5" s="63">
        <v>0</v>
      </c>
      <c r="AI5" s="63">
        <v>0</v>
      </c>
      <c r="AJ5" s="63">
        <v>0</v>
      </c>
      <c r="AK5" s="63" t="s">
        <v>230</v>
      </c>
      <c r="AL5" s="67" t="s">
        <v>269</v>
      </c>
      <c r="AM5" s="67" t="s">
        <v>267</v>
      </c>
      <c r="AN5" s="67" t="s">
        <v>260</v>
      </c>
      <c r="AO5" s="67" t="s">
        <v>99</v>
      </c>
      <c r="AP5" s="67"/>
      <c r="AQ5" s="67" t="s">
        <v>397</v>
      </c>
      <c r="AR5" s="65" t="str">
        <f>CONCATENATE(AL5, ".", AN5)</f>
        <v>ZSPTOC1.MICMod.setVal</v>
      </c>
      <c r="AS5" s="67" t="s">
        <v>82</v>
      </c>
      <c r="AT5" s="67">
        <v>0</v>
      </c>
      <c r="AU5" s="67">
        <v>0</v>
      </c>
      <c r="AV5" s="67">
        <v>0</v>
      </c>
      <c r="AW5" s="67">
        <v>0</v>
      </c>
      <c r="AX5" s="67">
        <f t="shared" si="2"/>
        <v>0</v>
      </c>
      <c r="AY5" s="67" t="s">
        <v>291</v>
      </c>
      <c r="AZ5" s="67"/>
      <c r="BA5" s="73"/>
      <c r="BB5" s="67"/>
      <c r="BC5" s="67"/>
      <c r="BD5" s="67"/>
      <c r="BE5" s="67"/>
      <c r="BF5" s="67"/>
      <c r="BG5" s="67"/>
      <c r="BH5" s="67"/>
      <c r="BI5" s="76" t="str">
        <f t="shared" ref="BI5" si="5">CONCATENATE("description: """,G5,"""", ", ", "note: """,F5,"""",", ","group: """, C5, """",", ","minValue: ", U5,", ","maxValue: ", V5,", ","step: ", W5,", ","units: """, T5, """",", ","defaultValue: ", Z5,", ","eventRegistration: ", AA5,)</f>
        <v>description: "Реж_БНТ", note: "Режим контроля от БНТ", group: "setting", minValue: 0, maxValue: 1, step: 1, units: "null", defaultValue: 0, eventRegistration: 0</v>
      </c>
    </row>
    <row r="6" spans="1:16381" s="94" customFormat="1" ht="15.75" x14ac:dyDescent="0.25">
      <c r="A6" s="66"/>
      <c r="B6" s="66"/>
      <c r="C6" s="66" t="s">
        <v>111</v>
      </c>
      <c r="D6" s="69"/>
      <c r="E6" s="42" t="s">
        <v>373</v>
      </c>
      <c r="F6" s="64" t="s">
        <v>116</v>
      </c>
      <c r="G6" s="64" t="s">
        <v>117</v>
      </c>
      <c r="H6" s="64" t="s">
        <v>351</v>
      </c>
      <c r="I6" s="107"/>
      <c r="J6" s="64"/>
      <c r="K6" s="64">
        <f t="shared" si="0"/>
        <v>5</v>
      </c>
      <c r="L6" s="64" t="str">
        <f t="shared" si="1"/>
        <v>3I0ср</v>
      </c>
      <c r="M6" s="66" t="s">
        <v>148</v>
      </c>
      <c r="N6" s="71" t="s">
        <v>62</v>
      </c>
      <c r="O6" s="69" t="s">
        <v>64</v>
      </c>
      <c r="P6" s="69" t="s">
        <v>64</v>
      </c>
      <c r="Q6" s="69"/>
      <c r="R6" s="73">
        <v>2</v>
      </c>
      <c r="S6" s="73" t="s">
        <v>280</v>
      </c>
      <c r="T6" s="69" t="s">
        <v>226</v>
      </c>
      <c r="U6" s="69" t="s">
        <v>227</v>
      </c>
      <c r="V6" s="69">
        <v>30</v>
      </c>
      <c r="W6" s="69" t="s">
        <v>118</v>
      </c>
      <c r="X6" s="69"/>
      <c r="Y6" s="69"/>
      <c r="Z6" s="69">
        <v>1</v>
      </c>
      <c r="AA6" s="69">
        <v>0</v>
      </c>
      <c r="AB6" s="68"/>
      <c r="AC6" s="63">
        <v>0</v>
      </c>
      <c r="AD6" s="63"/>
      <c r="AE6" s="63"/>
      <c r="AF6" s="63"/>
      <c r="AG6" s="63"/>
      <c r="AH6" s="63">
        <v>0</v>
      </c>
      <c r="AI6" s="63">
        <v>0</v>
      </c>
      <c r="AJ6" s="63">
        <v>0</v>
      </c>
      <c r="AK6" s="63" t="s">
        <v>230</v>
      </c>
      <c r="AL6" s="67" t="s">
        <v>255</v>
      </c>
      <c r="AM6" s="67" t="s">
        <v>114</v>
      </c>
      <c r="AN6" s="67" t="s">
        <v>115</v>
      </c>
      <c r="AO6" s="67" t="s">
        <v>62</v>
      </c>
      <c r="AP6" s="67"/>
      <c r="AQ6" s="67" t="s">
        <v>397</v>
      </c>
      <c r="AR6" s="65" t="str">
        <f>CONCATENATE(AL6, ".", AN6)</f>
        <v>ZSPTOC1.StrVal3I0.setMag.f</v>
      </c>
      <c r="AS6" s="67" t="s">
        <v>82</v>
      </c>
      <c r="AT6" s="67">
        <v>0</v>
      </c>
      <c r="AU6" s="67">
        <v>0</v>
      </c>
      <c r="AV6" s="67">
        <v>0</v>
      </c>
      <c r="AW6" s="67">
        <v>0</v>
      </c>
      <c r="AX6" s="67">
        <f t="shared" si="2"/>
        <v>0</v>
      </c>
      <c r="AY6" s="67"/>
      <c r="AZ6" s="67"/>
      <c r="BA6" s="73"/>
      <c r="BB6" s="67"/>
      <c r="BC6" s="67"/>
      <c r="BD6" s="67"/>
      <c r="BE6" s="67"/>
      <c r="BF6" s="67"/>
      <c r="BG6" s="67"/>
      <c r="BH6" s="67"/>
      <c r="BI6" s="76" t="str">
        <f>CONCATENATE("description: """,G6,"""", ", ", "note: """,F6,"""",", ","group: """, C6, """",", ","minValue: ", U6,", ","maxValue: ", V6,", ","step: ", W6,", ","units: """, T6, """",", ","defaultValue: ", Z6,", ","eventRegistration: ", AA6,)</f>
        <v>description: "3I0ср", note: "Ток срабатывания НП", group: "setting", minValue: 0.1, maxValue: 30, step: 0.01, units: "о.е.", defaultValue: 1, eventRegistration: 0</v>
      </c>
    </row>
    <row r="7" spans="1:16381" s="94" customFormat="1" ht="15.75" x14ac:dyDescent="0.25">
      <c r="A7" s="66"/>
      <c r="B7" s="66"/>
      <c r="C7" s="66" t="s">
        <v>111</v>
      </c>
      <c r="D7" s="69"/>
      <c r="E7" s="42" t="s">
        <v>373</v>
      </c>
      <c r="F7" s="64" t="s">
        <v>361</v>
      </c>
      <c r="G7" s="64" t="s">
        <v>302</v>
      </c>
      <c r="H7" s="64" t="s">
        <v>352</v>
      </c>
      <c r="I7" s="107" t="s">
        <v>352</v>
      </c>
      <c r="J7" s="64" t="s">
        <v>281</v>
      </c>
      <c r="K7" s="64">
        <f t="shared" si="0"/>
        <v>9</v>
      </c>
      <c r="L7" s="64" t="str">
        <f t="shared" si="1"/>
        <v>Ненапр_АУ</v>
      </c>
      <c r="M7" s="66" t="s">
        <v>301</v>
      </c>
      <c r="N7" s="71" t="s">
        <v>72</v>
      </c>
      <c r="O7" s="69" t="s">
        <v>64</v>
      </c>
      <c r="P7" s="69" t="s">
        <v>64</v>
      </c>
      <c r="Q7" s="69"/>
      <c r="R7" s="73">
        <v>0</v>
      </c>
      <c r="S7" s="73"/>
      <c r="T7" s="69" t="s">
        <v>66</v>
      </c>
      <c r="U7" s="69">
        <v>0</v>
      </c>
      <c r="V7" s="69">
        <v>1</v>
      </c>
      <c r="W7" s="69">
        <v>1</v>
      </c>
      <c r="X7" s="69"/>
      <c r="Y7" s="69"/>
      <c r="Z7" s="69">
        <v>0</v>
      </c>
      <c r="AA7" s="69">
        <v>0</v>
      </c>
      <c r="AB7" s="68"/>
      <c r="AC7" s="63">
        <v>0</v>
      </c>
      <c r="AD7" s="63"/>
      <c r="AE7" s="63"/>
      <c r="AF7" s="63"/>
      <c r="AG7" s="63"/>
      <c r="AH7" s="63">
        <v>0</v>
      </c>
      <c r="AI7" s="63">
        <v>0</v>
      </c>
      <c r="AJ7" s="63">
        <v>0</v>
      </c>
      <c r="AK7" s="36"/>
      <c r="AL7" s="67"/>
      <c r="AM7" s="67"/>
      <c r="AN7" s="67"/>
      <c r="AO7" s="67"/>
      <c r="AP7" s="67"/>
      <c r="AQ7" s="67"/>
      <c r="AR7" s="65"/>
      <c r="AS7" s="67"/>
      <c r="AT7" s="67">
        <v>0</v>
      </c>
      <c r="AU7" s="67">
        <v>0</v>
      </c>
      <c r="AV7" s="67">
        <v>0</v>
      </c>
      <c r="AW7" s="67">
        <v>0</v>
      </c>
      <c r="AX7" s="67">
        <f t="shared" si="2"/>
        <v>0</v>
      </c>
      <c r="AY7" s="43" t="s">
        <v>291</v>
      </c>
      <c r="AZ7" s="67"/>
      <c r="BA7" s="73"/>
      <c r="BB7" s="67"/>
      <c r="BC7" s="67"/>
      <c r="BD7" s="67"/>
      <c r="BE7" s="67"/>
      <c r="BF7" s="67"/>
      <c r="BG7" s="67"/>
      <c r="BH7" s="67"/>
      <c r="BI7" s="76" t="str">
        <f t="shared" ref="BI7" si="6">CONCATENATE("description: """,G7,"""", ", ", "note: """,F7,"""",", ","group: """, C7, """",", ","minValue: ", U7,", ","maxValue: ", V7,", ","step: ", W7,", ","units: """, T7, """",", ","defaultValue: ", Z7,", ","eventRegistration: ", AA7,)</f>
        <v>description: "Ненапр_АУ", note: "Вывод направленности при АУ", group: "setting", minValue: 0, maxValue: 1, step: 1, units: "null", defaultValue: 0, eventRegistration: 0</v>
      </c>
    </row>
    <row r="8" spans="1:16381" s="94" customFormat="1" ht="31.5" x14ac:dyDescent="0.25">
      <c r="A8" s="66"/>
      <c r="B8" s="66"/>
      <c r="C8" s="66" t="s">
        <v>111</v>
      </c>
      <c r="D8" s="69"/>
      <c r="E8" s="42" t="s">
        <v>373</v>
      </c>
      <c r="F8" s="64" t="s">
        <v>150</v>
      </c>
      <c r="G8" s="64" t="s">
        <v>151</v>
      </c>
      <c r="H8" s="64" t="s">
        <v>353</v>
      </c>
      <c r="I8" s="107" t="s">
        <v>353</v>
      </c>
      <c r="J8" s="64" t="s">
        <v>375</v>
      </c>
      <c r="K8" s="64">
        <f t="shared" si="0"/>
        <v>14</v>
      </c>
      <c r="L8" s="64" t="str">
        <f t="shared" si="1"/>
        <v>Направленность</v>
      </c>
      <c r="M8" s="66" t="s">
        <v>152</v>
      </c>
      <c r="N8" s="71" t="s">
        <v>120</v>
      </c>
      <c r="O8" s="69" t="s">
        <v>64</v>
      </c>
      <c r="P8" s="69" t="s">
        <v>64</v>
      </c>
      <c r="Q8" s="69"/>
      <c r="R8" s="73">
        <v>0</v>
      </c>
      <c r="S8" s="73"/>
      <c r="T8" s="69" t="s">
        <v>66</v>
      </c>
      <c r="U8" s="69">
        <v>1</v>
      </c>
      <c r="V8" s="69">
        <v>3</v>
      </c>
      <c r="W8" s="69">
        <v>1</v>
      </c>
      <c r="X8" s="69"/>
      <c r="Y8" s="69"/>
      <c r="Z8" s="69">
        <v>2</v>
      </c>
      <c r="AA8" s="69">
        <v>0</v>
      </c>
      <c r="AB8" s="68"/>
      <c r="AC8" s="63">
        <v>0</v>
      </c>
      <c r="AD8" s="63"/>
      <c r="AE8" s="63"/>
      <c r="AF8" s="63"/>
      <c r="AG8" s="63"/>
      <c r="AH8" s="63">
        <v>0</v>
      </c>
      <c r="AI8" s="63">
        <v>0</v>
      </c>
      <c r="AJ8" s="63">
        <v>0</v>
      </c>
      <c r="AK8" s="63" t="s">
        <v>230</v>
      </c>
      <c r="AL8" s="67" t="s">
        <v>264</v>
      </c>
      <c r="AM8" s="67" t="s">
        <v>262</v>
      </c>
      <c r="AN8" s="67" t="s">
        <v>260</v>
      </c>
      <c r="AO8" s="67" t="s">
        <v>84</v>
      </c>
      <c r="AP8" s="67" t="s">
        <v>263</v>
      </c>
      <c r="AQ8" s="67" t="s">
        <v>397</v>
      </c>
      <c r="AR8" s="65" t="str">
        <f>CONCATENATE(AL8, ".", AN8)</f>
        <v>ZSPTOC1.DirMod.setVal</v>
      </c>
      <c r="AS8" s="67" t="s">
        <v>82</v>
      </c>
      <c r="AT8" s="67">
        <v>0</v>
      </c>
      <c r="AU8" s="67">
        <v>0</v>
      </c>
      <c r="AV8" s="67">
        <v>0</v>
      </c>
      <c r="AW8" s="67">
        <v>0</v>
      </c>
      <c r="AX8" s="67">
        <f t="shared" si="2"/>
        <v>0</v>
      </c>
      <c r="AY8" s="43" t="s">
        <v>292</v>
      </c>
      <c r="AZ8" s="67"/>
      <c r="BA8" s="73"/>
      <c r="BB8" s="67"/>
      <c r="BC8" s="67"/>
      <c r="BD8" s="67"/>
      <c r="BE8" s="67"/>
      <c r="BF8" s="67"/>
      <c r="BG8" s="67"/>
      <c r="BH8" s="67"/>
      <c r="BI8" s="76" t="str">
        <f>CONCATENATE("description: """,G8,"""", ", ", "note: """,F8,"""",", ","group: """, C8, """",", ","minValue: ", U8,", ","maxValue: ", V8,", ","step: ", W8,", ","units: """, T8, """",", ","defaultValue: ", Z8,", ","eventRegistration: ", AA8,)</f>
        <v>description: "Направленность", note: "Режим направленности", group: "setting", minValue: 1, maxValue: 3, step: 1, units: "null", defaultValue: 2, eventRegistration: 0</v>
      </c>
    </row>
    <row r="9" spans="1:16381" s="94" customFormat="1" ht="15.75" x14ac:dyDescent="0.25">
      <c r="A9" s="66"/>
      <c r="B9" s="66"/>
      <c r="C9" s="66" t="s">
        <v>111</v>
      </c>
      <c r="D9" s="69"/>
      <c r="E9" s="42" t="s">
        <v>373</v>
      </c>
      <c r="F9" s="64" t="s">
        <v>305</v>
      </c>
      <c r="G9" s="64" t="s">
        <v>304</v>
      </c>
      <c r="H9" s="64" t="s">
        <v>354</v>
      </c>
      <c r="I9" s="107" t="s">
        <v>354</v>
      </c>
      <c r="J9" s="64" t="s">
        <v>379</v>
      </c>
      <c r="K9" s="64">
        <f t="shared" si="0"/>
        <v>14</v>
      </c>
      <c r="L9" s="64" t="str">
        <f t="shared" si="1"/>
        <v>Реж_БНН_ОНМ_НП</v>
      </c>
      <c r="M9" s="66" t="s">
        <v>303</v>
      </c>
      <c r="N9" s="71" t="s">
        <v>72</v>
      </c>
      <c r="O9" s="69" t="s">
        <v>64</v>
      </c>
      <c r="P9" s="69" t="s">
        <v>64</v>
      </c>
      <c r="Q9" s="69"/>
      <c r="R9" s="73">
        <v>0</v>
      </c>
      <c r="S9" s="73"/>
      <c r="T9" s="69" t="s">
        <v>66</v>
      </c>
      <c r="U9" s="69">
        <v>0</v>
      </c>
      <c r="V9" s="69">
        <v>1</v>
      </c>
      <c r="W9" s="69">
        <v>1</v>
      </c>
      <c r="X9" s="69"/>
      <c r="Y9" s="69"/>
      <c r="Z9" s="69">
        <v>0</v>
      </c>
      <c r="AA9" s="69">
        <v>0</v>
      </c>
      <c r="AB9" s="68"/>
      <c r="AC9" s="63">
        <v>0</v>
      </c>
      <c r="AD9" s="63"/>
      <c r="AE9" s="63"/>
      <c r="AF9" s="63"/>
      <c r="AG9" s="63"/>
      <c r="AH9" s="63">
        <v>0</v>
      </c>
      <c r="AI9" s="63">
        <v>0</v>
      </c>
      <c r="AJ9" s="63">
        <v>0</v>
      </c>
      <c r="AK9" s="36"/>
      <c r="AL9" s="67"/>
      <c r="AM9" s="67"/>
      <c r="AN9" s="67"/>
      <c r="AO9" s="67"/>
      <c r="AP9" s="67"/>
      <c r="AQ9" s="67"/>
      <c r="AR9" s="65"/>
      <c r="AS9" s="67"/>
      <c r="AT9" s="67">
        <v>0</v>
      </c>
      <c r="AU9" s="67">
        <v>0</v>
      </c>
      <c r="AV9" s="67">
        <v>0</v>
      </c>
      <c r="AW9" s="67">
        <v>0</v>
      </c>
      <c r="AX9" s="67">
        <f t="shared" si="2"/>
        <v>0</v>
      </c>
      <c r="AY9" s="67" t="s">
        <v>380</v>
      </c>
      <c r="AZ9" s="67"/>
      <c r="BA9" s="73"/>
      <c r="BB9" s="67"/>
      <c r="BC9" s="67"/>
      <c r="BD9" s="67"/>
      <c r="BE9" s="67"/>
      <c r="BF9" s="67"/>
      <c r="BG9" s="67"/>
      <c r="BH9" s="67"/>
      <c r="BI9" s="76" t="str">
        <f t="shared" ref="BI9" si="7">CONCATENATE("description: """,G9,"""", ", ", "note: """,F9,"""",", ","group: """, C9, """",", ","minValue: ", U9,", ","maxValue: ", V9,", ","step: ", W9,", ","units: """, T9, """",", ","defaultValue: ", Z9,", ","eventRegistration: ", AA9,)</f>
        <v>description: "Реж_БНН_ОНМ_НП", note: "Режим ОНМ НП при неисправности ЦН", group: "setting", minValue: 0, maxValue: 1, step: 1, units: "null", defaultValue: 0, eventRegistration: 0</v>
      </c>
    </row>
    <row r="10" spans="1:16381" s="94" customFormat="1" ht="15.75" x14ac:dyDescent="0.25">
      <c r="A10" s="66"/>
      <c r="B10" s="66"/>
      <c r="C10" s="66" t="s">
        <v>111</v>
      </c>
      <c r="D10" s="69"/>
      <c r="E10" s="42" t="s">
        <v>373</v>
      </c>
      <c r="F10" s="64" t="s">
        <v>320</v>
      </c>
      <c r="G10" s="64" t="s">
        <v>325</v>
      </c>
      <c r="H10" s="64" t="s">
        <v>355</v>
      </c>
      <c r="I10" s="107" t="s">
        <v>355</v>
      </c>
      <c r="J10" s="64" t="s">
        <v>379</v>
      </c>
      <c r="K10" s="64">
        <f t="shared" si="0"/>
        <v>11</v>
      </c>
      <c r="L10" s="64" t="str">
        <f t="shared" si="1"/>
        <v>Реж_БНН_3U0</v>
      </c>
      <c r="M10" s="66" t="s">
        <v>153</v>
      </c>
      <c r="N10" s="71" t="s">
        <v>72</v>
      </c>
      <c r="O10" s="69" t="s">
        <v>64</v>
      </c>
      <c r="P10" s="69" t="s">
        <v>64</v>
      </c>
      <c r="Q10" s="69"/>
      <c r="R10" s="73">
        <v>0</v>
      </c>
      <c r="S10" s="73"/>
      <c r="T10" s="69" t="s">
        <v>66</v>
      </c>
      <c r="U10" s="69">
        <v>0</v>
      </c>
      <c r="V10" s="69">
        <v>1</v>
      </c>
      <c r="W10" s="69">
        <v>1</v>
      </c>
      <c r="X10" s="69"/>
      <c r="Y10" s="69"/>
      <c r="Z10" s="69">
        <v>1</v>
      </c>
      <c r="AA10" s="69">
        <v>0</v>
      </c>
      <c r="AB10" s="68"/>
      <c r="AC10" s="63">
        <v>0</v>
      </c>
      <c r="AD10" s="63"/>
      <c r="AE10" s="63"/>
      <c r="AF10" s="63"/>
      <c r="AG10" s="63"/>
      <c r="AH10" s="63">
        <v>0</v>
      </c>
      <c r="AI10" s="63">
        <v>0</v>
      </c>
      <c r="AJ10" s="63">
        <v>0</v>
      </c>
      <c r="AK10" s="36"/>
      <c r="AL10" s="67"/>
      <c r="AM10" s="67"/>
      <c r="AN10" s="67"/>
      <c r="AO10" s="67"/>
      <c r="AP10" s="67"/>
      <c r="AQ10" s="67"/>
      <c r="AR10" s="65"/>
      <c r="AS10" s="67"/>
      <c r="AT10" s="67">
        <v>0</v>
      </c>
      <c r="AU10" s="67">
        <v>0</v>
      </c>
      <c r="AV10" s="67">
        <v>0</v>
      </c>
      <c r="AW10" s="67">
        <v>0</v>
      </c>
      <c r="AX10" s="67">
        <f t="shared" si="2"/>
        <v>0</v>
      </c>
      <c r="AY10" s="67" t="s">
        <v>380</v>
      </c>
      <c r="AZ10" s="67"/>
      <c r="BA10" s="73"/>
      <c r="BB10" s="67"/>
      <c r="BC10" s="67"/>
      <c r="BD10" s="67"/>
      <c r="BE10" s="67"/>
      <c r="BF10" s="67"/>
      <c r="BG10" s="67"/>
      <c r="BH10" s="67"/>
      <c r="BI10" s="76" t="str">
        <f t="shared" ref="BI10" si="8">CONCATENATE("description: """,G10,"""", ", ", "note: """,F10,"""",", ","group: """, C10, """",", ","minValue: ", U10,", ","maxValue: ", V10,", ","step: ", W10,", ","units: """, T10, """",", ","defaultValue: ", Z10,", ","eventRegistration: ", AA10,)</f>
        <v>description: "Реж_БНН_3U0", note: "Режим ПО 3U0 при неисправности ЦН", group: "setting", minValue: 0, maxValue: 1, step: 1, units: "null", defaultValue: 1, eventRegistration: 0</v>
      </c>
    </row>
    <row r="11" spans="1:16381" s="94" customFormat="1" ht="15.75" x14ac:dyDescent="0.25">
      <c r="A11" s="66"/>
      <c r="B11" s="66"/>
      <c r="C11" s="66" t="s">
        <v>111</v>
      </c>
      <c r="D11" s="69"/>
      <c r="E11" s="42" t="s">
        <v>373</v>
      </c>
      <c r="F11" s="64" t="s">
        <v>112</v>
      </c>
      <c r="G11" s="64" t="s">
        <v>113</v>
      </c>
      <c r="H11" s="64" t="s">
        <v>356</v>
      </c>
      <c r="I11" s="107" t="s">
        <v>356</v>
      </c>
      <c r="J11" s="64"/>
      <c r="K11" s="64">
        <f t="shared" si="0"/>
        <v>5</v>
      </c>
      <c r="L11" s="64" t="str">
        <f t="shared" si="1"/>
        <v>3U0ср</v>
      </c>
      <c r="M11" s="66" t="s">
        <v>149</v>
      </c>
      <c r="N11" s="71" t="s">
        <v>62</v>
      </c>
      <c r="O11" s="69" t="s">
        <v>64</v>
      </c>
      <c r="P11" s="69" t="s">
        <v>64</v>
      </c>
      <c r="Q11" s="69"/>
      <c r="R11" s="73">
        <v>0</v>
      </c>
      <c r="S11" s="73"/>
      <c r="T11" s="69" t="s">
        <v>69</v>
      </c>
      <c r="U11" s="69">
        <v>2</v>
      </c>
      <c r="V11" s="69">
        <v>100</v>
      </c>
      <c r="W11" s="69" t="s">
        <v>227</v>
      </c>
      <c r="X11" s="69"/>
      <c r="Y11" s="69"/>
      <c r="Z11" s="69">
        <v>6</v>
      </c>
      <c r="AA11" s="69">
        <v>0</v>
      </c>
      <c r="AB11" s="68"/>
      <c r="AC11" s="63">
        <v>0</v>
      </c>
      <c r="AD11" s="63"/>
      <c r="AE11" s="63"/>
      <c r="AF11" s="63"/>
      <c r="AG11" s="63"/>
      <c r="AH11" s="63">
        <v>0</v>
      </c>
      <c r="AI11" s="63">
        <v>0</v>
      </c>
      <c r="AJ11" s="63">
        <v>0</v>
      </c>
      <c r="AK11" s="63"/>
      <c r="AL11" s="67"/>
      <c r="AM11" s="67"/>
      <c r="AN11" s="67"/>
      <c r="AO11" s="67"/>
      <c r="AP11" s="67"/>
      <c r="AQ11" s="67"/>
      <c r="AR11" s="65"/>
      <c r="AS11" s="67"/>
      <c r="AT11" s="67">
        <v>0</v>
      </c>
      <c r="AU11" s="67">
        <v>0</v>
      </c>
      <c r="AV11" s="67">
        <v>0</v>
      </c>
      <c r="AW11" s="67">
        <v>0</v>
      </c>
      <c r="AX11" s="67">
        <f t="shared" si="2"/>
        <v>0</v>
      </c>
      <c r="AY11" s="67"/>
      <c r="AZ11" s="67"/>
      <c r="BA11" s="73"/>
      <c r="BB11" s="67"/>
      <c r="BC11" s="67"/>
      <c r="BD11" s="67"/>
      <c r="BE11" s="67"/>
      <c r="BF11" s="67"/>
      <c r="BG11" s="67"/>
      <c r="BH11" s="67"/>
      <c r="BI11" s="76" t="str">
        <f>CONCATENATE("description: """,G11,"""", ", ", "note: """,F11,"""",", ","group: """, C11, """",", ","minValue: ", U11,", ","maxValue: ", V11,", ","step: ", W11,", ","units: """, T11, """",", ","defaultValue: ", Z11,", ","eventRegistration: ", AA11,)</f>
        <v>description: "3U0ср", note: "Напряжение срабатывания НП", group: "setting", minValue: 2, maxValue: 100, step: 0.1, units: "В", defaultValue: 6, eventRegistration: 0</v>
      </c>
    </row>
    <row r="12" spans="1:16381" s="94" customFormat="1" ht="15.75" x14ac:dyDescent="0.25">
      <c r="A12" s="66"/>
      <c r="B12" s="66"/>
      <c r="C12" s="66" t="s">
        <v>111</v>
      </c>
      <c r="D12" s="69"/>
      <c r="E12" s="42" t="s">
        <v>373</v>
      </c>
      <c r="F12" s="42" t="s">
        <v>321</v>
      </c>
      <c r="G12" s="64" t="s">
        <v>322</v>
      </c>
      <c r="H12" s="64" t="s">
        <v>357</v>
      </c>
      <c r="I12" s="107" t="s">
        <v>357</v>
      </c>
      <c r="J12" s="64" t="s">
        <v>281</v>
      </c>
      <c r="K12" s="64">
        <f t="shared" si="0"/>
        <v>7</v>
      </c>
      <c r="L12" s="64" t="str">
        <f t="shared" si="1"/>
        <v>Реж_3U0</v>
      </c>
      <c r="M12" s="66" t="s">
        <v>155</v>
      </c>
      <c r="N12" s="71" t="s">
        <v>72</v>
      </c>
      <c r="O12" s="69" t="s">
        <v>64</v>
      </c>
      <c r="P12" s="69" t="s">
        <v>64</v>
      </c>
      <c r="Q12" s="69"/>
      <c r="R12" s="73">
        <v>0</v>
      </c>
      <c r="S12" s="73"/>
      <c r="T12" s="69" t="s">
        <v>66</v>
      </c>
      <c r="U12" s="69">
        <v>0</v>
      </c>
      <c r="V12" s="69">
        <v>1</v>
      </c>
      <c r="W12" s="69">
        <v>1</v>
      </c>
      <c r="X12" s="69"/>
      <c r="Y12" s="69"/>
      <c r="Z12" s="69">
        <v>0</v>
      </c>
      <c r="AA12" s="69">
        <v>0</v>
      </c>
      <c r="AB12" s="68"/>
      <c r="AC12" s="63">
        <v>0</v>
      </c>
      <c r="AD12" s="63"/>
      <c r="AE12" s="63"/>
      <c r="AF12" s="63"/>
      <c r="AG12" s="63"/>
      <c r="AH12" s="63">
        <v>0</v>
      </c>
      <c r="AI12" s="63">
        <v>0</v>
      </c>
      <c r="AJ12" s="63">
        <v>0</v>
      </c>
      <c r="AK12" s="36"/>
      <c r="AL12" s="67"/>
      <c r="AM12" s="67"/>
      <c r="AN12" s="67"/>
      <c r="AO12" s="67"/>
      <c r="AP12" s="67"/>
      <c r="AQ12" s="67"/>
      <c r="AR12" s="65"/>
      <c r="AS12" s="67"/>
      <c r="AT12" s="67">
        <v>0</v>
      </c>
      <c r="AU12" s="67">
        <v>0</v>
      </c>
      <c r="AV12" s="67">
        <v>0</v>
      </c>
      <c r="AW12" s="67">
        <v>0</v>
      </c>
      <c r="AX12" s="67">
        <f t="shared" si="2"/>
        <v>0</v>
      </c>
      <c r="AY12" s="43" t="s">
        <v>291</v>
      </c>
      <c r="AZ12" s="67"/>
      <c r="BA12" s="73"/>
      <c r="BB12" s="67"/>
      <c r="BC12" s="67"/>
      <c r="BD12" s="67"/>
      <c r="BE12" s="67"/>
      <c r="BF12" s="67"/>
      <c r="BG12" s="67"/>
      <c r="BH12" s="67"/>
      <c r="BI12" s="66" t="str">
        <f>CONCATENATE("description: """,G12,"""", ", ", "note: """,F12,"""",", ","group: """, C12, """",", ","minValue: ", U12,", ","maxValue: ", V12,", ","step: ", W12,", ","units: """, T12, """",", ","defaultValue: ", Z12,", ","eventRegistration: ", AA12,)</f>
        <v>description: "Реж_3U0", note: "Режим контроля от ПО 3U0", group: "setting", minValue: 0, maxValue: 1, step: 1, units: "null", defaultValue: 0, eventRegistration: 0</v>
      </c>
    </row>
    <row r="13" spans="1:16381" s="96" customFormat="1" ht="47.25" x14ac:dyDescent="0.25">
      <c r="A13" s="66"/>
      <c r="B13" s="110" t="s">
        <v>419</v>
      </c>
      <c r="C13" s="66" t="s">
        <v>111</v>
      </c>
      <c r="D13" s="69"/>
      <c r="E13" s="42" t="s">
        <v>373</v>
      </c>
      <c r="F13" s="64" t="s">
        <v>376</v>
      </c>
      <c r="G13" s="64" t="s">
        <v>162</v>
      </c>
      <c r="H13" s="64"/>
      <c r="I13" s="107"/>
      <c r="J13" s="64" t="s">
        <v>347</v>
      </c>
      <c r="K13" s="64">
        <f t="shared" si="0"/>
        <v>14</v>
      </c>
      <c r="L13" s="64" t="str">
        <f t="shared" si="1"/>
        <v>Характеристика</v>
      </c>
      <c r="M13" s="66" t="s">
        <v>163</v>
      </c>
      <c r="N13" s="71" t="s">
        <v>120</v>
      </c>
      <c r="O13" s="69" t="s">
        <v>64</v>
      </c>
      <c r="P13" s="69" t="s">
        <v>64</v>
      </c>
      <c r="Q13" s="69"/>
      <c r="R13" s="73">
        <v>0</v>
      </c>
      <c r="S13" s="73"/>
      <c r="T13" s="69" t="s">
        <v>66</v>
      </c>
      <c r="U13" s="69" t="s">
        <v>66</v>
      </c>
      <c r="V13" s="69" t="s">
        <v>66</v>
      </c>
      <c r="W13" s="111">
        <v>1</v>
      </c>
      <c r="X13" s="69"/>
      <c r="Y13" s="69"/>
      <c r="Z13" s="69">
        <v>16</v>
      </c>
      <c r="AA13" s="69">
        <v>0</v>
      </c>
      <c r="AB13" s="68"/>
      <c r="AC13" s="63">
        <v>0</v>
      </c>
      <c r="AD13" s="63"/>
      <c r="AE13" s="63"/>
      <c r="AF13" s="63"/>
      <c r="AG13" s="63"/>
      <c r="AH13" s="63">
        <v>0</v>
      </c>
      <c r="AI13" s="63">
        <v>0</v>
      </c>
      <c r="AJ13" s="63">
        <v>0</v>
      </c>
      <c r="AK13" s="63" t="s">
        <v>230</v>
      </c>
      <c r="AL13" s="67" t="s">
        <v>271</v>
      </c>
      <c r="AM13" s="67" t="s">
        <v>121</v>
      </c>
      <c r="AN13" s="67" t="s">
        <v>122</v>
      </c>
      <c r="AO13" s="67" t="s">
        <v>84</v>
      </c>
      <c r="AP13" s="67" t="s">
        <v>123</v>
      </c>
      <c r="AQ13" s="67" t="s">
        <v>397</v>
      </c>
      <c r="AR13" s="65" t="str">
        <f>CONCATENATE(AL13, ".", AN13)</f>
        <v>ZSPTOC1.TmACrv.setCharact</v>
      </c>
      <c r="AS13" s="67" t="s">
        <v>82</v>
      </c>
      <c r="AT13" s="67">
        <v>0</v>
      </c>
      <c r="AU13" s="67">
        <v>0</v>
      </c>
      <c r="AV13" s="67">
        <v>0</v>
      </c>
      <c r="AW13" s="67">
        <v>0</v>
      </c>
      <c r="AX13" s="67">
        <f t="shared" si="2"/>
        <v>0</v>
      </c>
      <c r="AY13" s="43" t="s">
        <v>293</v>
      </c>
      <c r="AZ13" s="67"/>
      <c r="BA13" s="73"/>
      <c r="BB13" s="67"/>
      <c r="BC13" s="67"/>
      <c r="BD13" s="67"/>
      <c r="BE13" s="67"/>
      <c r="BF13" s="67"/>
      <c r="BG13" s="67"/>
      <c r="BH13" s="67"/>
      <c r="BI13" s="76" t="str">
        <f>CONCATENATE("description: """,G13,"""", ", ", "note: """,F13,"""",", ","group: """, C13, """",", ","minValue: ", U13,", ","maxValue: ", V13,", ","step: ", W13,", ","units: """, T13, """",", ","defaultValue: ", Z13,", ","eventRegistration: ", AA13,)</f>
        <v>description: "Характеристика", note: "Характеристика срабатывания", group: "setting", minValue: null, maxValue: null, step: 1, units: "null", defaultValue: 16, eventRegistration: 0</v>
      </c>
    </row>
    <row r="14" spans="1:16381" s="94" customFormat="1" ht="15.75" x14ac:dyDescent="0.25">
      <c r="A14" s="66"/>
      <c r="B14" s="66"/>
      <c r="C14" s="66" t="s">
        <v>111</v>
      </c>
      <c r="D14" s="69"/>
      <c r="E14" s="42" t="s">
        <v>373</v>
      </c>
      <c r="F14" s="64" t="s">
        <v>323</v>
      </c>
      <c r="G14" s="64" t="s">
        <v>124</v>
      </c>
      <c r="H14" s="64"/>
      <c r="I14" s="107"/>
      <c r="J14" s="64"/>
      <c r="K14" s="64">
        <f t="shared" si="0"/>
        <v>1</v>
      </c>
      <c r="L14" s="64" t="str">
        <f t="shared" si="1"/>
        <v>К</v>
      </c>
      <c r="M14" s="66" t="s">
        <v>164</v>
      </c>
      <c r="N14" s="71" t="s">
        <v>62</v>
      </c>
      <c r="O14" s="69" t="s">
        <v>64</v>
      </c>
      <c r="P14" s="69" t="s">
        <v>64</v>
      </c>
      <c r="Q14" s="69"/>
      <c r="R14" s="73">
        <v>0</v>
      </c>
      <c r="S14" s="73"/>
      <c r="T14" s="69" t="s">
        <v>66</v>
      </c>
      <c r="U14" s="69" t="s">
        <v>119</v>
      </c>
      <c r="V14" s="69">
        <v>15</v>
      </c>
      <c r="W14" s="69" t="s">
        <v>118</v>
      </c>
      <c r="X14" s="69"/>
      <c r="Y14" s="69"/>
      <c r="Z14" s="69" t="s">
        <v>125</v>
      </c>
      <c r="AA14" s="69">
        <v>0</v>
      </c>
      <c r="AB14" s="68"/>
      <c r="AC14" s="63">
        <v>0</v>
      </c>
      <c r="AD14" s="63"/>
      <c r="AE14" s="63"/>
      <c r="AF14" s="63"/>
      <c r="AG14" s="63"/>
      <c r="AH14" s="63">
        <v>0</v>
      </c>
      <c r="AI14" s="63">
        <v>0</v>
      </c>
      <c r="AJ14" s="63">
        <v>0</v>
      </c>
      <c r="AK14" s="63" t="s">
        <v>230</v>
      </c>
      <c r="AL14" s="67" t="s">
        <v>273</v>
      </c>
      <c r="AM14" s="67" t="s">
        <v>114</v>
      </c>
      <c r="AN14" s="67" t="s">
        <v>115</v>
      </c>
      <c r="AO14" s="67" t="s">
        <v>62</v>
      </c>
      <c r="AP14" s="67"/>
      <c r="AQ14" s="67" t="s">
        <v>397</v>
      </c>
      <c r="AR14" s="65" t="str">
        <f>CONCATENATE(AL14, ".", AN14)</f>
        <v>ZSPTOC1.TmMult.setMag.f</v>
      </c>
      <c r="AS14" s="67" t="s">
        <v>82</v>
      </c>
      <c r="AT14" s="67">
        <v>0</v>
      </c>
      <c r="AU14" s="67">
        <v>0</v>
      </c>
      <c r="AV14" s="67">
        <v>0</v>
      </c>
      <c r="AW14" s="67">
        <v>0</v>
      </c>
      <c r="AX14" s="67">
        <f t="shared" si="2"/>
        <v>0</v>
      </c>
      <c r="AY14" s="67"/>
      <c r="AZ14" s="67"/>
      <c r="BA14" s="73"/>
      <c r="BB14" s="67"/>
      <c r="BC14" s="67"/>
      <c r="BD14" s="67"/>
      <c r="BE14" s="67"/>
      <c r="BF14" s="67"/>
      <c r="BG14" s="67"/>
      <c r="BH14" s="67"/>
      <c r="BI14" s="66" t="str">
        <f>CONCATENATE("description: """,G14,"""", ", ", "note: """,F14,"""",", ","group: """, C14, """",", ","minValue: ", U14,", ","maxValue: ", V14,", ","step: ", W14,", ","units: """, T14, """",", ","defaultValue: ", Z14,", ","eventRegistration: ", AA14,)</f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15" spans="1:16381" s="94" customFormat="1" ht="15.75" customHeight="1" x14ac:dyDescent="0.25">
      <c r="A15" s="66"/>
      <c r="B15" s="66"/>
      <c r="C15" s="66" t="s">
        <v>111</v>
      </c>
      <c r="D15" s="69"/>
      <c r="E15" s="42" t="s">
        <v>373</v>
      </c>
      <c r="F15" s="64" t="s">
        <v>154</v>
      </c>
      <c r="G15" s="64" t="s">
        <v>126</v>
      </c>
      <c r="H15" s="64" t="s">
        <v>358</v>
      </c>
      <c r="I15" s="107" t="s">
        <v>358</v>
      </c>
      <c r="J15" s="64"/>
      <c r="K15" s="64">
        <f t="shared" si="0"/>
        <v>3</v>
      </c>
      <c r="L15" s="64" t="str">
        <f t="shared" si="1"/>
        <v>Tср</v>
      </c>
      <c r="M15" s="66" t="s">
        <v>165</v>
      </c>
      <c r="N15" s="71" t="s">
        <v>261</v>
      </c>
      <c r="O15" s="69" t="s">
        <v>64</v>
      </c>
      <c r="P15" s="69" t="s">
        <v>64</v>
      </c>
      <c r="Q15" s="69"/>
      <c r="R15" s="73">
        <v>2</v>
      </c>
      <c r="S15" s="73" t="s">
        <v>127</v>
      </c>
      <c r="T15" s="69" t="s">
        <v>128</v>
      </c>
      <c r="U15" s="69">
        <v>0</v>
      </c>
      <c r="V15" s="69">
        <v>100000</v>
      </c>
      <c r="W15" s="69">
        <v>10</v>
      </c>
      <c r="X15" s="69"/>
      <c r="Y15" s="69"/>
      <c r="Z15" s="69">
        <v>0</v>
      </c>
      <c r="AA15" s="69">
        <v>0</v>
      </c>
      <c r="AB15" s="68"/>
      <c r="AC15" s="63">
        <v>0</v>
      </c>
      <c r="AD15" s="63"/>
      <c r="AE15" s="63"/>
      <c r="AF15" s="63"/>
      <c r="AG15" s="63"/>
      <c r="AH15" s="63">
        <v>0</v>
      </c>
      <c r="AI15" s="63">
        <v>0</v>
      </c>
      <c r="AJ15" s="63">
        <v>0</v>
      </c>
      <c r="AK15" s="63" t="s">
        <v>230</v>
      </c>
      <c r="AL15" s="67" t="s">
        <v>257</v>
      </c>
      <c r="AM15" s="67" t="s">
        <v>259</v>
      </c>
      <c r="AN15" s="67" t="s">
        <v>260</v>
      </c>
      <c r="AO15" s="67" t="s">
        <v>261</v>
      </c>
      <c r="AP15" s="67"/>
      <c r="AQ15" s="67" t="s">
        <v>397</v>
      </c>
      <c r="AR15" s="65" t="str">
        <f>CONCATENATE(AL15, ".", AN15)</f>
        <v>ZSPTOC1.OpDlTmms.setVal</v>
      </c>
      <c r="AS15" s="67" t="s">
        <v>82</v>
      </c>
      <c r="AT15" s="67">
        <v>0</v>
      </c>
      <c r="AU15" s="67">
        <v>0</v>
      </c>
      <c r="AV15" s="67">
        <v>0</v>
      </c>
      <c r="AW15" s="67">
        <v>0</v>
      </c>
      <c r="AX15" s="67">
        <f t="shared" si="2"/>
        <v>0</v>
      </c>
      <c r="AY15" s="67"/>
      <c r="AZ15" s="67"/>
      <c r="BA15" s="73"/>
      <c r="BB15" s="67"/>
      <c r="BC15" s="67"/>
      <c r="BD15" s="67"/>
      <c r="BE15" s="67"/>
      <c r="BF15" s="67"/>
      <c r="BG15" s="67"/>
      <c r="BH15" s="67"/>
      <c r="BI15" s="76" t="str">
        <f>CONCATENATE("description: """,G15,"""", ", ", "note: """,F15,"""",", ","group: """, C15, """",", ","minValue: ", U15,", ","maxValue: ", V15,", ","step: ", W15,", ","units: """, T15, """",", ","defaultValue: ", Z15,", ","eventRegistration: ", AA15,)</f>
        <v>description: "Tср", note: "Независимая выдержка времени срабатывания", group: "setting", minValue: 0, maxValue: 100000, step: 10, units: "мс", defaultValue: 0, eventRegistration: 0</v>
      </c>
    </row>
    <row r="16" spans="1:16381" s="95" customFormat="1" ht="15.75" x14ac:dyDescent="0.25">
      <c r="A16" s="78"/>
      <c r="B16" s="78"/>
      <c r="C16" s="78" t="s">
        <v>111</v>
      </c>
      <c r="D16" s="86"/>
      <c r="E16" s="26" t="s">
        <v>374</v>
      </c>
      <c r="F16" s="81" t="s">
        <v>331</v>
      </c>
      <c r="G16" s="81" t="s">
        <v>319</v>
      </c>
      <c r="H16" s="81" t="s">
        <v>348</v>
      </c>
      <c r="I16" s="107" t="s">
        <v>348</v>
      </c>
      <c r="J16" s="81" t="s">
        <v>281</v>
      </c>
      <c r="K16" s="81">
        <f t="shared" si="0"/>
        <v>12</v>
      </c>
      <c r="L16" s="81" t="str">
        <f t="shared" si="1"/>
        <v>Ввод_функции</v>
      </c>
      <c r="M16" s="78" t="s">
        <v>166</v>
      </c>
      <c r="N16" s="85" t="s">
        <v>72</v>
      </c>
      <c r="O16" s="86" t="s">
        <v>64</v>
      </c>
      <c r="P16" s="86" t="s">
        <v>64</v>
      </c>
      <c r="Q16" s="86"/>
      <c r="R16" s="90">
        <v>0</v>
      </c>
      <c r="S16" s="90"/>
      <c r="T16" s="86" t="s">
        <v>66</v>
      </c>
      <c r="U16" s="86">
        <v>0</v>
      </c>
      <c r="V16" s="86">
        <v>1</v>
      </c>
      <c r="W16" s="86">
        <v>1</v>
      </c>
      <c r="X16" s="86"/>
      <c r="Y16" s="86"/>
      <c r="Z16" s="86">
        <v>0</v>
      </c>
      <c r="AA16" s="86">
        <v>0</v>
      </c>
      <c r="AB16" s="84"/>
      <c r="AC16" s="88">
        <v>0</v>
      </c>
      <c r="AD16" s="88"/>
      <c r="AE16" s="88"/>
      <c r="AF16" s="88"/>
      <c r="AG16" s="88"/>
      <c r="AH16" s="88">
        <v>0</v>
      </c>
      <c r="AI16" s="88">
        <v>0</v>
      </c>
      <c r="AJ16" s="88">
        <v>0</v>
      </c>
      <c r="AK16" s="24"/>
      <c r="AL16" s="79"/>
      <c r="AM16" s="79"/>
      <c r="AN16" s="79"/>
      <c r="AO16" s="79"/>
      <c r="AP16" s="79"/>
      <c r="AQ16" s="79"/>
      <c r="AR16" s="79"/>
      <c r="AS16" s="79"/>
      <c r="AT16" s="79">
        <v>0</v>
      </c>
      <c r="AU16" s="79">
        <v>0</v>
      </c>
      <c r="AV16" s="79">
        <v>0</v>
      </c>
      <c r="AW16" s="79">
        <v>0</v>
      </c>
      <c r="AX16" s="79">
        <f t="shared" si="2"/>
        <v>0</v>
      </c>
      <c r="AY16" s="79" t="s">
        <v>291</v>
      </c>
      <c r="AZ16" s="79"/>
      <c r="BA16" s="90"/>
      <c r="BB16" s="79"/>
      <c r="BC16" s="79"/>
      <c r="BD16" s="79"/>
      <c r="BE16" s="79"/>
      <c r="BF16" s="79"/>
      <c r="BG16" s="79"/>
      <c r="BH16" s="79"/>
      <c r="BI16" s="91" t="str">
        <f t="shared" ref="BI16" si="9">CONCATENATE("description: """,G16,"""", ", ", "note: """,F16,"""",", ","group: """, C16, """",", ","minValue: ", U16,", ","maxValue: ", V16,", ","step: ", W16,", ","units: """, T16, """",", ","defaultValue: ", Z16,", ","eventRegistration: ", AA16,)</f>
        <v>description: "Ввод_функции", note: "Ввод функции в работу", group: "setting", minValue: 0, maxValue: 1, step: 1, units: "null", defaultValue: 0, eventRegistration: 0</v>
      </c>
    </row>
    <row r="17" spans="1:61" s="95" customFormat="1" ht="15.75" x14ac:dyDescent="0.25">
      <c r="A17" s="78"/>
      <c r="B17" s="78"/>
      <c r="C17" s="78" t="s">
        <v>111</v>
      </c>
      <c r="D17" s="86"/>
      <c r="E17" s="26" t="s">
        <v>374</v>
      </c>
      <c r="F17" s="81" t="s">
        <v>156</v>
      </c>
      <c r="G17" s="81" t="s">
        <v>157</v>
      </c>
      <c r="H17" s="81" t="s">
        <v>349</v>
      </c>
      <c r="I17" s="107" t="s">
        <v>349</v>
      </c>
      <c r="J17" s="81" t="s">
        <v>281</v>
      </c>
      <c r="K17" s="81">
        <f t="shared" si="0"/>
        <v>7</v>
      </c>
      <c r="L17" s="81" t="str">
        <f t="shared" si="1"/>
        <v>Реж_БЧС</v>
      </c>
      <c r="M17" s="78" t="s">
        <v>172</v>
      </c>
      <c r="N17" s="85" t="s">
        <v>72</v>
      </c>
      <c r="O17" s="86" t="s">
        <v>64</v>
      </c>
      <c r="P17" s="86" t="s">
        <v>64</v>
      </c>
      <c r="Q17" s="86"/>
      <c r="R17" s="90">
        <v>0</v>
      </c>
      <c r="S17" s="90"/>
      <c r="T17" s="86" t="s">
        <v>66</v>
      </c>
      <c r="U17" s="86">
        <v>0</v>
      </c>
      <c r="V17" s="86">
        <v>1</v>
      </c>
      <c r="W17" s="86">
        <v>1</v>
      </c>
      <c r="X17" s="86"/>
      <c r="Y17" s="86"/>
      <c r="Z17" s="86">
        <v>0</v>
      </c>
      <c r="AA17" s="86">
        <v>0</v>
      </c>
      <c r="AB17" s="84"/>
      <c r="AC17" s="88">
        <v>0</v>
      </c>
      <c r="AD17" s="88"/>
      <c r="AE17" s="88"/>
      <c r="AF17" s="88"/>
      <c r="AG17" s="88"/>
      <c r="AH17" s="88">
        <v>0</v>
      </c>
      <c r="AI17" s="88">
        <v>0</v>
      </c>
      <c r="AJ17" s="88">
        <v>0</v>
      </c>
      <c r="AK17" s="88" t="s">
        <v>230</v>
      </c>
      <c r="AL17" s="79" t="s">
        <v>268</v>
      </c>
      <c r="AM17" s="79" t="s">
        <v>267</v>
      </c>
      <c r="AN17" s="79" t="s">
        <v>260</v>
      </c>
      <c r="AO17" s="79" t="s">
        <v>99</v>
      </c>
      <c r="AP17" s="79"/>
      <c r="AQ17" s="79" t="s">
        <v>397</v>
      </c>
      <c r="AR17" s="89" t="str">
        <f>CONCATENATE(AL17, ".", AN17)</f>
        <v>ZSPTOC2.OpBlkMod.setVal</v>
      </c>
      <c r="AS17" s="79" t="s">
        <v>82</v>
      </c>
      <c r="AT17" s="79">
        <v>0</v>
      </c>
      <c r="AU17" s="79">
        <v>0</v>
      </c>
      <c r="AV17" s="79">
        <v>0</v>
      </c>
      <c r="AW17" s="79">
        <v>0</v>
      </c>
      <c r="AX17" s="79">
        <f t="shared" si="2"/>
        <v>0</v>
      </c>
      <c r="AY17" s="79" t="s">
        <v>291</v>
      </c>
      <c r="AZ17" s="79"/>
      <c r="BA17" s="90"/>
      <c r="BB17" s="79"/>
      <c r="BC17" s="79"/>
      <c r="BD17" s="79"/>
      <c r="BE17" s="79"/>
      <c r="BF17" s="79"/>
      <c r="BG17" s="79"/>
      <c r="BH17" s="79"/>
      <c r="BI17" s="91" t="str">
        <f>CONCATENATE("description: """,G17,"""", ", ", "note: """,F17,"""",", ","group: """, C17, """",", ","minValue: ", U17,", ","maxValue: ", V17,", ","step: ", W17,", ","units: """, T17, """",", ","defaultValue: ", Z17,", ","eventRegistration: ", AA17,)</f>
        <v>description: "Реж_БЧС", note: "Режим оперативного блокирования ЧС", group: "setting", minValue: 0, maxValue: 1, step: 1, units: "null", defaultValue: 0, eventRegistration: 0</v>
      </c>
    </row>
    <row r="18" spans="1:61" s="95" customFormat="1" ht="15.75" x14ac:dyDescent="0.25">
      <c r="A18" s="78"/>
      <c r="B18" s="78"/>
      <c r="C18" s="78" t="s">
        <v>111</v>
      </c>
      <c r="D18" s="86"/>
      <c r="E18" s="26" t="s">
        <v>374</v>
      </c>
      <c r="F18" s="81" t="s">
        <v>159</v>
      </c>
      <c r="G18" s="81" t="s">
        <v>160</v>
      </c>
      <c r="H18" s="81" t="s">
        <v>350</v>
      </c>
      <c r="I18" s="107" t="s">
        <v>350</v>
      </c>
      <c r="J18" s="81" t="s">
        <v>281</v>
      </c>
      <c r="K18" s="81">
        <f t="shared" si="0"/>
        <v>7</v>
      </c>
      <c r="L18" s="81" t="str">
        <f t="shared" si="1"/>
        <v>Реж_БНТ</v>
      </c>
      <c r="M18" s="78" t="s">
        <v>173</v>
      </c>
      <c r="N18" s="85" t="s">
        <v>72</v>
      </c>
      <c r="O18" s="86" t="s">
        <v>64</v>
      </c>
      <c r="P18" s="86" t="s">
        <v>64</v>
      </c>
      <c r="Q18" s="86"/>
      <c r="R18" s="90">
        <v>0</v>
      </c>
      <c r="S18" s="90"/>
      <c r="T18" s="86" t="s">
        <v>66</v>
      </c>
      <c r="U18" s="86">
        <v>0</v>
      </c>
      <c r="V18" s="86">
        <v>1</v>
      </c>
      <c r="W18" s="86">
        <v>1</v>
      </c>
      <c r="X18" s="86"/>
      <c r="Y18" s="86"/>
      <c r="Z18" s="86">
        <v>0</v>
      </c>
      <c r="AA18" s="86">
        <v>0</v>
      </c>
      <c r="AB18" s="84"/>
      <c r="AC18" s="88">
        <v>0</v>
      </c>
      <c r="AD18" s="88"/>
      <c r="AE18" s="88"/>
      <c r="AF18" s="88"/>
      <c r="AG18" s="88"/>
      <c r="AH18" s="88">
        <v>0</v>
      </c>
      <c r="AI18" s="88">
        <v>0</v>
      </c>
      <c r="AJ18" s="88">
        <v>0</v>
      </c>
      <c r="AK18" s="88" t="s">
        <v>230</v>
      </c>
      <c r="AL18" s="79" t="s">
        <v>270</v>
      </c>
      <c r="AM18" s="79" t="s">
        <v>267</v>
      </c>
      <c r="AN18" s="79" t="s">
        <v>260</v>
      </c>
      <c r="AO18" s="79" t="s">
        <v>99</v>
      </c>
      <c r="AP18" s="79"/>
      <c r="AQ18" s="79" t="s">
        <v>397</v>
      </c>
      <c r="AR18" s="89" t="str">
        <f>CONCATENATE(AL18, ".", AN18)</f>
        <v>ZSPTOC2.MICMod.setVal</v>
      </c>
      <c r="AS18" s="79" t="s">
        <v>82</v>
      </c>
      <c r="AT18" s="79">
        <v>0</v>
      </c>
      <c r="AU18" s="79">
        <v>0</v>
      </c>
      <c r="AV18" s="79">
        <v>0</v>
      </c>
      <c r="AW18" s="79">
        <v>0</v>
      </c>
      <c r="AX18" s="79">
        <f t="shared" si="2"/>
        <v>0</v>
      </c>
      <c r="AY18" s="79" t="s">
        <v>291</v>
      </c>
      <c r="AZ18" s="79"/>
      <c r="BA18" s="90"/>
      <c r="BB18" s="79"/>
      <c r="BC18" s="79"/>
      <c r="BD18" s="79"/>
      <c r="BE18" s="79"/>
      <c r="BF18" s="79"/>
      <c r="BG18" s="79"/>
      <c r="BH18" s="79"/>
      <c r="BI18" s="91" t="str">
        <f>CONCATENATE("description: """,G18,"""", ", ", "note: """,F18,"""",", ","group: """, C18, """",", ","minValue: ", U18,", ","maxValue: ", V18,", ","step: ", W18,", ","units: """, T18, """",", ","defaultValue: ", Z18,", ","eventRegistration: ", AA18,)</f>
        <v>description: "Реж_БНТ", note: "Режим контроля от БНТ", group: "setting", minValue: 0, maxValue: 1, step: 1, units: "null", defaultValue: 0, eventRegistration: 0</v>
      </c>
    </row>
    <row r="19" spans="1:61" s="95" customFormat="1" ht="15.75" customHeight="1" x14ac:dyDescent="0.25">
      <c r="A19" s="78"/>
      <c r="B19" s="78"/>
      <c r="C19" s="78" t="s">
        <v>111</v>
      </c>
      <c r="D19" s="86"/>
      <c r="E19" s="26" t="s">
        <v>374</v>
      </c>
      <c r="F19" s="81" t="s">
        <v>116</v>
      </c>
      <c r="G19" s="81" t="s">
        <v>117</v>
      </c>
      <c r="H19" s="81" t="s">
        <v>351</v>
      </c>
      <c r="I19" s="107"/>
      <c r="J19" s="81"/>
      <c r="K19" s="81">
        <f t="shared" si="0"/>
        <v>5</v>
      </c>
      <c r="L19" s="81" t="str">
        <f t="shared" si="1"/>
        <v>3I0ср</v>
      </c>
      <c r="M19" s="78" t="s">
        <v>167</v>
      </c>
      <c r="N19" s="85" t="s">
        <v>62</v>
      </c>
      <c r="O19" s="86" t="s">
        <v>64</v>
      </c>
      <c r="P19" s="86" t="s">
        <v>64</v>
      </c>
      <c r="Q19" s="86"/>
      <c r="R19" s="90">
        <v>2</v>
      </c>
      <c r="S19" s="90" t="s">
        <v>280</v>
      </c>
      <c r="T19" s="86" t="s">
        <v>226</v>
      </c>
      <c r="U19" s="86" t="s">
        <v>227</v>
      </c>
      <c r="V19" s="86">
        <v>30</v>
      </c>
      <c r="W19" s="86" t="s">
        <v>118</v>
      </c>
      <c r="X19" s="86"/>
      <c r="Y19" s="86"/>
      <c r="Z19" s="86">
        <v>1</v>
      </c>
      <c r="AA19" s="86">
        <v>0</v>
      </c>
      <c r="AB19" s="84"/>
      <c r="AC19" s="88">
        <v>0</v>
      </c>
      <c r="AD19" s="88"/>
      <c r="AE19" s="88"/>
      <c r="AF19" s="88"/>
      <c r="AG19" s="88"/>
      <c r="AH19" s="88">
        <v>0</v>
      </c>
      <c r="AI19" s="88">
        <v>0</v>
      </c>
      <c r="AJ19" s="88">
        <v>0</v>
      </c>
      <c r="AK19" s="88" t="s">
        <v>230</v>
      </c>
      <c r="AL19" s="79" t="s">
        <v>256</v>
      </c>
      <c r="AM19" s="79" t="s">
        <v>114</v>
      </c>
      <c r="AN19" s="79" t="s">
        <v>115</v>
      </c>
      <c r="AO19" s="79" t="s">
        <v>62</v>
      </c>
      <c r="AP19" s="79"/>
      <c r="AQ19" s="79" t="s">
        <v>397</v>
      </c>
      <c r="AR19" s="89" t="str">
        <f>CONCATENATE(AL19, ".", AN19)</f>
        <v>ZSPTOC2.StrVal3I0.setMag.f</v>
      </c>
      <c r="AS19" s="79" t="s">
        <v>82</v>
      </c>
      <c r="AT19" s="79">
        <v>0</v>
      </c>
      <c r="AU19" s="79">
        <v>0</v>
      </c>
      <c r="AV19" s="79">
        <v>0</v>
      </c>
      <c r="AW19" s="79">
        <v>0</v>
      </c>
      <c r="AX19" s="79">
        <f t="shared" si="2"/>
        <v>0</v>
      </c>
      <c r="AY19" s="79"/>
      <c r="AZ19" s="79"/>
      <c r="BA19" s="90"/>
      <c r="BB19" s="79"/>
      <c r="BC19" s="79"/>
      <c r="BD19" s="79"/>
      <c r="BE19" s="79"/>
      <c r="BF19" s="79"/>
      <c r="BG19" s="79"/>
      <c r="BH19" s="79"/>
      <c r="BI19" s="91" t="str">
        <f>CONCATENATE("description: """,G19,"""", ", ", "note: """,F19,"""",", ","group: """, C19, """",", ","minValue: ", U19,", ","maxValue: ", V19,", ","step: ", W19,", ","units: """, T19, """",", ","defaultValue: ", Z19,", ","eventRegistration: ", AA19,)</f>
        <v>description: "3I0ср", note: "Ток срабатывания НП", group: "setting", minValue: 0.1, maxValue: 30, step: 0.01, units: "о.е.", defaultValue: 1, eventRegistration: 0</v>
      </c>
    </row>
    <row r="20" spans="1:61" s="95" customFormat="1" ht="15.75" x14ac:dyDescent="0.25">
      <c r="A20" s="78"/>
      <c r="B20" s="78"/>
      <c r="C20" s="78" t="s">
        <v>111</v>
      </c>
      <c r="D20" s="86"/>
      <c r="E20" s="26" t="s">
        <v>374</v>
      </c>
      <c r="F20" s="81" t="s">
        <v>361</v>
      </c>
      <c r="G20" s="81" t="s">
        <v>302</v>
      </c>
      <c r="H20" s="81" t="s">
        <v>352</v>
      </c>
      <c r="I20" s="107" t="s">
        <v>352</v>
      </c>
      <c r="J20" s="81" t="s">
        <v>281</v>
      </c>
      <c r="K20" s="81">
        <f t="shared" si="0"/>
        <v>9</v>
      </c>
      <c r="L20" s="81" t="str">
        <f t="shared" si="1"/>
        <v>Ненапр_АУ</v>
      </c>
      <c r="M20" s="78" t="s">
        <v>324</v>
      </c>
      <c r="N20" s="85" t="s">
        <v>72</v>
      </c>
      <c r="O20" s="86" t="s">
        <v>64</v>
      </c>
      <c r="P20" s="86" t="s">
        <v>64</v>
      </c>
      <c r="Q20" s="86"/>
      <c r="R20" s="90">
        <v>0</v>
      </c>
      <c r="S20" s="90"/>
      <c r="T20" s="86" t="s">
        <v>66</v>
      </c>
      <c r="U20" s="86">
        <v>0</v>
      </c>
      <c r="V20" s="86">
        <v>1</v>
      </c>
      <c r="W20" s="86">
        <v>1</v>
      </c>
      <c r="X20" s="86"/>
      <c r="Y20" s="86"/>
      <c r="Z20" s="86">
        <v>0</v>
      </c>
      <c r="AA20" s="86">
        <v>0</v>
      </c>
      <c r="AB20" s="84"/>
      <c r="AC20" s="88">
        <v>0</v>
      </c>
      <c r="AD20" s="88"/>
      <c r="AE20" s="88"/>
      <c r="AF20" s="88"/>
      <c r="AG20" s="88"/>
      <c r="AH20" s="88">
        <v>0</v>
      </c>
      <c r="AI20" s="88">
        <v>0</v>
      </c>
      <c r="AJ20" s="88">
        <v>0</v>
      </c>
      <c r="AK20" s="24"/>
      <c r="AL20" s="79"/>
      <c r="AM20" s="79"/>
      <c r="AN20" s="79"/>
      <c r="AO20" s="79"/>
      <c r="AP20" s="79"/>
      <c r="AQ20" s="79"/>
      <c r="AR20" s="89"/>
      <c r="AS20" s="79"/>
      <c r="AT20" s="79">
        <v>0</v>
      </c>
      <c r="AU20" s="79">
        <v>0</v>
      </c>
      <c r="AV20" s="79">
        <v>0</v>
      </c>
      <c r="AW20" s="79">
        <v>0</v>
      </c>
      <c r="AX20" s="79">
        <f t="shared" si="2"/>
        <v>0</v>
      </c>
      <c r="AY20" s="27" t="s">
        <v>291</v>
      </c>
      <c r="AZ20" s="79"/>
      <c r="BA20" s="90"/>
      <c r="BB20" s="79"/>
      <c r="BC20" s="79"/>
      <c r="BD20" s="79"/>
      <c r="BE20" s="79"/>
      <c r="BF20" s="79"/>
      <c r="BG20" s="79"/>
      <c r="BH20" s="79"/>
      <c r="BI20" s="91" t="str">
        <f t="shared" ref="BI20" si="10">CONCATENATE("description: """,G20,"""", ", ", "note: """,F20,"""",", ","group: """, C20, """",", ","minValue: ", U20,", ","maxValue: ", V20,", ","step: ", W20,", ","units: """, T20, """",", ","defaultValue: ", Z20,", ","eventRegistration: ", AA20,)</f>
        <v>description: "Ненапр_АУ", note: "Вывод направленности при АУ", group: "setting", minValue: 0, maxValue: 1, step: 1, units: "null", defaultValue: 0, eventRegistration: 0</v>
      </c>
    </row>
    <row r="21" spans="1:61" s="95" customFormat="1" ht="31.5" x14ac:dyDescent="0.25">
      <c r="A21" s="78"/>
      <c r="B21" s="78"/>
      <c r="C21" s="78" t="s">
        <v>111</v>
      </c>
      <c r="D21" s="86"/>
      <c r="E21" s="26" t="s">
        <v>374</v>
      </c>
      <c r="F21" s="81" t="s">
        <v>150</v>
      </c>
      <c r="G21" s="81" t="s">
        <v>151</v>
      </c>
      <c r="H21" s="81" t="s">
        <v>353</v>
      </c>
      <c r="I21" s="107" t="s">
        <v>353</v>
      </c>
      <c r="J21" s="81" t="s">
        <v>375</v>
      </c>
      <c r="K21" s="81">
        <f t="shared" si="0"/>
        <v>14</v>
      </c>
      <c r="L21" s="81" t="str">
        <f t="shared" si="1"/>
        <v>Направленность</v>
      </c>
      <c r="M21" s="78" t="s">
        <v>169</v>
      </c>
      <c r="N21" s="85" t="s">
        <v>120</v>
      </c>
      <c r="O21" s="86" t="s">
        <v>64</v>
      </c>
      <c r="P21" s="86" t="s">
        <v>64</v>
      </c>
      <c r="Q21" s="86"/>
      <c r="R21" s="90">
        <v>0</v>
      </c>
      <c r="S21" s="90"/>
      <c r="T21" s="86" t="s">
        <v>66</v>
      </c>
      <c r="U21" s="86">
        <v>1</v>
      </c>
      <c r="V21" s="86">
        <v>3</v>
      </c>
      <c r="W21" s="86">
        <v>1</v>
      </c>
      <c r="X21" s="86"/>
      <c r="Y21" s="86"/>
      <c r="Z21" s="86">
        <v>2</v>
      </c>
      <c r="AA21" s="86">
        <v>0</v>
      </c>
      <c r="AB21" s="84"/>
      <c r="AC21" s="88">
        <v>0</v>
      </c>
      <c r="AD21" s="88"/>
      <c r="AE21" s="88"/>
      <c r="AF21" s="88"/>
      <c r="AG21" s="88"/>
      <c r="AH21" s="88">
        <v>0</v>
      </c>
      <c r="AI21" s="88">
        <v>0</v>
      </c>
      <c r="AJ21" s="88">
        <v>0</v>
      </c>
      <c r="AK21" s="88" t="s">
        <v>230</v>
      </c>
      <c r="AL21" s="79" t="s">
        <v>265</v>
      </c>
      <c r="AM21" s="79" t="s">
        <v>262</v>
      </c>
      <c r="AN21" s="79" t="s">
        <v>260</v>
      </c>
      <c r="AO21" s="79" t="s">
        <v>84</v>
      </c>
      <c r="AP21" s="79" t="s">
        <v>263</v>
      </c>
      <c r="AQ21" s="79" t="s">
        <v>397</v>
      </c>
      <c r="AR21" s="89" t="str">
        <f>CONCATENATE(AL21, ".", AN21)</f>
        <v>ZSPTOC2.DirMod.setVal</v>
      </c>
      <c r="AS21" s="79" t="s">
        <v>82</v>
      </c>
      <c r="AT21" s="79">
        <v>0</v>
      </c>
      <c r="AU21" s="79">
        <v>0</v>
      </c>
      <c r="AV21" s="79">
        <v>0</v>
      </c>
      <c r="AW21" s="79">
        <v>0</v>
      </c>
      <c r="AX21" s="79">
        <f t="shared" si="2"/>
        <v>0</v>
      </c>
      <c r="AY21" s="27" t="s">
        <v>292</v>
      </c>
      <c r="AZ21" s="79"/>
      <c r="BA21" s="90"/>
      <c r="BB21" s="79"/>
      <c r="BC21" s="79"/>
      <c r="BD21" s="79"/>
      <c r="BE21" s="79"/>
      <c r="BF21" s="79"/>
      <c r="BG21" s="79"/>
      <c r="BH21" s="79"/>
      <c r="BI21" s="91" t="str">
        <f>CONCATENATE("description: """,G21,"""", ", ", "note: """,F21,"""",", ","group: """, C21, """",", ","minValue: ", U21,", ","maxValue: ", V21,", ","step: ", W21,", ","units: """, T21, """",", ","defaultValue: ", Z21,", ","eventRegistration: ", AA21,)</f>
        <v>description: "Направленность", note: "Режим направленности", group: "setting", minValue: 1, maxValue: 3, step: 1, units: "null", defaultValue: 2, eventRegistration: 0</v>
      </c>
    </row>
    <row r="22" spans="1:61" s="95" customFormat="1" ht="15.75" x14ac:dyDescent="0.25">
      <c r="A22" s="78"/>
      <c r="B22" s="78"/>
      <c r="C22" s="78" t="s">
        <v>111</v>
      </c>
      <c r="D22" s="86"/>
      <c r="E22" s="26" t="s">
        <v>374</v>
      </c>
      <c r="F22" s="81" t="s">
        <v>305</v>
      </c>
      <c r="G22" s="81" t="s">
        <v>304</v>
      </c>
      <c r="H22" s="81" t="s">
        <v>354</v>
      </c>
      <c r="I22" s="107" t="s">
        <v>354</v>
      </c>
      <c r="J22" s="81" t="s">
        <v>379</v>
      </c>
      <c r="K22" s="81">
        <f t="shared" si="0"/>
        <v>14</v>
      </c>
      <c r="L22" s="81" t="str">
        <f t="shared" si="1"/>
        <v>Реж_БНН_ОНМ_НП</v>
      </c>
      <c r="M22" s="78" t="s">
        <v>333</v>
      </c>
      <c r="N22" s="85" t="s">
        <v>72</v>
      </c>
      <c r="O22" s="86" t="s">
        <v>64</v>
      </c>
      <c r="P22" s="86" t="s">
        <v>64</v>
      </c>
      <c r="Q22" s="86"/>
      <c r="R22" s="90">
        <v>0</v>
      </c>
      <c r="S22" s="90"/>
      <c r="T22" s="86" t="s">
        <v>66</v>
      </c>
      <c r="U22" s="86">
        <v>0</v>
      </c>
      <c r="V22" s="86">
        <v>1</v>
      </c>
      <c r="W22" s="86">
        <v>1</v>
      </c>
      <c r="X22" s="86"/>
      <c r="Y22" s="86"/>
      <c r="Z22" s="86">
        <v>0</v>
      </c>
      <c r="AA22" s="86">
        <v>0</v>
      </c>
      <c r="AB22" s="84"/>
      <c r="AC22" s="88">
        <v>0</v>
      </c>
      <c r="AD22" s="88"/>
      <c r="AE22" s="88"/>
      <c r="AF22" s="88"/>
      <c r="AG22" s="88"/>
      <c r="AH22" s="88">
        <v>0</v>
      </c>
      <c r="AI22" s="88">
        <v>0</v>
      </c>
      <c r="AJ22" s="88">
        <v>0</v>
      </c>
      <c r="AK22" s="24"/>
      <c r="AL22" s="79"/>
      <c r="AM22" s="79"/>
      <c r="AN22" s="79"/>
      <c r="AO22" s="79"/>
      <c r="AP22" s="79"/>
      <c r="AQ22" s="79"/>
      <c r="AR22" s="89"/>
      <c r="AS22" s="79"/>
      <c r="AT22" s="79">
        <v>0</v>
      </c>
      <c r="AU22" s="79">
        <v>0</v>
      </c>
      <c r="AV22" s="79">
        <v>0</v>
      </c>
      <c r="AW22" s="79">
        <v>0</v>
      </c>
      <c r="AX22" s="79">
        <f t="shared" si="2"/>
        <v>0</v>
      </c>
      <c r="AY22" s="79" t="s">
        <v>380</v>
      </c>
      <c r="AZ22" s="79"/>
      <c r="BA22" s="90"/>
      <c r="BB22" s="79"/>
      <c r="BC22" s="79"/>
      <c r="BD22" s="79"/>
      <c r="BE22" s="79"/>
      <c r="BF22" s="79"/>
      <c r="BG22" s="79"/>
      <c r="BH22" s="79"/>
      <c r="BI22" s="91" t="str">
        <f t="shared" ref="BI22" si="11">CONCATENATE("description: """,G22,"""", ", ", "note: """,F22,"""",", ","group: """, C22, """",", ","minValue: ", U22,", ","maxValue: ", V22,", ","step: ", W22,", ","units: """, T22, """",", ","defaultValue: ", Z22,", ","eventRegistration: ", AA22,)</f>
        <v>description: "Реж_БНН_ОНМ_НП", note: "Режим ОНМ НП при неисправности ЦН", group: "setting", minValue: 0, maxValue: 1, step: 1, units: "null", defaultValue: 0, eventRegistration: 0</v>
      </c>
    </row>
    <row r="23" spans="1:61" s="95" customFormat="1" ht="15.75" x14ac:dyDescent="0.25">
      <c r="A23" s="78"/>
      <c r="B23" s="78"/>
      <c r="C23" s="78" t="s">
        <v>111</v>
      </c>
      <c r="D23" s="86"/>
      <c r="E23" s="26" t="s">
        <v>374</v>
      </c>
      <c r="F23" s="81" t="s">
        <v>320</v>
      </c>
      <c r="G23" s="81" t="s">
        <v>325</v>
      </c>
      <c r="H23" s="81" t="s">
        <v>355</v>
      </c>
      <c r="I23" s="107" t="s">
        <v>355</v>
      </c>
      <c r="J23" s="81" t="s">
        <v>379</v>
      </c>
      <c r="K23" s="81">
        <f t="shared" si="0"/>
        <v>11</v>
      </c>
      <c r="L23" s="81" t="str">
        <f t="shared" si="1"/>
        <v>Реж_БНН_3U0</v>
      </c>
      <c r="M23" s="78" t="s">
        <v>170</v>
      </c>
      <c r="N23" s="85" t="s">
        <v>72</v>
      </c>
      <c r="O23" s="86" t="s">
        <v>64</v>
      </c>
      <c r="P23" s="86" t="s">
        <v>64</v>
      </c>
      <c r="Q23" s="86"/>
      <c r="R23" s="90">
        <v>0</v>
      </c>
      <c r="S23" s="90"/>
      <c r="T23" s="86" t="s">
        <v>66</v>
      </c>
      <c r="U23" s="86">
        <v>0</v>
      </c>
      <c r="V23" s="86">
        <v>1</v>
      </c>
      <c r="W23" s="86">
        <v>1</v>
      </c>
      <c r="X23" s="86"/>
      <c r="Y23" s="86"/>
      <c r="Z23" s="86">
        <v>1</v>
      </c>
      <c r="AA23" s="86">
        <v>0</v>
      </c>
      <c r="AB23" s="84"/>
      <c r="AC23" s="88">
        <v>0</v>
      </c>
      <c r="AD23" s="88"/>
      <c r="AE23" s="88"/>
      <c r="AF23" s="88"/>
      <c r="AG23" s="88"/>
      <c r="AH23" s="88">
        <v>0</v>
      </c>
      <c r="AI23" s="88">
        <v>0</v>
      </c>
      <c r="AJ23" s="88">
        <v>0</v>
      </c>
      <c r="AK23" s="24"/>
      <c r="AL23" s="79"/>
      <c r="AM23" s="79"/>
      <c r="AN23" s="79"/>
      <c r="AO23" s="79"/>
      <c r="AP23" s="79"/>
      <c r="AQ23" s="79"/>
      <c r="AR23" s="89"/>
      <c r="AS23" s="79"/>
      <c r="AT23" s="79">
        <v>0</v>
      </c>
      <c r="AU23" s="79">
        <v>0</v>
      </c>
      <c r="AV23" s="79">
        <v>0</v>
      </c>
      <c r="AW23" s="79">
        <v>0</v>
      </c>
      <c r="AX23" s="79">
        <f t="shared" si="2"/>
        <v>0</v>
      </c>
      <c r="AY23" s="79" t="s">
        <v>380</v>
      </c>
      <c r="AZ23" s="79"/>
      <c r="BA23" s="90"/>
      <c r="BB23" s="79"/>
      <c r="BC23" s="79"/>
      <c r="BD23" s="79"/>
      <c r="BE23" s="79"/>
      <c r="BF23" s="79"/>
      <c r="BG23" s="79"/>
      <c r="BH23" s="79"/>
      <c r="BI23" s="91" t="str">
        <f>CONCATENATE("description: """,G23,"""", ", ", "note: """,F23,"""",", ","group: """, C23, """",", ","minValue: ", U23,", ","maxValue: ", V23,", ","step: ", W23,", ","units: """, T23, """",", ","defaultValue: ", Z23,", ","eventRegistration: ", AA23,)</f>
        <v>description: "Реж_БНН_3U0", note: "Режим ПО 3U0 при неисправности ЦН", group: "setting", minValue: 0, maxValue: 1, step: 1, units: "null", defaultValue: 1, eventRegistration: 0</v>
      </c>
    </row>
    <row r="24" spans="1:61" s="95" customFormat="1" ht="15.75" x14ac:dyDescent="0.25">
      <c r="A24" s="78"/>
      <c r="B24" s="78"/>
      <c r="C24" s="78" t="s">
        <v>111</v>
      </c>
      <c r="D24" s="86"/>
      <c r="E24" s="26" t="s">
        <v>374</v>
      </c>
      <c r="F24" s="81" t="s">
        <v>112</v>
      </c>
      <c r="G24" s="81" t="s">
        <v>113</v>
      </c>
      <c r="H24" s="81" t="s">
        <v>356</v>
      </c>
      <c r="I24" s="107" t="s">
        <v>356</v>
      </c>
      <c r="J24" s="81"/>
      <c r="K24" s="81">
        <f t="shared" si="0"/>
        <v>5</v>
      </c>
      <c r="L24" s="81" t="str">
        <f t="shared" si="1"/>
        <v>3U0ср</v>
      </c>
      <c r="M24" s="78" t="s">
        <v>168</v>
      </c>
      <c r="N24" s="85" t="s">
        <v>62</v>
      </c>
      <c r="O24" s="86" t="s">
        <v>64</v>
      </c>
      <c r="P24" s="86" t="s">
        <v>64</v>
      </c>
      <c r="Q24" s="86"/>
      <c r="R24" s="90">
        <v>0</v>
      </c>
      <c r="S24" s="90"/>
      <c r="T24" s="86" t="s">
        <v>69</v>
      </c>
      <c r="U24" s="86">
        <v>2</v>
      </c>
      <c r="V24" s="86">
        <v>100</v>
      </c>
      <c r="W24" s="86" t="s">
        <v>227</v>
      </c>
      <c r="X24" s="86"/>
      <c r="Y24" s="86"/>
      <c r="Z24" s="86">
        <v>6</v>
      </c>
      <c r="AA24" s="86">
        <v>0</v>
      </c>
      <c r="AB24" s="84"/>
      <c r="AC24" s="88">
        <v>0</v>
      </c>
      <c r="AD24" s="88"/>
      <c r="AE24" s="88"/>
      <c r="AF24" s="88"/>
      <c r="AG24" s="88"/>
      <c r="AH24" s="88">
        <v>0</v>
      </c>
      <c r="AI24" s="88">
        <v>0</v>
      </c>
      <c r="AJ24" s="88">
        <v>0</v>
      </c>
      <c r="AK24" s="88"/>
      <c r="AL24" s="79"/>
      <c r="AM24" s="79"/>
      <c r="AN24" s="79"/>
      <c r="AO24" s="79"/>
      <c r="AP24" s="79"/>
      <c r="AQ24" s="79"/>
      <c r="AR24" s="89"/>
      <c r="AS24" s="79"/>
      <c r="AT24" s="79">
        <v>0</v>
      </c>
      <c r="AU24" s="79">
        <v>0</v>
      </c>
      <c r="AV24" s="79">
        <v>0</v>
      </c>
      <c r="AW24" s="79">
        <v>0</v>
      </c>
      <c r="AX24" s="79">
        <f t="shared" si="2"/>
        <v>0</v>
      </c>
      <c r="AY24" s="79"/>
      <c r="AZ24" s="79"/>
      <c r="BA24" s="90"/>
      <c r="BB24" s="79"/>
      <c r="BC24" s="79"/>
      <c r="BD24" s="79"/>
      <c r="BE24" s="79"/>
      <c r="BF24" s="79"/>
      <c r="BG24" s="79"/>
      <c r="BH24" s="79"/>
      <c r="BI24" s="91" t="str">
        <f>CONCATENATE("description: """,G24,"""", ", ", "note: """,F24,"""",", ","group: """, C24, """",", ","minValue: ", U24,", ","maxValue: ", V24,", ","step: ", W24,", ","units: """, T24, """",", ","defaultValue: ", Z24,", ","eventRegistration: ", AA24,)</f>
        <v>description: "3U0ср", note: "Напряжение срабатывания НП", group: "setting", minValue: 2, maxValue: 100, step: 0.1, units: "В", defaultValue: 6, eventRegistration: 0</v>
      </c>
    </row>
    <row r="25" spans="1:61" s="95" customFormat="1" ht="15.75" x14ac:dyDescent="0.25">
      <c r="A25" s="78"/>
      <c r="B25" s="78"/>
      <c r="C25" s="78" t="s">
        <v>111</v>
      </c>
      <c r="D25" s="86"/>
      <c r="E25" s="26" t="s">
        <v>374</v>
      </c>
      <c r="F25" s="26" t="s">
        <v>321</v>
      </c>
      <c r="G25" s="81" t="s">
        <v>322</v>
      </c>
      <c r="H25" s="81" t="s">
        <v>357</v>
      </c>
      <c r="I25" s="107" t="s">
        <v>357</v>
      </c>
      <c r="J25" s="81" t="s">
        <v>281</v>
      </c>
      <c r="K25" s="81">
        <f t="shared" si="0"/>
        <v>7</v>
      </c>
      <c r="L25" s="81" t="str">
        <f t="shared" si="1"/>
        <v>Реж_3U0</v>
      </c>
      <c r="M25" s="78" t="s">
        <v>171</v>
      </c>
      <c r="N25" s="85" t="s">
        <v>72</v>
      </c>
      <c r="O25" s="86" t="s">
        <v>64</v>
      </c>
      <c r="P25" s="86" t="s">
        <v>64</v>
      </c>
      <c r="Q25" s="86"/>
      <c r="R25" s="90">
        <v>0</v>
      </c>
      <c r="S25" s="90"/>
      <c r="T25" s="86" t="s">
        <v>66</v>
      </c>
      <c r="U25" s="86">
        <v>0</v>
      </c>
      <c r="V25" s="86">
        <v>1</v>
      </c>
      <c r="W25" s="86">
        <v>1</v>
      </c>
      <c r="X25" s="86"/>
      <c r="Y25" s="86"/>
      <c r="Z25" s="86">
        <v>0</v>
      </c>
      <c r="AA25" s="86">
        <v>0</v>
      </c>
      <c r="AB25" s="84"/>
      <c r="AC25" s="88">
        <v>0</v>
      </c>
      <c r="AD25" s="88"/>
      <c r="AE25" s="88"/>
      <c r="AF25" s="88"/>
      <c r="AG25" s="88"/>
      <c r="AH25" s="88">
        <v>0</v>
      </c>
      <c r="AI25" s="88">
        <v>0</v>
      </c>
      <c r="AJ25" s="88">
        <v>0</v>
      </c>
      <c r="AK25" s="24"/>
      <c r="AL25" s="79"/>
      <c r="AM25" s="79"/>
      <c r="AN25" s="79"/>
      <c r="AO25" s="79"/>
      <c r="AP25" s="79"/>
      <c r="AQ25" s="79"/>
      <c r="AR25" s="89"/>
      <c r="AS25" s="79"/>
      <c r="AT25" s="79">
        <v>0</v>
      </c>
      <c r="AU25" s="79">
        <v>0</v>
      </c>
      <c r="AV25" s="79">
        <v>0</v>
      </c>
      <c r="AW25" s="79">
        <v>0</v>
      </c>
      <c r="AX25" s="79">
        <f t="shared" si="2"/>
        <v>0</v>
      </c>
      <c r="AY25" s="27" t="s">
        <v>291</v>
      </c>
      <c r="AZ25" s="79"/>
      <c r="BA25" s="90"/>
      <c r="BB25" s="79"/>
      <c r="BC25" s="79"/>
      <c r="BD25" s="79"/>
      <c r="BE25" s="79"/>
      <c r="BF25" s="79"/>
      <c r="BG25" s="79"/>
      <c r="BH25" s="79"/>
      <c r="BI25" s="78" t="str">
        <f>CONCATENATE("description: """,G25,"""", ", ", "note: """,F25,"""",", ","group: """, C25, """",", ","minValue: ", U25,", ","maxValue: ", V25,", ","step: ", W25,", ","units: """, T25, """",", ","defaultValue: ", Z25,", ","eventRegistration: ", AA25,)</f>
        <v>description: "Реж_3U0", note: "Режим контроля от ПО 3U0", group: "setting", minValue: 0, maxValue: 1, step: 1, units: "null", defaultValue: 0, eventRegistration: 0</v>
      </c>
    </row>
    <row r="26" spans="1:61" s="97" customFormat="1" ht="47.25" x14ac:dyDescent="0.25">
      <c r="A26" s="78"/>
      <c r="B26" s="110" t="s">
        <v>419</v>
      </c>
      <c r="C26" s="78" t="s">
        <v>111</v>
      </c>
      <c r="D26" s="86"/>
      <c r="E26" s="26" t="s">
        <v>374</v>
      </c>
      <c r="F26" s="81" t="s">
        <v>376</v>
      </c>
      <c r="G26" s="81" t="s">
        <v>162</v>
      </c>
      <c r="H26" s="81"/>
      <c r="I26" s="107"/>
      <c r="J26" s="81" t="s">
        <v>347</v>
      </c>
      <c r="K26" s="81">
        <f t="shared" si="0"/>
        <v>14</v>
      </c>
      <c r="L26" s="81" t="str">
        <f t="shared" si="1"/>
        <v>Характеристика</v>
      </c>
      <c r="M26" s="78" t="s">
        <v>174</v>
      </c>
      <c r="N26" s="85" t="s">
        <v>120</v>
      </c>
      <c r="O26" s="86" t="s">
        <v>64</v>
      </c>
      <c r="P26" s="86" t="s">
        <v>64</v>
      </c>
      <c r="Q26" s="86"/>
      <c r="R26" s="90">
        <v>0</v>
      </c>
      <c r="S26" s="90"/>
      <c r="T26" s="86" t="s">
        <v>66</v>
      </c>
      <c r="U26" s="86" t="s">
        <v>66</v>
      </c>
      <c r="V26" s="86" t="s">
        <v>66</v>
      </c>
      <c r="W26" s="111">
        <v>1</v>
      </c>
      <c r="X26" s="86"/>
      <c r="Y26" s="86"/>
      <c r="Z26" s="86">
        <v>16</v>
      </c>
      <c r="AA26" s="86">
        <v>0</v>
      </c>
      <c r="AB26" s="84"/>
      <c r="AC26" s="88">
        <v>0</v>
      </c>
      <c r="AD26" s="88"/>
      <c r="AE26" s="88"/>
      <c r="AF26" s="88"/>
      <c r="AG26" s="88"/>
      <c r="AH26" s="88">
        <v>0</v>
      </c>
      <c r="AI26" s="88">
        <v>0</v>
      </c>
      <c r="AJ26" s="88">
        <v>0</v>
      </c>
      <c r="AK26" s="88" t="s">
        <v>230</v>
      </c>
      <c r="AL26" s="79" t="s">
        <v>272</v>
      </c>
      <c r="AM26" s="79" t="s">
        <v>121</v>
      </c>
      <c r="AN26" s="79" t="s">
        <v>122</v>
      </c>
      <c r="AO26" s="79" t="s">
        <v>84</v>
      </c>
      <c r="AP26" s="79" t="s">
        <v>123</v>
      </c>
      <c r="AQ26" s="79" t="s">
        <v>397</v>
      </c>
      <c r="AR26" s="89" t="str">
        <f t="shared" ref="AR26:AR34" si="12">CONCATENATE(AL26, ".", AN26)</f>
        <v>ZSPTOC2.TmACrv.setCharact</v>
      </c>
      <c r="AS26" s="79" t="s">
        <v>82</v>
      </c>
      <c r="AT26" s="79">
        <v>0</v>
      </c>
      <c r="AU26" s="79">
        <v>0</v>
      </c>
      <c r="AV26" s="79">
        <v>0</v>
      </c>
      <c r="AW26" s="79">
        <v>0</v>
      </c>
      <c r="AX26" s="79">
        <f t="shared" si="2"/>
        <v>0</v>
      </c>
      <c r="AY26" s="27" t="s">
        <v>293</v>
      </c>
      <c r="AZ26" s="79"/>
      <c r="BA26" s="90"/>
      <c r="BB26" s="79"/>
      <c r="BC26" s="79"/>
      <c r="BD26" s="79"/>
      <c r="BE26" s="79"/>
      <c r="BF26" s="79"/>
      <c r="BG26" s="79"/>
      <c r="BH26" s="79"/>
      <c r="BI26" s="91" t="str">
        <f t="shared" ref="BI26:BI29" si="13">CONCATENATE("description: """,G26,"""", ", ", "note: """,F26,"""",", ","group: """, C26, """",", ","minValue: ", U26,", ","maxValue: ", V26,", ","step: ", W26,", ","units: """, T26, """",", ","defaultValue: ", Z26,", ","eventRegistration: ", AA26,)</f>
        <v>description: "Характеристика", note: "Характеристика срабатывания", group: "setting", minValue: null, maxValue: null, step: 1, units: "null", defaultValue: 16, eventRegistration: 0</v>
      </c>
    </row>
    <row r="27" spans="1:61" s="95" customFormat="1" ht="15.75" x14ac:dyDescent="0.25">
      <c r="A27" s="78"/>
      <c r="B27" s="78"/>
      <c r="C27" s="78" t="s">
        <v>111</v>
      </c>
      <c r="D27" s="86"/>
      <c r="E27" s="26" t="s">
        <v>374</v>
      </c>
      <c r="F27" s="81" t="s">
        <v>323</v>
      </c>
      <c r="G27" s="81" t="s">
        <v>124</v>
      </c>
      <c r="H27" s="81"/>
      <c r="I27" s="107"/>
      <c r="J27" s="81"/>
      <c r="K27" s="81">
        <f t="shared" si="0"/>
        <v>1</v>
      </c>
      <c r="L27" s="81" t="str">
        <f t="shared" si="1"/>
        <v>К</v>
      </c>
      <c r="M27" s="78" t="s">
        <v>175</v>
      </c>
      <c r="N27" s="85" t="s">
        <v>62</v>
      </c>
      <c r="O27" s="86" t="s">
        <v>64</v>
      </c>
      <c r="P27" s="86" t="s">
        <v>64</v>
      </c>
      <c r="Q27" s="86"/>
      <c r="R27" s="90">
        <v>0</v>
      </c>
      <c r="S27" s="90"/>
      <c r="T27" s="86" t="s">
        <v>66</v>
      </c>
      <c r="U27" s="86" t="s">
        <v>119</v>
      </c>
      <c r="V27" s="86">
        <v>15</v>
      </c>
      <c r="W27" s="86" t="s">
        <v>118</v>
      </c>
      <c r="X27" s="86"/>
      <c r="Y27" s="86"/>
      <c r="Z27" s="86" t="s">
        <v>125</v>
      </c>
      <c r="AA27" s="86">
        <v>0</v>
      </c>
      <c r="AB27" s="84"/>
      <c r="AC27" s="88">
        <v>0</v>
      </c>
      <c r="AD27" s="88"/>
      <c r="AE27" s="88"/>
      <c r="AF27" s="88"/>
      <c r="AG27" s="88"/>
      <c r="AH27" s="88">
        <v>0</v>
      </c>
      <c r="AI27" s="88">
        <v>0</v>
      </c>
      <c r="AJ27" s="88">
        <v>0</v>
      </c>
      <c r="AK27" s="88" t="s">
        <v>230</v>
      </c>
      <c r="AL27" s="79" t="s">
        <v>274</v>
      </c>
      <c r="AM27" s="79" t="s">
        <v>114</v>
      </c>
      <c r="AN27" s="79" t="s">
        <v>115</v>
      </c>
      <c r="AO27" s="79" t="s">
        <v>62</v>
      </c>
      <c r="AP27" s="79"/>
      <c r="AQ27" s="79" t="s">
        <v>397</v>
      </c>
      <c r="AR27" s="89" t="str">
        <f t="shared" si="12"/>
        <v>ZSPTOC2.TmMult.setMag.f</v>
      </c>
      <c r="AS27" s="79" t="s">
        <v>82</v>
      </c>
      <c r="AT27" s="79">
        <v>0</v>
      </c>
      <c r="AU27" s="79">
        <v>0</v>
      </c>
      <c r="AV27" s="79">
        <v>0</v>
      </c>
      <c r="AW27" s="79">
        <v>0</v>
      </c>
      <c r="AX27" s="79">
        <f t="shared" si="2"/>
        <v>0</v>
      </c>
      <c r="AY27" s="79"/>
      <c r="AZ27" s="79"/>
      <c r="BA27" s="90"/>
      <c r="BB27" s="79"/>
      <c r="BC27" s="79"/>
      <c r="BD27" s="79"/>
      <c r="BE27" s="79"/>
      <c r="BF27" s="79"/>
      <c r="BG27" s="79"/>
      <c r="BH27" s="79"/>
      <c r="BI27" s="78" t="str">
        <f t="shared" si="13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28" spans="1:61" s="95" customFormat="1" ht="15.75" x14ac:dyDescent="0.25">
      <c r="A28" s="78"/>
      <c r="B28" s="78"/>
      <c r="C28" s="78" t="s">
        <v>111</v>
      </c>
      <c r="D28" s="86"/>
      <c r="E28" s="26" t="s">
        <v>374</v>
      </c>
      <c r="F28" s="81" t="s">
        <v>154</v>
      </c>
      <c r="G28" s="81" t="s">
        <v>126</v>
      </c>
      <c r="H28" s="81" t="s">
        <v>358</v>
      </c>
      <c r="I28" s="107" t="s">
        <v>358</v>
      </c>
      <c r="J28" s="81"/>
      <c r="K28" s="81">
        <f t="shared" si="0"/>
        <v>3</v>
      </c>
      <c r="L28" s="81" t="str">
        <f t="shared" si="1"/>
        <v>Tср</v>
      </c>
      <c r="M28" s="78" t="s">
        <v>176</v>
      </c>
      <c r="N28" s="85" t="s">
        <v>261</v>
      </c>
      <c r="O28" s="86" t="s">
        <v>64</v>
      </c>
      <c r="P28" s="86" t="s">
        <v>64</v>
      </c>
      <c r="Q28" s="86"/>
      <c r="R28" s="90">
        <v>2</v>
      </c>
      <c r="S28" s="90" t="s">
        <v>127</v>
      </c>
      <c r="T28" s="86" t="s">
        <v>128</v>
      </c>
      <c r="U28" s="86">
        <v>0</v>
      </c>
      <c r="V28" s="86">
        <v>100000</v>
      </c>
      <c r="W28" s="86">
        <v>10</v>
      </c>
      <c r="X28" s="86"/>
      <c r="Y28" s="86"/>
      <c r="Z28" s="86">
        <v>0</v>
      </c>
      <c r="AA28" s="86">
        <v>0</v>
      </c>
      <c r="AB28" s="84"/>
      <c r="AC28" s="88">
        <v>0</v>
      </c>
      <c r="AD28" s="88"/>
      <c r="AE28" s="88"/>
      <c r="AF28" s="88"/>
      <c r="AG28" s="88"/>
      <c r="AH28" s="88">
        <v>0</v>
      </c>
      <c r="AI28" s="88">
        <v>0</v>
      </c>
      <c r="AJ28" s="88">
        <v>0</v>
      </c>
      <c r="AK28" s="88" t="s">
        <v>230</v>
      </c>
      <c r="AL28" s="79" t="s">
        <v>258</v>
      </c>
      <c r="AM28" s="79" t="s">
        <v>259</v>
      </c>
      <c r="AN28" s="79" t="s">
        <v>260</v>
      </c>
      <c r="AO28" s="79" t="s">
        <v>261</v>
      </c>
      <c r="AP28" s="79"/>
      <c r="AQ28" s="79" t="s">
        <v>397</v>
      </c>
      <c r="AR28" s="89" t="str">
        <f t="shared" si="12"/>
        <v>ZSPTOC2.OpDlTmms.setVal</v>
      </c>
      <c r="AS28" s="79" t="s">
        <v>82</v>
      </c>
      <c r="AT28" s="79">
        <v>0</v>
      </c>
      <c r="AU28" s="79">
        <v>0</v>
      </c>
      <c r="AV28" s="79">
        <v>0</v>
      </c>
      <c r="AW28" s="79">
        <v>0</v>
      </c>
      <c r="AX28" s="79">
        <f t="shared" si="2"/>
        <v>0</v>
      </c>
      <c r="AY28" s="79"/>
      <c r="AZ28" s="79"/>
      <c r="BA28" s="90"/>
      <c r="BB28" s="79"/>
      <c r="BC28" s="79"/>
      <c r="BD28" s="79"/>
      <c r="BE28" s="79"/>
      <c r="BF28" s="79"/>
      <c r="BG28" s="79"/>
      <c r="BH28" s="79"/>
      <c r="BI28" s="91" t="str">
        <f t="shared" si="13"/>
        <v>description: "Tср", note: "Независимая выдержка времени срабатывания", group: "setting", minValue: 0, maxValue: 100000, step: 10, units: "мс", defaultValue: 0, eventRegistration: 0</v>
      </c>
    </row>
    <row r="29" spans="1:61" s="98" customFormat="1" ht="15.75" x14ac:dyDescent="0.25">
      <c r="A29" s="44"/>
      <c r="B29" s="44"/>
      <c r="C29" s="44" t="s">
        <v>111</v>
      </c>
      <c r="D29" s="45"/>
      <c r="E29" s="60" t="s">
        <v>177</v>
      </c>
      <c r="F29" s="47" t="s">
        <v>178</v>
      </c>
      <c r="G29" s="47" t="s">
        <v>285</v>
      </c>
      <c r="H29" s="47" t="s">
        <v>348</v>
      </c>
      <c r="I29" s="107" t="s">
        <v>348</v>
      </c>
      <c r="J29" s="47" t="s">
        <v>346</v>
      </c>
      <c r="K29" s="47">
        <f t="shared" si="0"/>
        <v>8</v>
      </c>
      <c r="L29" s="47" t="str">
        <f t="shared" si="1"/>
        <v>Выбор_ст</v>
      </c>
      <c r="M29" s="44" t="s">
        <v>179</v>
      </c>
      <c r="N29" s="48" t="s">
        <v>120</v>
      </c>
      <c r="O29" s="45" t="s">
        <v>64</v>
      </c>
      <c r="P29" s="45" t="s">
        <v>64</v>
      </c>
      <c r="Q29" s="45"/>
      <c r="R29" s="49">
        <v>0</v>
      </c>
      <c r="S29" s="49"/>
      <c r="T29" s="45" t="s">
        <v>66</v>
      </c>
      <c r="U29" s="45">
        <v>1</v>
      </c>
      <c r="V29" s="45">
        <v>2</v>
      </c>
      <c r="W29" s="45">
        <v>1</v>
      </c>
      <c r="X29" s="45"/>
      <c r="Y29" s="45"/>
      <c r="Z29" s="45">
        <v>1</v>
      </c>
      <c r="AA29" s="45">
        <v>0</v>
      </c>
      <c r="AB29" s="50"/>
      <c r="AC29" s="51">
        <v>0</v>
      </c>
      <c r="AD29" s="51"/>
      <c r="AE29" s="51"/>
      <c r="AF29" s="51"/>
      <c r="AG29" s="51"/>
      <c r="AH29" s="51">
        <v>0</v>
      </c>
      <c r="AI29" s="51">
        <v>0</v>
      </c>
      <c r="AJ29" s="51">
        <v>0</v>
      </c>
      <c r="AK29" s="51" t="s">
        <v>235</v>
      </c>
      <c r="AL29" s="54" t="s">
        <v>275</v>
      </c>
      <c r="AM29" s="54" t="s">
        <v>262</v>
      </c>
      <c r="AN29" s="54" t="s">
        <v>260</v>
      </c>
      <c r="AO29" s="54" t="s">
        <v>84</v>
      </c>
      <c r="AP29" s="54" t="s">
        <v>276</v>
      </c>
      <c r="AQ29" s="54" t="s">
        <v>397</v>
      </c>
      <c r="AR29" s="53" t="str">
        <f t="shared" si="12"/>
        <v>AUAPSSU1.LvZsTocStSel.setVal</v>
      </c>
      <c r="AS29" s="54" t="s">
        <v>378</v>
      </c>
      <c r="AT29" s="54">
        <v>0</v>
      </c>
      <c r="AU29" s="54">
        <v>0</v>
      </c>
      <c r="AV29" s="54">
        <v>0</v>
      </c>
      <c r="AW29" s="54">
        <v>0</v>
      </c>
      <c r="AX29" s="54">
        <f t="shared" si="2"/>
        <v>0</v>
      </c>
      <c r="AY29" s="61" t="s">
        <v>332</v>
      </c>
      <c r="AZ29" s="54"/>
      <c r="BA29" s="49"/>
      <c r="BB29" s="54"/>
      <c r="BC29" s="54"/>
      <c r="BD29" s="54"/>
      <c r="BE29" s="54"/>
      <c r="BF29" s="54"/>
      <c r="BG29" s="54"/>
      <c r="BH29" s="54"/>
      <c r="BI29" s="55" t="str">
        <f t="shared" si="13"/>
        <v>description: "Выбор_ст", note: "Выбор ускоряемой ступени", group: "setting", minValue: 1, maxValue: 2, step: 1, units: "null", defaultValue: 1, eventRegistration: 0</v>
      </c>
    </row>
    <row r="30" spans="1:61" s="94" customFormat="1" ht="15.75" x14ac:dyDescent="0.25">
      <c r="A30" s="66"/>
      <c r="B30" s="66"/>
      <c r="C30" s="66" t="s">
        <v>111</v>
      </c>
      <c r="D30" s="69"/>
      <c r="E30" s="42" t="s">
        <v>139</v>
      </c>
      <c r="F30" s="64" t="s">
        <v>140</v>
      </c>
      <c r="G30" s="64" t="s">
        <v>377</v>
      </c>
      <c r="H30" s="64" t="s">
        <v>359</v>
      </c>
      <c r="I30" s="107"/>
      <c r="J30" s="64"/>
      <c r="K30" s="64">
        <f t="shared" si="0"/>
        <v>3</v>
      </c>
      <c r="L30" s="64" t="str">
        <f t="shared" si="1"/>
        <v>Фмч</v>
      </c>
      <c r="M30" s="66" t="s">
        <v>141</v>
      </c>
      <c r="N30" s="71" t="s">
        <v>62</v>
      </c>
      <c r="O30" s="69" t="s">
        <v>64</v>
      </c>
      <c r="P30" s="69" t="s">
        <v>64</v>
      </c>
      <c r="Q30" s="69"/>
      <c r="R30" s="73">
        <v>0</v>
      </c>
      <c r="S30" s="73"/>
      <c r="T30" s="69" t="s">
        <v>228</v>
      </c>
      <c r="U30" s="69">
        <v>-179</v>
      </c>
      <c r="V30" s="69">
        <v>180</v>
      </c>
      <c r="W30" s="69" t="s">
        <v>227</v>
      </c>
      <c r="X30" s="69"/>
      <c r="Y30" s="69"/>
      <c r="Z30" s="69">
        <v>45</v>
      </c>
      <c r="AA30" s="69">
        <v>0</v>
      </c>
      <c r="AB30" s="68"/>
      <c r="AC30" s="63">
        <v>0</v>
      </c>
      <c r="AD30" s="63"/>
      <c r="AE30" s="63"/>
      <c r="AF30" s="63"/>
      <c r="AG30" s="63"/>
      <c r="AH30" s="63">
        <v>0</v>
      </c>
      <c r="AI30" s="63">
        <v>0</v>
      </c>
      <c r="AJ30" s="63">
        <v>0</v>
      </c>
      <c r="AK30" s="63" t="s">
        <v>242</v>
      </c>
      <c r="AL30" s="67" t="s">
        <v>277</v>
      </c>
      <c r="AM30" s="67" t="s">
        <v>114</v>
      </c>
      <c r="AN30" s="67" t="s">
        <v>115</v>
      </c>
      <c r="AO30" s="67" t="s">
        <v>62</v>
      </c>
      <c r="AP30" s="67"/>
      <c r="AQ30" s="67" t="s">
        <v>397</v>
      </c>
      <c r="AR30" s="65" t="str">
        <f t="shared" si="12"/>
        <v>RDIR1.ChrAng.setMag.f</v>
      </c>
      <c r="AS30" s="67" t="s">
        <v>82</v>
      </c>
      <c r="AT30" s="67">
        <v>0</v>
      </c>
      <c r="AU30" s="67">
        <v>0</v>
      </c>
      <c r="AV30" s="67">
        <v>0</v>
      </c>
      <c r="AW30" s="67">
        <v>0</v>
      </c>
      <c r="AX30" s="67">
        <f t="shared" si="2"/>
        <v>0</v>
      </c>
      <c r="AY30" s="67"/>
      <c r="AZ30" s="67"/>
      <c r="BA30" s="73"/>
      <c r="BB30" s="67"/>
      <c r="BC30" s="67"/>
      <c r="BD30" s="67"/>
      <c r="BE30" s="67"/>
      <c r="BF30" s="67"/>
      <c r="BG30" s="67"/>
      <c r="BH30" s="67"/>
      <c r="BI30" s="76" t="str">
        <f>CONCATENATE("description: """,G30,"""", ", ", "note: """,F30,"""",", ","group: """, C30, """",", ","minValue: ", U30,", ","maxValue: ", V30,", ","step: ", W30,", ","units: """, T30, """",", ","defaultValue: ", Z30,", ","eventRegistration: ", AA30,)</f>
        <v>description: "Фмч", note: "Угол максимальной чувствительности", group: "setting", minValue: -179, maxValue: 180, step: 0.1, units: "град.", defaultValue: 45, eventRegistration: 0</v>
      </c>
    </row>
    <row r="31" spans="1:61" s="95" customFormat="1" ht="15.75" customHeight="1" x14ac:dyDescent="0.25">
      <c r="A31" s="78"/>
      <c r="B31" s="78"/>
      <c r="C31" s="78" t="s">
        <v>111</v>
      </c>
      <c r="D31" s="86"/>
      <c r="E31" s="26" t="s">
        <v>143</v>
      </c>
      <c r="F31" s="81" t="s">
        <v>144</v>
      </c>
      <c r="G31" s="81" t="s">
        <v>399</v>
      </c>
      <c r="H31" s="81" t="s">
        <v>360</v>
      </c>
      <c r="I31" s="107"/>
      <c r="J31" s="81"/>
      <c r="K31" s="81">
        <f t="shared" si="0"/>
        <v>7</v>
      </c>
      <c r="L31" s="81" t="str">
        <f t="shared" si="1"/>
        <v>Ih2/Ih1</v>
      </c>
      <c r="M31" s="78" t="s">
        <v>145</v>
      </c>
      <c r="N31" s="85" t="s">
        <v>62</v>
      </c>
      <c r="O31" s="86" t="s">
        <v>64</v>
      </c>
      <c r="P31" s="86" t="s">
        <v>64</v>
      </c>
      <c r="Q31" s="86"/>
      <c r="R31" s="90">
        <v>0</v>
      </c>
      <c r="S31" s="90"/>
      <c r="T31" s="86" t="s">
        <v>229</v>
      </c>
      <c r="U31" s="86">
        <v>5</v>
      </c>
      <c r="V31" s="86">
        <v>100</v>
      </c>
      <c r="W31" s="86">
        <v>1</v>
      </c>
      <c r="X31" s="86"/>
      <c r="Y31" s="86"/>
      <c r="Z31" s="86">
        <v>15</v>
      </c>
      <c r="AA31" s="86">
        <v>0</v>
      </c>
      <c r="AB31" s="84"/>
      <c r="AC31" s="88">
        <v>0</v>
      </c>
      <c r="AD31" s="88"/>
      <c r="AE31" s="88"/>
      <c r="AF31" s="88"/>
      <c r="AG31" s="88"/>
      <c r="AH31" s="88">
        <v>0</v>
      </c>
      <c r="AI31" s="88">
        <v>0</v>
      </c>
      <c r="AJ31" s="88">
        <v>0</v>
      </c>
      <c r="AK31" s="88" t="s">
        <v>237</v>
      </c>
      <c r="AL31" s="79" t="s">
        <v>278</v>
      </c>
      <c r="AM31" s="79" t="s">
        <v>114</v>
      </c>
      <c r="AN31" s="79" t="s">
        <v>115</v>
      </c>
      <c r="AO31" s="79" t="s">
        <v>62</v>
      </c>
      <c r="AP31" s="79"/>
      <c r="AQ31" s="79" t="s">
        <v>397</v>
      </c>
      <c r="AR31" s="89" t="str">
        <f t="shared" si="12"/>
        <v>PHAR1.RatIh2Ih1.setMag.f</v>
      </c>
      <c r="AS31" s="79" t="s">
        <v>82</v>
      </c>
      <c r="AT31" s="79">
        <v>0</v>
      </c>
      <c r="AU31" s="79">
        <v>0</v>
      </c>
      <c r="AV31" s="79">
        <v>0</v>
      </c>
      <c r="AW31" s="79">
        <v>0</v>
      </c>
      <c r="AX31" s="79">
        <f t="shared" si="2"/>
        <v>0</v>
      </c>
      <c r="AY31" s="79"/>
      <c r="AZ31" s="79"/>
      <c r="BA31" s="90"/>
      <c r="BB31" s="79"/>
      <c r="BC31" s="79"/>
      <c r="BD31" s="79"/>
      <c r="BE31" s="79"/>
      <c r="BF31" s="79"/>
      <c r="BG31" s="79"/>
      <c r="BH31" s="79"/>
      <c r="BI31" s="91" t="str">
        <f t="shared" ref="BI31" si="14">CONCATENATE("description: """,G31,"""", ", ", "note: """,F31,"""",", ","group: """, C31, """",", ","minValue: ", U31,", ","maxValue: ", V31,", ","step: ", W31,", ","units: """, T31, """",", ","defaultValue: ", Z31,", ","eventRegistration: ", AA31,)</f>
        <v>description: "Ih2/Ih1", note: "Отношение тока второй гармоники к току основной гармоники", group: "setting", minValue: 5, maxValue: 100, step: 1, units: "%", defaultValue: 15, eventRegistration: 0</v>
      </c>
    </row>
    <row r="32" spans="1:61" s="95" customFormat="1" ht="15.75" customHeight="1" x14ac:dyDescent="0.25">
      <c r="A32" s="78"/>
      <c r="B32" s="78"/>
      <c r="C32" s="78" t="s">
        <v>111</v>
      </c>
      <c r="D32" s="86"/>
      <c r="E32" s="26" t="s">
        <v>143</v>
      </c>
      <c r="F32" s="81" t="s">
        <v>400</v>
      </c>
      <c r="G32" s="81" t="s">
        <v>117</v>
      </c>
      <c r="H32" s="81" t="s">
        <v>351</v>
      </c>
      <c r="I32" s="107"/>
      <c r="J32" s="81"/>
      <c r="K32" s="81">
        <f t="shared" si="0"/>
        <v>5</v>
      </c>
      <c r="L32" s="81" t="str">
        <f t="shared" si="1"/>
        <v>3I0ср</v>
      </c>
      <c r="M32" s="78" t="s">
        <v>146</v>
      </c>
      <c r="N32" s="85" t="s">
        <v>62</v>
      </c>
      <c r="O32" s="86" t="s">
        <v>64</v>
      </c>
      <c r="P32" s="86" t="s">
        <v>64</v>
      </c>
      <c r="Q32" s="86"/>
      <c r="R32" s="90">
        <v>2</v>
      </c>
      <c r="S32" s="90" t="s">
        <v>280</v>
      </c>
      <c r="T32" s="86" t="s">
        <v>226</v>
      </c>
      <c r="U32" s="86" t="s">
        <v>227</v>
      </c>
      <c r="V32" s="86">
        <v>15</v>
      </c>
      <c r="W32" s="86" t="s">
        <v>227</v>
      </c>
      <c r="X32" s="86"/>
      <c r="Y32" s="86"/>
      <c r="Z32" s="101" t="s">
        <v>401</v>
      </c>
      <c r="AA32" s="86">
        <v>0</v>
      </c>
      <c r="AB32" s="84"/>
      <c r="AC32" s="88">
        <v>0</v>
      </c>
      <c r="AD32" s="88"/>
      <c r="AE32" s="88"/>
      <c r="AF32" s="88"/>
      <c r="AG32" s="88"/>
      <c r="AH32" s="88">
        <v>0</v>
      </c>
      <c r="AI32" s="88">
        <v>0</v>
      </c>
      <c r="AJ32" s="88">
        <v>0</v>
      </c>
      <c r="AK32" s="88" t="s">
        <v>237</v>
      </c>
      <c r="AL32" s="79" t="s">
        <v>279</v>
      </c>
      <c r="AM32" s="79" t="s">
        <v>114</v>
      </c>
      <c r="AN32" s="79" t="s">
        <v>115</v>
      </c>
      <c r="AO32" s="79" t="s">
        <v>62</v>
      </c>
      <c r="AP32" s="79"/>
      <c r="AQ32" s="79" t="s">
        <v>397</v>
      </c>
      <c r="AR32" s="89" t="str">
        <f t="shared" si="12"/>
        <v>PHAR1.StrVal3I0.setMag.f</v>
      </c>
      <c r="AS32" s="79" t="s">
        <v>82</v>
      </c>
      <c r="AT32" s="79">
        <v>0</v>
      </c>
      <c r="AU32" s="79">
        <v>0</v>
      </c>
      <c r="AV32" s="79">
        <v>0</v>
      </c>
      <c r="AW32" s="79">
        <v>0</v>
      </c>
      <c r="AX32" s="79">
        <f t="shared" si="2"/>
        <v>0</v>
      </c>
      <c r="AY32" s="79"/>
      <c r="AZ32" s="79"/>
      <c r="BA32" s="90"/>
      <c r="BB32" s="79"/>
      <c r="BC32" s="79"/>
      <c r="BD32" s="79"/>
      <c r="BE32" s="79"/>
      <c r="BF32" s="79"/>
      <c r="BG32" s="79"/>
      <c r="BH32" s="79"/>
      <c r="BI32" s="91" t="str">
        <f>CONCATENATE("description: """,G32,"""", ", ", "note: """,F32,"""",", ","group: """, C32, """",", ","minValue: ", U32,", ","maxValue: ", V32,", ","step: ", W32,", ","units: """, T32, """",", ","defaultValue: ", Z32,", ","eventRegistration: ", AA32,)</f>
        <v>description: "3I0ср", note: "Ток блокировки НП", group: "setting", minValue: 0.1, maxValue: 15, step: 0.1, units: "о.е.", defaultValue: 7.5, eventRegistration: 0</v>
      </c>
    </row>
    <row r="33" spans="1:62" s="99" customFormat="1" ht="15.75" x14ac:dyDescent="0.25">
      <c r="A33" s="44"/>
      <c r="B33" s="44"/>
      <c r="C33" s="44" t="s">
        <v>111</v>
      </c>
      <c r="D33" s="45"/>
      <c r="E33" s="60" t="s">
        <v>284</v>
      </c>
      <c r="F33" s="47" t="s">
        <v>326</v>
      </c>
      <c r="G33" s="47" t="s">
        <v>327</v>
      </c>
      <c r="H33" s="47" t="s">
        <v>348</v>
      </c>
      <c r="I33" s="107" t="s">
        <v>348</v>
      </c>
      <c r="J33" s="47" t="s">
        <v>346</v>
      </c>
      <c r="K33" s="47">
        <f t="shared" si="0"/>
        <v>11</v>
      </c>
      <c r="L33" s="47" t="str">
        <f t="shared" si="1"/>
        <v>Выбор_ст_ОУ</v>
      </c>
      <c r="M33" s="44" t="s">
        <v>386</v>
      </c>
      <c r="N33" s="48" t="s">
        <v>120</v>
      </c>
      <c r="O33" s="45" t="s">
        <v>64</v>
      </c>
      <c r="P33" s="45" t="s">
        <v>64</v>
      </c>
      <c r="Q33" s="45"/>
      <c r="R33" s="49">
        <v>0</v>
      </c>
      <c r="S33" s="49"/>
      <c r="T33" s="45" t="s">
        <v>66</v>
      </c>
      <c r="U33" s="45">
        <v>1</v>
      </c>
      <c r="V33" s="45">
        <v>2</v>
      </c>
      <c r="W33" s="45">
        <v>1</v>
      </c>
      <c r="X33" s="45"/>
      <c r="Y33" s="45"/>
      <c r="Z33" s="45">
        <v>1</v>
      </c>
      <c r="AA33" s="45">
        <v>0</v>
      </c>
      <c r="AB33" s="50"/>
      <c r="AC33" s="51">
        <v>0</v>
      </c>
      <c r="AD33" s="51"/>
      <c r="AE33" s="51"/>
      <c r="AF33" s="51"/>
      <c r="AG33" s="51"/>
      <c r="AH33" s="51">
        <v>0</v>
      </c>
      <c r="AI33" s="51">
        <v>0</v>
      </c>
      <c r="AJ33" s="51">
        <v>0</v>
      </c>
      <c r="AK33" s="51" t="s">
        <v>388</v>
      </c>
      <c r="AL33" s="54" t="s">
        <v>389</v>
      </c>
      <c r="AM33" s="54" t="s">
        <v>262</v>
      </c>
      <c r="AN33" s="54" t="s">
        <v>260</v>
      </c>
      <c r="AO33" s="54" t="s">
        <v>84</v>
      </c>
      <c r="AP33" s="54" t="s">
        <v>276</v>
      </c>
      <c r="AQ33" s="54" t="s">
        <v>397</v>
      </c>
      <c r="AR33" s="54" t="str">
        <f t="shared" si="12"/>
        <v>OPAPSSU1.LvZsTocStSel.setVal</v>
      </c>
      <c r="AS33" s="54" t="s">
        <v>82</v>
      </c>
      <c r="AT33" s="54">
        <v>0</v>
      </c>
      <c r="AU33" s="54">
        <v>0</v>
      </c>
      <c r="AV33" s="54">
        <v>0</v>
      </c>
      <c r="AW33" s="54">
        <v>0</v>
      </c>
      <c r="AX33" s="54">
        <f t="shared" si="2"/>
        <v>0</v>
      </c>
      <c r="AY33" s="54" t="s">
        <v>332</v>
      </c>
      <c r="AZ33" s="54"/>
      <c r="BA33" s="49"/>
      <c r="BB33" s="54"/>
      <c r="BC33" s="54"/>
      <c r="BD33" s="54"/>
      <c r="BE33" s="54"/>
      <c r="BF33" s="54"/>
      <c r="BG33" s="54"/>
      <c r="BH33" s="54"/>
      <c r="BI33" s="55" t="str">
        <f>CONCATENATE("description: """,G33,"""", ", ", "note: """,F33,"""",", ","group: """, C33, """",", ","minValue: ", U33,", ","maxValue: ", V33,", ","step: ", W33,", ","units: """, T33, """",", ","defaultValue: ", Z33,", ","eventRegistration: ", AA33,)</f>
        <v>description: "Выбор_ст_ОУ", note: "Выбор оперативно ускоряемой ступени", group: "setting", minValue: 1, maxValue: 2, step: 1, units: "null", defaultValue: 1, eventRegistration: 0</v>
      </c>
    </row>
    <row r="34" spans="1:62" s="98" customFormat="1" ht="15.75" x14ac:dyDescent="0.25">
      <c r="A34" s="44"/>
      <c r="B34" s="44"/>
      <c r="C34" s="44" t="s">
        <v>111</v>
      </c>
      <c r="D34" s="45"/>
      <c r="E34" s="60" t="s">
        <v>284</v>
      </c>
      <c r="F34" s="47" t="s">
        <v>286</v>
      </c>
      <c r="G34" s="47" t="s">
        <v>328</v>
      </c>
      <c r="H34" s="47" t="s">
        <v>358</v>
      </c>
      <c r="I34" s="107" t="s">
        <v>358</v>
      </c>
      <c r="J34" s="47"/>
      <c r="K34" s="47">
        <f t="shared" si="0"/>
        <v>4</v>
      </c>
      <c r="L34" s="47" t="str">
        <f t="shared" si="1"/>
        <v>T_ОУ</v>
      </c>
      <c r="M34" s="44" t="s">
        <v>387</v>
      </c>
      <c r="N34" s="48" t="s">
        <v>261</v>
      </c>
      <c r="O34" s="45" t="s">
        <v>64</v>
      </c>
      <c r="P34" s="45" t="s">
        <v>64</v>
      </c>
      <c r="Q34" s="45"/>
      <c r="R34" s="49">
        <v>2</v>
      </c>
      <c r="S34" s="49" t="s">
        <v>127</v>
      </c>
      <c r="T34" s="45" t="s">
        <v>128</v>
      </c>
      <c r="U34" s="45">
        <v>0</v>
      </c>
      <c r="V34" s="45">
        <v>3000</v>
      </c>
      <c r="W34" s="45">
        <v>10</v>
      </c>
      <c r="X34" s="45"/>
      <c r="Y34" s="45"/>
      <c r="Z34" s="45">
        <v>3000</v>
      </c>
      <c r="AA34" s="45">
        <v>0</v>
      </c>
      <c r="AB34" s="50"/>
      <c r="AC34" s="51">
        <v>0</v>
      </c>
      <c r="AD34" s="51"/>
      <c r="AE34" s="51"/>
      <c r="AF34" s="51"/>
      <c r="AG34" s="51"/>
      <c r="AH34" s="51">
        <v>0</v>
      </c>
      <c r="AI34" s="51">
        <v>0</v>
      </c>
      <c r="AJ34" s="51">
        <v>0</v>
      </c>
      <c r="AK34" s="51" t="s">
        <v>388</v>
      </c>
      <c r="AL34" s="54" t="s">
        <v>390</v>
      </c>
      <c r="AM34" s="54" t="s">
        <v>259</v>
      </c>
      <c r="AN34" s="54" t="s">
        <v>260</v>
      </c>
      <c r="AO34" s="54" t="s">
        <v>261</v>
      </c>
      <c r="AP34" s="54"/>
      <c r="AQ34" s="54" t="s">
        <v>397</v>
      </c>
      <c r="AR34" s="54" t="str">
        <f t="shared" si="12"/>
        <v>OPAPSSU1.OpDlTmms.setVal</v>
      </c>
      <c r="AS34" s="54" t="s">
        <v>82</v>
      </c>
      <c r="AT34" s="54">
        <v>0</v>
      </c>
      <c r="AU34" s="54">
        <v>0</v>
      </c>
      <c r="AV34" s="54">
        <v>0</v>
      </c>
      <c r="AW34" s="54">
        <v>0</v>
      </c>
      <c r="AX34" s="54">
        <f t="shared" si="2"/>
        <v>0</v>
      </c>
      <c r="AY34" s="54"/>
      <c r="AZ34" s="54"/>
      <c r="BA34" s="49"/>
      <c r="BB34" s="54"/>
      <c r="BC34" s="54"/>
      <c r="BD34" s="54"/>
      <c r="BE34" s="54"/>
      <c r="BF34" s="54"/>
      <c r="BG34" s="54"/>
      <c r="BH34" s="54"/>
      <c r="BI34" s="55" t="str">
        <f>CONCATENATE("description: """,G34,"""", ", ", "note: """,F34,"""",", ","group: """, C34, """",", ","minValue: ", U34,", ","maxValue: ", V34,", ","step: ", W34,", ","units: """, T34, """",", ","defaultValue: ", Z34,", ","eventRegistration: ", AA34,)</f>
        <v>description: "T_ОУ", note: "Выдержка времени срабатывания оперативного ускорения", group: "setting", minValue: 0, maxValue: 3000, step: 10, units: "мс", defaultValue: 3000, eventRegistration: 0</v>
      </c>
    </row>
    <row r="35" spans="1:62" s="41" customFormat="1" ht="15.75" x14ac:dyDescent="0.25">
      <c r="A35" s="40"/>
      <c r="B35" s="40"/>
      <c r="C35" s="40"/>
      <c r="D35" s="40"/>
      <c r="E35" s="40"/>
      <c r="T35" s="70"/>
      <c r="U35" s="22"/>
      <c r="V35" s="22"/>
      <c r="W35" s="22"/>
      <c r="X35" s="22"/>
      <c r="Y35" s="22"/>
      <c r="Z35" s="22"/>
      <c r="AA35" s="22"/>
      <c r="AB35" s="40"/>
      <c r="AC35" s="22"/>
      <c r="AD35" s="22"/>
      <c r="AE35" s="22"/>
      <c r="AF35" s="22"/>
      <c r="AG35" s="22"/>
      <c r="AH35" s="22"/>
      <c r="AI35" s="22"/>
      <c r="AJ35" s="40"/>
      <c r="AK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3"/>
      <c r="BE35" s="22"/>
      <c r="BF35" s="23"/>
      <c r="BG35" s="22"/>
      <c r="BH35" s="22"/>
      <c r="BI35" s="40"/>
      <c r="BJ35" s="40"/>
    </row>
    <row r="36" spans="1:62" s="2" customFormat="1" ht="15.75" x14ac:dyDescent="0.25">
      <c r="A36" s="1"/>
      <c r="B36" s="1"/>
      <c r="C36" s="1"/>
      <c r="D36" s="1"/>
      <c r="E36" s="1"/>
      <c r="T36" s="3"/>
      <c r="U36" s="4"/>
      <c r="V36" s="4"/>
      <c r="W36" s="4"/>
      <c r="X36" s="4"/>
      <c r="Y36" s="4"/>
      <c r="Z36" s="4"/>
      <c r="AA36" s="4"/>
      <c r="AB36" s="1"/>
      <c r="AC36" s="4"/>
      <c r="AD36" s="4"/>
      <c r="AE36" s="4"/>
      <c r="AF36" s="4"/>
      <c r="AG36" s="4"/>
      <c r="AH36" s="4"/>
      <c r="AI36" s="4"/>
      <c r="AJ36" s="1"/>
      <c r="AK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17"/>
      <c r="BE36" s="4"/>
      <c r="BF36" s="17"/>
      <c r="BG36" s="4"/>
      <c r="BH36" s="4"/>
      <c r="BI36" s="1"/>
      <c r="BJ36" s="1"/>
    </row>
    <row r="37" spans="1:62" s="2" customFormat="1" ht="15.75" x14ac:dyDescent="0.25">
      <c r="A37" s="1"/>
      <c r="B37" s="1"/>
      <c r="C37" s="1"/>
      <c r="D37" s="1"/>
      <c r="E37" s="1"/>
      <c r="T37" s="3"/>
      <c r="U37" s="4"/>
      <c r="V37" s="4"/>
      <c r="W37" s="4"/>
      <c r="X37" s="4"/>
      <c r="Y37" s="4"/>
      <c r="Z37" s="4"/>
      <c r="AA37" s="4"/>
      <c r="AB37" s="1"/>
      <c r="AC37" s="4"/>
      <c r="AD37" s="4"/>
      <c r="AE37" s="4"/>
      <c r="AF37" s="4"/>
      <c r="AG37" s="4"/>
      <c r="AH37" s="4"/>
      <c r="AI37" s="4"/>
      <c r="AJ37" s="1"/>
      <c r="AK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17"/>
      <c r="BE37" s="4"/>
      <c r="BF37" s="17"/>
      <c r="BG37" s="4"/>
      <c r="BH37" s="4"/>
      <c r="BI37" s="1"/>
      <c r="BJ37" s="1"/>
    </row>
    <row r="38" spans="1:62" s="2" customFormat="1" ht="15.75" x14ac:dyDescent="0.25">
      <c r="A38" s="1"/>
      <c r="B38" s="1"/>
      <c r="C38" s="1"/>
      <c r="D38" s="1"/>
      <c r="E38" s="1"/>
      <c r="T38" s="3"/>
      <c r="U38" s="4"/>
      <c r="V38" s="4"/>
      <c r="W38" s="4"/>
      <c r="X38" s="4"/>
      <c r="Y38" s="4"/>
      <c r="Z38" s="4"/>
      <c r="AA38" s="4"/>
      <c r="AB38" s="1"/>
      <c r="AC38" s="4"/>
      <c r="AD38" s="4"/>
      <c r="AE38" s="4"/>
      <c r="AF38" s="4"/>
      <c r="AG38" s="4"/>
      <c r="AH38" s="4"/>
      <c r="AI38" s="4"/>
      <c r="AJ38" s="1"/>
      <c r="AK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17"/>
      <c r="BE38" s="4"/>
      <c r="BF38" s="17"/>
      <c r="BG38" s="4"/>
      <c r="BH38" s="4"/>
      <c r="BI38" s="1"/>
      <c r="BJ38" s="1"/>
    </row>
    <row r="39" spans="1:62" s="2" customFormat="1" ht="15.75" x14ac:dyDescent="0.25">
      <c r="A39" s="1"/>
      <c r="B39" s="1"/>
      <c r="C39" s="1"/>
      <c r="D39" s="1"/>
      <c r="E39" s="1"/>
      <c r="T39" s="3"/>
      <c r="U39" s="4"/>
      <c r="V39" s="4"/>
      <c r="W39" s="4"/>
      <c r="X39" s="4"/>
      <c r="Y39" s="4"/>
      <c r="Z39" s="4"/>
      <c r="AA39" s="4"/>
      <c r="AB39" s="1"/>
      <c r="AC39" s="4"/>
      <c r="AD39" s="4"/>
      <c r="AE39" s="4"/>
      <c r="AF39" s="4"/>
      <c r="AG39" s="4"/>
      <c r="AH39" s="4"/>
      <c r="AI39" s="4"/>
      <c r="AJ39" s="1"/>
      <c r="AK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17"/>
      <c r="BE39" s="4"/>
      <c r="BF39" s="17"/>
      <c r="BG39" s="4"/>
      <c r="BH39" s="4"/>
      <c r="BI39" s="1"/>
      <c r="BJ39" s="1"/>
    </row>
    <row r="40" spans="1:62" s="2" customFormat="1" ht="15.75" x14ac:dyDescent="0.25">
      <c r="A40" s="1"/>
      <c r="B40" s="1"/>
      <c r="C40" s="1"/>
      <c r="D40" s="1"/>
      <c r="E40" s="1"/>
      <c r="T40" s="3"/>
      <c r="U40" s="4"/>
      <c r="V40" s="4"/>
      <c r="W40" s="4"/>
      <c r="X40" s="4"/>
      <c r="Y40" s="4"/>
      <c r="Z40" s="4"/>
      <c r="AA40" s="4"/>
      <c r="AB40" s="1"/>
      <c r="AC40" s="4"/>
      <c r="AD40" s="4"/>
      <c r="AE40" s="4"/>
      <c r="AF40" s="4"/>
      <c r="AG40" s="4"/>
      <c r="AH40" s="4"/>
      <c r="AI40" s="4"/>
      <c r="AJ40" s="1"/>
      <c r="AK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17"/>
      <c r="BE40" s="4"/>
      <c r="BF40" s="17"/>
      <c r="BG40" s="4"/>
      <c r="BH40" s="4"/>
      <c r="BI40" s="1"/>
      <c r="BJ40" s="1"/>
    </row>
    <row r="41" spans="1:62" s="2" customFormat="1" ht="15.75" x14ac:dyDescent="0.25">
      <c r="A41" s="1"/>
      <c r="B41" s="1"/>
      <c r="C41" s="1"/>
      <c r="D41" s="1"/>
      <c r="E41" s="1"/>
      <c r="T41" s="3"/>
      <c r="U41" s="4"/>
      <c r="V41" s="4"/>
      <c r="W41" s="4"/>
      <c r="X41" s="4"/>
      <c r="Y41" s="4"/>
      <c r="Z41" s="4"/>
      <c r="AA41" s="4"/>
      <c r="AB41" s="1"/>
      <c r="AC41" s="4"/>
      <c r="AD41" s="4"/>
      <c r="AE41" s="4"/>
      <c r="AF41" s="4"/>
      <c r="AG41" s="4"/>
      <c r="AH41" s="4"/>
      <c r="AI41" s="4"/>
      <c r="AJ41" s="1"/>
      <c r="AK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17"/>
      <c r="BE41" s="4"/>
      <c r="BF41" s="17"/>
      <c r="BG41" s="4"/>
      <c r="BH41" s="4"/>
      <c r="BI41" s="1"/>
      <c r="BJ41" s="1"/>
    </row>
    <row r="42" spans="1:62" s="2" customFormat="1" ht="15.75" x14ac:dyDescent="0.25">
      <c r="A42" s="1"/>
      <c r="B42" s="1"/>
      <c r="C42" s="1"/>
      <c r="D42" s="1"/>
      <c r="E42" s="1"/>
      <c r="T42" s="3"/>
      <c r="U42" s="4"/>
      <c r="V42" s="4"/>
      <c r="W42" s="4"/>
      <c r="X42" s="4"/>
      <c r="Y42" s="4"/>
      <c r="Z42" s="4"/>
      <c r="AA42" s="4"/>
      <c r="AB42" s="1"/>
      <c r="AC42" s="4"/>
      <c r="AD42" s="4"/>
      <c r="AE42" s="4"/>
      <c r="AF42" s="4"/>
      <c r="AG42" s="4"/>
      <c r="AH42" s="4"/>
      <c r="AI42" s="4"/>
      <c r="AJ42" s="1"/>
      <c r="AK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17"/>
      <c r="BE42" s="4"/>
      <c r="BF42" s="17"/>
      <c r="BG42" s="4"/>
      <c r="BH42" s="4"/>
      <c r="BI42" s="1"/>
      <c r="BJ42" s="1"/>
    </row>
    <row r="43" spans="1:62" s="2" customFormat="1" ht="15.75" x14ac:dyDescent="0.25">
      <c r="A43" s="1"/>
      <c r="B43" s="1"/>
      <c r="C43" s="1"/>
      <c r="D43" s="1"/>
      <c r="E43" s="1"/>
      <c r="T43" s="3"/>
      <c r="U43" s="4"/>
      <c r="V43" s="4"/>
      <c r="W43" s="4"/>
      <c r="X43" s="4"/>
      <c r="Y43" s="4"/>
      <c r="Z43" s="4"/>
      <c r="AA43" s="4"/>
      <c r="AB43" s="1"/>
      <c r="AC43" s="4"/>
      <c r="AD43" s="4"/>
      <c r="AE43" s="4"/>
      <c r="AF43" s="4"/>
      <c r="AG43" s="4"/>
      <c r="AH43" s="4"/>
      <c r="AI43" s="4"/>
      <c r="AJ43" s="1"/>
      <c r="AK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17"/>
      <c r="BE43" s="4"/>
      <c r="BF43" s="17"/>
      <c r="BG43" s="4"/>
      <c r="BH43" s="4"/>
      <c r="BI43" s="1"/>
      <c r="BJ43" s="1"/>
    </row>
    <row r="44" spans="1:62" s="2" customFormat="1" ht="15.75" x14ac:dyDescent="0.25">
      <c r="A44" s="1"/>
      <c r="B44" s="1"/>
      <c r="C44" s="1"/>
      <c r="D44" s="1"/>
      <c r="E44" s="1"/>
      <c r="T44" s="3"/>
      <c r="U44" s="4"/>
      <c r="V44" s="4"/>
      <c r="W44" s="4"/>
      <c r="X44" s="4"/>
      <c r="Y44" s="4"/>
      <c r="Z44" s="4"/>
      <c r="AA44" s="4"/>
      <c r="AB44" s="1"/>
      <c r="AC44" s="4"/>
      <c r="AD44" s="4"/>
      <c r="AE44" s="4"/>
      <c r="AF44" s="4"/>
      <c r="AG44" s="4"/>
      <c r="AH44" s="4"/>
      <c r="AI44" s="4"/>
      <c r="AJ44" s="1"/>
      <c r="AK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17"/>
      <c r="BE44" s="4"/>
      <c r="BF44" s="17"/>
      <c r="BG44" s="4"/>
      <c r="BH44" s="4"/>
      <c r="BI44" s="1"/>
      <c r="BJ44" s="1"/>
    </row>
    <row r="45" spans="1:62" s="2" customFormat="1" ht="15.75" x14ac:dyDescent="0.25">
      <c r="A45" s="1"/>
      <c r="B45" s="1"/>
      <c r="C45" s="1"/>
      <c r="D45" s="1"/>
      <c r="E45" s="1"/>
      <c r="T45" s="3"/>
      <c r="U45" s="4"/>
      <c r="V45" s="4"/>
      <c r="W45" s="4"/>
      <c r="X45" s="4"/>
      <c r="Y45" s="4"/>
      <c r="Z45" s="4"/>
      <c r="AA45" s="4"/>
      <c r="AB45" s="1"/>
      <c r="AC45" s="4"/>
      <c r="AD45" s="4"/>
      <c r="AE45" s="4"/>
      <c r="AF45" s="4"/>
      <c r="AG45" s="4"/>
      <c r="AH45" s="4"/>
      <c r="AI45" s="4"/>
      <c r="AJ45" s="1"/>
      <c r="AK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17"/>
      <c r="BE45" s="4"/>
      <c r="BF45" s="17"/>
      <c r="BG45" s="4"/>
      <c r="BH45" s="4"/>
      <c r="BI45" s="1"/>
      <c r="BJ45" s="1"/>
    </row>
    <row r="46" spans="1:62" s="2" customFormat="1" ht="15.75" x14ac:dyDescent="0.25">
      <c r="A46" s="1"/>
      <c r="B46" s="1"/>
      <c r="C46" s="1"/>
      <c r="D46" s="1"/>
      <c r="E46" s="1"/>
      <c r="T46" s="3"/>
      <c r="U46" s="4"/>
      <c r="V46" s="4"/>
      <c r="W46" s="4"/>
      <c r="X46" s="4"/>
      <c r="Y46" s="4"/>
      <c r="Z46" s="4"/>
      <c r="AA46" s="4"/>
      <c r="AB46" s="1"/>
      <c r="AC46" s="4"/>
      <c r="AD46" s="4"/>
      <c r="AE46" s="4"/>
      <c r="AF46" s="4"/>
      <c r="AG46" s="4"/>
      <c r="AH46" s="4"/>
      <c r="AI46" s="4"/>
      <c r="AJ46" s="1"/>
      <c r="AK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17"/>
      <c r="BE46" s="4"/>
      <c r="BF46" s="17"/>
      <c r="BG46" s="4"/>
      <c r="BH46" s="4"/>
      <c r="BI46" s="1"/>
      <c r="BJ46" s="1"/>
    </row>
    <row r="47" spans="1:62" s="2" customFormat="1" ht="15.75" x14ac:dyDescent="0.25">
      <c r="A47" s="1"/>
      <c r="B47" s="1"/>
      <c r="C47" s="1"/>
      <c r="D47" s="1"/>
      <c r="E47" s="1"/>
      <c r="T47" s="3"/>
      <c r="U47" s="4"/>
      <c r="V47" s="4"/>
      <c r="W47" s="4"/>
      <c r="X47" s="4"/>
      <c r="Y47" s="4"/>
      <c r="Z47" s="4"/>
      <c r="AA47" s="4"/>
      <c r="AB47" s="1"/>
      <c r="AC47" s="4"/>
      <c r="AD47" s="4"/>
      <c r="AE47" s="4"/>
      <c r="AF47" s="4"/>
      <c r="AG47" s="4"/>
      <c r="AH47" s="4"/>
      <c r="AI47" s="4"/>
      <c r="AJ47" s="1"/>
      <c r="AK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17"/>
      <c r="BE47" s="4"/>
      <c r="BF47" s="17"/>
      <c r="BG47" s="4"/>
      <c r="BH47" s="4"/>
      <c r="BI47" s="1"/>
      <c r="BJ47" s="1"/>
    </row>
    <row r="48" spans="1:62" s="2" customFormat="1" ht="15.75" x14ac:dyDescent="0.25">
      <c r="A48" s="1"/>
      <c r="B48" s="1"/>
      <c r="C48" s="1"/>
      <c r="D48" s="1"/>
      <c r="E48" s="1"/>
      <c r="T48" s="3"/>
      <c r="U48" s="4"/>
      <c r="V48" s="4"/>
      <c r="W48" s="4"/>
      <c r="X48" s="4"/>
      <c r="Y48" s="4"/>
      <c r="Z48" s="4"/>
      <c r="AA48" s="4"/>
      <c r="AB48" s="1"/>
      <c r="AC48" s="4"/>
      <c r="AD48" s="4"/>
      <c r="AE48" s="4"/>
      <c r="AF48" s="4"/>
      <c r="AG48" s="4"/>
      <c r="AH48" s="4"/>
      <c r="AI48" s="4"/>
      <c r="AJ48" s="1"/>
      <c r="AK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17"/>
      <c r="BE48" s="4"/>
      <c r="BF48" s="17"/>
      <c r="BG48" s="4"/>
      <c r="BH48" s="4"/>
      <c r="BI48" s="1"/>
      <c r="BJ48" s="1"/>
    </row>
    <row r="49" spans="1:62" s="2" customFormat="1" ht="15.75" x14ac:dyDescent="0.25">
      <c r="A49" s="1"/>
      <c r="B49" s="1"/>
      <c r="C49" s="1"/>
      <c r="D49" s="1"/>
      <c r="E49" s="1"/>
      <c r="T49" s="3"/>
      <c r="U49" s="4"/>
      <c r="V49" s="4"/>
      <c r="W49" s="4"/>
      <c r="X49" s="4"/>
      <c r="Y49" s="4"/>
      <c r="Z49" s="4"/>
      <c r="AA49" s="4"/>
      <c r="AB49" s="1"/>
      <c r="AC49" s="4"/>
      <c r="AD49" s="4"/>
      <c r="AE49" s="4"/>
      <c r="AF49" s="4"/>
      <c r="AG49" s="4"/>
      <c r="AH49" s="4"/>
      <c r="AI49" s="4"/>
      <c r="AJ49" s="1"/>
      <c r="AK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17"/>
      <c r="BE49" s="4"/>
      <c r="BF49" s="17"/>
      <c r="BG49" s="4"/>
      <c r="BH49" s="4"/>
      <c r="BI49" s="1"/>
      <c r="BJ49" s="1"/>
    </row>
    <row r="50" spans="1:62" s="2" customFormat="1" ht="15.75" x14ac:dyDescent="0.25">
      <c r="A50" s="1"/>
      <c r="B50" s="1"/>
      <c r="C50" s="1"/>
      <c r="D50" s="1"/>
      <c r="E50" s="1"/>
      <c r="T50" s="3"/>
      <c r="U50" s="4"/>
      <c r="V50" s="4"/>
      <c r="W50" s="4"/>
      <c r="X50" s="4"/>
      <c r="Y50" s="4"/>
      <c r="Z50" s="4"/>
      <c r="AA50" s="4"/>
      <c r="AB50" s="1"/>
      <c r="AC50" s="4"/>
      <c r="AD50" s="4"/>
      <c r="AE50" s="4"/>
      <c r="AF50" s="4"/>
      <c r="AG50" s="4"/>
      <c r="AH50" s="4"/>
      <c r="AI50" s="4"/>
      <c r="AJ50" s="1"/>
      <c r="AK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17"/>
      <c r="BE50" s="4"/>
      <c r="BF50" s="17"/>
      <c r="BG50" s="4"/>
      <c r="BH50" s="4"/>
      <c r="BI50" s="1"/>
      <c r="BJ50" s="1"/>
    </row>
    <row r="51" spans="1:62" s="2" customFormat="1" ht="15.75" x14ac:dyDescent="0.25">
      <c r="A51" s="1"/>
      <c r="B51" s="1"/>
      <c r="C51" s="1"/>
      <c r="D51" s="1"/>
      <c r="E51" s="1"/>
      <c r="T51" s="3"/>
      <c r="U51" s="4"/>
      <c r="V51" s="4"/>
      <c r="W51" s="4"/>
      <c r="X51" s="4"/>
      <c r="Y51" s="4"/>
      <c r="Z51" s="4"/>
      <c r="AA51" s="4"/>
      <c r="AB51" s="1"/>
      <c r="AC51" s="4"/>
      <c r="AD51" s="4"/>
      <c r="AE51" s="4"/>
      <c r="AF51" s="4"/>
      <c r="AG51" s="4"/>
      <c r="AH51" s="4"/>
      <c r="AI51" s="4"/>
      <c r="AJ51" s="1"/>
      <c r="AK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17"/>
      <c r="BE51" s="4"/>
      <c r="BF51" s="17"/>
      <c r="BG51" s="4"/>
      <c r="BH51" s="4"/>
      <c r="BI51" s="1"/>
      <c r="BJ51" s="1"/>
    </row>
    <row r="52" spans="1:62" s="2" customFormat="1" ht="15.75" x14ac:dyDescent="0.25">
      <c r="A52" s="1"/>
      <c r="B52" s="1"/>
      <c r="C52" s="1"/>
      <c r="D52" s="1"/>
      <c r="E52" s="1"/>
      <c r="T52" s="3"/>
      <c r="U52" s="4"/>
      <c r="V52" s="4"/>
      <c r="W52" s="4"/>
      <c r="X52" s="4"/>
      <c r="Y52" s="4"/>
      <c r="Z52" s="4"/>
      <c r="AA52" s="4"/>
      <c r="AB52" s="1"/>
      <c r="AC52" s="4"/>
      <c r="AD52" s="4"/>
      <c r="AE52" s="4"/>
      <c r="AF52" s="4"/>
      <c r="AG52" s="4"/>
      <c r="AH52" s="4"/>
      <c r="AI52" s="4"/>
      <c r="AJ52" s="1"/>
      <c r="AK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17"/>
      <c r="BE52" s="4"/>
      <c r="BF52" s="17"/>
      <c r="BG52" s="4"/>
      <c r="BH52" s="4"/>
      <c r="BI52" s="1"/>
      <c r="BJ52" s="1"/>
    </row>
    <row r="53" spans="1:62" s="2" customFormat="1" ht="15.75" x14ac:dyDescent="0.25">
      <c r="A53" s="1"/>
      <c r="B53" s="1"/>
      <c r="C53" s="1"/>
      <c r="D53" s="1"/>
      <c r="E53" s="1"/>
      <c r="T53" s="3"/>
      <c r="U53" s="4"/>
      <c r="V53" s="4"/>
      <c r="W53" s="4"/>
      <c r="X53" s="4"/>
      <c r="Y53" s="4"/>
      <c r="Z53" s="4"/>
      <c r="AA53" s="4"/>
      <c r="AB53" s="1"/>
      <c r="AC53" s="4"/>
      <c r="AD53" s="4"/>
      <c r="AE53" s="4"/>
      <c r="AF53" s="4"/>
      <c r="AG53" s="4"/>
      <c r="AH53" s="4"/>
      <c r="AI53" s="4"/>
      <c r="AJ53" s="1"/>
      <c r="AK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17"/>
      <c r="BE53" s="4"/>
      <c r="BF53" s="17"/>
      <c r="BG53" s="4"/>
      <c r="BH53" s="4"/>
      <c r="BI53" s="1"/>
      <c r="BJ53" s="1"/>
    </row>
    <row r="54" spans="1:62" s="2" customFormat="1" ht="15.75" x14ac:dyDescent="0.25">
      <c r="A54" s="1"/>
      <c r="B54" s="1"/>
      <c r="C54" s="1"/>
      <c r="D54" s="1"/>
      <c r="E54" s="1"/>
      <c r="T54" s="3"/>
      <c r="U54" s="4"/>
      <c r="V54" s="4"/>
      <c r="W54" s="4"/>
      <c r="X54" s="4"/>
      <c r="Y54" s="4"/>
      <c r="Z54" s="4"/>
      <c r="AA54" s="4"/>
      <c r="AB54" s="1"/>
      <c r="AC54" s="4"/>
      <c r="AD54" s="4"/>
      <c r="AE54" s="4"/>
      <c r="AF54" s="4"/>
      <c r="AG54" s="4"/>
      <c r="AH54" s="4"/>
      <c r="AI54" s="4"/>
      <c r="AJ54" s="1"/>
      <c r="AK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17"/>
      <c r="BE54" s="4"/>
      <c r="BF54" s="17"/>
      <c r="BG54" s="4"/>
      <c r="BH54" s="4"/>
      <c r="BI54" s="1"/>
      <c r="BJ54" s="1"/>
    </row>
    <row r="55" spans="1:62" s="2" customFormat="1" ht="15.75" x14ac:dyDescent="0.25">
      <c r="A55" s="1"/>
      <c r="B55" s="1"/>
      <c r="C55" s="1"/>
      <c r="D55" s="1"/>
      <c r="E55" s="1"/>
      <c r="T55" s="3"/>
      <c r="U55" s="4"/>
      <c r="V55" s="4"/>
      <c r="W55" s="4"/>
      <c r="X55" s="4"/>
      <c r="Y55" s="4"/>
      <c r="Z55" s="4"/>
      <c r="AA55" s="4"/>
      <c r="AB55" s="1"/>
      <c r="AC55" s="4"/>
      <c r="AD55" s="4"/>
      <c r="AE55" s="4"/>
      <c r="AF55" s="4"/>
      <c r="AG55" s="4"/>
      <c r="AH55" s="4"/>
      <c r="AI55" s="4"/>
      <c r="AJ55" s="1"/>
      <c r="AK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17"/>
      <c r="BE55" s="4"/>
      <c r="BF55" s="17"/>
      <c r="BG55" s="4"/>
      <c r="BH55" s="4"/>
      <c r="BI55" s="1"/>
      <c r="BJ55" s="1"/>
    </row>
    <row r="56" spans="1:62" s="2" customFormat="1" ht="15.75" x14ac:dyDescent="0.25">
      <c r="A56" s="1"/>
      <c r="B56" s="1"/>
      <c r="C56" s="1"/>
      <c r="D56" s="1"/>
      <c r="E56" s="1"/>
      <c r="T56" s="3"/>
      <c r="U56" s="4"/>
      <c r="V56" s="4"/>
      <c r="W56" s="4"/>
      <c r="X56" s="4"/>
      <c r="Y56" s="4"/>
      <c r="Z56" s="4"/>
      <c r="AA56" s="4"/>
      <c r="AB56" s="1"/>
      <c r="AC56" s="4"/>
      <c r="AD56" s="4"/>
      <c r="AE56" s="4"/>
      <c r="AF56" s="4"/>
      <c r="AG56" s="4"/>
      <c r="AH56" s="4"/>
      <c r="AI56" s="4"/>
      <c r="AJ56" s="1"/>
      <c r="AK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17"/>
      <c r="BE56" s="4"/>
      <c r="BF56" s="17"/>
      <c r="BG56" s="4"/>
      <c r="BH56" s="4"/>
      <c r="BI56" s="1"/>
      <c r="BJ56" s="1"/>
    </row>
    <row r="57" spans="1:62" s="2" customFormat="1" ht="15.75" x14ac:dyDescent="0.25">
      <c r="A57" s="1"/>
      <c r="B57" s="1"/>
      <c r="C57" s="1"/>
      <c r="D57" s="1"/>
      <c r="E57" s="1"/>
      <c r="T57" s="3"/>
      <c r="U57" s="4"/>
      <c r="V57" s="4"/>
      <c r="W57" s="4"/>
      <c r="X57" s="4"/>
      <c r="Y57" s="4"/>
      <c r="Z57" s="4"/>
      <c r="AA57" s="4"/>
      <c r="AB57" s="1"/>
      <c r="AC57" s="4"/>
      <c r="AD57" s="4"/>
      <c r="AE57" s="4"/>
      <c r="AF57" s="4"/>
      <c r="AG57" s="4"/>
      <c r="AH57" s="4"/>
      <c r="AI57" s="4"/>
      <c r="AJ57" s="1"/>
      <c r="AK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17"/>
      <c r="BE57" s="4"/>
      <c r="BF57" s="17"/>
      <c r="BG57" s="4"/>
      <c r="BH57" s="4"/>
      <c r="BI57" s="1"/>
      <c r="BJ57" s="1"/>
    </row>
    <row r="58" spans="1:62" s="2" customFormat="1" ht="15.75" x14ac:dyDescent="0.25">
      <c r="A58" s="1"/>
      <c r="B58" s="1"/>
      <c r="C58" s="1"/>
      <c r="D58" s="1"/>
      <c r="E58" s="1"/>
      <c r="T58" s="3"/>
      <c r="U58" s="4"/>
      <c r="V58" s="4"/>
      <c r="W58" s="4"/>
      <c r="X58" s="4"/>
      <c r="Y58" s="4"/>
      <c r="Z58" s="4"/>
      <c r="AA58" s="4"/>
      <c r="AB58" s="1"/>
      <c r="AC58" s="4"/>
      <c r="AD58" s="4"/>
      <c r="AE58" s="4"/>
      <c r="AF58" s="4"/>
      <c r="AG58" s="4"/>
      <c r="AH58" s="4"/>
      <c r="AI58" s="4"/>
      <c r="AJ58" s="1"/>
      <c r="AK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17"/>
      <c r="BE58" s="4"/>
      <c r="BF58" s="17"/>
      <c r="BG58" s="4"/>
      <c r="BH58" s="4"/>
      <c r="BI58" s="1"/>
      <c r="BJ58" s="1"/>
    </row>
    <row r="59" spans="1:62" s="2" customFormat="1" ht="15.75" x14ac:dyDescent="0.25">
      <c r="A59" s="1"/>
      <c r="B59" s="1"/>
      <c r="C59" s="1"/>
      <c r="D59" s="1"/>
      <c r="E59" s="1"/>
      <c r="T59" s="3"/>
      <c r="U59" s="4"/>
      <c r="V59" s="4"/>
      <c r="W59" s="4"/>
      <c r="X59" s="4"/>
      <c r="Y59" s="4"/>
      <c r="Z59" s="4"/>
      <c r="AA59" s="4"/>
      <c r="AB59" s="1"/>
      <c r="AC59" s="4"/>
      <c r="AD59" s="4"/>
      <c r="AE59" s="4"/>
      <c r="AF59" s="4"/>
      <c r="AG59" s="4"/>
      <c r="AH59" s="4"/>
      <c r="AI59" s="4"/>
      <c r="AJ59" s="1"/>
      <c r="AK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17"/>
      <c r="BE59" s="4"/>
      <c r="BF59" s="17"/>
      <c r="BG59" s="4"/>
      <c r="BH59" s="4"/>
      <c r="BI59" s="1"/>
      <c r="BJ59" s="1"/>
    </row>
    <row r="60" spans="1:62" s="2" customFormat="1" ht="15.75" x14ac:dyDescent="0.25">
      <c r="A60" s="1"/>
      <c r="B60" s="1"/>
      <c r="C60" s="1"/>
      <c r="D60" s="1"/>
      <c r="E60" s="1"/>
      <c r="T60" s="3"/>
      <c r="U60" s="4"/>
      <c r="V60" s="4"/>
      <c r="W60" s="4"/>
      <c r="X60" s="4"/>
      <c r="Y60" s="4"/>
      <c r="Z60" s="4"/>
      <c r="AA60" s="4"/>
      <c r="AB60" s="1"/>
      <c r="AC60" s="4"/>
      <c r="AD60" s="4"/>
      <c r="AE60" s="4"/>
      <c r="AF60" s="4"/>
      <c r="AG60" s="4"/>
      <c r="AH60" s="4"/>
      <c r="AI60" s="4"/>
      <c r="AJ60" s="1"/>
      <c r="AK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17"/>
      <c r="BE60" s="4"/>
      <c r="BF60" s="17"/>
      <c r="BG60" s="4"/>
      <c r="BH60" s="4"/>
      <c r="BI60" s="1"/>
      <c r="BJ60" s="1"/>
    </row>
    <row r="61" spans="1:62" s="2" customFormat="1" ht="15.75" x14ac:dyDescent="0.25">
      <c r="A61" s="1"/>
      <c r="B61" s="1"/>
      <c r="C61" s="1"/>
      <c r="D61" s="1"/>
      <c r="E61" s="1"/>
      <c r="T61" s="3"/>
      <c r="U61" s="4"/>
      <c r="V61" s="4"/>
      <c r="W61" s="4"/>
      <c r="X61" s="4"/>
      <c r="Y61" s="4"/>
      <c r="Z61" s="4"/>
      <c r="AA61" s="4"/>
      <c r="AB61" s="1"/>
      <c r="AC61" s="4"/>
      <c r="AD61" s="4"/>
      <c r="AE61" s="4"/>
      <c r="AF61" s="4"/>
      <c r="AG61" s="4"/>
      <c r="AH61" s="4"/>
      <c r="AI61" s="4"/>
      <c r="AJ61" s="1"/>
      <c r="AK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17"/>
      <c r="BE61" s="4"/>
      <c r="BF61" s="17"/>
      <c r="BG61" s="4"/>
      <c r="BH61" s="4"/>
      <c r="BI61" s="1"/>
      <c r="BJ61" s="1"/>
    </row>
    <row r="62" spans="1:62" s="2" customFormat="1" ht="15.75" x14ac:dyDescent="0.25">
      <c r="A62" s="1"/>
      <c r="B62" s="1"/>
      <c r="C62" s="1"/>
      <c r="D62" s="1"/>
      <c r="E62" s="1"/>
      <c r="T62" s="3"/>
      <c r="U62" s="4"/>
      <c r="V62" s="4"/>
      <c r="W62" s="4"/>
      <c r="X62" s="4"/>
      <c r="Y62" s="4"/>
      <c r="Z62" s="4"/>
      <c r="AA62" s="4"/>
      <c r="AB62" s="1"/>
      <c r="AC62" s="4"/>
      <c r="AD62" s="4"/>
      <c r="AE62" s="4"/>
      <c r="AF62" s="4"/>
      <c r="AG62" s="4"/>
      <c r="AH62" s="4"/>
      <c r="AI62" s="4"/>
      <c r="AJ62" s="1"/>
      <c r="AK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17"/>
      <c r="BE62" s="4"/>
      <c r="BF62" s="17"/>
      <c r="BG62" s="4"/>
      <c r="BH62" s="4"/>
      <c r="BI62" s="1"/>
      <c r="BJ62" s="1"/>
    </row>
    <row r="63" spans="1:62" s="2" customFormat="1" ht="15.75" x14ac:dyDescent="0.25">
      <c r="A63" s="1"/>
      <c r="B63" s="1"/>
      <c r="C63" s="1"/>
      <c r="D63" s="1"/>
      <c r="E63" s="1"/>
      <c r="T63" s="3"/>
      <c r="U63" s="4"/>
      <c r="V63" s="4"/>
      <c r="W63" s="4"/>
      <c r="X63" s="4"/>
      <c r="Y63" s="4"/>
      <c r="Z63" s="4"/>
      <c r="AA63" s="4"/>
      <c r="AB63" s="1"/>
      <c r="AC63" s="4"/>
      <c r="AD63" s="4"/>
      <c r="AE63" s="4"/>
      <c r="AF63" s="4"/>
      <c r="AG63" s="4"/>
      <c r="AH63" s="4"/>
      <c r="AI63" s="4"/>
      <c r="AJ63" s="1"/>
      <c r="AK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17"/>
      <c r="BE63" s="4"/>
      <c r="BF63" s="17"/>
      <c r="BG63" s="4"/>
      <c r="BH63" s="4"/>
      <c r="BI63" s="1"/>
      <c r="BJ63" s="1"/>
    </row>
    <row r="64" spans="1:62" s="2" customFormat="1" ht="15.75" x14ac:dyDescent="0.25">
      <c r="A64" s="1"/>
      <c r="B64" s="1"/>
      <c r="C64" s="1"/>
      <c r="D64" s="1"/>
      <c r="E64" s="1"/>
      <c r="T64" s="3"/>
      <c r="U64" s="4"/>
      <c r="V64" s="4"/>
      <c r="W64" s="4"/>
      <c r="X64" s="4"/>
      <c r="Y64" s="4"/>
      <c r="Z64" s="4"/>
      <c r="AA64" s="4"/>
      <c r="AB64" s="1"/>
      <c r="AC64" s="4"/>
      <c r="AD64" s="4"/>
      <c r="AE64" s="4"/>
      <c r="AF64" s="4"/>
      <c r="AG64" s="4"/>
      <c r="AH64" s="4"/>
      <c r="AI64" s="4"/>
      <c r="AJ64" s="1"/>
      <c r="AK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17"/>
      <c r="BE64" s="4"/>
      <c r="BF64" s="17"/>
      <c r="BG64" s="4"/>
      <c r="BH64" s="4"/>
      <c r="BI64" s="1"/>
      <c r="BJ64" s="1"/>
    </row>
    <row r="65" spans="1:62" s="2" customFormat="1" ht="15.75" x14ac:dyDescent="0.25">
      <c r="A65" s="1"/>
      <c r="B65" s="1"/>
      <c r="C65" s="1"/>
      <c r="D65" s="1"/>
      <c r="E65" s="1"/>
      <c r="T65" s="3"/>
      <c r="U65" s="4"/>
      <c r="V65" s="4"/>
      <c r="W65" s="4"/>
      <c r="X65" s="4"/>
      <c r="Y65" s="4"/>
      <c r="Z65" s="4"/>
      <c r="AA65" s="4"/>
      <c r="AB65" s="1"/>
      <c r="AC65" s="4"/>
      <c r="AD65" s="4"/>
      <c r="AE65" s="4"/>
      <c r="AF65" s="4"/>
      <c r="AG65" s="4"/>
      <c r="AH65" s="4"/>
      <c r="AI65" s="4"/>
      <c r="AJ65" s="1"/>
      <c r="AK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17"/>
      <c r="BE65" s="4"/>
      <c r="BF65" s="17"/>
      <c r="BG65" s="4"/>
      <c r="BH65" s="4"/>
      <c r="BI65" s="1"/>
      <c r="BJ65" s="1"/>
    </row>
    <row r="66" spans="1:62" s="2" customFormat="1" ht="15.75" x14ac:dyDescent="0.25">
      <c r="A66" s="1"/>
      <c r="B66" s="1"/>
      <c r="C66" s="1"/>
      <c r="D66" s="1"/>
      <c r="E66" s="1"/>
      <c r="T66" s="3"/>
      <c r="U66" s="4"/>
      <c r="V66" s="4"/>
      <c r="W66" s="4"/>
      <c r="X66" s="4"/>
      <c r="Y66" s="4"/>
      <c r="Z66" s="4"/>
      <c r="AA66" s="4"/>
      <c r="AB66" s="1"/>
      <c r="AC66" s="4"/>
      <c r="AD66" s="4"/>
      <c r="AE66" s="4"/>
      <c r="AF66" s="4"/>
      <c r="AG66" s="4"/>
      <c r="AH66" s="4"/>
      <c r="AI66" s="4"/>
      <c r="AJ66" s="1"/>
      <c r="AK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17"/>
      <c r="BE66" s="4"/>
      <c r="BF66" s="17"/>
      <c r="BG66" s="4"/>
      <c r="BH66" s="4"/>
      <c r="BI66" s="1"/>
      <c r="BJ66" s="1"/>
    </row>
    <row r="67" spans="1:62" s="2" customFormat="1" ht="15.75" x14ac:dyDescent="0.25">
      <c r="A67" s="1"/>
      <c r="B67" s="1"/>
      <c r="C67" s="1"/>
      <c r="D67" s="1"/>
      <c r="E67" s="1"/>
      <c r="T67" s="3"/>
      <c r="U67" s="4"/>
      <c r="V67" s="4"/>
      <c r="W67" s="4"/>
      <c r="X67" s="4"/>
      <c r="Y67" s="4"/>
      <c r="Z67" s="4"/>
      <c r="AA67" s="4"/>
      <c r="AB67" s="1"/>
      <c r="AC67" s="4"/>
      <c r="AD67" s="4"/>
      <c r="AE67" s="4"/>
      <c r="AF67" s="4"/>
      <c r="AG67" s="4"/>
      <c r="AH67" s="4"/>
      <c r="AI67" s="4"/>
      <c r="AJ67" s="1"/>
      <c r="AK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17"/>
      <c r="BE67" s="4"/>
      <c r="BF67" s="17"/>
      <c r="BG67" s="4"/>
      <c r="BH67" s="4"/>
      <c r="BI67" s="1"/>
      <c r="BJ67" s="1"/>
    </row>
    <row r="68" spans="1:62" s="2" customFormat="1" ht="15.75" x14ac:dyDescent="0.25">
      <c r="A68" s="1"/>
      <c r="B68" s="1"/>
      <c r="C68" s="1"/>
      <c r="D68" s="1"/>
      <c r="E68" s="1"/>
      <c r="T68" s="3"/>
      <c r="U68" s="4"/>
      <c r="V68" s="4"/>
      <c r="W68" s="4"/>
      <c r="X68" s="4"/>
      <c r="Y68" s="4"/>
      <c r="Z68" s="4"/>
      <c r="AA68" s="4"/>
      <c r="AB68" s="1"/>
      <c r="AC68" s="4"/>
      <c r="AD68" s="4"/>
      <c r="AE68" s="4"/>
      <c r="AF68" s="4"/>
      <c r="AG68" s="4"/>
      <c r="AH68" s="4"/>
      <c r="AI68" s="4"/>
      <c r="AJ68" s="1"/>
      <c r="AK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17"/>
      <c r="BE68" s="4"/>
      <c r="BF68" s="17"/>
      <c r="BG68" s="4"/>
      <c r="BH68" s="4"/>
      <c r="BI68" s="1"/>
      <c r="BJ68" s="1"/>
    </row>
    <row r="69" spans="1:62" s="2" customFormat="1" ht="15.75" x14ac:dyDescent="0.25">
      <c r="A69" s="1"/>
      <c r="B69" s="1"/>
      <c r="C69" s="1"/>
      <c r="D69" s="1"/>
      <c r="E69" s="1"/>
      <c r="T69" s="3"/>
      <c r="U69" s="4"/>
      <c r="V69" s="4"/>
      <c r="W69" s="4"/>
      <c r="X69" s="4"/>
      <c r="Y69" s="4"/>
      <c r="Z69" s="4"/>
      <c r="AA69" s="4"/>
      <c r="AB69" s="1"/>
      <c r="AC69" s="4"/>
      <c r="AD69" s="4"/>
      <c r="AE69" s="4"/>
      <c r="AF69" s="4"/>
      <c r="AG69" s="4"/>
      <c r="AH69" s="4"/>
      <c r="AI69" s="4"/>
      <c r="AJ69" s="1"/>
      <c r="AK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17"/>
      <c r="BE69" s="4"/>
      <c r="BF69" s="17"/>
      <c r="BG69" s="4"/>
      <c r="BH69" s="4"/>
      <c r="BI69" s="1"/>
      <c r="BJ69" s="1"/>
    </row>
    <row r="70" spans="1:62" s="2" customFormat="1" ht="15.75" x14ac:dyDescent="0.25">
      <c r="A70" s="1"/>
      <c r="B70" s="1"/>
      <c r="C70" s="1"/>
      <c r="D70" s="1"/>
      <c r="E70" s="1"/>
      <c r="T70" s="3"/>
      <c r="U70" s="4"/>
      <c r="V70" s="4"/>
      <c r="W70" s="4"/>
      <c r="X70" s="4"/>
      <c r="Y70" s="4"/>
      <c r="Z70" s="4"/>
      <c r="AA70" s="4"/>
      <c r="AB70" s="1"/>
      <c r="AC70" s="4"/>
      <c r="AD70" s="4"/>
      <c r="AE70" s="4"/>
      <c r="AF70" s="4"/>
      <c r="AG70" s="4"/>
      <c r="AH70" s="4"/>
      <c r="AI70" s="4"/>
      <c r="AJ70" s="1"/>
      <c r="AK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17"/>
      <c r="BE70" s="4"/>
      <c r="BF70" s="17"/>
      <c r="BG70" s="4"/>
      <c r="BH70" s="4"/>
      <c r="BI70" s="1"/>
      <c r="BJ70" s="1"/>
    </row>
    <row r="71" spans="1:62" s="2" customFormat="1" ht="15.75" x14ac:dyDescent="0.25">
      <c r="A71" s="1"/>
      <c r="B71" s="1"/>
      <c r="C71" s="1"/>
      <c r="D71" s="1"/>
      <c r="E71" s="1"/>
      <c r="T71" s="3"/>
      <c r="U71" s="4"/>
      <c r="V71" s="4"/>
      <c r="W71" s="4"/>
      <c r="X71" s="4"/>
      <c r="Y71" s="4"/>
      <c r="Z71" s="4"/>
      <c r="AA71" s="4"/>
      <c r="AB71" s="1"/>
      <c r="AC71" s="4"/>
      <c r="AD71" s="4"/>
      <c r="AE71" s="4"/>
      <c r="AF71" s="4"/>
      <c r="AG71" s="4"/>
      <c r="AH71" s="4"/>
      <c r="AI71" s="4"/>
      <c r="AJ71" s="1"/>
      <c r="AK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17"/>
      <c r="BE71" s="4"/>
      <c r="BF71" s="17"/>
      <c r="BG71" s="4"/>
      <c r="BH71" s="4"/>
      <c r="BI71" s="1"/>
      <c r="BJ71" s="1"/>
    </row>
    <row r="72" spans="1:62" s="2" customFormat="1" ht="15.75" x14ac:dyDescent="0.25">
      <c r="A72" s="1"/>
      <c r="B72" s="1"/>
      <c r="C72" s="1"/>
      <c r="D72" s="1"/>
      <c r="E72" s="1"/>
      <c r="T72" s="3"/>
      <c r="U72" s="4"/>
      <c r="V72" s="4"/>
      <c r="W72" s="4"/>
      <c r="X72" s="4"/>
      <c r="Y72" s="4"/>
      <c r="Z72" s="4"/>
      <c r="AA72" s="4"/>
      <c r="AB72" s="1"/>
      <c r="AC72" s="4"/>
      <c r="AD72" s="4"/>
      <c r="AE72" s="4"/>
      <c r="AF72" s="4"/>
      <c r="AG72" s="4"/>
      <c r="AH72" s="4"/>
      <c r="AI72" s="4"/>
      <c r="AJ72" s="1"/>
      <c r="AK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17"/>
      <c r="BE72" s="4"/>
      <c r="BF72" s="17"/>
      <c r="BG72" s="4"/>
      <c r="BH72" s="4"/>
      <c r="BI72" s="1"/>
      <c r="BJ72" s="1"/>
    </row>
    <row r="73" spans="1:62" s="2" customFormat="1" ht="15.75" x14ac:dyDescent="0.25">
      <c r="A73" s="1"/>
      <c r="B73" s="1"/>
      <c r="C73" s="1"/>
      <c r="D73" s="1"/>
      <c r="E73" s="1"/>
      <c r="T73" s="3"/>
      <c r="U73" s="4"/>
      <c r="V73" s="4"/>
      <c r="W73" s="4"/>
      <c r="X73" s="4"/>
      <c r="Y73" s="4"/>
      <c r="Z73" s="4"/>
      <c r="AA73" s="4"/>
      <c r="AB73" s="1"/>
      <c r="AC73" s="4"/>
      <c r="AD73" s="4"/>
      <c r="AE73" s="4"/>
      <c r="AF73" s="4"/>
      <c r="AG73" s="4"/>
      <c r="AH73" s="4"/>
      <c r="AI73" s="4"/>
      <c r="AJ73" s="1"/>
      <c r="AK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17"/>
      <c r="BE73" s="4"/>
      <c r="BF73" s="17"/>
      <c r="BG73" s="4"/>
      <c r="BH73" s="4"/>
      <c r="BI73" s="1"/>
      <c r="BJ73" s="1"/>
    </row>
    <row r="74" spans="1:62" s="2" customFormat="1" ht="15.75" x14ac:dyDescent="0.25">
      <c r="A74" s="1"/>
      <c r="B74" s="1"/>
      <c r="C74" s="1"/>
      <c r="D74" s="1"/>
      <c r="E74" s="1"/>
      <c r="T74" s="3"/>
      <c r="U74" s="4"/>
      <c r="V74" s="4"/>
      <c r="W74" s="4"/>
      <c r="X74" s="4"/>
      <c r="Y74" s="4"/>
      <c r="Z74" s="4"/>
      <c r="AA74" s="4"/>
      <c r="AB74" s="1"/>
      <c r="AC74" s="4"/>
      <c r="AD74" s="4"/>
      <c r="AE74" s="4"/>
      <c r="AF74" s="4"/>
      <c r="AG74" s="4"/>
      <c r="AH74" s="4"/>
      <c r="AI74" s="4"/>
      <c r="AJ74" s="1"/>
      <c r="AK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17"/>
      <c r="BE74" s="4"/>
      <c r="BF74" s="17"/>
      <c r="BG74" s="4"/>
      <c r="BH74" s="4"/>
      <c r="BI74" s="1"/>
      <c r="BJ74" s="1"/>
    </row>
    <row r="75" spans="1:62" s="2" customFormat="1" ht="15.75" x14ac:dyDescent="0.25">
      <c r="A75" s="1"/>
      <c r="B75" s="1"/>
      <c r="C75" s="1"/>
      <c r="D75" s="1"/>
      <c r="E75" s="1"/>
      <c r="T75" s="3"/>
      <c r="U75" s="4"/>
      <c r="V75" s="4"/>
      <c r="W75" s="4"/>
      <c r="X75" s="4"/>
      <c r="Y75" s="4"/>
      <c r="Z75" s="4"/>
      <c r="AA75" s="4"/>
      <c r="AB75" s="1"/>
      <c r="AC75" s="4"/>
      <c r="AD75" s="4"/>
      <c r="AE75" s="4"/>
      <c r="AF75" s="4"/>
      <c r="AG75" s="4"/>
      <c r="AH75" s="4"/>
      <c r="AI75" s="4"/>
      <c r="AJ75" s="1"/>
      <c r="AK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17"/>
      <c r="BE75" s="4"/>
      <c r="BF75" s="17"/>
      <c r="BG75" s="4"/>
      <c r="BH75" s="4"/>
      <c r="BI75" s="1"/>
      <c r="BJ75" s="1"/>
    </row>
    <row r="76" spans="1:62" s="2" customFormat="1" ht="15.75" x14ac:dyDescent="0.25">
      <c r="A76" s="1"/>
      <c r="B76" s="1"/>
      <c r="C76" s="1"/>
      <c r="D76" s="1"/>
      <c r="E76" s="1"/>
      <c r="T76" s="3"/>
      <c r="U76" s="4"/>
      <c r="V76" s="4"/>
      <c r="W76" s="4"/>
      <c r="X76" s="4"/>
      <c r="Y76" s="4"/>
      <c r="Z76" s="4"/>
      <c r="AA76" s="4"/>
      <c r="AB76" s="1"/>
      <c r="AC76" s="4"/>
      <c r="AD76" s="4"/>
      <c r="AE76" s="4"/>
      <c r="AF76" s="4"/>
      <c r="AG76" s="4"/>
      <c r="AH76" s="4"/>
      <c r="AI76" s="4"/>
      <c r="AJ76" s="1"/>
      <c r="AK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17"/>
      <c r="BE76" s="4"/>
      <c r="BF76" s="17"/>
      <c r="BG76" s="4"/>
      <c r="BH76" s="4"/>
      <c r="BI76" s="1"/>
      <c r="BJ76" s="1"/>
    </row>
    <row r="77" spans="1:62" s="2" customFormat="1" ht="15.75" x14ac:dyDescent="0.25">
      <c r="A77" s="1"/>
      <c r="B77" s="1"/>
      <c r="C77" s="1"/>
      <c r="D77" s="1"/>
      <c r="E77" s="1"/>
      <c r="T77" s="3"/>
      <c r="U77" s="4"/>
      <c r="V77" s="4"/>
      <c r="W77" s="4"/>
      <c r="X77" s="4"/>
      <c r="Y77" s="4"/>
      <c r="Z77" s="4"/>
      <c r="AA77" s="4"/>
      <c r="AB77" s="1"/>
      <c r="AC77" s="4"/>
      <c r="AD77" s="4"/>
      <c r="AE77" s="4"/>
      <c r="AF77" s="4"/>
      <c r="AG77" s="4"/>
      <c r="AH77" s="4"/>
      <c r="AI77" s="4"/>
      <c r="AJ77" s="1"/>
      <c r="AK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17"/>
      <c r="BE77" s="4"/>
      <c r="BF77" s="17"/>
      <c r="BG77" s="4"/>
      <c r="BH77" s="4"/>
      <c r="BI77" s="1"/>
      <c r="BJ77" s="1"/>
    </row>
    <row r="78" spans="1:62" s="2" customFormat="1" ht="15.75" x14ac:dyDescent="0.25">
      <c r="A78" s="1"/>
      <c r="B78" s="1"/>
      <c r="C78" s="1"/>
      <c r="D78" s="1"/>
      <c r="E78" s="1"/>
      <c r="T78" s="3"/>
      <c r="U78" s="4"/>
      <c r="V78" s="4"/>
      <c r="W78" s="4"/>
      <c r="X78" s="4"/>
      <c r="Y78" s="4"/>
      <c r="Z78" s="4"/>
      <c r="AA78" s="4"/>
      <c r="AB78" s="1"/>
      <c r="AC78" s="4"/>
      <c r="AD78" s="4"/>
      <c r="AE78" s="4"/>
      <c r="AF78" s="4"/>
      <c r="AG78" s="4"/>
      <c r="AH78" s="4"/>
      <c r="AI78" s="4"/>
      <c r="AJ78" s="1"/>
      <c r="AK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17"/>
      <c r="BE78" s="4"/>
      <c r="BF78" s="17"/>
      <c r="BG78" s="4"/>
      <c r="BH78" s="4"/>
      <c r="BI78" s="1"/>
      <c r="BJ78" s="1"/>
    </row>
    <row r="79" spans="1:62" s="2" customFormat="1" ht="15.75" x14ac:dyDescent="0.25">
      <c r="A79" s="1"/>
      <c r="B79" s="1"/>
      <c r="C79" s="1"/>
      <c r="D79" s="1"/>
      <c r="E79" s="1"/>
      <c r="T79" s="3"/>
      <c r="U79" s="4"/>
      <c r="V79" s="4"/>
      <c r="W79" s="4"/>
      <c r="X79" s="4"/>
      <c r="Y79" s="4"/>
      <c r="Z79" s="4"/>
      <c r="AA79" s="4"/>
      <c r="AB79" s="1"/>
      <c r="AC79" s="4"/>
      <c r="AD79" s="4"/>
      <c r="AE79" s="4"/>
      <c r="AF79" s="4"/>
      <c r="AG79" s="4"/>
      <c r="AH79" s="4"/>
      <c r="AI79" s="4"/>
      <c r="AJ79" s="1"/>
      <c r="AK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17"/>
      <c r="BE79" s="4"/>
      <c r="BF79" s="17"/>
      <c r="BG79" s="4"/>
      <c r="BH79" s="4"/>
      <c r="BI79" s="1"/>
      <c r="BJ79" s="1"/>
    </row>
    <row r="80" spans="1:62" s="2" customFormat="1" ht="15.75" x14ac:dyDescent="0.25">
      <c r="A80" s="1"/>
      <c r="B80" s="1"/>
      <c r="C80" s="1"/>
      <c r="D80" s="1"/>
      <c r="E80" s="1"/>
      <c r="T80" s="3"/>
      <c r="U80" s="4"/>
      <c r="V80" s="4"/>
      <c r="W80" s="4"/>
      <c r="X80" s="4"/>
      <c r="Y80" s="4"/>
      <c r="Z80" s="4"/>
      <c r="AA80" s="4"/>
      <c r="AB80" s="1"/>
      <c r="AC80" s="4"/>
      <c r="AD80" s="4"/>
      <c r="AE80" s="4"/>
      <c r="AF80" s="4"/>
      <c r="AG80" s="4"/>
      <c r="AH80" s="4"/>
      <c r="AI80" s="4"/>
      <c r="AJ80" s="1"/>
      <c r="AK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17"/>
      <c r="BE80" s="4"/>
      <c r="BF80" s="17"/>
      <c r="BG80" s="4"/>
      <c r="BH80" s="4"/>
      <c r="BI80" s="1"/>
      <c r="BJ80" s="1"/>
    </row>
    <row r="81" spans="1:62" s="2" customFormat="1" ht="15.75" x14ac:dyDescent="0.25">
      <c r="A81" s="1"/>
      <c r="B81" s="1"/>
      <c r="C81" s="1"/>
      <c r="D81" s="1"/>
      <c r="E81" s="1"/>
      <c r="T81" s="3"/>
      <c r="U81" s="4"/>
      <c r="V81" s="4"/>
      <c r="W81" s="4"/>
      <c r="X81" s="4"/>
      <c r="Y81" s="4"/>
      <c r="Z81" s="4"/>
      <c r="AA81" s="4"/>
      <c r="AB81" s="1"/>
      <c r="AC81" s="4"/>
      <c r="AD81" s="4"/>
      <c r="AE81" s="4"/>
      <c r="AF81" s="4"/>
      <c r="AG81" s="4"/>
      <c r="AH81" s="4"/>
      <c r="AI81" s="4"/>
      <c r="AJ81" s="1"/>
      <c r="AK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17"/>
      <c r="BE81" s="4"/>
      <c r="BF81" s="17"/>
      <c r="BG81" s="4"/>
      <c r="BH81" s="4"/>
      <c r="BI81" s="1"/>
      <c r="BJ81" s="1"/>
    </row>
    <row r="82" spans="1:62" s="2" customFormat="1" ht="15.75" x14ac:dyDescent="0.25">
      <c r="A82" s="1"/>
      <c r="B82" s="1"/>
      <c r="C82" s="1"/>
      <c r="D82" s="1"/>
      <c r="E82" s="1"/>
      <c r="T82" s="3"/>
      <c r="U82" s="4"/>
      <c r="V82" s="4"/>
      <c r="W82" s="4"/>
      <c r="X82" s="4"/>
      <c r="Y82" s="4"/>
      <c r="Z82" s="4"/>
      <c r="AA82" s="4"/>
      <c r="AB82" s="1"/>
      <c r="AC82" s="4"/>
      <c r="AD82" s="4"/>
      <c r="AE82" s="4"/>
      <c r="AF82" s="4"/>
      <c r="AG82" s="4"/>
      <c r="AH82" s="4"/>
      <c r="AI82" s="4"/>
      <c r="AJ82" s="1"/>
      <c r="AK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17"/>
      <c r="BE82" s="4"/>
      <c r="BF82" s="17"/>
      <c r="BG82" s="4"/>
      <c r="BH82" s="4"/>
      <c r="BI82" s="1"/>
      <c r="BJ82" s="1"/>
    </row>
    <row r="83" spans="1:62" s="2" customFormat="1" ht="15.75" x14ac:dyDescent="0.25">
      <c r="A83" s="1"/>
      <c r="B83" s="1"/>
      <c r="C83" s="1"/>
      <c r="D83" s="1"/>
      <c r="E83" s="1"/>
      <c r="T83" s="3"/>
      <c r="U83" s="4"/>
      <c r="V83" s="4"/>
      <c r="W83" s="4"/>
      <c r="X83" s="4"/>
      <c r="Y83" s="4"/>
      <c r="Z83" s="4"/>
      <c r="AA83" s="4"/>
      <c r="AB83" s="1"/>
      <c r="AC83" s="4"/>
      <c r="AD83" s="4"/>
      <c r="AE83" s="4"/>
      <c r="AF83" s="4"/>
      <c r="AG83" s="4"/>
      <c r="AH83" s="4"/>
      <c r="AI83" s="4"/>
      <c r="AJ83" s="1"/>
      <c r="AK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17"/>
      <c r="BE83" s="4"/>
      <c r="BF83" s="17"/>
      <c r="BG83" s="4"/>
      <c r="BH83" s="4"/>
      <c r="BI83" s="1"/>
      <c r="BJ83" s="1"/>
    </row>
    <row r="84" spans="1:62" s="2" customFormat="1" ht="15.75" x14ac:dyDescent="0.25">
      <c r="A84" s="1"/>
      <c r="B84" s="1"/>
      <c r="C84" s="1"/>
      <c r="D84" s="1"/>
      <c r="E84" s="1"/>
      <c r="T84" s="3"/>
      <c r="U84" s="4"/>
      <c r="V84" s="4"/>
      <c r="W84" s="4"/>
      <c r="X84" s="4"/>
      <c r="Y84" s="4"/>
      <c r="Z84" s="4"/>
      <c r="AA84" s="4"/>
      <c r="AB84" s="1"/>
      <c r="AC84" s="4"/>
      <c r="AD84" s="4"/>
      <c r="AE84" s="4"/>
      <c r="AF84" s="4"/>
      <c r="AG84" s="4"/>
      <c r="AH84" s="4"/>
      <c r="AI84" s="4"/>
      <c r="AJ84" s="1"/>
      <c r="AK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17"/>
      <c r="BE84" s="4"/>
      <c r="BF84" s="17"/>
      <c r="BG84" s="4"/>
      <c r="BH84" s="4"/>
      <c r="BI84" s="1"/>
      <c r="BJ84" s="1"/>
    </row>
    <row r="85" spans="1:62" s="2" customFormat="1" ht="15.75" x14ac:dyDescent="0.25">
      <c r="A85" s="1"/>
      <c r="B85" s="1"/>
      <c r="C85" s="1"/>
      <c r="D85" s="1"/>
      <c r="E85" s="1"/>
      <c r="T85" s="3"/>
      <c r="U85" s="4"/>
      <c r="V85" s="4"/>
      <c r="W85" s="4"/>
      <c r="X85" s="4"/>
      <c r="Y85" s="4"/>
      <c r="Z85" s="4"/>
      <c r="AA85" s="4"/>
      <c r="AB85" s="1"/>
      <c r="AC85" s="4"/>
      <c r="AD85" s="4"/>
      <c r="AE85" s="4"/>
      <c r="AF85" s="4"/>
      <c r="AG85" s="4"/>
      <c r="AH85" s="4"/>
      <c r="AI85" s="4"/>
      <c r="AJ85" s="1"/>
      <c r="AK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17"/>
      <c r="BE85" s="4"/>
      <c r="BF85" s="17"/>
      <c r="BG85" s="4"/>
      <c r="BH85" s="4"/>
      <c r="BI85" s="1"/>
      <c r="BJ85" s="1"/>
    </row>
    <row r="86" spans="1:62" s="2" customFormat="1" ht="15.75" x14ac:dyDescent="0.25">
      <c r="A86" s="1"/>
      <c r="B86" s="1"/>
      <c r="C86" s="1"/>
      <c r="D86" s="1"/>
      <c r="E86" s="1"/>
      <c r="T86" s="3"/>
      <c r="U86" s="4"/>
      <c r="V86" s="4"/>
      <c r="W86" s="4"/>
      <c r="X86" s="4"/>
      <c r="Y86" s="4"/>
      <c r="Z86" s="4"/>
      <c r="AA86" s="4"/>
      <c r="AB86" s="1"/>
      <c r="AC86" s="4"/>
      <c r="AD86" s="4"/>
      <c r="AE86" s="4"/>
      <c r="AF86" s="4"/>
      <c r="AG86" s="4"/>
      <c r="AH86" s="4"/>
      <c r="AI86" s="4"/>
      <c r="AJ86" s="1"/>
      <c r="AK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17"/>
      <c r="BE86" s="4"/>
      <c r="BF86" s="17"/>
      <c r="BG86" s="4"/>
      <c r="BH86" s="4"/>
      <c r="BI86" s="1"/>
      <c r="BJ86" s="1"/>
    </row>
    <row r="87" spans="1:62" s="2" customFormat="1" ht="15.75" x14ac:dyDescent="0.25">
      <c r="A87" s="1"/>
      <c r="B87" s="1"/>
      <c r="C87" s="1"/>
      <c r="D87" s="1"/>
      <c r="E87" s="1"/>
      <c r="T87" s="3"/>
      <c r="U87" s="4"/>
      <c r="V87" s="4"/>
      <c r="W87" s="4"/>
      <c r="X87" s="4"/>
      <c r="Y87" s="4"/>
      <c r="Z87" s="4"/>
      <c r="AA87" s="4"/>
      <c r="AB87" s="1"/>
      <c r="AC87" s="4"/>
      <c r="AD87" s="4"/>
      <c r="AE87" s="4"/>
      <c r="AF87" s="4"/>
      <c r="AG87" s="4"/>
      <c r="AH87" s="4"/>
      <c r="AI87" s="4"/>
      <c r="AJ87" s="1"/>
      <c r="AK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17"/>
      <c r="BE87" s="4"/>
      <c r="BF87" s="17"/>
      <c r="BG87" s="4"/>
      <c r="BH87" s="4"/>
      <c r="BI87" s="1"/>
      <c r="BJ87" s="1"/>
    </row>
    <row r="88" spans="1:62" s="2" customFormat="1" ht="15.75" x14ac:dyDescent="0.25">
      <c r="A88" s="1"/>
      <c r="B88" s="1"/>
      <c r="C88" s="1"/>
      <c r="D88" s="1"/>
      <c r="E88" s="1"/>
      <c r="T88" s="3"/>
      <c r="U88" s="4"/>
      <c r="V88" s="4"/>
      <c r="W88" s="4"/>
      <c r="X88" s="4"/>
      <c r="Y88" s="4"/>
      <c r="Z88" s="4"/>
      <c r="AA88" s="4"/>
      <c r="AB88" s="1"/>
      <c r="AC88" s="4"/>
      <c r="AD88" s="4"/>
      <c r="AE88" s="4"/>
      <c r="AF88" s="4"/>
      <c r="AG88" s="4"/>
      <c r="AH88" s="4"/>
      <c r="AI88" s="4"/>
      <c r="AJ88" s="1"/>
      <c r="AK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17"/>
      <c r="BE88" s="4"/>
      <c r="BF88" s="17"/>
      <c r="BG88" s="4"/>
      <c r="BH88" s="4"/>
      <c r="BI88" s="1"/>
      <c r="BJ88" s="1"/>
    </row>
    <row r="89" spans="1:62" s="2" customFormat="1" ht="15.75" x14ac:dyDescent="0.25">
      <c r="A89" s="1"/>
      <c r="B89" s="1"/>
      <c r="C89" s="1"/>
      <c r="D89" s="1"/>
      <c r="E89" s="1"/>
      <c r="T89" s="3"/>
      <c r="U89" s="4"/>
      <c r="V89" s="4"/>
      <c r="W89" s="4"/>
      <c r="X89" s="4"/>
      <c r="Y89" s="4"/>
      <c r="Z89" s="4"/>
      <c r="AA89" s="4"/>
      <c r="AB89" s="1"/>
      <c r="AC89" s="4"/>
      <c r="AD89" s="4"/>
      <c r="AE89" s="4"/>
      <c r="AF89" s="4"/>
      <c r="AG89" s="4"/>
      <c r="AH89" s="4"/>
      <c r="AI89" s="4"/>
      <c r="AJ89" s="1"/>
      <c r="AK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17"/>
      <c r="BE89" s="4"/>
      <c r="BF89" s="17"/>
      <c r="BG89" s="4"/>
      <c r="BH89" s="4"/>
      <c r="BI89" s="1"/>
      <c r="BJ89" s="1"/>
    </row>
    <row r="90" spans="1:62" s="2" customFormat="1" ht="15.75" x14ac:dyDescent="0.25">
      <c r="A90" s="1"/>
      <c r="B90" s="1"/>
      <c r="C90" s="1"/>
      <c r="D90" s="1"/>
      <c r="E90" s="1"/>
      <c r="T90" s="3"/>
      <c r="U90" s="4"/>
      <c r="V90" s="4"/>
      <c r="W90" s="4"/>
      <c r="X90" s="4"/>
      <c r="Y90" s="4"/>
      <c r="Z90" s="4"/>
      <c r="AA90" s="4"/>
      <c r="AB90" s="1"/>
      <c r="AC90" s="4"/>
      <c r="AD90" s="4"/>
      <c r="AE90" s="4"/>
      <c r="AF90" s="4"/>
      <c r="AG90" s="4"/>
      <c r="AH90" s="4"/>
      <c r="AI90" s="4"/>
      <c r="AJ90" s="1"/>
      <c r="AK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17"/>
      <c r="BE90" s="4"/>
      <c r="BF90" s="17"/>
      <c r="BG90" s="4"/>
      <c r="BH90" s="4"/>
      <c r="BI90" s="1"/>
      <c r="BJ90" s="1"/>
    </row>
    <row r="91" spans="1:62" s="2" customFormat="1" ht="15.75" x14ac:dyDescent="0.25">
      <c r="A91" s="1"/>
      <c r="B91" s="1"/>
      <c r="C91" s="1"/>
      <c r="D91" s="1"/>
      <c r="E91" s="1"/>
      <c r="T91" s="3"/>
      <c r="U91" s="4"/>
      <c r="V91" s="4"/>
      <c r="W91" s="4"/>
      <c r="X91" s="4"/>
      <c r="Y91" s="4"/>
      <c r="Z91" s="4"/>
      <c r="AA91" s="4"/>
      <c r="AB91" s="1"/>
      <c r="AC91" s="4"/>
      <c r="AD91" s="4"/>
      <c r="AE91" s="4"/>
      <c r="AF91" s="4"/>
      <c r="AG91" s="4"/>
      <c r="AH91" s="4"/>
      <c r="AI91" s="4"/>
      <c r="AJ91" s="1"/>
      <c r="AK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17"/>
      <c r="BE91" s="4"/>
      <c r="BF91" s="17"/>
      <c r="BG91" s="4"/>
      <c r="BH91" s="4"/>
      <c r="BI91" s="1"/>
      <c r="BJ91" s="1"/>
    </row>
    <row r="92" spans="1:62" s="2" customFormat="1" ht="15.75" x14ac:dyDescent="0.25">
      <c r="A92" s="1"/>
      <c r="B92" s="1"/>
      <c r="C92" s="1"/>
      <c r="D92" s="1"/>
      <c r="E92" s="1"/>
      <c r="T92" s="3"/>
      <c r="U92" s="4"/>
      <c r="V92" s="4"/>
      <c r="W92" s="4"/>
      <c r="X92" s="4"/>
      <c r="Y92" s="4"/>
      <c r="Z92" s="4"/>
      <c r="AA92" s="4"/>
      <c r="AB92" s="1"/>
      <c r="AC92" s="4"/>
      <c r="AD92" s="4"/>
      <c r="AE92" s="4"/>
      <c r="AF92" s="4"/>
      <c r="AG92" s="4"/>
      <c r="AH92" s="4"/>
      <c r="AI92" s="4"/>
      <c r="AJ92" s="1"/>
      <c r="AK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17"/>
      <c r="BE92" s="4"/>
      <c r="BF92" s="17"/>
      <c r="BG92" s="4"/>
      <c r="BH92" s="4"/>
      <c r="BI92" s="1"/>
      <c r="BJ92" s="1"/>
    </row>
    <row r="93" spans="1:62" s="2" customFormat="1" ht="15.75" x14ac:dyDescent="0.25">
      <c r="A93" s="1"/>
      <c r="B93" s="1"/>
      <c r="C93" s="1"/>
      <c r="D93" s="1"/>
      <c r="E93" s="1"/>
      <c r="T93" s="3"/>
      <c r="U93" s="4"/>
      <c r="V93" s="4"/>
      <c r="W93" s="4"/>
      <c r="X93" s="4"/>
      <c r="Y93" s="4"/>
      <c r="Z93" s="4"/>
      <c r="AA93" s="4"/>
      <c r="AB93" s="1"/>
      <c r="AC93" s="4"/>
      <c r="AD93" s="4"/>
      <c r="AE93" s="4"/>
      <c r="AF93" s="4"/>
      <c r="AG93" s="4"/>
      <c r="AH93" s="4"/>
      <c r="AI93" s="4"/>
      <c r="AJ93" s="1"/>
      <c r="AK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17"/>
      <c r="BE93" s="4"/>
      <c r="BF93" s="17"/>
      <c r="BG93" s="4"/>
      <c r="BH93" s="4"/>
      <c r="BI93" s="1"/>
      <c r="BJ93" s="1"/>
    </row>
    <row r="94" spans="1:62" s="2" customFormat="1" ht="15.75" x14ac:dyDescent="0.25">
      <c r="A94" s="1"/>
      <c r="B94" s="1"/>
      <c r="C94" s="1"/>
      <c r="D94" s="1"/>
      <c r="E94" s="1"/>
      <c r="T94" s="3"/>
      <c r="U94" s="4"/>
      <c r="V94" s="4"/>
      <c r="W94" s="4"/>
      <c r="X94" s="4"/>
      <c r="Y94" s="4"/>
      <c r="Z94" s="4"/>
      <c r="AA94" s="4"/>
      <c r="AB94" s="1"/>
      <c r="AC94" s="4"/>
      <c r="AD94" s="4"/>
      <c r="AE94" s="4"/>
      <c r="AF94" s="4"/>
      <c r="AG94" s="4"/>
      <c r="AH94" s="4"/>
      <c r="AI94" s="4"/>
      <c r="AJ94" s="1"/>
      <c r="AK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17"/>
      <c r="BE94" s="4"/>
      <c r="BF94" s="17"/>
      <c r="BG94" s="4"/>
      <c r="BH94" s="4"/>
      <c r="BI94" s="1"/>
      <c r="BJ94" s="1"/>
    </row>
    <row r="95" spans="1:62" s="2" customFormat="1" ht="15.75" x14ac:dyDescent="0.25">
      <c r="A95" s="1"/>
      <c r="B95" s="1"/>
      <c r="C95" s="1"/>
      <c r="D95" s="1"/>
      <c r="E95" s="1"/>
      <c r="T95" s="3"/>
      <c r="U95" s="4"/>
      <c r="V95" s="4"/>
      <c r="W95" s="4"/>
      <c r="X95" s="4"/>
      <c r="Y95" s="4"/>
      <c r="Z95" s="4"/>
      <c r="AA95" s="4"/>
      <c r="AB95" s="1"/>
      <c r="AC95" s="4"/>
      <c r="AD95" s="4"/>
      <c r="AE95" s="4"/>
      <c r="AF95" s="4"/>
      <c r="AG95" s="4"/>
      <c r="AH95" s="4"/>
      <c r="AI95" s="4"/>
      <c r="AJ95" s="1"/>
      <c r="AK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17"/>
      <c r="BE95" s="4"/>
      <c r="BF95" s="17"/>
      <c r="BG95" s="4"/>
      <c r="BH95" s="4"/>
      <c r="BI95" s="1"/>
      <c r="BJ95" s="1"/>
    </row>
    <row r="96" spans="1:62" s="2" customFormat="1" ht="15.75" x14ac:dyDescent="0.25">
      <c r="A96" s="1"/>
      <c r="B96" s="1"/>
      <c r="C96" s="1"/>
      <c r="D96" s="1"/>
      <c r="E96" s="1"/>
      <c r="T96" s="3"/>
      <c r="U96" s="4"/>
      <c r="V96" s="4"/>
      <c r="W96" s="4"/>
      <c r="X96" s="4"/>
      <c r="Y96" s="4"/>
      <c r="Z96" s="4"/>
      <c r="AA96" s="4"/>
      <c r="AB96" s="1"/>
      <c r="AC96" s="4"/>
      <c r="AD96" s="4"/>
      <c r="AE96" s="4"/>
      <c r="AF96" s="4"/>
      <c r="AG96" s="4"/>
      <c r="AH96" s="4"/>
      <c r="AI96" s="4"/>
      <c r="AJ96" s="1"/>
      <c r="AK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17"/>
      <c r="BE96" s="4"/>
      <c r="BF96" s="17"/>
      <c r="BG96" s="4"/>
      <c r="BH96" s="4"/>
      <c r="BI96" s="1"/>
      <c r="BJ96" s="1"/>
    </row>
    <row r="97" spans="1:62" s="2" customFormat="1" ht="15.75" x14ac:dyDescent="0.25">
      <c r="A97" s="1"/>
      <c r="B97" s="1"/>
      <c r="C97" s="1"/>
      <c r="D97" s="1"/>
      <c r="E97" s="1"/>
      <c r="T97" s="3"/>
      <c r="U97" s="4"/>
      <c r="V97" s="4"/>
      <c r="W97" s="4"/>
      <c r="X97" s="4"/>
      <c r="Y97" s="4"/>
      <c r="Z97" s="4"/>
      <c r="AA97" s="4"/>
      <c r="AB97" s="1"/>
      <c r="AC97" s="4"/>
      <c r="AD97" s="4"/>
      <c r="AE97" s="4"/>
      <c r="AF97" s="4"/>
      <c r="AG97" s="4"/>
      <c r="AH97" s="4"/>
      <c r="AI97" s="4"/>
      <c r="AJ97" s="1"/>
      <c r="AK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17"/>
      <c r="BE97" s="4"/>
      <c r="BF97" s="17"/>
      <c r="BG97" s="4"/>
      <c r="BH97" s="4"/>
      <c r="BI97" s="1"/>
      <c r="BJ97" s="1"/>
    </row>
    <row r="98" spans="1:62" s="2" customFormat="1" ht="15.75" x14ac:dyDescent="0.25">
      <c r="A98" s="1"/>
      <c r="B98" s="1"/>
      <c r="C98" s="1"/>
      <c r="D98" s="1"/>
      <c r="E98" s="1"/>
      <c r="T98" s="3"/>
      <c r="U98" s="4"/>
      <c r="V98" s="4"/>
      <c r="W98" s="4"/>
      <c r="X98" s="4"/>
      <c r="Y98" s="4"/>
      <c r="Z98" s="4"/>
      <c r="AA98" s="4"/>
      <c r="AB98" s="1"/>
      <c r="AC98" s="4"/>
      <c r="AD98" s="4"/>
      <c r="AE98" s="4"/>
      <c r="AF98" s="4"/>
      <c r="AG98" s="4"/>
      <c r="AH98" s="4"/>
      <c r="AI98" s="4"/>
      <c r="AJ98" s="1"/>
      <c r="AK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17"/>
      <c r="BE98" s="4"/>
      <c r="BF98" s="17"/>
      <c r="BG98" s="4"/>
      <c r="BH98" s="4"/>
      <c r="BI98" s="1"/>
      <c r="BJ98" s="1"/>
    </row>
    <row r="99" spans="1:62" s="2" customFormat="1" ht="15.75" x14ac:dyDescent="0.25">
      <c r="A99" s="1"/>
      <c r="B99" s="1"/>
      <c r="C99" s="1"/>
      <c r="D99" s="1"/>
      <c r="E99" s="1"/>
      <c r="T99" s="3"/>
      <c r="U99" s="4"/>
      <c r="V99" s="4"/>
      <c r="W99" s="4"/>
      <c r="X99" s="4"/>
      <c r="Y99" s="4"/>
      <c r="Z99" s="4"/>
      <c r="AA99" s="4"/>
      <c r="AB99" s="1"/>
      <c r="AC99" s="4"/>
      <c r="AD99" s="4"/>
      <c r="AE99" s="4"/>
      <c r="AF99" s="4"/>
      <c r="AG99" s="4"/>
      <c r="AH99" s="4"/>
      <c r="AI99" s="4"/>
      <c r="AJ99" s="1"/>
      <c r="AK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17"/>
      <c r="BE99" s="4"/>
      <c r="BF99" s="17"/>
      <c r="BG99" s="4"/>
      <c r="BH99" s="4"/>
      <c r="BI99" s="1"/>
      <c r="BJ99" s="1"/>
    </row>
    <row r="100" spans="1:62" s="2" customFormat="1" ht="15.75" x14ac:dyDescent="0.25">
      <c r="A100" s="1"/>
      <c r="B100" s="1"/>
      <c r="C100" s="1"/>
      <c r="D100" s="1"/>
      <c r="E100" s="1"/>
      <c r="T100" s="3"/>
      <c r="U100" s="4"/>
      <c r="V100" s="4"/>
      <c r="W100" s="4"/>
      <c r="X100" s="4"/>
      <c r="Y100" s="4"/>
      <c r="Z100" s="4"/>
      <c r="AA100" s="4"/>
      <c r="AB100" s="1"/>
      <c r="AC100" s="4"/>
      <c r="AD100" s="4"/>
      <c r="AE100" s="4"/>
      <c r="AF100" s="4"/>
      <c r="AG100" s="4"/>
      <c r="AH100" s="4"/>
      <c r="AI100" s="4"/>
      <c r="AJ100" s="1"/>
      <c r="AK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17"/>
      <c r="BE100" s="4"/>
      <c r="BF100" s="17"/>
      <c r="BG100" s="4"/>
      <c r="BH100" s="4"/>
      <c r="BI100" s="1"/>
      <c r="BJ100" s="1"/>
    </row>
    <row r="101" spans="1:62" s="2" customFormat="1" ht="15.75" x14ac:dyDescent="0.25">
      <c r="A101" s="1"/>
      <c r="B101" s="1"/>
      <c r="C101" s="1"/>
      <c r="D101" s="1"/>
      <c r="E101" s="1"/>
      <c r="T101" s="3"/>
      <c r="U101" s="4"/>
      <c r="V101" s="4"/>
      <c r="W101" s="4"/>
      <c r="X101" s="4"/>
      <c r="Y101" s="4"/>
      <c r="Z101" s="4"/>
      <c r="AA101" s="4"/>
      <c r="AB101" s="1"/>
      <c r="AC101" s="4"/>
      <c r="AD101" s="4"/>
      <c r="AE101" s="4"/>
      <c r="AF101" s="4"/>
      <c r="AG101" s="4"/>
      <c r="AH101" s="4"/>
      <c r="AI101" s="4"/>
      <c r="AJ101" s="1"/>
      <c r="AK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17"/>
      <c r="BE101" s="4"/>
      <c r="BF101" s="17"/>
      <c r="BG101" s="4"/>
      <c r="BH101" s="4"/>
      <c r="BI101" s="1"/>
      <c r="BJ101" s="1"/>
    </row>
    <row r="102" spans="1:62" s="2" customFormat="1" ht="15.75" x14ac:dyDescent="0.25">
      <c r="A102" s="1"/>
      <c r="B102" s="1"/>
      <c r="C102" s="1"/>
      <c r="D102" s="1"/>
      <c r="E102" s="1"/>
      <c r="T102" s="3"/>
      <c r="U102" s="4"/>
      <c r="V102" s="4"/>
      <c r="W102" s="4"/>
      <c r="X102" s="4"/>
      <c r="Y102" s="4"/>
      <c r="Z102" s="4"/>
      <c r="AA102" s="4"/>
      <c r="AB102" s="1"/>
      <c r="AC102" s="4"/>
      <c r="AD102" s="4"/>
      <c r="AE102" s="4"/>
      <c r="AF102" s="4"/>
      <c r="AG102" s="4"/>
      <c r="AH102" s="4"/>
      <c r="AI102" s="4"/>
      <c r="AJ102" s="1"/>
      <c r="AK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17"/>
      <c r="BE102" s="4"/>
      <c r="BF102" s="17"/>
      <c r="BG102" s="4"/>
      <c r="BH102" s="4"/>
      <c r="BI102" s="1"/>
      <c r="BJ102" s="1"/>
    </row>
    <row r="103" spans="1:62" s="2" customFormat="1" ht="15.75" x14ac:dyDescent="0.25">
      <c r="A103" s="1"/>
      <c r="B103" s="1"/>
      <c r="C103" s="1"/>
      <c r="D103" s="1"/>
      <c r="E103" s="1"/>
      <c r="T103" s="3"/>
      <c r="U103" s="4"/>
      <c r="V103" s="4"/>
      <c r="W103" s="4"/>
      <c r="X103" s="4"/>
      <c r="Y103" s="4"/>
      <c r="Z103" s="4"/>
      <c r="AA103" s="4"/>
      <c r="AB103" s="1"/>
      <c r="AC103" s="4"/>
      <c r="AD103" s="4"/>
      <c r="AE103" s="4"/>
      <c r="AF103" s="4"/>
      <c r="AG103" s="4"/>
      <c r="AH103" s="4"/>
      <c r="AI103" s="4"/>
      <c r="AJ103" s="1"/>
      <c r="AK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17"/>
      <c r="BE103" s="4"/>
      <c r="BF103" s="17"/>
      <c r="BG103" s="4"/>
      <c r="BH103" s="4"/>
      <c r="BI103" s="1"/>
      <c r="BJ103" s="1"/>
    </row>
    <row r="104" spans="1:62" s="2" customFormat="1" ht="15.75" x14ac:dyDescent="0.25">
      <c r="A104" s="1"/>
      <c r="B104" s="1"/>
      <c r="C104" s="1"/>
      <c r="D104" s="1"/>
      <c r="E104" s="1"/>
      <c r="T104" s="3"/>
      <c r="U104" s="4"/>
      <c r="V104" s="4"/>
      <c r="W104" s="4"/>
      <c r="X104" s="4"/>
      <c r="Y104" s="4"/>
      <c r="Z104" s="4"/>
      <c r="AA104" s="4"/>
      <c r="AB104" s="1"/>
      <c r="AC104" s="4"/>
      <c r="AD104" s="4"/>
      <c r="AE104" s="4"/>
      <c r="AF104" s="4"/>
      <c r="AG104" s="4"/>
      <c r="AH104" s="4"/>
      <c r="AI104" s="4"/>
      <c r="AJ104" s="1"/>
      <c r="AK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17"/>
      <c r="BE104" s="4"/>
      <c r="BF104" s="17"/>
      <c r="BG104" s="4"/>
      <c r="BH104" s="4"/>
      <c r="BI104" s="1"/>
      <c r="BJ104" s="1"/>
    </row>
    <row r="105" spans="1:62" s="2" customFormat="1" ht="15.75" x14ac:dyDescent="0.25">
      <c r="A105" s="1"/>
      <c r="B105" s="1"/>
      <c r="C105" s="1"/>
      <c r="D105" s="1"/>
      <c r="E105" s="1"/>
      <c r="T105" s="3"/>
      <c r="U105" s="4"/>
      <c r="V105" s="4"/>
      <c r="W105" s="4"/>
      <c r="X105" s="4"/>
      <c r="Y105" s="4"/>
      <c r="Z105" s="4"/>
      <c r="AA105" s="4"/>
      <c r="AB105" s="1"/>
      <c r="AC105" s="4"/>
      <c r="AD105" s="4"/>
      <c r="AE105" s="4"/>
      <c r="AF105" s="4"/>
      <c r="AG105" s="4"/>
      <c r="AH105" s="4"/>
      <c r="AI105" s="4"/>
      <c r="AJ105" s="1"/>
      <c r="AK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17"/>
      <c r="BE105" s="4"/>
      <c r="BF105" s="17"/>
      <c r="BG105" s="4"/>
      <c r="BH105" s="4"/>
      <c r="BI105" s="1"/>
      <c r="BJ105" s="1"/>
    </row>
    <row r="106" spans="1:62" s="2" customFormat="1" ht="15.75" x14ac:dyDescent="0.25">
      <c r="A106" s="1"/>
      <c r="B106" s="1"/>
      <c r="C106" s="1"/>
      <c r="D106" s="1"/>
      <c r="E106" s="1"/>
      <c r="T106" s="3"/>
      <c r="U106" s="4"/>
      <c r="V106" s="4"/>
      <c r="W106" s="4"/>
      <c r="X106" s="4"/>
      <c r="Y106" s="4"/>
      <c r="Z106" s="4"/>
      <c r="AA106" s="4"/>
      <c r="AB106" s="1"/>
      <c r="AC106" s="4"/>
      <c r="AD106" s="4"/>
      <c r="AE106" s="4"/>
      <c r="AF106" s="4"/>
      <c r="AG106" s="4"/>
      <c r="AH106" s="4"/>
      <c r="AI106" s="4"/>
      <c r="AJ106" s="1"/>
      <c r="AK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17"/>
      <c r="BE106" s="4"/>
      <c r="BF106" s="17"/>
      <c r="BG106" s="4"/>
      <c r="BH106" s="4"/>
      <c r="BI106" s="1"/>
      <c r="BJ106" s="1"/>
    </row>
    <row r="107" spans="1:62" s="2" customFormat="1" ht="15.75" x14ac:dyDescent="0.25">
      <c r="A107" s="1"/>
      <c r="B107" s="1"/>
      <c r="C107" s="1"/>
      <c r="D107" s="1"/>
      <c r="E107" s="1"/>
      <c r="T107" s="3"/>
      <c r="U107" s="4"/>
      <c r="V107" s="4"/>
      <c r="W107" s="4"/>
      <c r="X107" s="4"/>
      <c r="Y107" s="4"/>
      <c r="Z107" s="4"/>
      <c r="AA107" s="4"/>
      <c r="AB107" s="1"/>
      <c r="AC107" s="4"/>
      <c r="AD107" s="4"/>
      <c r="AE107" s="4"/>
      <c r="AF107" s="4"/>
      <c r="AG107" s="4"/>
      <c r="AH107" s="4"/>
      <c r="AI107" s="4"/>
      <c r="AJ107" s="1"/>
      <c r="AK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17"/>
      <c r="BE107" s="4"/>
      <c r="BF107" s="17"/>
      <c r="BG107" s="4"/>
      <c r="BH107" s="4"/>
      <c r="BI107" s="1"/>
      <c r="BJ107" s="1"/>
    </row>
    <row r="108" spans="1:62" s="2" customFormat="1" ht="15.75" x14ac:dyDescent="0.25">
      <c r="A108" s="1"/>
      <c r="B108" s="1"/>
      <c r="C108" s="1"/>
      <c r="D108" s="1"/>
      <c r="E108" s="1"/>
      <c r="T108" s="3"/>
      <c r="U108" s="4"/>
      <c r="V108" s="4"/>
      <c r="W108" s="4"/>
      <c r="X108" s="4"/>
      <c r="Y108" s="4"/>
      <c r="Z108" s="4"/>
      <c r="AA108" s="4"/>
      <c r="AB108" s="1"/>
      <c r="AC108" s="4"/>
      <c r="AD108" s="4"/>
      <c r="AE108" s="4"/>
      <c r="AF108" s="4"/>
      <c r="AG108" s="4"/>
      <c r="AH108" s="4"/>
      <c r="AI108" s="4"/>
      <c r="AJ108" s="1"/>
      <c r="AK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17"/>
      <c r="BE108" s="4"/>
      <c r="BF108" s="17"/>
      <c r="BG108" s="4"/>
      <c r="BH108" s="4"/>
      <c r="BI108" s="1"/>
      <c r="BJ108" s="1"/>
    </row>
    <row r="109" spans="1:62" s="2" customFormat="1" ht="15.75" x14ac:dyDescent="0.25">
      <c r="A109" s="1"/>
      <c r="B109" s="1"/>
      <c r="C109" s="1"/>
      <c r="D109" s="1"/>
      <c r="E109" s="1"/>
      <c r="T109" s="3"/>
      <c r="U109" s="4"/>
      <c r="V109" s="4"/>
      <c r="W109" s="4"/>
      <c r="X109" s="4"/>
      <c r="Y109" s="4"/>
      <c r="Z109" s="4"/>
      <c r="AA109" s="4"/>
      <c r="AB109" s="1"/>
      <c r="AC109" s="4"/>
      <c r="AD109" s="4"/>
      <c r="AE109" s="4"/>
      <c r="AF109" s="4"/>
      <c r="AG109" s="4"/>
      <c r="AH109" s="4"/>
      <c r="AI109" s="4"/>
      <c r="AJ109" s="1"/>
      <c r="AK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17"/>
      <c r="BE109" s="4"/>
      <c r="BF109" s="17"/>
      <c r="BG109" s="4"/>
      <c r="BH109" s="4"/>
      <c r="BI109" s="1"/>
      <c r="BJ109" s="1"/>
    </row>
    <row r="110" spans="1:62" s="2" customFormat="1" ht="15.75" x14ac:dyDescent="0.25">
      <c r="A110" s="1"/>
      <c r="B110" s="1"/>
      <c r="C110" s="1"/>
      <c r="D110" s="1"/>
      <c r="E110" s="1"/>
      <c r="T110" s="3"/>
      <c r="U110" s="4"/>
      <c r="V110" s="4"/>
      <c r="W110" s="4"/>
      <c r="X110" s="4"/>
      <c r="Y110" s="4"/>
      <c r="Z110" s="4"/>
      <c r="AA110" s="4"/>
      <c r="AB110" s="1"/>
      <c r="AC110" s="4"/>
      <c r="AD110" s="4"/>
      <c r="AE110" s="4"/>
      <c r="AF110" s="4"/>
      <c r="AG110" s="4"/>
      <c r="AH110" s="4"/>
      <c r="AI110" s="4"/>
      <c r="AJ110" s="1"/>
      <c r="AK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17"/>
      <c r="BE110" s="4"/>
      <c r="BF110" s="17"/>
      <c r="BG110" s="4"/>
      <c r="BH110" s="4"/>
      <c r="BI110" s="1"/>
      <c r="BJ110" s="1"/>
    </row>
    <row r="111" spans="1:62" s="2" customFormat="1" ht="15.75" x14ac:dyDescent="0.25">
      <c r="A111" s="1"/>
      <c r="B111" s="1"/>
      <c r="C111" s="1"/>
      <c r="D111" s="1"/>
      <c r="E111" s="1"/>
      <c r="T111" s="3"/>
      <c r="U111" s="4"/>
      <c r="V111" s="4"/>
      <c r="W111" s="4"/>
      <c r="X111" s="4"/>
      <c r="Y111" s="4"/>
      <c r="Z111" s="4"/>
      <c r="AA111" s="4"/>
      <c r="AB111" s="1"/>
      <c r="AC111" s="4"/>
      <c r="AD111" s="4"/>
      <c r="AE111" s="4"/>
      <c r="AF111" s="4"/>
      <c r="AG111" s="4"/>
      <c r="AH111" s="4"/>
      <c r="AI111" s="4"/>
      <c r="AJ111" s="1"/>
      <c r="AK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17"/>
      <c r="BE111" s="4"/>
      <c r="BF111" s="17"/>
      <c r="BG111" s="4"/>
      <c r="BH111" s="4"/>
      <c r="BI111" s="1"/>
      <c r="BJ111" s="1"/>
    </row>
    <row r="112" spans="1:62" s="2" customFormat="1" ht="15.75" x14ac:dyDescent="0.25">
      <c r="A112" s="1"/>
      <c r="B112" s="1"/>
      <c r="C112" s="1"/>
      <c r="D112" s="1"/>
      <c r="E112" s="1"/>
      <c r="T112" s="3"/>
      <c r="U112" s="4"/>
      <c r="V112" s="4"/>
      <c r="W112" s="4"/>
      <c r="X112" s="4"/>
      <c r="Y112" s="4"/>
      <c r="Z112" s="4"/>
      <c r="AA112" s="4"/>
      <c r="AB112" s="1"/>
      <c r="AC112" s="4"/>
      <c r="AD112" s="4"/>
      <c r="AE112" s="4"/>
      <c r="AF112" s="4"/>
      <c r="AG112" s="4"/>
      <c r="AH112" s="4"/>
      <c r="AI112" s="4"/>
      <c r="AJ112" s="1"/>
      <c r="AK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17"/>
      <c r="BE112" s="4"/>
      <c r="BF112" s="17"/>
      <c r="BG112" s="4"/>
      <c r="BH112" s="4"/>
      <c r="BI112" s="1"/>
      <c r="BJ112" s="1"/>
    </row>
    <row r="113" spans="1:62" s="2" customFormat="1" ht="15.75" x14ac:dyDescent="0.25">
      <c r="A113" s="1"/>
      <c r="B113" s="1"/>
      <c r="C113" s="1"/>
      <c r="D113" s="1"/>
      <c r="E113" s="1"/>
      <c r="T113" s="3"/>
      <c r="U113" s="4"/>
      <c r="V113" s="4"/>
      <c r="W113" s="4"/>
      <c r="X113" s="4"/>
      <c r="Y113" s="4"/>
      <c r="Z113" s="4"/>
      <c r="AA113" s="4"/>
      <c r="AB113" s="1"/>
      <c r="AC113" s="4"/>
      <c r="AD113" s="4"/>
      <c r="AE113" s="4"/>
      <c r="AF113" s="4"/>
      <c r="AG113" s="4"/>
      <c r="AH113" s="4"/>
      <c r="AI113" s="4"/>
      <c r="AJ113" s="1"/>
      <c r="AK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17"/>
      <c r="BE113" s="4"/>
      <c r="BF113" s="17"/>
      <c r="BG113" s="4"/>
      <c r="BH113" s="4"/>
      <c r="BI113" s="1"/>
      <c r="BJ113" s="1"/>
    </row>
    <row r="114" spans="1:62" s="2" customFormat="1" ht="15.75" x14ac:dyDescent="0.25">
      <c r="A114" s="1"/>
      <c r="B114" s="1"/>
      <c r="C114" s="1"/>
      <c r="D114" s="1"/>
      <c r="E114" s="1"/>
      <c r="T114" s="3"/>
      <c r="U114" s="4"/>
      <c r="V114" s="4"/>
      <c r="W114" s="4"/>
      <c r="X114" s="4"/>
      <c r="Y114" s="4"/>
      <c r="Z114" s="4"/>
      <c r="AA114" s="4"/>
      <c r="AB114" s="1"/>
      <c r="AC114" s="4"/>
      <c r="AD114" s="4"/>
      <c r="AE114" s="4"/>
      <c r="AF114" s="4"/>
      <c r="AG114" s="4"/>
      <c r="AH114" s="4"/>
      <c r="AI114" s="4"/>
      <c r="AJ114" s="1"/>
      <c r="AK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17"/>
      <c r="BE114" s="4"/>
      <c r="BF114" s="17"/>
      <c r="BG114" s="4"/>
      <c r="BH114" s="4"/>
      <c r="BI114" s="1"/>
      <c r="BJ114" s="1"/>
    </row>
    <row r="115" spans="1:62" s="2" customFormat="1" ht="15.75" x14ac:dyDescent="0.25">
      <c r="A115" s="1"/>
      <c r="B115" s="1"/>
      <c r="C115" s="1"/>
      <c r="D115" s="1"/>
      <c r="E115" s="1"/>
      <c r="T115" s="3"/>
      <c r="U115" s="4"/>
      <c r="V115" s="4"/>
      <c r="W115" s="4"/>
      <c r="X115" s="4"/>
      <c r="Y115" s="4"/>
      <c r="Z115" s="4"/>
      <c r="AA115" s="4"/>
      <c r="AB115" s="1"/>
      <c r="AC115" s="4"/>
      <c r="AD115" s="4"/>
      <c r="AE115" s="4"/>
      <c r="AF115" s="4"/>
      <c r="AG115" s="4"/>
      <c r="AH115" s="4"/>
      <c r="AI115" s="4"/>
      <c r="AJ115" s="1"/>
      <c r="AK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17"/>
      <c r="BE115" s="4"/>
      <c r="BF115" s="17"/>
      <c r="BG115" s="4"/>
      <c r="BH115" s="4"/>
      <c r="BI115" s="1"/>
      <c r="BJ115" s="1"/>
    </row>
    <row r="116" spans="1:62" s="2" customFormat="1" ht="15.75" x14ac:dyDescent="0.25">
      <c r="A116" s="1"/>
      <c r="B116" s="1"/>
      <c r="C116" s="1"/>
      <c r="D116" s="1"/>
      <c r="E116" s="1"/>
      <c r="T116" s="3"/>
      <c r="U116" s="4"/>
      <c r="V116" s="4"/>
      <c r="W116" s="4"/>
      <c r="X116" s="4"/>
      <c r="Y116" s="4"/>
      <c r="Z116" s="4"/>
      <c r="AA116" s="4"/>
      <c r="AB116" s="1"/>
      <c r="AC116" s="4"/>
      <c r="AD116" s="4"/>
      <c r="AE116" s="4"/>
      <c r="AF116" s="4"/>
      <c r="AG116" s="4"/>
      <c r="AH116" s="4"/>
      <c r="AI116" s="4"/>
      <c r="AJ116" s="1"/>
      <c r="AK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17"/>
      <c r="BE116" s="4"/>
      <c r="BF116" s="17"/>
      <c r="BG116" s="4"/>
      <c r="BH116" s="4"/>
      <c r="BI116" s="1"/>
      <c r="BJ116" s="1"/>
    </row>
    <row r="117" spans="1:62" s="2" customFormat="1" ht="15.75" x14ac:dyDescent="0.25">
      <c r="A117" s="1"/>
      <c r="B117" s="1"/>
      <c r="C117" s="1"/>
      <c r="D117" s="1"/>
      <c r="E117" s="1"/>
      <c r="T117" s="3"/>
      <c r="U117" s="4"/>
      <c r="V117" s="4"/>
      <c r="W117" s="4"/>
      <c r="X117" s="4"/>
      <c r="Y117" s="4"/>
      <c r="Z117" s="4"/>
      <c r="AA117" s="4"/>
      <c r="AB117" s="1"/>
      <c r="AC117" s="4"/>
      <c r="AD117" s="4"/>
      <c r="AE117" s="4"/>
      <c r="AF117" s="4"/>
      <c r="AG117" s="4"/>
      <c r="AH117" s="4"/>
      <c r="AI117" s="4"/>
      <c r="AJ117" s="1"/>
      <c r="AK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17"/>
      <c r="BE117" s="4"/>
      <c r="BF117" s="17"/>
      <c r="BG117" s="4"/>
      <c r="BH117" s="4"/>
      <c r="BI117" s="1"/>
      <c r="BJ117" s="1"/>
    </row>
    <row r="118" spans="1:62" s="2" customFormat="1" ht="15.75" x14ac:dyDescent="0.25">
      <c r="A118" s="1"/>
      <c r="B118" s="1"/>
      <c r="C118" s="1"/>
      <c r="D118" s="1"/>
      <c r="E118" s="1"/>
      <c r="T118" s="3"/>
      <c r="U118" s="4"/>
      <c r="V118" s="4"/>
      <c r="W118" s="4"/>
      <c r="X118" s="4"/>
      <c r="Y118" s="4"/>
      <c r="Z118" s="4"/>
      <c r="AA118" s="4"/>
      <c r="AB118" s="1"/>
      <c r="AC118" s="4"/>
      <c r="AD118" s="4"/>
      <c r="AE118" s="4"/>
      <c r="AF118" s="4"/>
      <c r="AG118" s="4"/>
      <c r="AH118" s="4"/>
      <c r="AI118" s="4"/>
      <c r="AJ118" s="1"/>
      <c r="AK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17"/>
      <c r="BE118" s="4"/>
      <c r="BF118" s="17"/>
      <c r="BG118" s="4"/>
      <c r="BH118" s="4"/>
      <c r="BI118" s="1"/>
      <c r="BJ118" s="1"/>
    </row>
    <row r="119" spans="1:62" s="2" customFormat="1" ht="15.75" x14ac:dyDescent="0.25">
      <c r="A119" s="1"/>
      <c r="B119" s="1"/>
      <c r="C119" s="1"/>
      <c r="D119" s="1"/>
      <c r="E119" s="1"/>
      <c r="T119" s="3"/>
      <c r="U119" s="4"/>
      <c r="V119" s="4"/>
      <c r="W119" s="4"/>
      <c r="X119" s="4"/>
      <c r="Y119" s="4"/>
      <c r="Z119" s="4"/>
      <c r="AA119" s="4"/>
      <c r="AB119" s="1"/>
      <c r="AC119" s="4"/>
      <c r="AD119" s="4"/>
      <c r="AE119" s="4"/>
      <c r="AF119" s="4"/>
      <c r="AG119" s="4"/>
      <c r="AH119" s="4"/>
      <c r="AI119" s="4"/>
      <c r="AJ119" s="1"/>
      <c r="AK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17"/>
      <c r="BE119" s="4"/>
      <c r="BF119" s="17"/>
      <c r="BG119" s="4"/>
      <c r="BH119" s="4"/>
      <c r="BI119" s="1"/>
      <c r="BJ119" s="1"/>
    </row>
    <row r="120" spans="1:62" s="2" customFormat="1" ht="15.75" x14ac:dyDescent="0.25">
      <c r="A120" s="1"/>
      <c r="B120" s="1"/>
      <c r="C120" s="1"/>
      <c r="D120" s="1"/>
      <c r="E120" s="1"/>
      <c r="T120" s="3"/>
      <c r="U120" s="4"/>
      <c r="V120" s="4"/>
      <c r="W120" s="4"/>
      <c r="X120" s="4"/>
      <c r="Y120" s="4"/>
      <c r="Z120" s="4"/>
      <c r="AA120" s="4"/>
      <c r="AB120" s="1"/>
      <c r="AC120" s="4"/>
      <c r="AD120" s="4"/>
      <c r="AE120" s="4"/>
      <c r="AF120" s="4"/>
      <c r="AG120" s="4"/>
      <c r="AH120" s="4"/>
      <c r="AI120" s="4"/>
      <c r="AJ120" s="1"/>
      <c r="AK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17"/>
      <c r="BE120" s="4"/>
      <c r="BF120" s="17"/>
      <c r="BG120" s="4"/>
      <c r="BH120" s="4"/>
      <c r="BI120" s="1"/>
      <c r="BJ120" s="1"/>
    </row>
    <row r="121" spans="1:62" s="2" customFormat="1" ht="15.75" x14ac:dyDescent="0.25">
      <c r="A121" s="1"/>
      <c r="B121" s="1"/>
      <c r="C121" s="1"/>
      <c r="D121" s="1"/>
      <c r="E121" s="1"/>
      <c r="T121" s="3"/>
      <c r="U121" s="4"/>
      <c r="V121" s="4"/>
      <c r="W121" s="4"/>
      <c r="X121" s="4"/>
      <c r="Y121" s="4"/>
      <c r="Z121" s="4"/>
      <c r="AA121" s="4"/>
      <c r="AB121" s="1"/>
      <c r="AC121" s="4"/>
      <c r="AD121" s="4"/>
      <c r="AE121" s="4"/>
      <c r="AF121" s="4"/>
      <c r="AG121" s="4"/>
      <c r="AH121" s="4"/>
      <c r="AI121" s="4"/>
      <c r="AJ121" s="1"/>
      <c r="AK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17"/>
      <c r="BE121" s="4"/>
      <c r="BF121" s="17"/>
      <c r="BG121" s="4"/>
      <c r="BH121" s="4"/>
      <c r="BI121" s="1"/>
      <c r="BJ121" s="1"/>
    </row>
    <row r="122" spans="1:62" s="2" customFormat="1" ht="15.75" x14ac:dyDescent="0.25">
      <c r="A122" s="1"/>
      <c r="B122" s="1"/>
      <c r="C122" s="1"/>
      <c r="D122" s="1"/>
      <c r="E122" s="1"/>
      <c r="T122" s="3"/>
      <c r="U122" s="4"/>
      <c r="V122" s="4"/>
      <c r="W122" s="4"/>
      <c r="X122" s="4"/>
      <c r="Y122" s="4"/>
      <c r="Z122" s="4"/>
      <c r="AA122" s="4"/>
      <c r="AB122" s="1"/>
      <c r="AC122" s="4"/>
      <c r="AD122" s="4"/>
      <c r="AE122" s="4"/>
      <c r="AF122" s="4"/>
      <c r="AG122" s="4"/>
      <c r="AH122" s="4"/>
      <c r="AI122" s="4"/>
      <c r="AJ122" s="1"/>
      <c r="AK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17"/>
      <c r="BE122" s="4"/>
      <c r="BF122" s="17"/>
      <c r="BG122" s="4"/>
      <c r="BH122" s="4"/>
      <c r="BI122" s="1"/>
      <c r="BJ122" s="1"/>
    </row>
    <row r="123" spans="1:62" s="2" customFormat="1" ht="15.75" x14ac:dyDescent="0.25">
      <c r="A123" s="1"/>
      <c r="B123" s="1"/>
      <c r="C123" s="1"/>
      <c r="D123" s="1"/>
      <c r="E123" s="1"/>
      <c r="T123" s="3"/>
      <c r="U123" s="4"/>
      <c r="V123" s="4"/>
      <c r="W123" s="4"/>
      <c r="X123" s="4"/>
      <c r="Y123" s="4"/>
      <c r="Z123" s="4"/>
      <c r="AA123" s="4"/>
      <c r="AB123" s="1"/>
      <c r="AC123" s="4"/>
      <c r="AD123" s="4"/>
      <c r="AE123" s="4"/>
      <c r="AF123" s="4"/>
      <c r="AG123" s="4"/>
      <c r="AH123" s="4"/>
      <c r="AI123" s="4"/>
      <c r="AJ123" s="1"/>
      <c r="AK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17"/>
      <c r="BE123" s="4"/>
      <c r="BF123" s="17"/>
      <c r="BG123" s="4"/>
      <c r="BH123" s="4"/>
      <c r="BI123" s="1"/>
      <c r="BJ123" s="1"/>
    </row>
    <row r="124" spans="1:62" s="2" customFormat="1" ht="15.75" x14ac:dyDescent="0.25">
      <c r="A124" s="1"/>
      <c r="B124" s="1"/>
      <c r="C124" s="1"/>
      <c r="D124" s="1"/>
      <c r="E124" s="1"/>
      <c r="T124" s="3"/>
      <c r="U124" s="4"/>
      <c r="V124" s="4"/>
      <c r="W124" s="4"/>
      <c r="X124" s="4"/>
      <c r="Y124" s="4"/>
      <c r="Z124" s="4"/>
      <c r="AA124" s="4"/>
      <c r="AB124" s="1"/>
      <c r="AC124" s="4"/>
      <c r="AD124" s="4"/>
      <c r="AE124" s="4"/>
      <c r="AF124" s="4"/>
      <c r="AG124" s="4"/>
      <c r="AH124" s="4"/>
      <c r="AI124" s="4"/>
      <c r="AJ124" s="1"/>
      <c r="AK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17"/>
      <c r="BE124" s="4"/>
      <c r="BF124" s="17"/>
      <c r="BG124" s="4"/>
      <c r="BH124" s="4"/>
      <c r="BI124" s="1"/>
      <c r="BJ124" s="1"/>
    </row>
    <row r="125" spans="1:62" s="2" customFormat="1" ht="15.75" x14ac:dyDescent="0.25">
      <c r="A125" s="1"/>
      <c r="B125" s="1"/>
      <c r="C125" s="1"/>
      <c r="D125" s="1"/>
      <c r="E125" s="1"/>
      <c r="T125" s="3"/>
      <c r="U125" s="4"/>
      <c r="V125" s="4"/>
      <c r="W125" s="4"/>
      <c r="X125" s="4"/>
      <c r="Y125" s="4"/>
      <c r="Z125" s="4"/>
      <c r="AA125" s="4"/>
      <c r="AB125" s="1"/>
      <c r="AC125" s="4"/>
      <c r="AD125" s="4"/>
      <c r="AE125" s="4"/>
      <c r="AF125" s="4"/>
      <c r="AG125" s="4"/>
      <c r="AH125" s="4"/>
      <c r="AI125" s="4"/>
      <c r="AJ125" s="1"/>
      <c r="AK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17"/>
      <c r="BE125" s="4"/>
      <c r="BF125" s="17"/>
      <c r="BG125" s="4"/>
      <c r="BH125" s="4"/>
      <c r="BI125" s="1"/>
      <c r="BJ125" s="1"/>
    </row>
    <row r="126" spans="1:62" s="2" customFormat="1" ht="15.75" x14ac:dyDescent="0.25">
      <c r="A126" s="1"/>
      <c r="B126" s="1"/>
      <c r="C126" s="1"/>
      <c r="D126" s="1"/>
      <c r="E126" s="1"/>
      <c r="T126" s="3"/>
      <c r="U126" s="4"/>
      <c r="V126" s="4"/>
      <c r="W126" s="4"/>
      <c r="X126" s="4"/>
      <c r="Y126" s="4"/>
      <c r="Z126" s="4"/>
      <c r="AA126" s="4"/>
      <c r="AB126" s="1"/>
      <c r="AC126" s="4"/>
      <c r="AD126" s="4"/>
      <c r="AE126" s="4"/>
      <c r="AF126" s="4"/>
      <c r="AG126" s="4"/>
      <c r="AH126" s="4"/>
      <c r="AI126" s="4"/>
      <c r="AJ126" s="1"/>
      <c r="AK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17"/>
      <c r="BE126" s="4"/>
      <c r="BF126" s="17"/>
      <c r="BG126" s="4"/>
      <c r="BH126" s="4"/>
      <c r="BI126" s="1"/>
      <c r="BJ126" s="1"/>
    </row>
    <row r="127" spans="1:62" s="2" customFormat="1" ht="15.75" x14ac:dyDescent="0.25">
      <c r="A127" s="1"/>
      <c r="B127" s="1"/>
      <c r="C127" s="1"/>
      <c r="D127" s="1"/>
      <c r="E127" s="1"/>
      <c r="T127" s="3"/>
      <c r="U127" s="4"/>
      <c r="V127" s="4"/>
      <c r="W127" s="4"/>
      <c r="X127" s="4"/>
      <c r="Y127" s="4"/>
      <c r="Z127" s="4"/>
      <c r="AA127" s="4"/>
      <c r="AB127" s="1"/>
      <c r="AC127" s="4"/>
      <c r="AD127" s="4"/>
      <c r="AE127" s="4"/>
      <c r="AF127" s="4"/>
      <c r="AG127" s="4"/>
      <c r="AH127" s="4"/>
      <c r="AI127" s="4"/>
      <c r="AJ127" s="1"/>
      <c r="AK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17"/>
      <c r="BE127" s="4"/>
      <c r="BF127" s="17"/>
      <c r="BG127" s="4"/>
      <c r="BH127" s="4"/>
      <c r="BI127" s="1"/>
      <c r="BJ127" s="1"/>
    </row>
    <row r="128" spans="1:62" s="2" customFormat="1" ht="15.75" x14ac:dyDescent="0.25">
      <c r="A128" s="1"/>
      <c r="B128" s="1"/>
      <c r="C128" s="1"/>
      <c r="D128" s="1"/>
      <c r="E128" s="1"/>
      <c r="T128" s="3"/>
      <c r="U128" s="4"/>
      <c r="V128" s="4"/>
      <c r="W128" s="4"/>
      <c r="X128" s="4"/>
      <c r="Y128" s="4"/>
      <c r="Z128" s="4"/>
      <c r="AA128" s="4"/>
      <c r="AB128" s="1"/>
      <c r="AC128" s="4"/>
      <c r="AD128" s="4"/>
      <c r="AE128" s="4"/>
      <c r="AF128" s="4"/>
      <c r="AG128" s="4"/>
      <c r="AH128" s="4"/>
      <c r="AI128" s="4"/>
      <c r="AJ128" s="1"/>
      <c r="AK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17"/>
      <c r="BE128" s="4"/>
      <c r="BF128" s="17"/>
      <c r="BG128" s="4"/>
      <c r="BH128" s="4"/>
      <c r="BI128" s="1"/>
      <c r="BJ128" s="1"/>
    </row>
    <row r="129" spans="1:62" s="2" customFormat="1" ht="15.75" x14ac:dyDescent="0.25">
      <c r="A129" s="1"/>
      <c r="B129" s="1"/>
      <c r="C129" s="1"/>
      <c r="D129" s="1"/>
      <c r="E129" s="1"/>
      <c r="T129" s="3"/>
      <c r="U129" s="4"/>
      <c r="V129" s="4"/>
      <c r="W129" s="4"/>
      <c r="X129" s="4"/>
      <c r="Y129" s="4"/>
      <c r="Z129" s="4"/>
      <c r="AA129" s="4"/>
      <c r="AB129" s="1"/>
      <c r="AC129" s="4"/>
      <c r="AD129" s="4"/>
      <c r="AE129" s="4"/>
      <c r="AF129" s="4"/>
      <c r="AG129" s="4"/>
      <c r="AH129" s="4"/>
      <c r="AI129" s="4"/>
      <c r="AJ129" s="1"/>
      <c r="AK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17"/>
      <c r="BE129" s="4"/>
      <c r="BF129" s="17"/>
      <c r="BG129" s="4"/>
      <c r="BH129" s="4"/>
      <c r="BI129" s="1"/>
      <c r="BJ129" s="1"/>
    </row>
    <row r="130" spans="1:62" s="2" customFormat="1" ht="15.75" x14ac:dyDescent="0.25">
      <c r="A130" s="1"/>
      <c r="B130" s="1"/>
      <c r="C130" s="1"/>
      <c r="D130" s="1"/>
      <c r="E130" s="1"/>
      <c r="T130" s="3"/>
      <c r="U130" s="4"/>
      <c r="V130" s="4"/>
      <c r="W130" s="4"/>
      <c r="X130" s="4"/>
      <c r="Y130" s="4"/>
      <c r="Z130" s="4"/>
      <c r="AA130" s="4"/>
      <c r="AB130" s="1"/>
      <c r="AC130" s="4"/>
      <c r="AD130" s="4"/>
      <c r="AE130" s="4"/>
      <c r="AF130" s="4"/>
      <c r="AG130" s="4"/>
      <c r="AH130" s="4"/>
      <c r="AI130" s="4"/>
      <c r="AJ130" s="1"/>
      <c r="AK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17"/>
      <c r="BE130" s="4"/>
      <c r="BF130" s="17"/>
      <c r="BG130" s="4"/>
      <c r="BH130" s="4"/>
      <c r="BI130" s="1"/>
      <c r="BJ130" s="1"/>
    </row>
    <row r="131" spans="1:62" s="2" customFormat="1" ht="15.75" x14ac:dyDescent="0.25">
      <c r="A131" s="1"/>
      <c r="B131" s="1"/>
      <c r="C131" s="1"/>
      <c r="D131" s="1"/>
      <c r="E131" s="1"/>
      <c r="T131" s="3"/>
      <c r="U131" s="4"/>
      <c r="V131" s="4"/>
      <c r="W131" s="4"/>
      <c r="X131" s="4"/>
      <c r="Y131" s="4"/>
      <c r="Z131" s="4"/>
      <c r="AA131" s="4"/>
      <c r="AB131" s="1"/>
      <c r="AC131" s="4"/>
      <c r="AD131" s="4"/>
      <c r="AE131" s="4"/>
      <c r="AF131" s="4"/>
      <c r="AG131" s="4"/>
      <c r="AH131" s="4"/>
      <c r="AI131" s="4"/>
      <c r="AJ131" s="1"/>
      <c r="AK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17"/>
      <c r="BE131" s="4"/>
      <c r="BF131" s="17"/>
      <c r="BG131" s="4"/>
      <c r="BH131" s="4"/>
      <c r="BI131" s="1"/>
      <c r="BJ131" s="1"/>
    </row>
    <row r="132" spans="1:62" s="2" customFormat="1" ht="15.75" x14ac:dyDescent="0.25">
      <c r="A132" s="1"/>
      <c r="B132" s="1"/>
      <c r="C132" s="1"/>
      <c r="D132" s="1"/>
      <c r="E132" s="1"/>
      <c r="T132" s="3"/>
      <c r="U132" s="4"/>
      <c r="V132" s="4"/>
      <c r="W132" s="4"/>
      <c r="X132" s="4"/>
      <c r="Y132" s="4"/>
      <c r="Z132" s="4"/>
      <c r="AA132" s="4"/>
      <c r="AB132" s="1"/>
      <c r="AC132" s="4"/>
      <c r="AD132" s="4"/>
      <c r="AE132" s="4"/>
      <c r="AF132" s="4"/>
      <c r="AG132" s="4"/>
      <c r="AH132" s="4"/>
      <c r="AI132" s="4"/>
      <c r="AJ132" s="1"/>
      <c r="AK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17"/>
      <c r="BE132" s="4"/>
      <c r="BF132" s="17"/>
      <c r="BG132" s="4"/>
      <c r="BH132" s="4"/>
      <c r="BI132" s="1"/>
      <c r="BJ132" s="1"/>
    </row>
    <row r="133" spans="1:62" s="2" customFormat="1" ht="15.75" x14ac:dyDescent="0.25">
      <c r="A133" s="1"/>
      <c r="B133" s="1"/>
      <c r="C133" s="1"/>
      <c r="D133" s="1"/>
      <c r="E133" s="1"/>
      <c r="T133" s="3"/>
      <c r="U133" s="4"/>
      <c r="V133" s="4"/>
      <c r="W133" s="4"/>
      <c r="X133" s="4"/>
      <c r="Y133" s="4"/>
      <c r="Z133" s="4"/>
      <c r="AA133" s="4"/>
      <c r="AB133" s="1"/>
      <c r="AC133" s="4"/>
      <c r="AD133" s="4"/>
      <c r="AE133" s="4"/>
      <c r="AF133" s="4"/>
      <c r="AG133" s="4"/>
      <c r="AH133" s="4"/>
      <c r="AI133" s="4"/>
      <c r="AJ133" s="1"/>
      <c r="AK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17"/>
      <c r="BE133" s="4"/>
      <c r="BF133" s="17"/>
      <c r="BG133" s="4"/>
      <c r="BH133" s="4"/>
      <c r="BI133" s="1"/>
      <c r="BJ133" s="1"/>
    </row>
    <row r="134" spans="1:62" s="2" customFormat="1" ht="15.75" x14ac:dyDescent="0.25">
      <c r="A134" s="1"/>
      <c r="B134" s="1"/>
      <c r="C134" s="1"/>
      <c r="D134" s="1"/>
      <c r="E134" s="1"/>
      <c r="T134" s="3"/>
      <c r="U134" s="4"/>
      <c r="V134" s="4"/>
      <c r="W134" s="4"/>
      <c r="X134" s="4"/>
      <c r="Y134" s="4"/>
      <c r="Z134" s="4"/>
      <c r="AA134" s="4"/>
      <c r="AB134" s="1"/>
      <c r="AC134" s="4"/>
      <c r="AD134" s="4"/>
      <c r="AE134" s="4"/>
      <c r="AF134" s="4"/>
      <c r="AG134" s="4"/>
      <c r="AH134" s="4"/>
      <c r="AI134" s="4"/>
      <c r="AJ134" s="1"/>
      <c r="AK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17"/>
      <c r="BE134" s="4"/>
      <c r="BF134" s="17"/>
      <c r="BG134" s="4"/>
      <c r="BH134" s="4"/>
      <c r="BI134" s="1"/>
      <c r="BJ134" s="1"/>
    </row>
    <row r="135" spans="1:62" s="2" customFormat="1" ht="15.75" x14ac:dyDescent="0.25">
      <c r="A135" s="1"/>
      <c r="B135" s="1"/>
      <c r="C135" s="1"/>
      <c r="D135" s="1"/>
      <c r="E135" s="1"/>
      <c r="T135" s="3"/>
      <c r="U135" s="4"/>
      <c r="V135" s="4"/>
      <c r="W135" s="4"/>
      <c r="X135" s="4"/>
      <c r="Y135" s="4"/>
      <c r="Z135" s="4"/>
      <c r="AA135" s="4"/>
      <c r="AB135" s="1"/>
      <c r="AC135" s="4"/>
      <c r="AD135" s="4"/>
      <c r="AE135" s="4"/>
      <c r="AF135" s="4"/>
      <c r="AG135" s="4"/>
      <c r="AH135" s="4"/>
      <c r="AI135" s="4"/>
      <c r="AJ135" s="1"/>
      <c r="AK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17"/>
      <c r="BE135" s="4"/>
      <c r="BF135" s="17"/>
      <c r="BG135" s="4"/>
      <c r="BH135" s="4"/>
      <c r="BI135" s="1"/>
      <c r="BJ135" s="1"/>
    </row>
    <row r="136" spans="1:62" s="2" customFormat="1" ht="15.75" x14ac:dyDescent="0.25">
      <c r="A136" s="1"/>
      <c r="B136" s="1"/>
      <c r="C136" s="1"/>
      <c r="D136" s="1"/>
      <c r="E136" s="1"/>
      <c r="T136" s="3"/>
      <c r="U136" s="4"/>
      <c r="V136" s="4"/>
      <c r="W136" s="4"/>
      <c r="X136" s="4"/>
      <c r="Y136" s="4"/>
      <c r="Z136" s="4"/>
      <c r="AA136" s="4"/>
      <c r="AB136" s="1"/>
      <c r="AC136" s="4"/>
      <c r="AD136" s="4"/>
      <c r="AE136" s="4"/>
      <c r="AF136" s="4"/>
      <c r="AG136" s="4"/>
      <c r="AH136" s="4"/>
      <c r="AI136" s="4"/>
      <c r="AJ136" s="1"/>
      <c r="AK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17"/>
      <c r="BE136" s="4"/>
      <c r="BF136" s="17"/>
      <c r="BG136" s="4"/>
      <c r="BH136" s="4"/>
      <c r="BI136" s="1"/>
      <c r="BJ136" s="1"/>
    </row>
    <row r="137" spans="1:62" s="2" customFormat="1" ht="15.75" x14ac:dyDescent="0.25">
      <c r="A137" s="1"/>
      <c r="B137" s="1"/>
      <c r="C137" s="1"/>
      <c r="D137" s="1"/>
      <c r="E137" s="1"/>
      <c r="T137" s="3"/>
      <c r="U137" s="4"/>
      <c r="V137" s="4"/>
      <c r="W137" s="4"/>
      <c r="X137" s="4"/>
      <c r="Y137" s="4"/>
      <c r="Z137" s="4"/>
      <c r="AA137" s="4"/>
      <c r="AB137" s="1"/>
      <c r="AC137" s="4"/>
      <c r="AD137" s="4"/>
      <c r="AE137" s="4"/>
      <c r="AF137" s="4"/>
      <c r="AG137" s="4"/>
      <c r="AH137" s="4"/>
      <c r="AI137" s="4"/>
      <c r="AJ137" s="1"/>
      <c r="AK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17"/>
      <c r="BE137" s="4"/>
      <c r="BF137" s="17"/>
      <c r="BG137" s="4"/>
      <c r="BH137" s="4"/>
      <c r="BI137" s="1"/>
      <c r="BJ137" s="1"/>
    </row>
    <row r="138" spans="1:62" s="2" customFormat="1" ht="15.75" x14ac:dyDescent="0.25">
      <c r="A138" s="1"/>
      <c r="B138" s="1"/>
      <c r="C138" s="1"/>
      <c r="D138" s="1"/>
      <c r="E138" s="1"/>
      <c r="T138" s="3"/>
      <c r="U138" s="4"/>
      <c r="V138" s="4"/>
      <c r="W138" s="4"/>
      <c r="X138" s="4"/>
      <c r="Y138" s="4"/>
      <c r="Z138" s="4"/>
      <c r="AA138" s="4"/>
      <c r="AB138" s="1"/>
      <c r="AC138" s="4"/>
      <c r="AD138" s="4"/>
      <c r="AE138" s="4"/>
      <c r="AF138" s="4"/>
      <c r="AG138" s="4"/>
      <c r="AH138" s="4"/>
      <c r="AI138" s="4"/>
      <c r="AJ138" s="1"/>
      <c r="AK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17"/>
      <c r="BE138" s="4"/>
      <c r="BF138" s="17"/>
      <c r="BG138" s="4"/>
      <c r="BH138" s="4"/>
      <c r="BI138" s="1"/>
      <c r="BJ138" s="1"/>
    </row>
    <row r="139" spans="1:62" s="2" customFormat="1" ht="15.75" x14ac:dyDescent="0.25">
      <c r="A139" s="1"/>
      <c r="B139" s="1"/>
      <c r="C139" s="1"/>
      <c r="D139" s="1"/>
      <c r="E139" s="1"/>
      <c r="T139" s="3"/>
      <c r="U139" s="4"/>
      <c r="V139" s="4"/>
      <c r="W139" s="4"/>
      <c r="X139" s="4"/>
      <c r="Y139" s="4"/>
      <c r="Z139" s="4"/>
      <c r="AA139" s="4"/>
      <c r="AB139" s="1"/>
      <c r="AC139" s="4"/>
      <c r="AD139" s="4"/>
      <c r="AE139" s="4"/>
      <c r="AF139" s="4"/>
      <c r="AG139" s="4"/>
      <c r="AH139" s="4"/>
      <c r="AI139" s="4"/>
      <c r="AJ139" s="1"/>
      <c r="AK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17"/>
      <c r="BE139" s="4"/>
      <c r="BF139" s="17"/>
      <c r="BG139" s="4"/>
      <c r="BH139" s="4"/>
      <c r="BI139" s="1"/>
      <c r="BJ139" s="1"/>
    </row>
    <row r="140" spans="1:62" s="2" customFormat="1" ht="15.75" x14ac:dyDescent="0.25">
      <c r="A140" s="1"/>
      <c r="B140" s="1"/>
      <c r="C140" s="1"/>
      <c r="D140" s="1"/>
      <c r="E140" s="1"/>
      <c r="T140" s="3"/>
      <c r="U140" s="4"/>
      <c r="V140" s="4"/>
      <c r="W140" s="4"/>
      <c r="X140" s="4"/>
      <c r="Y140" s="4"/>
      <c r="Z140" s="4"/>
      <c r="AA140" s="4"/>
      <c r="AB140" s="1"/>
      <c r="AC140" s="4"/>
      <c r="AD140" s="4"/>
      <c r="AE140" s="4"/>
      <c r="AF140" s="4"/>
      <c r="AG140" s="4"/>
      <c r="AH140" s="4"/>
      <c r="AI140" s="4"/>
      <c r="AJ140" s="1"/>
      <c r="AK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17"/>
      <c r="BE140" s="4"/>
      <c r="BF140" s="17"/>
      <c r="BG140" s="4"/>
      <c r="BH140" s="4"/>
      <c r="BI140" s="1"/>
      <c r="BJ140" s="1"/>
    </row>
    <row r="141" spans="1:62" s="2" customFormat="1" ht="15.75" x14ac:dyDescent="0.25">
      <c r="A141" s="1"/>
      <c r="B141" s="1"/>
      <c r="C141" s="1"/>
      <c r="D141" s="1"/>
      <c r="E141" s="1"/>
      <c r="T141" s="3"/>
      <c r="U141" s="4"/>
      <c r="V141" s="4"/>
      <c r="W141" s="4"/>
      <c r="X141" s="4"/>
      <c r="Y141" s="4"/>
      <c r="Z141" s="4"/>
      <c r="AA141" s="4"/>
      <c r="AB141" s="1"/>
      <c r="AC141" s="4"/>
      <c r="AD141" s="4"/>
      <c r="AE141" s="4"/>
      <c r="AF141" s="4"/>
      <c r="AG141" s="4"/>
      <c r="AH141" s="4"/>
      <c r="AI141" s="4"/>
      <c r="AJ141" s="1"/>
      <c r="AK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17"/>
      <c r="BE141" s="4"/>
      <c r="BF141" s="17"/>
      <c r="BG141" s="4"/>
      <c r="BH141" s="4"/>
      <c r="BI141" s="1"/>
      <c r="BJ141" s="1"/>
    </row>
    <row r="142" spans="1:62" s="2" customFormat="1" ht="15.75" x14ac:dyDescent="0.25">
      <c r="A142" s="1"/>
      <c r="B142" s="1"/>
      <c r="C142" s="1"/>
      <c r="D142" s="1"/>
      <c r="E142" s="1"/>
      <c r="T142" s="3"/>
      <c r="U142" s="4"/>
      <c r="V142" s="4"/>
      <c r="W142" s="4"/>
      <c r="X142" s="4"/>
      <c r="Y142" s="4"/>
      <c r="Z142" s="4"/>
      <c r="AA142" s="4"/>
      <c r="AB142" s="1"/>
      <c r="AC142" s="4"/>
      <c r="AD142" s="4"/>
      <c r="AE142" s="4"/>
      <c r="AF142" s="4"/>
      <c r="AG142" s="4"/>
      <c r="AH142" s="4"/>
      <c r="AI142" s="4"/>
      <c r="AJ142" s="1"/>
      <c r="AK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17"/>
      <c r="BE142" s="4"/>
      <c r="BF142" s="17"/>
      <c r="BG142" s="4"/>
      <c r="BH142" s="4"/>
      <c r="BI142" s="1"/>
      <c r="BJ142" s="1"/>
    </row>
    <row r="143" spans="1:62" s="2" customFormat="1" ht="15.75" x14ac:dyDescent="0.25">
      <c r="A143" s="1"/>
      <c r="B143" s="1"/>
      <c r="C143" s="1"/>
      <c r="D143" s="1"/>
      <c r="E143" s="1"/>
      <c r="T143" s="3"/>
      <c r="U143" s="4"/>
      <c r="V143" s="4"/>
      <c r="W143" s="4"/>
      <c r="X143" s="4"/>
      <c r="Y143" s="4"/>
      <c r="Z143" s="4"/>
      <c r="AA143" s="4"/>
      <c r="AB143" s="1"/>
      <c r="AC143" s="4"/>
      <c r="AD143" s="4"/>
      <c r="AE143" s="4"/>
      <c r="AF143" s="4"/>
      <c r="AG143" s="4"/>
      <c r="AH143" s="4"/>
      <c r="AI143" s="4"/>
      <c r="AJ143" s="1"/>
      <c r="AK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17"/>
      <c r="BE143" s="4"/>
      <c r="BF143" s="17"/>
      <c r="BG143" s="4"/>
      <c r="BH143" s="4"/>
      <c r="BI143" s="1"/>
      <c r="BJ143" s="1"/>
    </row>
    <row r="144" spans="1:62" s="2" customFormat="1" ht="15.75" x14ac:dyDescent="0.25">
      <c r="A144" s="1"/>
      <c r="B144" s="1"/>
      <c r="C144" s="1"/>
      <c r="D144" s="1"/>
      <c r="E144" s="1"/>
      <c r="T144" s="3"/>
      <c r="U144" s="4"/>
      <c r="V144" s="4"/>
      <c r="W144" s="4"/>
      <c r="X144" s="4"/>
      <c r="Y144" s="4"/>
      <c r="Z144" s="4"/>
      <c r="AA144" s="4"/>
      <c r="AB144" s="1"/>
      <c r="AC144" s="4"/>
      <c r="AD144" s="4"/>
      <c r="AE144" s="4"/>
      <c r="AF144" s="4"/>
      <c r="AG144" s="4"/>
      <c r="AH144" s="4"/>
      <c r="AI144" s="4"/>
      <c r="AJ144" s="1"/>
      <c r="AK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17"/>
      <c r="BE144" s="4"/>
      <c r="BF144" s="17"/>
      <c r="BG144" s="4"/>
      <c r="BH144" s="4"/>
      <c r="BI144" s="1"/>
      <c r="BJ144" s="1"/>
    </row>
    <row r="145" spans="1:62" s="2" customFormat="1" ht="15.75" x14ac:dyDescent="0.25">
      <c r="A145" s="1"/>
      <c r="B145" s="1"/>
      <c r="C145" s="1"/>
      <c r="D145" s="1"/>
      <c r="E145" s="1"/>
      <c r="T145" s="3"/>
      <c r="U145" s="4"/>
      <c r="V145" s="4"/>
      <c r="W145" s="4"/>
      <c r="X145" s="4"/>
      <c r="Y145" s="4"/>
      <c r="Z145" s="4"/>
      <c r="AA145" s="4"/>
      <c r="AB145" s="1"/>
      <c r="AC145" s="4"/>
      <c r="AD145" s="4"/>
      <c r="AE145" s="4"/>
      <c r="AF145" s="4"/>
      <c r="AG145" s="4"/>
      <c r="AH145" s="4"/>
      <c r="AI145" s="4"/>
      <c r="AJ145" s="1"/>
      <c r="AK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17"/>
      <c r="BE145" s="4"/>
      <c r="BF145" s="17"/>
      <c r="BG145" s="4"/>
      <c r="BH145" s="4"/>
      <c r="BI145" s="1"/>
      <c r="BJ145" s="1"/>
    </row>
    <row r="146" spans="1:62" s="2" customFormat="1" ht="15.75" x14ac:dyDescent="0.25">
      <c r="A146" s="1"/>
      <c r="B146" s="1"/>
      <c r="C146" s="1"/>
      <c r="D146" s="1"/>
      <c r="E146" s="1"/>
      <c r="T146" s="3"/>
      <c r="U146" s="4"/>
      <c r="V146" s="4"/>
      <c r="W146" s="4"/>
      <c r="X146" s="4"/>
      <c r="Y146" s="4"/>
      <c r="Z146" s="4"/>
      <c r="AA146" s="4"/>
      <c r="AB146" s="1"/>
      <c r="AC146" s="4"/>
      <c r="AD146" s="4"/>
      <c r="AE146" s="4"/>
      <c r="AF146" s="4"/>
      <c r="AG146" s="4"/>
      <c r="AH146" s="4"/>
      <c r="AI146" s="4"/>
      <c r="AJ146" s="1"/>
      <c r="AK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17"/>
      <c r="BE146" s="4"/>
      <c r="BF146" s="17"/>
      <c r="BG146" s="4"/>
      <c r="BH146" s="4"/>
      <c r="BI146" s="1"/>
      <c r="BJ146" s="1"/>
    </row>
    <row r="147" spans="1:62" s="2" customFormat="1" ht="15.75" x14ac:dyDescent="0.25">
      <c r="A147" s="1"/>
      <c r="B147" s="1"/>
      <c r="C147" s="1"/>
      <c r="D147" s="1"/>
      <c r="E147" s="1"/>
      <c r="T147" s="3"/>
      <c r="U147" s="4"/>
      <c r="V147" s="4"/>
      <c r="W147" s="4"/>
      <c r="X147" s="4"/>
      <c r="Y147" s="4"/>
      <c r="Z147" s="4"/>
      <c r="AA147" s="4"/>
      <c r="AB147" s="1"/>
      <c r="AC147" s="4"/>
      <c r="AD147" s="4"/>
      <c r="AE147" s="4"/>
      <c r="AF147" s="4"/>
      <c r="AG147" s="4"/>
      <c r="AH147" s="4"/>
      <c r="AI147" s="4"/>
      <c r="AJ147" s="1"/>
      <c r="AK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17"/>
      <c r="BE147" s="4"/>
      <c r="BF147" s="17"/>
      <c r="BG147" s="4"/>
      <c r="BH147" s="4"/>
      <c r="BI147" s="1"/>
      <c r="BJ147" s="1"/>
    </row>
    <row r="148" spans="1:62" s="2" customFormat="1" ht="15.75" x14ac:dyDescent="0.25">
      <c r="A148" s="1"/>
      <c r="B148" s="1"/>
      <c r="C148" s="1"/>
      <c r="D148" s="1"/>
      <c r="E148" s="1"/>
      <c r="T148" s="3"/>
      <c r="U148" s="4"/>
      <c r="V148" s="4"/>
      <c r="W148" s="4"/>
      <c r="X148" s="4"/>
      <c r="Y148" s="4"/>
      <c r="Z148" s="4"/>
      <c r="AA148" s="4"/>
      <c r="AB148" s="1"/>
      <c r="AC148" s="4"/>
      <c r="AD148" s="4"/>
      <c r="AE148" s="4"/>
      <c r="AF148" s="4"/>
      <c r="AG148" s="4"/>
      <c r="AH148" s="4"/>
      <c r="AI148" s="4"/>
      <c r="AJ148" s="1"/>
      <c r="AK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17"/>
      <c r="BE148" s="4"/>
      <c r="BF148" s="17"/>
      <c r="BG148" s="4"/>
      <c r="BH148" s="4"/>
      <c r="BI148" s="1"/>
      <c r="BJ148" s="1"/>
    </row>
    <row r="149" spans="1:62" s="2" customFormat="1" ht="15.75" x14ac:dyDescent="0.25">
      <c r="A149" s="1"/>
      <c r="B149" s="1"/>
      <c r="C149" s="1"/>
      <c r="D149" s="1"/>
      <c r="E149" s="1"/>
      <c r="T149" s="3"/>
      <c r="U149" s="4"/>
      <c r="V149" s="4"/>
      <c r="W149" s="4"/>
      <c r="X149" s="4"/>
      <c r="Y149" s="4"/>
      <c r="Z149" s="4"/>
      <c r="AA149" s="4"/>
      <c r="AB149" s="1"/>
      <c r="AC149" s="4"/>
      <c r="AD149" s="4"/>
      <c r="AE149" s="4"/>
      <c r="AF149" s="4"/>
      <c r="AG149" s="4"/>
      <c r="AH149" s="4"/>
      <c r="AI149" s="4"/>
      <c r="AJ149" s="1"/>
      <c r="AK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17"/>
      <c r="BE149" s="4"/>
      <c r="BF149" s="17"/>
      <c r="BG149" s="4"/>
      <c r="BH149" s="4"/>
      <c r="BI149" s="1"/>
      <c r="BJ149" s="1"/>
    </row>
    <row r="150" spans="1:62" s="2" customFormat="1" ht="15.75" x14ac:dyDescent="0.25">
      <c r="A150" s="1"/>
      <c r="B150" s="1"/>
      <c r="C150" s="1"/>
      <c r="D150" s="1"/>
      <c r="E150" s="1"/>
      <c r="T150" s="3"/>
      <c r="U150" s="4"/>
      <c r="V150" s="4"/>
      <c r="W150" s="4"/>
      <c r="X150" s="4"/>
      <c r="Y150" s="4"/>
      <c r="Z150" s="4"/>
      <c r="AA150" s="4"/>
      <c r="AB150" s="1"/>
      <c r="AC150" s="4"/>
      <c r="AD150" s="4"/>
      <c r="AE150" s="4"/>
      <c r="AF150" s="4"/>
      <c r="AG150" s="4"/>
      <c r="AH150" s="4"/>
      <c r="AI150" s="4"/>
      <c r="AJ150" s="1"/>
      <c r="AK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17"/>
      <c r="BE150" s="4"/>
      <c r="BF150" s="17"/>
      <c r="BG150" s="4"/>
      <c r="BH150" s="4"/>
      <c r="BI150" s="1"/>
      <c r="BJ150" s="1"/>
    </row>
    <row r="151" spans="1:62" s="2" customFormat="1" ht="15.75" x14ac:dyDescent="0.25">
      <c r="A151" s="1"/>
      <c r="B151" s="1"/>
      <c r="C151" s="1"/>
      <c r="D151" s="1"/>
      <c r="E151" s="1"/>
      <c r="T151" s="3"/>
      <c r="U151" s="4"/>
      <c r="V151" s="4"/>
      <c r="W151" s="4"/>
      <c r="X151" s="4"/>
      <c r="Y151" s="4"/>
      <c r="Z151" s="4"/>
      <c r="AA151" s="4"/>
      <c r="AB151" s="1"/>
      <c r="AC151" s="4"/>
      <c r="AD151" s="4"/>
      <c r="AE151" s="4"/>
      <c r="AF151" s="4"/>
      <c r="AG151" s="4"/>
      <c r="AH151" s="4"/>
      <c r="AI151" s="4"/>
      <c r="AJ151" s="1"/>
      <c r="AK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17"/>
      <c r="BE151" s="4"/>
      <c r="BF151" s="17"/>
      <c r="BG151" s="4"/>
      <c r="BH151" s="4"/>
      <c r="BI151" s="1"/>
      <c r="BJ151" s="1"/>
    </row>
    <row r="152" spans="1:62" s="2" customFormat="1" ht="15.75" x14ac:dyDescent="0.25">
      <c r="A152" s="1"/>
      <c r="B152" s="1"/>
      <c r="C152" s="1"/>
      <c r="D152" s="1"/>
      <c r="E152" s="1"/>
      <c r="T152" s="3"/>
      <c r="U152" s="4"/>
      <c r="V152" s="4"/>
      <c r="W152" s="4"/>
      <c r="X152" s="4"/>
      <c r="Y152" s="4"/>
      <c r="Z152" s="4"/>
      <c r="AA152" s="4"/>
      <c r="AB152" s="1"/>
      <c r="AC152" s="4"/>
      <c r="AD152" s="4"/>
      <c r="AE152" s="4"/>
      <c r="AF152" s="4"/>
      <c r="AG152" s="4"/>
      <c r="AH152" s="4"/>
      <c r="AI152" s="4"/>
      <c r="AJ152" s="1"/>
      <c r="AK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17"/>
      <c r="BE152" s="4"/>
      <c r="BF152" s="17"/>
      <c r="BG152" s="4"/>
      <c r="BH152" s="4"/>
      <c r="BI152" s="1"/>
      <c r="BJ152" s="1"/>
    </row>
    <row r="153" spans="1:62" s="2" customFormat="1" ht="15.75" x14ac:dyDescent="0.25">
      <c r="A153" s="1"/>
      <c r="B153" s="1"/>
      <c r="C153" s="1"/>
      <c r="D153" s="1"/>
      <c r="E153" s="1"/>
      <c r="T153" s="3"/>
      <c r="U153" s="4"/>
      <c r="V153" s="4"/>
      <c r="W153" s="4"/>
      <c r="X153" s="4"/>
      <c r="Y153" s="4"/>
      <c r="Z153" s="4"/>
      <c r="AA153" s="4"/>
      <c r="AB153" s="1"/>
      <c r="AC153" s="4"/>
      <c r="AD153" s="4"/>
      <c r="AE153" s="4"/>
      <c r="AF153" s="4"/>
      <c r="AG153" s="4"/>
      <c r="AH153" s="4"/>
      <c r="AI153" s="4"/>
      <c r="AJ153" s="1"/>
      <c r="AK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17"/>
      <c r="BE153" s="4"/>
      <c r="BF153" s="17"/>
      <c r="BG153" s="4"/>
      <c r="BH153" s="4"/>
      <c r="BI153" s="1"/>
      <c r="BJ153" s="1"/>
    </row>
    <row r="154" spans="1:62" s="2" customFormat="1" ht="15.75" x14ac:dyDescent="0.25">
      <c r="A154" s="1"/>
      <c r="B154" s="1"/>
      <c r="C154" s="1"/>
      <c r="D154" s="1"/>
      <c r="E154" s="1"/>
      <c r="T154" s="3"/>
      <c r="U154" s="4"/>
      <c r="V154" s="4"/>
      <c r="W154" s="4"/>
      <c r="X154" s="4"/>
      <c r="Y154" s="4"/>
      <c r="Z154" s="4"/>
      <c r="AA154" s="4"/>
      <c r="AB154" s="1"/>
      <c r="AC154" s="4"/>
      <c r="AD154" s="4"/>
      <c r="AE154" s="4"/>
      <c r="AF154" s="4"/>
      <c r="AG154" s="4"/>
      <c r="AH154" s="4"/>
      <c r="AI154" s="4"/>
      <c r="AJ154" s="1"/>
      <c r="AK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17"/>
      <c r="BE154" s="4"/>
      <c r="BF154" s="17"/>
      <c r="BG154" s="4"/>
      <c r="BH154" s="4"/>
      <c r="BI154" s="1"/>
      <c r="BJ154" s="1"/>
    </row>
    <row r="155" spans="1:62" s="2" customFormat="1" ht="15.75" x14ac:dyDescent="0.25">
      <c r="A155" s="1"/>
      <c r="B155" s="1"/>
      <c r="C155" s="1"/>
      <c r="D155" s="1"/>
      <c r="E155" s="1"/>
      <c r="T155" s="3"/>
      <c r="U155" s="4"/>
      <c r="V155" s="4"/>
      <c r="W155" s="4"/>
      <c r="X155" s="4"/>
      <c r="Y155" s="4"/>
      <c r="Z155" s="4"/>
      <c r="AA155" s="4"/>
      <c r="AB155" s="1"/>
      <c r="AC155" s="4"/>
      <c r="AD155" s="4"/>
      <c r="AE155" s="4"/>
      <c r="AF155" s="4"/>
      <c r="AG155" s="4"/>
      <c r="AH155" s="4"/>
      <c r="AI155" s="4"/>
      <c r="AJ155" s="1"/>
      <c r="AK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17"/>
      <c r="BE155" s="4"/>
      <c r="BF155" s="17"/>
      <c r="BG155" s="4"/>
      <c r="BH155" s="4"/>
      <c r="BI155" s="1"/>
      <c r="BJ155" s="1"/>
    </row>
    <row r="156" spans="1:62" s="2" customFormat="1" ht="15.75" x14ac:dyDescent="0.25">
      <c r="A156" s="1"/>
      <c r="B156" s="1"/>
      <c r="C156" s="1"/>
      <c r="D156" s="1"/>
      <c r="E156" s="1"/>
      <c r="T156" s="3"/>
      <c r="U156" s="4"/>
      <c r="V156" s="4"/>
      <c r="W156" s="4"/>
      <c r="X156" s="4"/>
      <c r="Y156" s="4"/>
      <c r="Z156" s="4"/>
      <c r="AA156" s="4"/>
      <c r="AB156" s="1"/>
      <c r="AC156" s="4"/>
      <c r="AD156" s="4"/>
      <c r="AE156" s="4"/>
      <c r="AF156" s="4"/>
      <c r="AG156" s="4"/>
      <c r="AH156" s="4"/>
      <c r="AI156" s="4"/>
      <c r="AJ156" s="1"/>
      <c r="AK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17"/>
      <c r="BE156" s="4"/>
      <c r="BF156" s="17"/>
      <c r="BG156" s="4"/>
      <c r="BH156" s="4"/>
      <c r="BI156" s="1"/>
      <c r="BJ156" s="1"/>
    </row>
    <row r="157" spans="1:62" s="2" customFormat="1" ht="15.75" x14ac:dyDescent="0.25">
      <c r="A157" s="1"/>
      <c r="B157" s="1"/>
      <c r="C157" s="1"/>
      <c r="D157" s="1"/>
      <c r="E157" s="1"/>
      <c r="T157" s="3"/>
      <c r="U157" s="4"/>
      <c r="V157" s="4"/>
      <c r="W157" s="4"/>
      <c r="X157" s="4"/>
      <c r="Y157" s="4"/>
      <c r="Z157" s="4"/>
      <c r="AA157" s="4"/>
      <c r="AB157" s="1"/>
      <c r="AC157" s="4"/>
      <c r="AD157" s="4"/>
      <c r="AE157" s="4"/>
      <c r="AF157" s="4"/>
      <c r="AG157" s="4"/>
      <c r="AH157" s="4"/>
      <c r="AI157" s="4"/>
      <c r="AJ157" s="1"/>
      <c r="AK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17"/>
      <c r="BE157" s="4"/>
      <c r="BF157" s="17"/>
      <c r="BG157" s="4"/>
      <c r="BH157" s="4"/>
      <c r="BI157" s="1"/>
      <c r="BJ157" s="1"/>
    </row>
    <row r="158" spans="1:62" s="2" customFormat="1" ht="15.75" x14ac:dyDescent="0.25">
      <c r="A158" s="1"/>
      <c r="B158" s="1"/>
      <c r="C158" s="1"/>
      <c r="D158" s="1"/>
      <c r="E158" s="1"/>
      <c r="T158" s="3"/>
      <c r="U158" s="4"/>
      <c r="V158" s="4"/>
      <c r="W158" s="4"/>
      <c r="X158" s="4"/>
      <c r="Y158" s="4"/>
      <c r="Z158" s="4"/>
      <c r="AA158" s="4"/>
      <c r="AB158" s="1"/>
      <c r="AC158" s="4"/>
      <c r="AD158" s="4"/>
      <c r="AE158" s="4"/>
      <c r="AF158" s="4"/>
      <c r="AG158" s="4"/>
      <c r="AH158" s="4"/>
      <c r="AI158" s="4"/>
      <c r="AJ158" s="1"/>
      <c r="AK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17"/>
      <c r="BE158" s="4"/>
      <c r="BF158" s="17"/>
      <c r="BG158" s="4"/>
      <c r="BH158" s="4"/>
      <c r="BI158" s="1"/>
      <c r="BJ158" s="1"/>
    </row>
    <row r="159" spans="1:62" s="2" customFormat="1" ht="15.75" x14ac:dyDescent="0.25">
      <c r="A159" s="1"/>
      <c r="B159" s="1"/>
      <c r="C159" s="1"/>
      <c r="D159" s="1"/>
      <c r="E159" s="1"/>
      <c r="T159" s="3"/>
      <c r="U159" s="4"/>
      <c r="V159" s="4"/>
      <c r="W159" s="4"/>
      <c r="X159" s="4"/>
      <c r="Y159" s="4"/>
      <c r="Z159" s="4"/>
      <c r="AA159" s="4"/>
      <c r="AB159" s="1"/>
      <c r="AC159" s="4"/>
      <c r="AD159" s="4"/>
      <c r="AE159" s="4"/>
      <c r="AF159" s="4"/>
      <c r="AG159" s="4"/>
      <c r="AH159" s="4"/>
      <c r="AI159" s="4"/>
      <c r="AJ159" s="1"/>
      <c r="AK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17"/>
      <c r="BE159" s="4"/>
      <c r="BF159" s="17"/>
      <c r="BG159" s="4"/>
      <c r="BH159" s="4"/>
      <c r="BI159" s="1"/>
      <c r="BJ159" s="1"/>
    </row>
    <row r="160" spans="1:62" s="2" customFormat="1" ht="15.75" x14ac:dyDescent="0.25">
      <c r="A160" s="1"/>
      <c r="B160" s="1"/>
      <c r="C160" s="1"/>
      <c r="D160" s="1"/>
      <c r="E160" s="1"/>
      <c r="T160" s="3"/>
      <c r="U160" s="4"/>
      <c r="V160" s="4"/>
      <c r="W160" s="4"/>
      <c r="X160" s="4"/>
      <c r="Y160" s="4"/>
      <c r="Z160" s="4"/>
      <c r="AA160" s="4"/>
      <c r="AB160" s="1"/>
      <c r="AC160" s="4"/>
      <c r="AD160" s="4"/>
      <c r="AE160" s="4"/>
      <c r="AF160" s="4"/>
      <c r="AG160" s="4"/>
      <c r="AH160" s="4"/>
      <c r="AI160" s="4"/>
      <c r="AJ160" s="1"/>
      <c r="AK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17"/>
      <c r="BE160" s="4"/>
      <c r="BF160" s="17"/>
      <c r="BG160" s="4"/>
      <c r="BH160" s="4"/>
      <c r="BI160" s="1"/>
      <c r="BJ160" s="1"/>
    </row>
    <row r="161" spans="1:62" s="2" customFormat="1" ht="15.75" x14ac:dyDescent="0.25">
      <c r="A161" s="1"/>
      <c r="B161" s="1"/>
      <c r="C161" s="1"/>
      <c r="D161" s="1"/>
      <c r="E161" s="1"/>
      <c r="T161" s="3"/>
      <c r="U161" s="4"/>
      <c r="V161" s="4"/>
      <c r="W161" s="4"/>
      <c r="X161" s="4"/>
      <c r="Y161" s="4"/>
      <c r="Z161" s="4"/>
      <c r="AA161" s="4"/>
      <c r="AB161" s="1"/>
      <c r="AC161" s="4"/>
      <c r="AD161" s="4"/>
      <c r="AE161" s="4"/>
      <c r="AF161" s="4"/>
      <c r="AG161" s="4"/>
      <c r="AH161" s="4"/>
      <c r="AI161" s="4"/>
      <c r="AJ161" s="1"/>
      <c r="AK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17"/>
      <c r="BE161" s="4"/>
      <c r="BF161" s="17"/>
      <c r="BG161" s="4"/>
      <c r="BH161" s="4"/>
      <c r="BI161" s="1"/>
      <c r="BJ161" s="1"/>
    </row>
    <row r="162" spans="1:62" s="2" customFormat="1" ht="15.75" x14ac:dyDescent="0.25">
      <c r="A162" s="1"/>
      <c r="B162" s="1"/>
      <c r="C162" s="1"/>
      <c r="D162" s="1"/>
      <c r="E162" s="1"/>
      <c r="T162" s="3"/>
      <c r="U162" s="4"/>
      <c r="V162" s="4"/>
      <c r="W162" s="4"/>
      <c r="X162" s="4"/>
      <c r="Y162" s="4"/>
      <c r="Z162" s="4"/>
      <c r="AA162" s="4"/>
      <c r="AB162" s="1"/>
      <c r="AC162" s="4"/>
      <c r="AD162" s="4"/>
      <c r="AE162" s="4"/>
      <c r="AF162" s="4"/>
      <c r="AG162" s="4"/>
      <c r="AH162" s="4"/>
      <c r="AI162" s="4"/>
      <c r="AJ162" s="1"/>
      <c r="AK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17"/>
      <c r="BE162" s="4"/>
      <c r="BF162" s="17"/>
      <c r="BG162" s="4"/>
      <c r="BH162" s="4"/>
      <c r="BI162" s="1"/>
      <c r="BJ162" s="1"/>
    </row>
    <row r="163" spans="1:62" s="2" customFormat="1" ht="15.75" x14ac:dyDescent="0.25">
      <c r="A163" s="1"/>
      <c r="B163" s="1"/>
      <c r="C163" s="1"/>
      <c r="D163" s="1"/>
      <c r="E163" s="1"/>
      <c r="T163" s="3"/>
      <c r="U163" s="4"/>
      <c r="V163" s="4"/>
      <c r="W163" s="4"/>
      <c r="X163" s="4"/>
      <c r="Y163" s="4"/>
      <c r="Z163" s="4"/>
      <c r="AA163" s="4"/>
      <c r="AB163" s="1"/>
      <c r="AC163" s="4"/>
      <c r="AD163" s="4"/>
      <c r="AE163" s="4"/>
      <c r="AF163" s="4"/>
      <c r="AG163" s="4"/>
      <c r="AH163" s="4"/>
      <c r="AI163" s="4"/>
      <c r="AJ163" s="1"/>
      <c r="AK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17"/>
      <c r="BE163" s="4"/>
      <c r="BF163" s="17"/>
      <c r="BG163" s="4"/>
      <c r="BH163" s="4"/>
      <c r="BI163" s="1"/>
      <c r="BJ163" s="1"/>
    </row>
    <row r="164" spans="1:62" s="2" customFormat="1" ht="15.75" x14ac:dyDescent="0.25">
      <c r="A164" s="1"/>
      <c r="B164" s="1"/>
      <c r="C164" s="1"/>
      <c r="D164" s="1"/>
      <c r="E164" s="1"/>
      <c r="T164" s="3"/>
      <c r="U164" s="4"/>
      <c r="V164" s="4"/>
      <c r="W164" s="4"/>
      <c r="X164" s="4"/>
      <c r="Y164" s="4"/>
      <c r="Z164" s="4"/>
      <c r="AA164" s="4"/>
      <c r="AB164" s="1"/>
      <c r="AC164" s="4"/>
      <c r="AD164" s="4"/>
      <c r="AE164" s="4"/>
      <c r="AF164" s="4"/>
      <c r="AG164" s="4"/>
      <c r="AH164" s="4"/>
      <c r="AI164" s="4"/>
      <c r="AJ164" s="1"/>
      <c r="AK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17"/>
      <c r="BE164" s="4"/>
      <c r="BF164" s="17"/>
      <c r="BG164" s="4"/>
      <c r="BH164" s="4"/>
      <c r="BI164" s="1"/>
      <c r="BJ164" s="1"/>
    </row>
    <row r="165" spans="1:62" s="2" customFormat="1" ht="15.75" x14ac:dyDescent="0.25">
      <c r="A165" s="1"/>
      <c r="B165" s="1"/>
      <c r="C165" s="1"/>
      <c r="D165" s="1"/>
      <c r="E165" s="1"/>
      <c r="T165" s="3"/>
      <c r="U165" s="4"/>
      <c r="V165" s="4"/>
      <c r="W165" s="4"/>
      <c r="X165" s="4"/>
      <c r="Y165" s="4"/>
      <c r="Z165" s="4"/>
      <c r="AA165" s="4"/>
      <c r="AB165" s="1"/>
      <c r="AC165" s="4"/>
      <c r="AD165" s="4"/>
      <c r="AE165" s="4"/>
      <c r="AF165" s="4"/>
      <c r="AG165" s="4"/>
      <c r="AH165" s="4"/>
      <c r="AI165" s="4"/>
      <c r="AJ165" s="1"/>
      <c r="AK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17"/>
      <c r="BE165" s="4"/>
      <c r="BF165" s="17"/>
      <c r="BG165" s="4"/>
      <c r="BH165" s="4"/>
      <c r="BI165" s="1"/>
      <c r="BJ165" s="1"/>
    </row>
    <row r="166" spans="1:62" s="2" customFormat="1" ht="15.75" x14ac:dyDescent="0.25">
      <c r="A166" s="1"/>
      <c r="B166" s="1"/>
      <c r="C166" s="1"/>
      <c r="D166" s="1"/>
      <c r="E166" s="1"/>
      <c r="T166" s="3"/>
      <c r="U166" s="4"/>
      <c r="V166" s="4"/>
      <c r="W166" s="4"/>
      <c r="X166" s="4"/>
      <c r="Y166" s="4"/>
      <c r="Z166" s="4"/>
      <c r="AA166" s="4"/>
      <c r="AB166" s="1"/>
      <c r="AC166" s="4"/>
      <c r="AD166" s="4"/>
      <c r="AE166" s="4"/>
      <c r="AF166" s="4"/>
      <c r="AG166" s="4"/>
      <c r="AH166" s="4"/>
      <c r="AI166" s="4"/>
      <c r="AJ166" s="1"/>
      <c r="AK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17"/>
      <c r="BE166" s="4"/>
      <c r="BF166" s="17"/>
      <c r="BG166" s="4"/>
      <c r="BH166" s="4"/>
      <c r="BI166" s="1"/>
      <c r="BJ166" s="1"/>
    </row>
    <row r="167" spans="1:62" s="2" customFormat="1" ht="15.75" x14ac:dyDescent="0.25">
      <c r="A167" s="1"/>
      <c r="B167" s="1"/>
      <c r="C167" s="1"/>
      <c r="D167" s="1"/>
      <c r="E167" s="1"/>
      <c r="T167" s="3"/>
      <c r="U167" s="4"/>
      <c r="V167" s="4"/>
      <c r="W167" s="4"/>
      <c r="X167" s="4"/>
      <c r="Y167" s="4"/>
      <c r="Z167" s="4"/>
      <c r="AA167" s="4"/>
      <c r="AB167" s="1"/>
      <c r="AC167" s="4"/>
      <c r="AD167" s="4"/>
      <c r="AE167" s="4"/>
      <c r="AF167" s="4"/>
      <c r="AG167" s="4"/>
      <c r="AH167" s="4"/>
      <c r="AI167" s="4"/>
      <c r="AJ167" s="1"/>
      <c r="AK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17"/>
      <c r="BE167" s="4"/>
      <c r="BF167" s="17"/>
      <c r="BG167" s="4"/>
      <c r="BH167" s="4"/>
      <c r="BI167" s="1"/>
      <c r="BJ167" s="1"/>
    </row>
    <row r="168" spans="1:62" s="2" customFormat="1" ht="15.75" x14ac:dyDescent="0.25">
      <c r="A168" s="1"/>
      <c r="B168" s="1"/>
      <c r="C168" s="1"/>
      <c r="D168" s="1"/>
      <c r="E168" s="1"/>
      <c r="T168" s="3"/>
      <c r="U168" s="4"/>
      <c r="V168" s="4"/>
      <c r="W168" s="4"/>
      <c r="X168" s="4"/>
      <c r="Y168" s="4"/>
      <c r="Z168" s="4"/>
      <c r="AA168" s="4"/>
      <c r="AB168" s="1"/>
      <c r="AC168" s="4"/>
      <c r="AD168" s="4"/>
      <c r="AE168" s="4"/>
      <c r="AF168" s="4"/>
      <c r="AG168" s="4"/>
      <c r="AH168" s="4"/>
      <c r="AI168" s="4"/>
      <c r="AJ168" s="1"/>
      <c r="AK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17"/>
      <c r="BE168" s="4"/>
      <c r="BF168" s="17"/>
      <c r="BG168" s="4"/>
      <c r="BH168" s="4"/>
      <c r="BI168" s="1"/>
      <c r="BJ168" s="1"/>
    </row>
    <row r="169" spans="1:62" s="2" customFormat="1" ht="15.75" x14ac:dyDescent="0.25">
      <c r="A169" s="1"/>
      <c r="B169" s="1"/>
      <c r="C169" s="1"/>
      <c r="D169" s="1"/>
      <c r="E169" s="1"/>
      <c r="T169" s="3"/>
      <c r="U169" s="4"/>
      <c r="V169" s="4"/>
      <c r="W169" s="4"/>
      <c r="X169" s="4"/>
      <c r="Y169" s="4"/>
      <c r="Z169" s="4"/>
      <c r="AA169" s="4"/>
      <c r="AB169" s="1"/>
      <c r="AC169" s="4"/>
      <c r="AD169" s="4"/>
      <c r="AE169" s="4"/>
      <c r="AF169" s="4"/>
      <c r="AG169" s="4"/>
      <c r="AH169" s="4"/>
      <c r="AI169" s="4"/>
      <c r="AJ169" s="1"/>
      <c r="AK169" s="4"/>
      <c r="AT169" s="1"/>
      <c r="AU169" s="1"/>
      <c r="AV169" s="1"/>
      <c r="AW169" s="1"/>
      <c r="AX169" s="1"/>
      <c r="AY169" s="1"/>
      <c r="AZ169" s="1"/>
      <c r="BA169" s="4"/>
      <c r="BB169" s="4"/>
      <c r="BC169" s="4"/>
      <c r="BD169" s="17"/>
      <c r="BE169" s="4"/>
      <c r="BF169" s="17"/>
      <c r="BG169" s="4"/>
      <c r="BH169" s="4"/>
      <c r="BI169" s="1"/>
      <c r="BJ169" s="1"/>
    </row>
    <row r="170" spans="1:62" s="2" customFormat="1" ht="15.75" x14ac:dyDescent="0.25">
      <c r="A170" s="1"/>
      <c r="B170" s="1"/>
      <c r="C170" s="1"/>
      <c r="D170" s="1"/>
      <c r="E170" s="1"/>
      <c r="T170" s="3"/>
      <c r="U170" s="4"/>
      <c r="V170" s="4"/>
      <c r="W170" s="4"/>
      <c r="X170" s="4"/>
      <c r="Y170" s="4"/>
      <c r="Z170" s="4"/>
      <c r="AA170" s="4"/>
      <c r="AB170" s="1"/>
      <c r="AC170" s="4"/>
      <c r="AD170" s="4"/>
      <c r="AE170" s="4"/>
      <c r="AF170" s="4"/>
      <c r="AG170" s="4"/>
      <c r="AH170" s="4"/>
      <c r="AI170" s="4"/>
      <c r="AJ170" s="1"/>
      <c r="AK170" s="1"/>
      <c r="AT170" s="1"/>
      <c r="AU170" s="1"/>
      <c r="AV170" s="1"/>
      <c r="AW170" s="1"/>
      <c r="AX170" s="1"/>
      <c r="AY170" s="1"/>
      <c r="AZ170" s="1"/>
      <c r="BA170" s="4"/>
      <c r="BB170" s="4"/>
      <c r="BC170" s="4"/>
      <c r="BD170" s="17"/>
      <c r="BE170" s="4"/>
      <c r="BF170" s="17"/>
      <c r="BG170" s="4"/>
      <c r="BH170" s="4"/>
      <c r="BI170" s="1"/>
      <c r="BJ170" s="1"/>
    </row>
    <row r="171" spans="1:62" s="2" customFormat="1" ht="15.75" x14ac:dyDescent="0.25">
      <c r="A171" s="1"/>
      <c r="B171" s="1"/>
      <c r="C171" s="1"/>
      <c r="D171" s="1"/>
      <c r="E171" s="1"/>
      <c r="T171" s="3"/>
      <c r="U171" s="4"/>
      <c r="V171" s="4"/>
      <c r="W171" s="4"/>
      <c r="X171" s="4"/>
      <c r="Y171" s="4"/>
      <c r="Z171" s="4"/>
      <c r="AA171" s="4"/>
      <c r="AB171" s="1"/>
      <c r="AC171" s="4"/>
      <c r="AD171" s="4"/>
      <c r="AE171" s="4"/>
      <c r="AF171" s="4"/>
      <c r="AG171" s="4"/>
      <c r="AH171" s="4"/>
      <c r="AI171" s="4"/>
      <c r="AJ171" s="1"/>
      <c r="AK171" s="1"/>
      <c r="AT171" s="1"/>
      <c r="AU171" s="1"/>
      <c r="AV171" s="1"/>
      <c r="AW171" s="1"/>
      <c r="AX171" s="1"/>
      <c r="AY171" s="1"/>
      <c r="AZ171" s="1"/>
      <c r="BA171" s="4"/>
      <c r="BB171" s="4"/>
      <c r="BC171" s="4"/>
      <c r="BD171" s="17"/>
      <c r="BE171" s="4"/>
      <c r="BF171" s="17"/>
      <c r="BG171" s="4"/>
      <c r="BH171" s="4"/>
      <c r="BI171" s="1"/>
      <c r="BJ171" s="1"/>
    </row>
    <row r="172" spans="1:62" s="2" customFormat="1" ht="15.75" x14ac:dyDescent="0.25">
      <c r="A172" s="1"/>
      <c r="B172" s="1"/>
      <c r="C172" s="1"/>
      <c r="D172" s="1"/>
      <c r="E172" s="1"/>
      <c r="T172" s="3"/>
      <c r="U172" s="4"/>
      <c r="V172" s="4"/>
      <c r="W172" s="4"/>
      <c r="X172" s="4"/>
      <c r="Y172" s="4"/>
      <c r="Z172" s="4"/>
      <c r="AA172" s="4"/>
      <c r="AB172" s="1"/>
      <c r="AC172" s="4"/>
      <c r="AD172" s="4"/>
      <c r="AE172" s="4"/>
      <c r="AF172" s="4"/>
      <c r="AG172" s="4"/>
      <c r="AH172" s="4"/>
      <c r="AI172" s="4"/>
      <c r="AJ172" s="1"/>
      <c r="AK172" s="1"/>
      <c r="AT172" s="1"/>
      <c r="AU172" s="1"/>
      <c r="AV172" s="1"/>
      <c r="AW172" s="1"/>
      <c r="AX172" s="1"/>
      <c r="AY172" s="1"/>
      <c r="AZ172" s="1"/>
      <c r="BA172" s="4"/>
      <c r="BB172" s="4"/>
      <c r="BC172" s="4"/>
      <c r="BD172" s="17"/>
      <c r="BE172" s="4"/>
      <c r="BF172" s="17"/>
      <c r="BG172" s="4"/>
      <c r="BH172" s="4"/>
      <c r="BI172" s="1"/>
      <c r="BJ172" s="1"/>
    </row>
    <row r="173" spans="1:62" s="2" customFormat="1" ht="15.75" x14ac:dyDescent="0.25">
      <c r="A173" s="1"/>
      <c r="B173" s="1"/>
      <c r="C173" s="1"/>
      <c r="D173" s="1"/>
      <c r="E173" s="1"/>
      <c r="T173" s="3"/>
      <c r="U173" s="4"/>
      <c r="V173" s="4"/>
      <c r="W173" s="4"/>
      <c r="X173" s="4"/>
      <c r="Y173" s="4"/>
      <c r="Z173" s="4"/>
      <c r="AA173" s="4"/>
      <c r="AB173" s="1"/>
      <c r="AC173" s="4"/>
      <c r="AD173" s="4"/>
      <c r="AE173" s="4"/>
      <c r="AF173" s="4"/>
      <c r="AG173" s="4"/>
      <c r="AH173" s="4"/>
      <c r="AI173" s="4"/>
      <c r="AJ173" s="1"/>
      <c r="AK173" s="1"/>
      <c r="AT173" s="1"/>
      <c r="AU173" s="1"/>
      <c r="AV173" s="1"/>
      <c r="AW173" s="1"/>
      <c r="AX173" s="1"/>
      <c r="AY173" s="1"/>
      <c r="AZ173" s="1"/>
      <c r="BA173" s="4"/>
      <c r="BB173" s="4"/>
      <c r="BC173" s="4"/>
      <c r="BD173" s="17"/>
      <c r="BE173" s="4"/>
      <c r="BF173" s="17"/>
      <c r="BG173" s="4"/>
      <c r="BH173" s="4"/>
      <c r="BI173" s="1"/>
      <c r="BJ173" s="1"/>
    </row>
    <row r="174" spans="1:62" s="2" customFormat="1" ht="15.75" x14ac:dyDescent="0.25">
      <c r="A174" s="1"/>
      <c r="B174" s="1"/>
      <c r="C174" s="1"/>
      <c r="D174" s="1"/>
      <c r="E174" s="1"/>
      <c r="T174" s="3"/>
      <c r="U174" s="4"/>
      <c r="V174" s="4"/>
      <c r="W174" s="4"/>
      <c r="X174" s="4"/>
      <c r="Y174" s="4"/>
      <c r="Z174" s="4"/>
      <c r="AA174" s="4"/>
      <c r="AB174" s="1"/>
      <c r="AC174" s="4"/>
      <c r="AD174" s="4"/>
      <c r="AE174" s="4"/>
      <c r="AF174" s="4"/>
      <c r="AG174" s="4"/>
      <c r="AH174" s="4"/>
      <c r="AI174" s="4"/>
      <c r="AJ174" s="1"/>
      <c r="AK174" s="1"/>
      <c r="AT174" s="1"/>
      <c r="AU174" s="1"/>
      <c r="AV174" s="1"/>
      <c r="AW174" s="1"/>
      <c r="AX174" s="1"/>
      <c r="AY174" s="1"/>
      <c r="AZ174" s="1"/>
      <c r="BA174" s="4"/>
      <c r="BB174" s="4"/>
      <c r="BC174" s="4"/>
      <c r="BD174" s="17"/>
      <c r="BE174" s="4"/>
      <c r="BF174" s="17"/>
      <c r="BG174" s="4"/>
      <c r="BH174" s="4"/>
      <c r="BI174" s="1"/>
      <c r="BJ174" s="1"/>
    </row>
    <row r="175" spans="1:62" s="2" customFormat="1" ht="15.75" x14ac:dyDescent="0.25">
      <c r="A175" s="1"/>
      <c r="B175" s="1"/>
      <c r="C175" s="1"/>
      <c r="D175" s="1"/>
      <c r="E175" s="1"/>
      <c r="T175" s="3"/>
      <c r="U175" s="4"/>
      <c r="V175" s="4"/>
      <c r="W175" s="4"/>
      <c r="X175" s="4"/>
      <c r="Y175" s="4"/>
      <c r="Z175" s="4"/>
      <c r="AA175" s="4"/>
      <c r="AB175" s="1"/>
      <c r="AC175" s="4"/>
      <c r="AD175" s="4"/>
      <c r="AE175" s="4"/>
      <c r="AF175" s="4"/>
      <c r="AG175" s="4"/>
      <c r="AH175" s="4"/>
      <c r="AI175" s="4"/>
      <c r="AJ175" s="1"/>
      <c r="AK175" s="1"/>
      <c r="AT175" s="1"/>
      <c r="AU175" s="1"/>
      <c r="AV175" s="1"/>
      <c r="AW175" s="1"/>
      <c r="AX175" s="1"/>
      <c r="AY175" s="1"/>
      <c r="AZ175" s="1"/>
      <c r="BA175" s="4"/>
      <c r="BB175" s="4"/>
      <c r="BC175" s="4"/>
      <c r="BD175" s="17"/>
      <c r="BE175" s="4"/>
      <c r="BF175" s="17"/>
      <c r="BG175" s="4"/>
      <c r="BH175" s="4"/>
      <c r="BI175" s="1"/>
      <c r="BJ175" s="1"/>
    </row>
    <row r="176" spans="1:62" s="2" customFormat="1" ht="15.75" x14ac:dyDescent="0.25">
      <c r="A176" s="1"/>
      <c r="B176" s="1"/>
      <c r="C176" s="1"/>
      <c r="D176" s="1"/>
      <c r="E176" s="1"/>
      <c r="T176" s="3"/>
      <c r="U176" s="4"/>
      <c r="V176" s="4"/>
      <c r="W176" s="4"/>
      <c r="X176" s="4"/>
      <c r="Y176" s="4"/>
      <c r="Z176" s="4"/>
      <c r="AA176" s="4"/>
      <c r="AB176" s="1"/>
      <c r="AC176" s="4"/>
      <c r="AD176" s="4"/>
      <c r="AE176" s="4"/>
      <c r="AF176" s="4"/>
      <c r="AG176" s="4"/>
      <c r="AH176" s="4"/>
      <c r="AI176" s="4"/>
      <c r="AJ176" s="1"/>
      <c r="AK176" s="1"/>
      <c r="AT176" s="1"/>
      <c r="AU176" s="1"/>
      <c r="AV176" s="1"/>
      <c r="AW176" s="1"/>
      <c r="AX176" s="1"/>
      <c r="AY176" s="1"/>
      <c r="AZ176" s="1"/>
      <c r="BA176" s="4"/>
      <c r="BB176" s="4"/>
      <c r="BC176" s="4"/>
      <c r="BD176" s="17"/>
      <c r="BE176" s="4"/>
      <c r="BF176" s="17"/>
      <c r="BG176" s="4"/>
      <c r="BH176" s="4"/>
      <c r="BI176" s="1"/>
      <c r="BJ176" s="1"/>
    </row>
    <row r="177" spans="1:62" s="2" customFormat="1" ht="15.75" x14ac:dyDescent="0.25">
      <c r="A177" s="1"/>
      <c r="B177" s="1"/>
      <c r="C177" s="1"/>
      <c r="D177" s="1"/>
      <c r="E177" s="1"/>
      <c r="T177" s="3"/>
      <c r="U177" s="4"/>
      <c r="V177" s="4"/>
      <c r="W177" s="4"/>
      <c r="X177" s="4"/>
      <c r="Y177" s="4"/>
      <c r="Z177" s="4"/>
      <c r="AA177" s="4"/>
      <c r="AB177" s="1"/>
      <c r="AC177" s="4"/>
      <c r="AD177" s="4"/>
      <c r="AE177" s="4"/>
      <c r="AF177" s="4"/>
      <c r="AG177" s="4"/>
      <c r="AH177" s="4"/>
      <c r="AI177" s="4"/>
      <c r="AJ177" s="1"/>
      <c r="AK177" s="1"/>
      <c r="AT177" s="1"/>
      <c r="AU177" s="1"/>
      <c r="AV177" s="1"/>
      <c r="AW177" s="1"/>
      <c r="AX177" s="1"/>
      <c r="AY177" s="1"/>
      <c r="AZ177" s="1"/>
      <c r="BA177" s="4"/>
      <c r="BB177" s="4"/>
      <c r="BC177" s="4"/>
      <c r="BD177" s="17"/>
      <c r="BE177" s="4"/>
      <c r="BF177" s="17"/>
      <c r="BG177" s="4"/>
      <c r="BH177" s="4"/>
      <c r="BI177" s="1"/>
      <c r="BJ177" s="1"/>
    </row>
    <row r="178" spans="1:62" s="2" customFormat="1" ht="15.75" x14ac:dyDescent="0.25">
      <c r="A178" s="1"/>
      <c r="B178" s="1"/>
      <c r="C178" s="1"/>
      <c r="D178" s="1"/>
      <c r="E178" s="1"/>
      <c r="T178" s="3"/>
      <c r="U178" s="4"/>
      <c r="V178" s="4"/>
      <c r="W178" s="4"/>
      <c r="X178" s="4"/>
      <c r="Y178" s="4"/>
      <c r="Z178" s="4"/>
      <c r="AA178" s="4"/>
      <c r="AB178" s="1"/>
      <c r="AC178" s="4"/>
      <c r="AD178" s="4"/>
      <c r="AE178" s="4"/>
      <c r="AF178" s="4"/>
      <c r="AG178" s="4"/>
      <c r="AH178" s="4"/>
      <c r="AI178" s="4"/>
      <c r="AJ178" s="1"/>
      <c r="AK178" s="1"/>
      <c r="AT178" s="1"/>
      <c r="AU178" s="1"/>
      <c r="AV178" s="1"/>
      <c r="AW178" s="1"/>
      <c r="AX178" s="1"/>
      <c r="AY178" s="1"/>
      <c r="AZ178" s="1"/>
      <c r="BA178" s="4"/>
      <c r="BB178" s="4"/>
      <c r="BC178" s="4"/>
      <c r="BD178" s="17"/>
      <c r="BE178" s="4"/>
      <c r="BF178" s="17"/>
      <c r="BG178" s="4"/>
      <c r="BH178" s="4"/>
      <c r="BI178" s="1"/>
      <c r="BJ178" s="1"/>
    </row>
    <row r="179" spans="1:62" s="2" customFormat="1" ht="15.75" x14ac:dyDescent="0.25">
      <c r="A179" s="1"/>
      <c r="B179" s="1"/>
      <c r="C179" s="1"/>
      <c r="D179" s="1"/>
      <c r="E179" s="1"/>
      <c r="T179" s="3"/>
      <c r="U179" s="4"/>
      <c r="V179" s="4"/>
      <c r="W179" s="4"/>
      <c r="X179" s="4"/>
      <c r="Y179" s="4"/>
      <c r="Z179" s="4"/>
      <c r="AA179" s="4"/>
      <c r="AB179" s="1"/>
      <c r="AC179" s="4"/>
      <c r="AD179" s="4"/>
      <c r="AE179" s="4"/>
      <c r="AF179" s="4"/>
      <c r="AG179" s="4"/>
      <c r="AH179" s="4"/>
      <c r="AI179" s="4"/>
      <c r="AJ179" s="1"/>
      <c r="AK179" s="1"/>
      <c r="AT179" s="1"/>
      <c r="AU179" s="1"/>
      <c r="AV179" s="1"/>
      <c r="AW179" s="1"/>
      <c r="AX179" s="1"/>
      <c r="AY179" s="1"/>
      <c r="AZ179" s="1"/>
      <c r="BA179" s="4"/>
      <c r="BB179" s="4"/>
      <c r="BC179" s="4"/>
      <c r="BD179" s="17"/>
      <c r="BE179" s="4"/>
      <c r="BF179" s="17"/>
      <c r="BG179" s="4"/>
      <c r="BH179" s="4"/>
      <c r="BI179" s="1"/>
      <c r="BJ179" s="1"/>
    </row>
    <row r="180" spans="1:62" s="2" customFormat="1" ht="15.75" x14ac:dyDescent="0.25">
      <c r="A180" s="1"/>
      <c r="B180" s="1"/>
      <c r="C180" s="1"/>
      <c r="D180" s="1"/>
      <c r="E180" s="1"/>
      <c r="T180" s="3"/>
      <c r="U180" s="4"/>
      <c r="V180" s="4"/>
      <c r="W180" s="4"/>
      <c r="X180" s="4"/>
      <c r="Y180" s="4"/>
      <c r="Z180" s="4"/>
      <c r="AA180" s="4"/>
      <c r="AB180" s="1"/>
      <c r="AC180" s="4"/>
      <c r="AD180" s="4"/>
      <c r="AE180" s="4"/>
      <c r="AF180" s="4"/>
      <c r="AG180" s="4"/>
      <c r="AH180" s="4"/>
      <c r="AI180" s="4"/>
      <c r="AJ180" s="1"/>
      <c r="AK180" s="1"/>
      <c r="AT180" s="1"/>
      <c r="AU180" s="1"/>
      <c r="AV180" s="1"/>
      <c r="AW180" s="1"/>
      <c r="AX180" s="1"/>
      <c r="AY180" s="1"/>
      <c r="AZ180" s="1"/>
      <c r="BA180" s="4"/>
      <c r="BB180" s="4"/>
      <c r="BC180" s="4"/>
      <c r="BD180" s="17"/>
      <c r="BE180" s="4"/>
      <c r="BF180" s="17"/>
      <c r="BG180" s="4"/>
      <c r="BH180" s="4"/>
      <c r="BI180" s="1"/>
      <c r="BJ180" s="1"/>
    </row>
    <row r="181" spans="1:62" s="2" customFormat="1" ht="15.75" x14ac:dyDescent="0.25">
      <c r="A181" s="1"/>
      <c r="B181" s="1"/>
      <c r="C181" s="1"/>
      <c r="D181" s="1"/>
      <c r="E181" s="1"/>
      <c r="T181" s="3"/>
      <c r="U181" s="4"/>
      <c r="V181" s="4"/>
      <c r="W181" s="4"/>
      <c r="X181" s="4"/>
      <c r="Y181" s="4"/>
      <c r="Z181" s="4"/>
      <c r="AA181" s="4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T181" s="1"/>
      <c r="AU181" s="1"/>
      <c r="AV181" s="1"/>
      <c r="AW181" s="1"/>
      <c r="AX181" s="1"/>
      <c r="AY181" s="1"/>
      <c r="AZ181" s="1"/>
      <c r="BA181" s="4"/>
      <c r="BB181" s="4"/>
      <c r="BC181" s="4"/>
      <c r="BD181" s="17"/>
      <c r="BE181" s="4"/>
      <c r="BF181" s="17"/>
      <c r="BG181" s="4"/>
      <c r="BH181" s="4"/>
      <c r="BI181" s="1"/>
      <c r="BJ181" s="1"/>
    </row>
    <row r="182" spans="1:62" s="2" customFormat="1" ht="15.75" x14ac:dyDescent="0.25">
      <c r="A182" s="1"/>
      <c r="B182" s="1"/>
      <c r="C182" s="1"/>
      <c r="D182" s="1"/>
      <c r="E182" s="1"/>
      <c r="T182" s="3"/>
      <c r="U182" s="4"/>
      <c r="V182" s="4"/>
      <c r="W182" s="4"/>
      <c r="X182" s="4"/>
      <c r="Y182" s="4"/>
      <c r="Z182" s="4"/>
      <c r="AA182" s="4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T182" s="1"/>
      <c r="AU182" s="1"/>
      <c r="AV182" s="1"/>
      <c r="AW182" s="1"/>
      <c r="AX182" s="1"/>
      <c r="AY182" s="1"/>
      <c r="AZ182" s="1"/>
      <c r="BA182" s="4"/>
      <c r="BB182" s="4"/>
      <c r="BC182" s="4"/>
      <c r="BD182" s="17"/>
      <c r="BE182" s="4"/>
      <c r="BF182" s="17"/>
      <c r="BG182" s="4"/>
      <c r="BH182" s="4"/>
      <c r="BI182" s="1"/>
      <c r="BJ182" s="1"/>
    </row>
    <row r="183" spans="1:62" s="2" customFormat="1" ht="15.75" x14ac:dyDescent="0.25">
      <c r="A183" s="1"/>
      <c r="B183" s="1"/>
      <c r="C183" s="1"/>
      <c r="D183" s="1"/>
      <c r="E183" s="1"/>
      <c r="T183" s="3"/>
      <c r="U183" s="4"/>
      <c r="V183" s="4"/>
      <c r="W183" s="4"/>
      <c r="X183" s="4"/>
      <c r="Y183" s="4"/>
      <c r="Z183" s="4"/>
      <c r="AA183" s="4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T183" s="1"/>
      <c r="AU183" s="1"/>
      <c r="AV183" s="1"/>
      <c r="AW183" s="1"/>
      <c r="AX183" s="1"/>
      <c r="AY183" s="1"/>
      <c r="AZ183" s="1"/>
      <c r="BA183" s="4"/>
      <c r="BB183" s="4"/>
      <c r="BC183" s="4"/>
      <c r="BD183" s="17"/>
      <c r="BE183" s="4"/>
      <c r="BF183" s="17"/>
      <c r="BG183" s="4"/>
      <c r="BH183" s="4"/>
      <c r="BI183" s="1"/>
      <c r="BJ183" s="1"/>
    </row>
    <row r="184" spans="1:62" s="2" customFormat="1" ht="15.75" x14ac:dyDescent="0.25">
      <c r="A184" s="1"/>
      <c r="B184" s="1"/>
      <c r="C184" s="1"/>
      <c r="D184" s="1"/>
      <c r="E184" s="1"/>
      <c r="T184" s="3"/>
      <c r="U184" s="4"/>
      <c r="V184" s="4"/>
      <c r="W184" s="4"/>
      <c r="X184" s="4"/>
      <c r="Y184" s="4"/>
      <c r="Z184" s="4"/>
      <c r="AA184" s="4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T184" s="1"/>
      <c r="AU184" s="1"/>
      <c r="AV184" s="1"/>
      <c r="AW184" s="1"/>
      <c r="AX184" s="1"/>
      <c r="AY184" s="1"/>
      <c r="AZ184" s="1"/>
      <c r="BA184" s="4"/>
      <c r="BB184" s="4"/>
      <c r="BC184" s="4"/>
      <c r="BD184" s="17"/>
      <c r="BE184" s="4"/>
      <c r="BF184" s="17"/>
      <c r="BG184" s="4"/>
      <c r="BH184" s="4"/>
      <c r="BI184" s="1"/>
      <c r="BJ184" s="1"/>
    </row>
    <row r="185" spans="1:62" s="2" customFormat="1" ht="15.75" x14ac:dyDescent="0.25">
      <c r="A185" s="1"/>
      <c r="B185" s="1"/>
      <c r="C185" s="1"/>
      <c r="D185" s="1"/>
      <c r="E185" s="1"/>
      <c r="T185" s="3"/>
      <c r="U185" s="4"/>
      <c r="V185" s="4"/>
      <c r="W185" s="4"/>
      <c r="X185" s="4"/>
      <c r="Y185" s="4"/>
      <c r="Z185" s="4"/>
      <c r="AA185" s="4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T185" s="1"/>
      <c r="AU185" s="1"/>
      <c r="AV185" s="1"/>
      <c r="AW185" s="1"/>
      <c r="AX185" s="1"/>
      <c r="AY185" s="1"/>
      <c r="AZ185" s="1"/>
      <c r="BA185" s="4"/>
      <c r="BB185" s="4"/>
      <c r="BC185" s="4"/>
      <c r="BD185" s="17"/>
      <c r="BE185" s="4"/>
      <c r="BF185" s="17"/>
      <c r="BG185" s="4"/>
      <c r="BH185" s="4"/>
      <c r="BI185" s="1"/>
      <c r="BJ185" s="1"/>
    </row>
    <row r="186" spans="1:62" s="2" customFormat="1" ht="15.75" x14ac:dyDescent="0.25">
      <c r="A186" s="1"/>
      <c r="B186" s="1"/>
      <c r="C186" s="1"/>
      <c r="D186" s="1"/>
      <c r="E186" s="1"/>
      <c r="T186" s="3"/>
      <c r="U186" s="4"/>
      <c r="V186" s="4"/>
      <c r="W186" s="4"/>
      <c r="X186" s="4"/>
      <c r="Y186" s="4"/>
      <c r="Z186" s="4"/>
      <c r="AA186" s="4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T186" s="1"/>
      <c r="AU186" s="1"/>
      <c r="AV186" s="1"/>
      <c r="AW186" s="1"/>
      <c r="AX186" s="1"/>
      <c r="AY186" s="1"/>
      <c r="AZ186" s="1"/>
      <c r="BA186" s="4"/>
      <c r="BB186" s="4"/>
      <c r="BC186" s="4"/>
      <c r="BD186" s="17"/>
      <c r="BE186" s="4"/>
      <c r="BF186" s="17"/>
      <c r="BG186" s="4"/>
      <c r="BH186" s="4"/>
      <c r="BI186" s="1"/>
      <c r="BJ186" s="1"/>
    </row>
    <row r="187" spans="1:62" s="2" customFormat="1" ht="15.75" x14ac:dyDescent="0.25">
      <c r="A187" s="1"/>
      <c r="B187" s="1"/>
      <c r="C187" s="1"/>
      <c r="D187" s="1"/>
      <c r="E187" s="1"/>
      <c r="T187" s="3"/>
      <c r="U187" s="4"/>
      <c r="V187" s="4"/>
      <c r="W187" s="4"/>
      <c r="X187" s="4"/>
      <c r="Y187" s="4"/>
      <c r="Z187" s="4"/>
      <c r="AA187" s="4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T187" s="1"/>
      <c r="AU187" s="1"/>
      <c r="AV187" s="1"/>
      <c r="AW187" s="1"/>
      <c r="AX187" s="1"/>
      <c r="AY187" s="1"/>
      <c r="AZ187" s="1"/>
      <c r="BA187" s="4"/>
      <c r="BB187" s="4"/>
      <c r="BC187" s="4"/>
      <c r="BD187" s="17"/>
      <c r="BE187" s="4"/>
      <c r="BF187" s="17"/>
      <c r="BG187" s="4"/>
      <c r="BH187" s="4"/>
      <c r="BI187" s="1"/>
      <c r="BJ187" s="1"/>
    </row>
    <row r="188" spans="1:62" s="2" customFormat="1" ht="15.75" x14ac:dyDescent="0.25">
      <c r="A188" s="1"/>
      <c r="B188" s="1"/>
      <c r="C188" s="1"/>
      <c r="D188" s="1"/>
      <c r="E188" s="1"/>
      <c r="T188" s="3"/>
      <c r="U188" s="4"/>
      <c r="V188" s="4"/>
      <c r="W188" s="4"/>
      <c r="X188" s="4"/>
      <c r="Y188" s="4"/>
      <c r="Z188" s="4"/>
      <c r="AA188" s="4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T188" s="1"/>
      <c r="AU188" s="1"/>
      <c r="AV188" s="1"/>
      <c r="AW188" s="1"/>
      <c r="AX188" s="1"/>
      <c r="AY188" s="1"/>
      <c r="AZ188" s="1"/>
      <c r="BA188" s="4"/>
      <c r="BB188" s="4"/>
      <c r="BC188" s="4"/>
      <c r="BD188" s="17"/>
      <c r="BE188" s="4"/>
      <c r="BF188" s="17"/>
      <c r="BG188" s="4"/>
      <c r="BH188" s="4"/>
      <c r="BI188" s="1"/>
      <c r="BJ188" s="1"/>
    </row>
    <row r="189" spans="1:62" s="2" customFormat="1" ht="15.75" x14ac:dyDescent="0.25">
      <c r="A189" s="1"/>
      <c r="B189" s="1"/>
      <c r="C189" s="1"/>
      <c r="D189" s="1"/>
      <c r="E189" s="1"/>
      <c r="T189" s="3"/>
      <c r="U189" s="4"/>
      <c r="V189" s="4"/>
      <c r="W189" s="4"/>
      <c r="X189" s="4"/>
      <c r="Y189" s="4"/>
      <c r="Z189" s="4"/>
      <c r="AA189" s="4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T189" s="1"/>
      <c r="AU189" s="1"/>
      <c r="AV189" s="1"/>
      <c r="AW189" s="1"/>
      <c r="AX189" s="1"/>
      <c r="AY189" s="1"/>
      <c r="AZ189" s="1"/>
      <c r="BA189" s="4"/>
      <c r="BB189" s="4"/>
      <c r="BC189" s="4"/>
      <c r="BD189" s="17"/>
      <c r="BE189" s="4"/>
      <c r="BF189" s="17"/>
      <c r="BG189" s="4"/>
      <c r="BH189" s="4"/>
      <c r="BI189" s="1"/>
      <c r="BJ189" s="1"/>
    </row>
    <row r="190" spans="1:62" s="2" customFormat="1" ht="15.75" x14ac:dyDescent="0.25">
      <c r="A190" s="1"/>
      <c r="B190" s="1"/>
      <c r="C190" s="1"/>
      <c r="D190" s="1"/>
      <c r="E190" s="1"/>
      <c r="T190" s="3"/>
      <c r="U190" s="4"/>
      <c r="V190" s="4"/>
      <c r="W190" s="4"/>
      <c r="X190" s="4"/>
      <c r="Y190" s="4"/>
      <c r="Z190" s="4"/>
      <c r="AA190" s="4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T190" s="1"/>
      <c r="AU190" s="1"/>
      <c r="AV190" s="1"/>
      <c r="AW190" s="1"/>
      <c r="AX190" s="1"/>
      <c r="AY190" s="1"/>
      <c r="AZ190" s="1"/>
      <c r="BA190" s="4"/>
      <c r="BB190" s="4"/>
      <c r="BC190" s="4"/>
      <c r="BD190" s="17"/>
      <c r="BE190" s="4"/>
      <c r="BF190" s="17"/>
      <c r="BG190" s="4"/>
      <c r="BH190" s="4"/>
      <c r="BI190" s="1"/>
      <c r="BJ190" s="1"/>
    </row>
    <row r="191" spans="1:62" s="2" customFormat="1" ht="15.75" x14ac:dyDescent="0.25">
      <c r="A191" s="1"/>
      <c r="B191" s="1"/>
      <c r="C191" s="1"/>
      <c r="D191" s="1"/>
      <c r="E191" s="1"/>
      <c r="T191" s="3"/>
      <c r="U191" s="4"/>
      <c r="V191" s="4"/>
      <c r="W191" s="4"/>
      <c r="X191" s="4"/>
      <c r="Y191" s="4"/>
      <c r="Z191" s="4"/>
      <c r="AA191" s="4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T191" s="1"/>
      <c r="AU191" s="1"/>
      <c r="AV191" s="1"/>
      <c r="AW191" s="1"/>
      <c r="AX191" s="1"/>
      <c r="AY191" s="1"/>
      <c r="AZ191" s="1"/>
      <c r="BA191" s="4"/>
      <c r="BB191" s="4"/>
      <c r="BC191" s="4"/>
      <c r="BD191" s="17"/>
      <c r="BE191" s="4"/>
      <c r="BF191" s="17"/>
      <c r="BG191" s="4"/>
      <c r="BH191" s="4"/>
      <c r="BI191" s="1"/>
      <c r="BJ191" s="1"/>
    </row>
    <row r="192" spans="1:62" s="2" customFormat="1" ht="15.75" x14ac:dyDescent="0.25">
      <c r="A192" s="1"/>
      <c r="B192" s="1"/>
      <c r="C192" s="1"/>
      <c r="D192" s="1"/>
      <c r="E192" s="1"/>
      <c r="T192" s="3"/>
      <c r="U192" s="4"/>
      <c r="V192" s="4"/>
      <c r="W192" s="4"/>
      <c r="X192" s="4"/>
      <c r="Y192" s="4"/>
      <c r="Z192" s="4"/>
      <c r="AA192" s="4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T192" s="1"/>
      <c r="AU192" s="1"/>
      <c r="AV192" s="1"/>
      <c r="AW192" s="1"/>
      <c r="AX192" s="1"/>
      <c r="AY192" s="1"/>
      <c r="AZ192" s="1"/>
      <c r="BA192" s="4"/>
      <c r="BB192" s="4"/>
      <c r="BC192" s="4"/>
      <c r="BD192" s="17"/>
      <c r="BE192" s="4"/>
      <c r="BF192" s="17"/>
      <c r="BG192" s="4"/>
      <c r="BH192" s="4"/>
      <c r="BI192" s="1"/>
      <c r="BJ192" s="1"/>
    </row>
    <row r="193" spans="1:62" s="2" customFormat="1" ht="15.75" x14ac:dyDescent="0.25">
      <c r="A193" s="1"/>
      <c r="B193" s="1"/>
      <c r="C193" s="1"/>
      <c r="D193" s="1"/>
      <c r="E193" s="1"/>
      <c r="T193" s="3"/>
      <c r="U193" s="4"/>
      <c r="V193" s="4"/>
      <c r="W193" s="4"/>
      <c r="X193" s="4"/>
      <c r="Y193" s="4"/>
      <c r="Z193" s="4"/>
      <c r="AA193" s="4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T193" s="1"/>
      <c r="AU193" s="1"/>
      <c r="AV193" s="1"/>
      <c r="AW193" s="1"/>
      <c r="AX193" s="1"/>
      <c r="AY193" s="1"/>
      <c r="AZ193" s="1"/>
      <c r="BA193" s="4"/>
      <c r="BB193" s="4"/>
      <c r="BC193" s="4"/>
      <c r="BD193" s="17"/>
      <c r="BE193" s="4"/>
      <c r="BF193" s="17"/>
      <c r="BG193" s="4"/>
      <c r="BH193" s="4"/>
      <c r="BI193" s="1"/>
      <c r="BJ193" s="1"/>
    </row>
    <row r="194" spans="1:62" s="2" customFormat="1" ht="15.75" x14ac:dyDescent="0.25">
      <c r="A194" s="1"/>
      <c r="B194" s="1"/>
      <c r="C194" s="1"/>
      <c r="D194" s="1"/>
      <c r="E194" s="1"/>
      <c r="T194" s="3"/>
      <c r="U194" s="4"/>
      <c r="V194" s="4"/>
      <c r="W194" s="4"/>
      <c r="X194" s="4"/>
      <c r="Y194" s="4"/>
      <c r="Z194" s="4"/>
      <c r="AA194" s="4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T194" s="1"/>
      <c r="AU194" s="1"/>
      <c r="AV194" s="1"/>
      <c r="AW194" s="1"/>
      <c r="AX194" s="1"/>
      <c r="AY194" s="1"/>
      <c r="AZ194" s="1"/>
      <c r="BA194" s="4"/>
      <c r="BB194" s="4"/>
      <c r="BC194" s="4"/>
      <c r="BD194" s="17"/>
      <c r="BE194" s="4"/>
      <c r="BF194" s="17"/>
      <c r="BG194" s="4"/>
      <c r="BH194" s="4"/>
      <c r="BI194" s="1"/>
      <c r="BJ194" s="1"/>
    </row>
    <row r="195" spans="1:62" s="2" customFormat="1" ht="15.75" x14ac:dyDescent="0.25">
      <c r="A195" s="1"/>
      <c r="B195" s="1"/>
      <c r="C195" s="1"/>
      <c r="D195" s="1"/>
      <c r="E195" s="1"/>
      <c r="T195" s="3"/>
      <c r="U195" s="4"/>
      <c r="V195" s="4"/>
      <c r="W195" s="4"/>
      <c r="X195" s="4"/>
      <c r="Y195" s="4"/>
      <c r="Z195" s="4"/>
      <c r="AA195" s="4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T195" s="1"/>
      <c r="AU195" s="1"/>
      <c r="AV195" s="1"/>
      <c r="AW195" s="1"/>
      <c r="AX195" s="1"/>
      <c r="AY195" s="1"/>
      <c r="AZ195" s="1"/>
      <c r="BA195" s="4"/>
      <c r="BB195" s="4"/>
      <c r="BC195" s="4"/>
      <c r="BD195" s="17"/>
      <c r="BE195" s="4"/>
      <c r="BF195" s="17"/>
      <c r="BG195" s="4"/>
      <c r="BH195" s="4"/>
      <c r="BI195" s="1"/>
      <c r="BJ195" s="1"/>
    </row>
    <row r="196" spans="1:62" s="2" customFormat="1" ht="15.75" x14ac:dyDescent="0.25">
      <c r="A196" s="1"/>
      <c r="B196" s="1"/>
      <c r="C196" s="1"/>
      <c r="D196" s="1"/>
      <c r="E196" s="1"/>
      <c r="T196" s="3"/>
      <c r="U196" s="4"/>
      <c r="V196" s="4"/>
      <c r="W196" s="4"/>
      <c r="X196" s="4"/>
      <c r="Y196" s="4"/>
      <c r="Z196" s="4"/>
      <c r="AA196" s="4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T196" s="1"/>
      <c r="AU196" s="1"/>
      <c r="AV196" s="1"/>
      <c r="AW196" s="1"/>
      <c r="AX196" s="1"/>
      <c r="AY196" s="1"/>
      <c r="AZ196" s="1"/>
      <c r="BA196" s="4"/>
      <c r="BB196" s="4"/>
      <c r="BC196" s="4"/>
      <c r="BD196" s="17"/>
      <c r="BE196" s="4"/>
      <c r="BF196" s="17"/>
      <c r="BG196" s="4"/>
      <c r="BH196" s="4"/>
      <c r="BI196" s="1"/>
      <c r="BJ196" s="1"/>
    </row>
    <row r="197" spans="1:62" s="2" customFormat="1" ht="15.75" x14ac:dyDescent="0.25">
      <c r="A197" s="1"/>
      <c r="B197" s="1"/>
      <c r="C197" s="1"/>
      <c r="D197" s="1"/>
      <c r="E197" s="1"/>
      <c r="T197" s="3"/>
      <c r="U197" s="4"/>
      <c r="V197" s="4"/>
      <c r="W197" s="4"/>
      <c r="X197" s="4"/>
      <c r="Y197" s="4"/>
      <c r="Z197" s="4"/>
      <c r="AA197" s="4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T197" s="1"/>
      <c r="AU197" s="1"/>
      <c r="AV197" s="1"/>
      <c r="AW197" s="1"/>
      <c r="AX197" s="1"/>
      <c r="AY197" s="1"/>
      <c r="AZ197" s="1"/>
      <c r="BA197" s="4"/>
      <c r="BB197" s="4"/>
      <c r="BC197" s="4"/>
      <c r="BD197" s="17"/>
      <c r="BE197" s="4"/>
      <c r="BF197" s="17"/>
      <c r="BG197" s="4"/>
      <c r="BH197" s="4"/>
      <c r="BI197" s="1"/>
      <c r="BJ197" s="1"/>
    </row>
    <row r="198" spans="1:62" s="2" customFormat="1" ht="15.75" x14ac:dyDescent="0.25">
      <c r="A198" s="1"/>
      <c r="B198" s="1"/>
      <c r="C198" s="1"/>
      <c r="D198" s="1"/>
      <c r="E198" s="1"/>
      <c r="T198" s="3"/>
      <c r="U198" s="4"/>
      <c r="V198" s="4"/>
      <c r="W198" s="4"/>
      <c r="X198" s="4"/>
      <c r="Y198" s="4"/>
      <c r="Z198" s="4"/>
      <c r="AA198" s="4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T198" s="1"/>
      <c r="AU198" s="1"/>
      <c r="AV198" s="1"/>
      <c r="AW198" s="1"/>
      <c r="AX198" s="1"/>
      <c r="AY198" s="1"/>
      <c r="AZ198" s="1"/>
      <c r="BA198" s="4"/>
      <c r="BB198" s="4"/>
      <c r="BC198" s="4"/>
      <c r="BD198" s="17"/>
      <c r="BE198" s="4"/>
      <c r="BF198" s="17"/>
      <c r="BG198" s="4"/>
      <c r="BH198" s="4"/>
      <c r="BI198" s="1"/>
      <c r="BJ198" s="1"/>
    </row>
    <row r="199" spans="1:62" s="2" customFormat="1" ht="15.75" x14ac:dyDescent="0.25">
      <c r="A199" s="1"/>
      <c r="B199" s="1"/>
      <c r="C199" s="1"/>
      <c r="D199" s="1"/>
      <c r="E199" s="1"/>
      <c r="T199" s="3"/>
      <c r="U199" s="4"/>
      <c r="V199" s="4"/>
      <c r="W199" s="4"/>
      <c r="X199" s="4"/>
      <c r="Y199" s="4"/>
      <c r="Z199" s="4"/>
      <c r="AA199" s="4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T199" s="1"/>
      <c r="AU199" s="1"/>
      <c r="AV199" s="1"/>
      <c r="AW199" s="1"/>
      <c r="AX199" s="1"/>
      <c r="AY199" s="1"/>
      <c r="AZ199" s="1"/>
      <c r="BA199" s="4"/>
      <c r="BB199" s="4"/>
      <c r="BC199" s="4"/>
      <c r="BD199" s="17"/>
      <c r="BE199" s="4"/>
      <c r="BF199" s="17"/>
      <c r="BG199" s="4"/>
      <c r="BH199" s="4"/>
      <c r="BI199" s="1"/>
      <c r="BJ199" s="1"/>
    </row>
    <row r="200" spans="1:62" s="2" customFormat="1" ht="15.75" x14ac:dyDescent="0.25">
      <c r="A200" s="1"/>
      <c r="B200" s="1"/>
      <c r="C200" s="1"/>
      <c r="D200" s="1"/>
      <c r="E200" s="1"/>
      <c r="T200" s="3"/>
      <c r="U200" s="4"/>
      <c r="V200" s="4"/>
      <c r="W200" s="4"/>
      <c r="X200" s="4"/>
      <c r="Y200" s="4"/>
      <c r="Z200" s="4"/>
      <c r="AA200" s="4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T200" s="1"/>
      <c r="AU200" s="1"/>
      <c r="AV200" s="1"/>
      <c r="AW200" s="1"/>
      <c r="AX200" s="1"/>
      <c r="AY200" s="1"/>
      <c r="AZ200" s="1"/>
      <c r="BA200" s="4"/>
      <c r="BB200" s="4"/>
      <c r="BC200" s="4"/>
      <c r="BD200" s="17"/>
      <c r="BE200" s="4"/>
      <c r="BF200" s="17"/>
      <c r="BG200" s="4"/>
      <c r="BH200" s="4"/>
      <c r="BI200" s="1"/>
      <c r="BJ200" s="1"/>
    </row>
    <row r="201" spans="1:62" s="2" customFormat="1" ht="15.75" x14ac:dyDescent="0.25">
      <c r="A201" s="1"/>
      <c r="B201" s="1"/>
      <c r="C201" s="1"/>
      <c r="D201" s="1"/>
      <c r="E201" s="1"/>
      <c r="T201" s="3"/>
      <c r="U201" s="4"/>
      <c r="V201" s="4"/>
      <c r="W201" s="4"/>
      <c r="X201" s="4"/>
      <c r="Y201" s="4"/>
      <c r="Z201" s="4"/>
      <c r="AA201" s="4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T201" s="1"/>
      <c r="AU201" s="1"/>
      <c r="AV201" s="1"/>
      <c r="AW201" s="1"/>
      <c r="AX201" s="1"/>
      <c r="AY201" s="1"/>
      <c r="AZ201" s="1"/>
      <c r="BA201" s="4"/>
      <c r="BB201" s="4"/>
      <c r="BC201" s="4"/>
      <c r="BD201" s="17"/>
      <c r="BE201" s="4"/>
      <c r="BF201" s="17"/>
      <c r="BG201" s="4"/>
      <c r="BH201" s="4"/>
      <c r="BI201" s="1"/>
      <c r="BJ201" s="1"/>
    </row>
    <row r="202" spans="1:62" s="2" customFormat="1" ht="15.75" x14ac:dyDescent="0.25">
      <c r="A202" s="1"/>
      <c r="B202" s="1"/>
      <c r="C202" s="1"/>
      <c r="D202" s="1"/>
      <c r="E202" s="1"/>
      <c r="T202" s="3"/>
      <c r="U202" s="4"/>
      <c r="V202" s="4"/>
      <c r="W202" s="4"/>
      <c r="X202" s="4"/>
      <c r="Y202" s="4"/>
      <c r="Z202" s="4"/>
      <c r="AA202" s="4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T202" s="1"/>
      <c r="AU202" s="1"/>
      <c r="AV202" s="1"/>
      <c r="AW202" s="1"/>
      <c r="AX202" s="1"/>
      <c r="AY202" s="1"/>
      <c r="AZ202" s="1"/>
      <c r="BA202" s="4"/>
      <c r="BB202" s="4"/>
      <c r="BC202" s="4"/>
      <c r="BD202" s="17"/>
      <c r="BE202" s="4"/>
      <c r="BF202" s="17"/>
      <c r="BG202" s="4"/>
      <c r="BH202" s="4"/>
      <c r="BI202" s="1"/>
      <c r="BJ202" s="1"/>
    </row>
    <row r="203" spans="1:62" s="2" customFormat="1" ht="15.75" x14ac:dyDescent="0.25">
      <c r="A203" s="1"/>
      <c r="B203" s="1"/>
      <c r="C203" s="1"/>
      <c r="D203" s="1"/>
      <c r="E203" s="1"/>
      <c r="T203" s="3"/>
      <c r="U203" s="4"/>
      <c r="V203" s="4"/>
      <c r="W203" s="4"/>
      <c r="X203" s="4"/>
      <c r="Y203" s="4"/>
      <c r="Z203" s="4"/>
      <c r="AA203" s="4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T203" s="1"/>
      <c r="AU203" s="1"/>
      <c r="AV203" s="1"/>
      <c r="AW203" s="1"/>
      <c r="AX203" s="1"/>
      <c r="AY203" s="1"/>
      <c r="AZ203" s="1"/>
      <c r="BA203" s="4"/>
      <c r="BB203" s="4"/>
      <c r="BC203" s="4"/>
      <c r="BD203" s="17"/>
      <c r="BE203" s="4"/>
      <c r="BF203" s="17"/>
      <c r="BG203" s="4"/>
      <c r="BH203" s="4"/>
      <c r="BI203" s="1"/>
      <c r="BJ203" s="1"/>
    </row>
    <row r="204" spans="1:62" s="2" customFormat="1" ht="15.75" x14ac:dyDescent="0.25">
      <c r="A204" s="1"/>
      <c r="B204" s="1"/>
      <c r="C204" s="1"/>
      <c r="D204" s="1"/>
      <c r="E204" s="1"/>
      <c r="T204" s="3"/>
      <c r="U204" s="4"/>
      <c r="V204" s="4"/>
      <c r="W204" s="4"/>
      <c r="X204" s="4"/>
      <c r="Y204" s="4"/>
      <c r="Z204" s="4"/>
      <c r="AA204" s="4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T204" s="1"/>
      <c r="AU204" s="1"/>
      <c r="AV204" s="1"/>
      <c r="AW204" s="1"/>
      <c r="AX204" s="1"/>
      <c r="AY204" s="1"/>
      <c r="AZ204" s="1"/>
      <c r="BA204" s="4"/>
      <c r="BB204" s="4"/>
      <c r="BC204" s="4"/>
      <c r="BD204" s="17"/>
      <c r="BE204" s="4"/>
      <c r="BF204" s="17"/>
      <c r="BG204" s="4"/>
      <c r="BH204" s="4"/>
      <c r="BI204" s="1"/>
      <c r="BJ204" s="1"/>
    </row>
    <row r="205" spans="1:62" s="2" customFormat="1" ht="15.75" x14ac:dyDescent="0.25">
      <c r="A205" s="1"/>
      <c r="B205" s="1"/>
      <c r="C205" s="1"/>
      <c r="D205" s="1"/>
      <c r="E205" s="1"/>
      <c r="T205" s="3"/>
      <c r="U205" s="4"/>
      <c r="V205" s="4"/>
      <c r="W205" s="4"/>
      <c r="X205" s="4"/>
      <c r="Y205" s="4"/>
      <c r="Z205" s="4"/>
      <c r="AA205" s="4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T205" s="1"/>
      <c r="AU205" s="1"/>
      <c r="AV205" s="1"/>
      <c r="AW205" s="1"/>
      <c r="AX205" s="1"/>
      <c r="AY205" s="1"/>
      <c r="AZ205" s="1"/>
      <c r="BA205" s="4"/>
      <c r="BB205" s="4"/>
      <c r="BC205" s="4"/>
      <c r="BD205" s="17"/>
      <c r="BE205" s="4"/>
      <c r="BF205" s="17"/>
      <c r="BG205" s="4"/>
      <c r="BH205" s="4"/>
      <c r="BI205" s="1"/>
      <c r="BJ205" s="1"/>
    </row>
    <row r="206" spans="1:62" s="2" customFormat="1" ht="15.75" x14ac:dyDescent="0.25">
      <c r="A206" s="1"/>
      <c r="B206" s="1"/>
      <c r="C206" s="1"/>
      <c r="D206" s="1"/>
      <c r="E206" s="1"/>
      <c r="T206" s="3"/>
      <c r="U206" s="4"/>
      <c r="V206" s="4"/>
      <c r="W206" s="4"/>
      <c r="X206" s="4"/>
      <c r="Y206" s="4"/>
      <c r="Z206" s="4"/>
      <c r="AA206" s="4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T206" s="1"/>
      <c r="AU206" s="1"/>
      <c r="AV206" s="1"/>
      <c r="AW206" s="1"/>
      <c r="AX206" s="1"/>
      <c r="AY206" s="1"/>
      <c r="AZ206" s="1"/>
      <c r="BA206" s="4"/>
      <c r="BB206" s="4"/>
      <c r="BC206" s="4"/>
      <c r="BD206" s="17"/>
      <c r="BE206" s="4"/>
      <c r="BF206" s="17"/>
      <c r="BG206" s="4"/>
      <c r="BH206" s="4"/>
      <c r="BI206" s="1"/>
      <c r="BJ206" s="1"/>
    </row>
    <row r="207" spans="1:62" s="2" customFormat="1" ht="15.75" x14ac:dyDescent="0.25">
      <c r="A207" s="1"/>
      <c r="B207" s="1"/>
      <c r="C207" s="1"/>
      <c r="D207" s="1"/>
      <c r="E207" s="1"/>
      <c r="T207" s="3"/>
      <c r="U207" s="4"/>
      <c r="V207" s="4"/>
      <c r="W207" s="4"/>
      <c r="X207" s="4"/>
      <c r="Y207" s="4"/>
      <c r="Z207" s="4"/>
      <c r="AA207" s="4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T207" s="1"/>
      <c r="AU207" s="1"/>
      <c r="AV207" s="1"/>
      <c r="AW207" s="1"/>
      <c r="AX207" s="1"/>
      <c r="AY207" s="1"/>
      <c r="AZ207" s="1"/>
      <c r="BA207" s="4"/>
      <c r="BB207" s="4"/>
      <c r="BC207" s="4"/>
      <c r="BD207" s="17"/>
      <c r="BE207" s="4"/>
      <c r="BF207" s="17"/>
      <c r="BG207" s="4"/>
      <c r="BH207" s="4"/>
      <c r="BI207" s="1"/>
      <c r="BJ207" s="1"/>
    </row>
  </sheetData>
  <mergeCells count="1">
    <mergeCell ref="BB1:BH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7"/>
  <sheetViews>
    <sheetView workbookViewId="0">
      <selection activeCell="C21" sqref="C21"/>
    </sheetView>
  </sheetViews>
  <sheetFormatPr defaultRowHeight="15.75" x14ac:dyDescent="0.25"/>
  <cols>
    <col min="1" max="1" width="22.42578125" style="100" customWidth="1"/>
    <col min="2" max="2" width="74.7109375" style="100" customWidth="1"/>
    <col min="3" max="16384" width="9.140625" style="100"/>
  </cols>
  <sheetData>
    <row r="2" spans="1:2" x14ac:dyDescent="0.25">
      <c r="A2" s="8" t="s">
        <v>129</v>
      </c>
      <c r="B2" s="8" t="s">
        <v>130</v>
      </c>
    </row>
    <row r="3" spans="1:2" x14ac:dyDescent="0.25">
      <c r="A3" s="19" t="s">
        <v>131</v>
      </c>
      <c r="B3" s="20" t="s">
        <v>135</v>
      </c>
    </row>
    <row r="4" spans="1:2" x14ac:dyDescent="0.25">
      <c r="A4" s="19" t="s">
        <v>132</v>
      </c>
      <c r="B4" s="21">
        <v>110</v>
      </c>
    </row>
    <row r="5" spans="1:2" x14ac:dyDescent="0.25">
      <c r="A5" s="19" t="s">
        <v>133</v>
      </c>
      <c r="B5" s="20" t="s">
        <v>64</v>
      </c>
    </row>
    <row r="6" spans="1:2" x14ac:dyDescent="0.25">
      <c r="A6" s="19" t="s">
        <v>134</v>
      </c>
      <c r="B6" s="20" t="s">
        <v>225</v>
      </c>
    </row>
    <row r="7" spans="1:2" x14ac:dyDescent="0.25">
      <c r="A7" s="19" t="s">
        <v>398</v>
      </c>
      <c r="B7" s="20">
        <v>1</v>
      </c>
    </row>
    <row r="8" spans="1:2" x14ac:dyDescent="0.25">
      <c r="A8" s="102" t="s">
        <v>403</v>
      </c>
      <c r="B8" s="102" t="s">
        <v>405</v>
      </c>
    </row>
    <row r="9" spans="1:2" x14ac:dyDescent="0.25">
      <c r="A9" s="102" t="s">
        <v>404</v>
      </c>
      <c r="B9" s="102"/>
    </row>
    <row r="10" spans="1:2" x14ac:dyDescent="0.25">
      <c r="A10" s="103" t="s">
        <v>373</v>
      </c>
      <c r="B10" s="100" t="s">
        <v>410</v>
      </c>
    </row>
    <row r="11" spans="1:2" x14ac:dyDescent="0.25">
      <c r="A11" s="103" t="s">
        <v>374</v>
      </c>
      <c r="B11" s="100" t="s">
        <v>411</v>
      </c>
    </row>
    <row r="12" spans="1:2" x14ac:dyDescent="0.25">
      <c r="A12" s="103" t="s">
        <v>142</v>
      </c>
      <c r="B12" s="100" t="s">
        <v>187</v>
      </c>
    </row>
    <row r="13" spans="1:2" x14ac:dyDescent="0.25">
      <c r="A13" s="104" t="s">
        <v>143</v>
      </c>
      <c r="B13" s="100" t="s">
        <v>409</v>
      </c>
    </row>
    <row r="14" spans="1:2" x14ac:dyDescent="0.25">
      <c r="A14" s="105" t="s">
        <v>139</v>
      </c>
      <c r="B14" s="100" t="s">
        <v>406</v>
      </c>
    </row>
    <row r="15" spans="1:2" x14ac:dyDescent="0.25">
      <c r="A15" s="105" t="s">
        <v>177</v>
      </c>
      <c r="B15" s="100" t="s">
        <v>407</v>
      </c>
    </row>
    <row r="16" spans="1:2" x14ac:dyDescent="0.25">
      <c r="A16" s="105" t="s">
        <v>284</v>
      </c>
      <c r="B16" s="100" t="s">
        <v>408</v>
      </c>
    </row>
    <row r="17" spans="1:2" x14ac:dyDescent="0.25">
      <c r="A17" s="102" t="s">
        <v>404</v>
      </c>
      <c r="B17" s="10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2025-09-09T06:04:18Z</dcterms:modified>
</cp:coreProperties>
</file>