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AX37" i="4" l="1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BH14" i="6" l="1"/>
  <c r="AW14" i="6"/>
  <c r="K14" i="6"/>
  <c r="J14" i="6"/>
  <c r="BH7" i="6" l="1"/>
  <c r="AW7" i="6"/>
  <c r="K7" i="6"/>
  <c r="J7" i="6"/>
  <c r="BH15" i="6"/>
  <c r="AW15" i="6"/>
  <c r="K15" i="6"/>
  <c r="J15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8" i="6"/>
  <c r="AW8" i="6"/>
  <c r="K8" i="6"/>
  <c r="J8" i="6"/>
  <c r="BH6" i="6"/>
  <c r="AW6" i="6"/>
  <c r="K6" i="6"/>
  <c r="J6" i="6"/>
  <c r="BH5" i="6"/>
  <c r="AW5" i="6"/>
  <c r="K5" i="6"/>
  <c r="J5" i="6"/>
  <c r="BH4" i="6"/>
  <c r="AW4" i="6"/>
  <c r="K4" i="6"/>
  <c r="J4" i="6"/>
  <c r="AI1" i="6"/>
  <c r="BG37" i="4"/>
  <c r="AV37" i="4"/>
  <c r="J37" i="4"/>
  <c r="I37" i="4"/>
  <c r="BG36" i="4"/>
  <c r="AV36" i="4"/>
  <c r="J36" i="4"/>
  <c r="I36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H3" i="6" l="1"/>
  <c r="AW3" i="6"/>
  <c r="K3" i="6"/>
  <c r="J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<sst xmlns="http://schemas.openxmlformats.org/spreadsheetml/2006/main" count="846" uniqueCount="242">
  <si>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</si>
  <si>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</si>
  <si>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</si>
  <si>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</si>
  <si>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</si>
  <si>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</si>
  <si>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</si>
  <si>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</si>
  <si>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</si>
  <si>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</si>
  <si>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</si>
  <si>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</si>
  <si>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</si>
  <si>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</si>
  <si>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</si>
  <si>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</si>
  <si>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</si>
  <si>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</si>
  <si>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</si>
  <si>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</si>
  <si>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</si>
  <si>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</si>
  <si>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</si>
  <si>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</si>
  <si>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</si>
  <si>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</si>
  <si>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</si>
  <si>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</si>
  <si>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</si>
  <si>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</si>
  <si>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</si>
  <si>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</si>
  <si>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</si>
  <si>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</si>
  <si>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</si>
  <si>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</si>
  <si>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</si>
  <si>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</si>
  <si>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</si>
  <si>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</si>
  <si>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</si>
  <si>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</si>
  <si>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</si>
  <si>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</si>
  <si>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</si>
  <si>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</si>
  <si>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</si>
  <si>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</si>
  <si>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</si>
  <si>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</si>
  <si>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</si>
  <si>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</si>
  <si>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</si>
  <si>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</si>
  <si>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</si>
  <si>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</si>
  <si>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</si>
  <si>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</si>
  <si>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</si>
  <si>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</si>
  <si>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</si>
  <si>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</si>
  <si>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</si>
  <si>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</si>
  <si>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</si>
  <si>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</si>
  <si>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</si>
  <si>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</si>
  <si>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</si>
  <si>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</si>
  <si>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</si>
  <si>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</si>
  <si>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</si>
  <si>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</si>
  <si>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</si>
  <si>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</si>
  <si>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</si>
  <si>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</si>
  <si>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</si>
  <si>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</si>
  <si>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</si>
  <si>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OpOnSignalTTRGASLGC</t>
  </si>
  <si>
    <t>OpOnSignalOILPTRC</t>
  </si>
  <si>
    <t>OpOnSignalWINPTRC</t>
  </si>
  <si>
    <t>OpOnSignalVLVPTRC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</si>
  <si>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</si>
  <si>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</si>
  <si>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</si>
  <si>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</si>
  <si>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</si>
  <si>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</si>
  <si>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</si>
  <si>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</si>
  <si>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</si>
  <si>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</si>
  <si>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SGF11</t>
  </si>
  <si>
    <t>SGF12</t>
  </si>
  <si>
    <t>FbVersion</t>
  </si>
  <si>
    <t>Контроль общего внешнего сигнала</t>
  </si>
  <si>
    <t>SGF13</t>
  </si>
  <si>
    <t>Контр_ТЗ_сигн</t>
  </si>
  <si>
    <t>Контр_ГЗ_сигн</t>
  </si>
  <si>
    <t>Контр_ТЗ_блок</t>
  </si>
  <si>
    <t>Контр_ГЗ_блок</t>
  </si>
  <si>
    <t>Контр_ОТ_сигн</t>
  </si>
  <si>
    <t>Срабатывание ДТО на сигнал</t>
  </si>
  <si>
    <t>Сраб.сигн ДТО</t>
  </si>
  <si>
    <t>OpOnSignalPDIF2</t>
  </si>
  <si>
    <t>Срабатывание ДТЗт на сигнал</t>
  </si>
  <si>
    <t>Сраб.сигн ДТЗт</t>
  </si>
  <si>
    <t>OpOnSignalPDIF1</t>
  </si>
  <si>
    <t>Срабатывание КЦТнеб</t>
  </si>
  <si>
    <t>Сраб. КЦТнеб</t>
  </si>
  <si>
    <t>CurCircAlmRCTR</t>
  </si>
  <si>
    <t>Срабатывание КЦТ</t>
  </si>
  <si>
    <t>Сраб. КЦТ</t>
  </si>
  <si>
    <t>CurCircFltRCTR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</si>
  <si>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</si>
  <si>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</si>
  <si>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</si>
  <si>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</si>
  <si>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</si>
  <si>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</si>
  <si>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</si>
  <si>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</si>
  <si>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ЛО ДТм</t>
  </si>
  <si>
    <t>Сраб.сигн ЛО ДТм</t>
  </si>
  <si>
    <t>Срабатывание ЛО ДТо</t>
  </si>
  <si>
    <t>Сраб.сигн ЛО ДТо</t>
  </si>
  <si>
    <t>Срабатывание ЛО РД на сигнал</t>
  </si>
  <si>
    <t>Сраб.сигн ЛО РД</t>
  </si>
  <si>
    <t>Срабатывание ЛО ПК на сигнал</t>
  </si>
  <si>
    <t>Сраб.сигн ЛО ПК</t>
  </si>
  <si>
    <t>OpOnSignalPRVLVPTRC</t>
  </si>
  <si>
    <t>Срабатывание ЛО ОК на сигнал</t>
  </si>
  <si>
    <t>Сраб.сигн ЛО ОК</t>
  </si>
  <si>
    <t>OpOnSignalSHVLVPTRC</t>
  </si>
  <si>
    <t>Срабатывание ЛО ДУм расширителя на сигнал</t>
  </si>
  <si>
    <t>Сраб.сигн ЛО ДУм Р</t>
  </si>
  <si>
    <t>OpOnSignalLEVPTRC</t>
  </si>
  <si>
    <t>Срабатывание ЗПО на сигнал</t>
  </si>
  <si>
    <t>Сраб.сигн ЗПО</t>
  </si>
  <si>
    <t>OpOnSignalPALC</t>
  </si>
  <si>
    <t>Срабатывание ЗП ВН</t>
  </si>
  <si>
    <t>Сраб. ЗП ВН</t>
  </si>
  <si>
    <t>OpHVPTOC1</t>
  </si>
  <si>
    <t>Срабатывание ЗП CН (НН1)</t>
  </si>
  <si>
    <t>Сраб. ЗП СН(НН1)</t>
  </si>
  <si>
    <t>OpPTOC1</t>
  </si>
  <si>
    <t>Срабатывание ЗП НН (НН2)</t>
  </si>
  <si>
    <t>Сраб. ЗП НН(НН2)</t>
  </si>
  <si>
    <t>OpPTOC2</t>
  </si>
  <si>
    <t>Срабатывание общей логики отключения трансформатора</t>
  </si>
  <si>
    <t>Сраб. ЛО Т</t>
  </si>
  <si>
    <t>OpPTRC</t>
  </si>
  <si>
    <t>Срабатывание УРОВ ВН</t>
  </si>
  <si>
    <t>Сраб. УРОВ ВН</t>
  </si>
  <si>
    <t>OpExDZT2_TPBRF</t>
  </si>
  <si>
    <t>Сраб.УРОВвн на себя</t>
  </si>
  <si>
    <t>OpInDZT2_TPBRF</t>
  </si>
  <si>
    <t>Сигнализация от ГЗ</t>
  </si>
  <si>
    <t>ГЗ сигн</t>
  </si>
  <si>
    <t>GASSignDZT2_ALHAPC</t>
  </si>
  <si>
    <t>Низкая изоляция ГЗ</t>
  </si>
  <si>
    <t>Низ.изол. ГЗ</t>
  </si>
  <si>
    <t>LowIsolGASDZT2_ALHAPC</t>
  </si>
  <si>
    <t>ГЗ заблокирована</t>
  </si>
  <si>
    <t>GASBlock_ALHAPC</t>
  </si>
  <si>
    <t>Сигнализация от ТЗ</t>
  </si>
  <si>
    <t>ТЗ сигн</t>
  </si>
  <si>
    <t>TECHSignDZT2_ALHAPC</t>
  </si>
  <si>
    <t>Низкая изоляция ТЗ</t>
  </si>
  <si>
    <t>Низ.изол. ТЗ</t>
  </si>
  <si>
    <t>LowIsolTECHDZT2_ALHAPC</t>
  </si>
  <si>
    <t>ТЗ заблокирована</t>
  </si>
  <si>
    <t>TECHBlock_ALHAPC</t>
  </si>
  <si>
    <t>Сигнализация от ТС</t>
  </si>
  <si>
    <t>ТС сигн</t>
  </si>
  <si>
    <t>ALMSignDZT2_ALHAPC</t>
  </si>
  <si>
    <t>Контроль оперативного тока</t>
  </si>
  <si>
    <t>ОТ сигн</t>
  </si>
  <si>
    <t>OCSignDZT2_ALHAPC</t>
  </si>
  <si>
    <t>Контроль оперативного тока НН</t>
  </si>
  <si>
    <t>ОТ НН сигн</t>
  </si>
  <si>
    <t>OCnnSignDZT2_ALHAPC</t>
  </si>
  <si>
    <t>Внешнее отключение</t>
  </si>
  <si>
    <t>Внеш. откл</t>
  </si>
  <si>
    <t>OpExtDZT2_ALHAPC</t>
  </si>
  <si>
    <t>Выходные цепи разобраны</t>
  </si>
  <si>
    <t>Вых.цепи разобраны</t>
  </si>
  <si>
    <t>CtlCirDZT2_ALHAPC</t>
  </si>
  <si>
    <t>БИ выведены</t>
  </si>
  <si>
    <t>TestBlockDZT2_ALHAPC</t>
  </si>
  <si>
    <t>Общий внешний сигнал от СС</t>
  </si>
  <si>
    <t>Общ. внеш. сигн. СС</t>
  </si>
  <si>
    <t>ExtSignGen</t>
  </si>
  <si>
    <t>Неисправность терминала</t>
  </si>
  <si>
    <t>Контроль сигнала «ГЗ сигн»</t>
  </si>
  <si>
    <t>Пуск (импульс)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</si>
  <si>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</si>
  <si>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</si>
  <si>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</si>
  <si>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«ТЗ сигн»</t>
  </si>
  <si>
    <t>Контроль сигнала «Низ. изол. ТЗ»</t>
  </si>
  <si>
    <t>Контр_Низ_изол_ТЗ</t>
  </si>
  <si>
    <t>Контроль сигнала «ТЗ заблокирована»</t>
  </si>
  <si>
    <t>Контроль сигнала «ТС сигн»</t>
  </si>
  <si>
    <t>Контр_ТС_сигн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</si>
  <si>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</si>
  <si>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</si>
  <si>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</si>
  <si>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</si>
  <si>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</si>
  <si>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</si>
  <si>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</si>
  <si>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</si>
  <si>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</si>
  <si>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Контр_общ_внеш_сигн</t>
  </si>
  <si>
    <t>CALH1_GASSign_Ctl</t>
  </si>
  <si>
    <t>CALH1_LowIsolGAS_Ctl</t>
  </si>
  <si>
    <t>CALH1_GASBlock_Ctl</t>
  </si>
  <si>
    <t>CALH1_TECHSign_Ctl</t>
  </si>
  <si>
    <t>CALH1_LowIsolTECH_Ctl</t>
  </si>
  <si>
    <t>CALH1_TECHBlock_Ctl</t>
  </si>
  <si>
    <t>CALH1_ALMSign_Ctl</t>
  </si>
  <si>
    <t>CALH1_OCSign_Ctl</t>
  </si>
  <si>
    <t>CALH1_OCnnSign_Ctl</t>
  </si>
  <si>
    <t>CALH1_OpExt_Ctl</t>
  </si>
  <si>
    <t>CALH1_CtlCir_Ctl</t>
  </si>
  <si>
    <t>CALH1_TestBlock_Ctl</t>
  </si>
  <si>
    <t>CALH1_ExtSignGen_Ctl</t>
  </si>
  <si>
    <t>control</t>
  </si>
  <si>
    <t>status</t>
  </si>
  <si>
    <t>Logger</t>
  </si>
  <si>
    <t>Disturber</t>
  </si>
  <si>
    <t>StartDisturber</t>
  </si>
  <si>
    <t>DescriptionFB</t>
  </si>
  <si>
    <t>DescriptionFuncList</t>
  </si>
  <si>
    <t>Предупредительная сигнализация</t>
  </si>
  <si>
    <t>DZT2_LVALH</t>
  </si>
  <si>
    <t>alias</t>
  </si>
  <si>
    <t>Срабатывание УРОВ на «себя»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</si>
</sst>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8"/>
  <sheetViews>
    <sheetView tabSelected="1" topLeftCell="E10" zoomScale="130" zoomScaleNormal="130" workbookViewId="0">
      <selection activeCell="E17" sqref="E17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0" t="s">
        <v>0</v>
      </c>
      <c r="BA1" s="61"/>
      <c r="BB1" s="61"/>
      <c r="BC1" s="61"/>
      <c r="BD1" s="61"/>
      <c r="BE1" s="61"/>
      <c r="BF1" s="61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233</v>
      </c>
      <c r="AW2" s="55" t="s">
        <v>234</v>
      </c>
      <c r="AX2" s="55" t="s">
        <v>235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53" t="s">
        <v>231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59">
        <v>1</v>
      </c>
      <c r="AU3" s="31">
        <v>0</v>
      </c>
      <c r="AV3" s="59">
        <v>1</v>
      </c>
      <c r="AW3" s="59">
        <v>1</v>
      </c>
      <c r="AX3" s="59">
        <v>1</v>
      </c>
      <c r="AY3" s="31"/>
      <c r="AZ3" s="28"/>
      <c r="BA3" s="31"/>
      <c r="BB3" s="31"/>
      <c r="BC3" s="34"/>
      <c r="BD3" s="31"/>
      <c r="BE3" s="35"/>
      <c r="BF3" s="31"/>
      <c r="BG3" s="36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7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105</v>
      </c>
      <c r="F4" s="26" t="s">
        <v>106</v>
      </c>
      <c r="G4" s="26" t="s">
        <v>106</v>
      </c>
      <c r="H4" s="25"/>
      <c r="I4" s="25">
        <f t="shared" ref="I4:I6" si="3">LEN(F4)</f>
        <v>13</v>
      </c>
      <c r="J4" s="25" t="str">
        <f t="shared" si="1"/>
        <v>Сраб.сигн ДТО</v>
      </c>
      <c r="K4" s="23" t="s">
        <v>107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>
        <v>0</v>
      </c>
      <c r="AX4" s="31">
        <f t="shared" ref="AX4:AX37" si="5">BIN2DEC(CONCATENATE(0,0,0,0,AT4,AU4,AV4,AW4))</f>
        <v>0</v>
      </c>
      <c r="AY4" s="31"/>
      <c r="AZ4" s="28"/>
      <c r="BA4" s="31"/>
      <c r="BB4" s="31"/>
      <c r="BC4" s="34"/>
      <c r="BD4" s="31"/>
      <c r="BE4" s="35"/>
      <c r="BF4" s="31"/>
      <c r="BG4" s="36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ДТО", note: "Срабатывание ДТО на сигнал", group: "measurement", minValue: null, maxValue: null, step: null, units: "null", defaultValue: null, eventRegistration: 0</v>
      </c>
      <c r="BH4" s="37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108</v>
      </c>
      <c r="F5" s="26" t="s">
        <v>109</v>
      </c>
      <c r="G5" s="26" t="s">
        <v>109</v>
      </c>
      <c r="H5" s="25"/>
      <c r="I5" s="25">
        <f t="shared" si="3"/>
        <v>14</v>
      </c>
      <c r="J5" s="25" t="str">
        <f t="shared" si="1"/>
        <v>Сраб.сигн ДТЗт</v>
      </c>
      <c r="K5" s="23" t="s">
        <v>110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>
        <v>0</v>
      </c>
      <c r="AX5" s="31">
        <f t="shared" si="5"/>
        <v>0</v>
      </c>
      <c r="AY5" s="31"/>
      <c r="AZ5" s="28"/>
      <c r="BA5" s="31"/>
      <c r="BB5" s="31"/>
      <c r="BC5" s="34"/>
      <c r="BD5" s="31"/>
      <c r="BE5" s="35"/>
      <c r="BF5" s="31"/>
      <c r="BG5" s="36" t="str">
        <f t="shared" si="6"/>
        <v>description: "Сраб.сигн ДТЗт", note: "Срабатывание ДТЗт на сигнал", group: "measurement", minValue: null, maxValue: null, step: null, units: "null", defaultValue: null, eventRegistration: 0</v>
      </c>
      <c r="BH5" s="37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111</v>
      </c>
      <c r="F6" s="26" t="s">
        <v>112</v>
      </c>
      <c r="G6" s="26" t="s">
        <v>112</v>
      </c>
      <c r="H6" s="25"/>
      <c r="I6" s="25">
        <f t="shared" si="3"/>
        <v>12</v>
      </c>
      <c r="J6" s="25" t="str">
        <f t="shared" si="1"/>
        <v>Сраб. КЦТнеб</v>
      </c>
      <c r="K6" s="23" t="s">
        <v>113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>
        <v>0</v>
      </c>
      <c r="AX6" s="31">
        <f t="shared" si="5"/>
        <v>0</v>
      </c>
      <c r="AY6" s="31"/>
      <c r="AZ6" s="28"/>
      <c r="BA6" s="31"/>
      <c r="BB6" s="31"/>
      <c r="BC6" s="34"/>
      <c r="BD6" s="31"/>
      <c r="BE6" s="35"/>
      <c r="BF6" s="31"/>
      <c r="BG6" s="36" t="str">
        <f t="shared" si="6"/>
        <v>description: "Сраб. КЦТнеб", note: "Срабатывание КЦТнеб", group: "measurement", minValue: null, maxValue: null, step: null, units: "null", defaultValue: null, eventRegistration: 0</v>
      </c>
      <c r="BH6" s="37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114</v>
      </c>
      <c r="F7" s="26" t="s">
        <v>115</v>
      </c>
      <c r="G7" s="26" t="s">
        <v>115</v>
      </c>
      <c r="H7" s="25"/>
      <c r="I7" s="25">
        <f t="shared" ref="I7:I8" si="7">LEN(F7)</f>
        <v>9</v>
      </c>
      <c r="J7" s="25" t="str">
        <f t="shared" si="1"/>
        <v>Сраб. КЦТ</v>
      </c>
      <c r="K7" s="23" t="s">
        <v>116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>
        <v>0</v>
      </c>
      <c r="AX7" s="31">
        <f t="shared" si="5"/>
        <v>0</v>
      </c>
      <c r="AY7" s="31"/>
      <c r="AZ7" s="28"/>
      <c r="BA7" s="31"/>
      <c r="BB7" s="31"/>
      <c r="BC7" s="34"/>
      <c r="BD7" s="31"/>
      <c r="BE7" s="35"/>
      <c r="BF7" s="31"/>
      <c r="BG7" s="36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 КЦТ", note: "Срабатывание КЦТ", group: "measurement", minValue: null, maxValue: null, step: null, units: "null", defaultValue: null, eventRegistration: 0</v>
      </c>
      <c r="BH7" s="37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117</v>
      </c>
      <c r="F8" s="26" t="s">
        <v>118</v>
      </c>
      <c r="G8" s="26" t="s">
        <v>118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81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>
        <v>0</v>
      </c>
      <c r="AX8" s="31">
        <f t="shared" si="5"/>
        <v>0</v>
      </c>
      <c r="AY8" s="31"/>
      <c r="AZ8" s="28"/>
      <c r="BA8" s="31"/>
      <c r="BB8" s="31"/>
      <c r="BC8" s="34"/>
      <c r="BD8" s="31"/>
      <c r="BE8" s="35"/>
      <c r="BF8" s="31"/>
      <c r="BG8" s="36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7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119</v>
      </c>
      <c r="F9" s="26" t="s">
        <v>120</v>
      </c>
      <c r="G9" s="26" t="s">
        <v>120</v>
      </c>
      <c r="H9" s="25"/>
      <c r="I9" s="25">
        <f t="shared" ref="I9:I33" si="10">LEN(F9)</f>
        <v>19</v>
      </c>
      <c r="J9" s="25" t="str">
        <f t="shared" ref="J9:J33" si="11">IF(LEN(F9)&lt;=$J$1,F9,"")</f>
        <v>Сраб.сигн ЛО ГЗоткл</v>
      </c>
      <c r="K9" s="23" t="s">
        <v>121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2">BIN2DEC(CONCATENATE(0,0,0,0,AR9,AS9,AT9,AU9))</f>
        <v>0</v>
      </c>
      <c r="AW9" s="31">
        <v>0</v>
      </c>
      <c r="AX9" s="31">
        <f t="shared" si="5"/>
        <v>0</v>
      </c>
      <c r="AY9" s="31"/>
      <c r="AZ9" s="28"/>
      <c r="BA9" s="31"/>
      <c r="BB9" s="31"/>
      <c r="BC9" s="34"/>
      <c r="BD9" s="31"/>
      <c r="BE9" s="35"/>
      <c r="BF9" s="31"/>
      <c r="BG9" s="36" t="str">
        <f t="shared" ref="BG9:BG33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7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122</v>
      </c>
      <c r="F10" s="26" t="s">
        <v>123</v>
      </c>
      <c r="G10" s="26" t="s">
        <v>123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124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>
        <v>0</v>
      </c>
      <c r="AX10" s="31">
        <f t="shared" si="5"/>
        <v>0</v>
      </c>
      <c r="AY10" s="31"/>
      <c r="AZ10" s="28"/>
      <c r="BA10" s="31"/>
      <c r="BB10" s="31"/>
      <c r="BC10" s="34"/>
      <c r="BD10" s="31"/>
      <c r="BE10" s="35"/>
      <c r="BF10" s="31"/>
      <c r="BG10" s="36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7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125</v>
      </c>
      <c r="F11" s="26" t="s">
        <v>126</v>
      </c>
      <c r="G11" s="26" t="s">
        <v>126</v>
      </c>
      <c r="H11" s="25"/>
      <c r="I11" s="25">
        <f t="shared" si="10"/>
        <v>16</v>
      </c>
      <c r="J11" s="25" t="str">
        <f t="shared" si="11"/>
        <v>Сраб.сигн ЛО ДТм</v>
      </c>
      <c r="K11" s="23" t="s">
        <v>82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>
        <v>0</v>
      </c>
      <c r="AX11" s="31">
        <f t="shared" si="5"/>
        <v>0</v>
      </c>
      <c r="AY11" s="31"/>
      <c r="AZ11" s="28"/>
      <c r="BA11" s="31"/>
      <c r="BB11" s="31"/>
      <c r="BC11" s="34"/>
      <c r="BD11" s="31"/>
      <c r="BE11" s="35"/>
      <c r="BF11" s="31"/>
      <c r="BG11" s="36" t="str">
        <f t="shared" si="13"/>
        <v>description: "Сраб.сигн ЛО ДТм", note: "Срабатывание ЛО ДТм", group: "measurement", minValue: null, maxValue: null, step: null, units: "null", defaultValue: null, eventRegistration: 0</v>
      </c>
      <c r="BH11" s="37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127</v>
      </c>
      <c r="F12" s="26" t="s">
        <v>128</v>
      </c>
      <c r="G12" s="26" t="s">
        <v>128</v>
      </c>
      <c r="H12" s="25"/>
      <c r="I12" s="25">
        <f t="shared" si="10"/>
        <v>16</v>
      </c>
      <c r="J12" s="25" t="str">
        <f t="shared" si="11"/>
        <v>Сраб.сигн ЛО ДТо</v>
      </c>
      <c r="K12" s="23" t="s">
        <v>83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>
        <v>0</v>
      </c>
      <c r="AX12" s="31">
        <f t="shared" si="5"/>
        <v>0</v>
      </c>
      <c r="AY12" s="31"/>
      <c r="AZ12" s="28"/>
      <c r="BA12" s="31"/>
      <c r="BB12" s="31"/>
      <c r="BC12" s="34"/>
      <c r="BD12" s="31"/>
      <c r="BE12" s="35"/>
      <c r="BF12" s="31"/>
      <c r="BG12" s="36" t="str">
        <f t="shared" si="13"/>
        <v>description: "Сраб.сигн ЛО ДТо", note: "Срабатывание ЛО ДТо", group: "measurement", minValue: null, maxValue: null, step: null, units: "null", defaultValue: null, eventRegistration: 0</v>
      </c>
      <c r="BH12" s="37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129</v>
      </c>
      <c r="F13" s="26" t="s">
        <v>130</v>
      </c>
      <c r="G13" s="26" t="s">
        <v>130</v>
      </c>
      <c r="H13" s="25"/>
      <c r="I13" s="25">
        <f t="shared" si="10"/>
        <v>15</v>
      </c>
      <c r="J13" s="25" t="str">
        <f t="shared" si="11"/>
        <v>Сраб.сигн ЛО РД</v>
      </c>
      <c r="K13" s="23" t="s">
        <v>84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>
        <v>0</v>
      </c>
      <c r="AX13" s="31">
        <f t="shared" si="5"/>
        <v>0</v>
      </c>
      <c r="AY13" s="31"/>
      <c r="AZ13" s="28"/>
      <c r="BA13" s="31"/>
      <c r="BB13" s="31"/>
      <c r="BC13" s="34"/>
      <c r="BD13" s="31"/>
      <c r="BE13" s="35"/>
      <c r="BF13" s="31"/>
      <c r="BG13" s="36" t="str">
        <f t="shared" si="13"/>
        <v>description: "Сраб.сигн ЛО РД", note: "Срабатывание ЛО РД на сигнал", group: "measurement", minValue: null, maxValue: null, step: null, units: "null", defaultValue: null, eventRegistration: 0</v>
      </c>
      <c r="BH13" s="37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131</v>
      </c>
      <c r="F14" s="26" t="s">
        <v>132</v>
      </c>
      <c r="G14" s="26" t="s">
        <v>132</v>
      </c>
      <c r="H14" s="25"/>
      <c r="I14" s="25">
        <f t="shared" si="10"/>
        <v>15</v>
      </c>
      <c r="J14" s="25" t="str">
        <f t="shared" si="11"/>
        <v>Сраб.сигн ЛО ПК</v>
      </c>
      <c r="K14" s="23" t="s">
        <v>133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>
        <v>0</v>
      </c>
      <c r="AX14" s="31">
        <f t="shared" si="5"/>
        <v>0</v>
      </c>
      <c r="AY14" s="31"/>
      <c r="AZ14" s="28"/>
      <c r="BA14" s="31"/>
      <c r="BB14" s="31"/>
      <c r="BC14" s="34"/>
      <c r="BD14" s="31"/>
      <c r="BE14" s="35"/>
      <c r="BF14" s="31"/>
      <c r="BG14" s="36" t="str">
        <f t="shared" si="13"/>
        <v>description: "Сраб.сигн ЛО ПК", note: "Срабатывание ЛО ПК на сигнал", group: "measurement", minValue: null, maxValue: null, step: null, units: "null", defaultValue: null, eventRegistration: 0</v>
      </c>
      <c r="BH14" s="37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134</v>
      </c>
      <c r="F15" s="26" t="s">
        <v>135</v>
      </c>
      <c r="G15" s="26" t="s">
        <v>135</v>
      </c>
      <c r="H15" s="25"/>
      <c r="I15" s="25">
        <f t="shared" si="10"/>
        <v>15</v>
      </c>
      <c r="J15" s="25" t="str">
        <f t="shared" si="11"/>
        <v>Сраб.сигн ЛО ОК</v>
      </c>
      <c r="K15" s="23" t="s">
        <v>136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>
        <v>0</v>
      </c>
      <c r="AX15" s="31">
        <f t="shared" si="5"/>
        <v>0</v>
      </c>
      <c r="AY15" s="31"/>
      <c r="AZ15" s="28"/>
      <c r="BA15" s="31"/>
      <c r="BB15" s="31"/>
      <c r="BC15" s="34"/>
      <c r="BD15" s="31"/>
      <c r="BE15" s="35"/>
      <c r="BF15" s="31"/>
      <c r="BG15" s="36" t="str">
        <f t="shared" si="13"/>
        <v>description: "Сраб.сигн ЛО ОК", note: "Срабатывание ЛО ОК на сигнал", group: "measurement", minValue: null, maxValue: null, step: null, units: "null", defaultValue: null, eventRegistration: 0</v>
      </c>
      <c r="BH15" s="37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137</v>
      </c>
      <c r="F16" s="26" t="s">
        <v>138</v>
      </c>
      <c r="G16" s="26" t="s">
        <v>138</v>
      </c>
      <c r="H16" s="25"/>
      <c r="I16" s="25">
        <f t="shared" si="10"/>
        <v>18</v>
      </c>
      <c r="J16" s="25" t="str">
        <f t="shared" si="11"/>
        <v>Сраб.сигн ЛО ДУм Р</v>
      </c>
      <c r="K16" s="23" t="s">
        <v>139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>
        <v>0</v>
      </c>
      <c r="AX16" s="31">
        <f t="shared" si="5"/>
        <v>0</v>
      </c>
      <c r="AY16" s="31"/>
      <c r="AZ16" s="28"/>
      <c r="BA16" s="31"/>
      <c r="BB16" s="31"/>
      <c r="BC16" s="34"/>
      <c r="BD16" s="31"/>
      <c r="BE16" s="35"/>
      <c r="BF16" s="31"/>
      <c r="BG16" s="36" t="str">
        <f t="shared" si="13"/>
        <v>description: "Сраб.сигн ЛО ДУм Р", note: "Срабатывание ЛО ДУм расширителя на сигнал", group: "measurement", minValue: null, maxValue: null, step: null, units: "null", defaultValue: null, eventRegistration: 0</v>
      </c>
      <c r="BH16" s="37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140</v>
      </c>
      <c r="F17" s="26" t="s">
        <v>141</v>
      </c>
      <c r="G17" s="26" t="s">
        <v>141</v>
      </c>
      <c r="H17" s="25"/>
      <c r="I17" s="25">
        <f t="shared" si="10"/>
        <v>13</v>
      </c>
      <c r="J17" s="25" t="str">
        <f t="shared" si="11"/>
        <v>Сраб.сигн ЗПО</v>
      </c>
      <c r="K17" s="23" t="s">
        <v>142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>
        <v>0</v>
      </c>
      <c r="AX17" s="31">
        <f t="shared" si="5"/>
        <v>0</v>
      </c>
      <c r="AY17" s="31"/>
      <c r="AZ17" s="28"/>
      <c r="BA17" s="31"/>
      <c r="BB17" s="31"/>
      <c r="BC17" s="34"/>
      <c r="BD17" s="31"/>
      <c r="BE17" s="35"/>
      <c r="BF17" s="31"/>
      <c r="BG17" s="36" t="str">
        <f t="shared" si="13"/>
        <v>description: "Сраб.сигн ЗПО", note: "Срабатывание ЗПО на сигнал", group: "measurement", minValue: null, maxValue: null, step: null, units: "null", defaultValue: null, eventRegistration: 0</v>
      </c>
      <c r="BH17" s="37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143</v>
      </c>
      <c r="F18" s="26" t="s">
        <v>144</v>
      </c>
      <c r="G18" s="26" t="s">
        <v>144</v>
      </c>
      <c r="H18" s="25"/>
      <c r="I18" s="25">
        <f t="shared" si="10"/>
        <v>11</v>
      </c>
      <c r="J18" s="25" t="str">
        <f t="shared" si="11"/>
        <v>Сраб. ЗП ВН</v>
      </c>
      <c r="K18" s="23" t="s">
        <v>145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>
        <v>0</v>
      </c>
      <c r="AX18" s="31">
        <f t="shared" si="5"/>
        <v>0</v>
      </c>
      <c r="AY18" s="31"/>
      <c r="AZ18" s="28"/>
      <c r="BA18" s="31"/>
      <c r="BB18" s="31"/>
      <c r="BC18" s="34"/>
      <c r="BD18" s="31"/>
      <c r="BE18" s="35"/>
      <c r="BF18" s="31"/>
      <c r="BG18" s="36" t="str">
        <f t="shared" si="13"/>
        <v>description: "Сраб. ЗП ВН", note: "Срабатывание ЗП ВН", group: "measurement", minValue: null, maxValue: null, step: null, units: "null", defaultValue: null, eventRegistration: 0</v>
      </c>
      <c r="BH18" s="37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146</v>
      </c>
      <c r="F19" s="26" t="s">
        <v>147</v>
      </c>
      <c r="G19" s="26" t="s">
        <v>147</v>
      </c>
      <c r="H19" s="25"/>
      <c r="I19" s="25">
        <f t="shared" si="10"/>
        <v>16</v>
      </c>
      <c r="J19" s="25" t="str">
        <f t="shared" si="11"/>
        <v>Сраб. ЗП СН(НН1)</v>
      </c>
      <c r="K19" s="23" t="s">
        <v>148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>
        <v>0</v>
      </c>
      <c r="AX19" s="31">
        <f t="shared" si="5"/>
        <v>0</v>
      </c>
      <c r="AY19" s="31"/>
      <c r="AZ19" s="28"/>
      <c r="BA19" s="31"/>
      <c r="BB19" s="31"/>
      <c r="BC19" s="34"/>
      <c r="BD19" s="31"/>
      <c r="BE19" s="35"/>
      <c r="BF19" s="31"/>
      <c r="BG19" s="36" t="str">
        <f t="shared" si="13"/>
        <v>description: "Сраб. ЗП СН(НН1)", note: "Срабатывание ЗП CН (НН1)", group: "measurement", minValue: null, maxValue: null, step: null, units: "null", defaultValue: null, eventRegistration: 0</v>
      </c>
      <c r="BH19" s="37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149</v>
      </c>
      <c r="F20" s="26" t="s">
        <v>150</v>
      </c>
      <c r="G20" s="26" t="s">
        <v>150</v>
      </c>
      <c r="H20" s="25"/>
      <c r="I20" s="25">
        <f t="shared" si="10"/>
        <v>16</v>
      </c>
      <c r="J20" s="25" t="str">
        <f t="shared" si="11"/>
        <v>Сраб. ЗП НН(НН2)</v>
      </c>
      <c r="K20" s="23" t="s">
        <v>151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>
        <v>0</v>
      </c>
      <c r="AX20" s="31">
        <f t="shared" si="5"/>
        <v>0</v>
      </c>
      <c r="AY20" s="31"/>
      <c r="AZ20" s="28"/>
      <c r="BA20" s="31"/>
      <c r="BB20" s="31"/>
      <c r="BC20" s="34"/>
      <c r="BD20" s="31"/>
      <c r="BE20" s="35"/>
      <c r="BF20" s="31"/>
      <c r="BG20" s="36" t="str">
        <f t="shared" si="13"/>
        <v>description: "Сраб. ЗП НН(НН2)", note: "Срабатывание ЗП НН (НН2)", group: "measurement", minValue: null, maxValue: null, step: null, units: "null", defaultValue: null, eventRegistration: 0</v>
      </c>
      <c r="BH20" s="37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152</v>
      </c>
      <c r="F21" s="26" t="s">
        <v>153</v>
      </c>
      <c r="G21" s="26" t="s">
        <v>153</v>
      </c>
      <c r="H21" s="25"/>
      <c r="I21" s="25">
        <f t="shared" si="10"/>
        <v>10</v>
      </c>
      <c r="J21" s="25" t="str">
        <f t="shared" si="11"/>
        <v>Сраб. ЛО Т</v>
      </c>
      <c r="K21" s="23" t="s">
        <v>154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>
        <v>0</v>
      </c>
      <c r="AX21" s="31">
        <f t="shared" si="5"/>
        <v>0</v>
      </c>
      <c r="AY21" s="31"/>
      <c r="AZ21" s="28"/>
      <c r="BA21" s="31"/>
      <c r="BB21" s="31"/>
      <c r="BC21" s="34"/>
      <c r="BD21" s="31"/>
      <c r="BE21" s="35"/>
      <c r="BF21" s="31"/>
      <c r="BG21" s="36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21" s="37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155</v>
      </c>
      <c r="F22" s="26" t="s">
        <v>156</v>
      </c>
      <c r="G22" s="26" t="s">
        <v>156</v>
      </c>
      <c r="H22" s="25"/>
      <c r="I22" s="25">
        <f t="shared" si="10"/>
        <v>13</v>
      </c>
      <c r="J22" s="25" t="str">
        <f t="shared" si="11"/>
        <v>Сраб. УРОВ ВН</v>
      </c>
      <c r="K22" s="23" t="s">
        <v>157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>
        <v>0</v>
      </c>
      <c r="AX22" s="31">
        <f t="shared" si="5"/>
        <v>0</v>
      </c>
      <c r="AY22" s="31"/>
      <c r="AZ22" s="28"/>
      <c r="BA22" s="31"/>
      <c r="BB22" s="31"/>
      <c r="BC22" s="34"/>
      <c r="BD22" s="31"/>
      <c r="BE22" s="35"/>
      <c r="BF22" s="31"/>
      <c r="BG22" s="36" t="str">
        <f t="shared" si="13"/>
        <v>description: "Сраб. УРОВ ВН", note: "Срабатывание УРОВ ВН", group: "measurement", minValue: null, maxValue: null, step: null, units: "null", defaultValue: null, eventRegistration: 0</v>
      </c>
      <c r="BH22" s="37"/>
    </row>
    <row r="23" spans="1:60" s="1" customFormat="1" ht="16.5" customHeight="1" x14ac:dyDescent="0.25">
      <c r="A23" s="23"/>
      <c r="B23" s="23" t="s">
        <v>50</v>
      </c>
      <c r="C23" s="24"/>
      <c r="D23" s="2"/>
      <c r="E23" s="62" t="s">
        <v>241</v>
      </c>
      <c r="F23" s="26" t="s">
        <v>158</v>
      </c>
      <c r="G23" s="26" t="s">
        <v>158</v>
      </c>
      <c r="H23" s="25"/>
      <c r="I23" s="25">
        <f t="shared" si="10"/>
        <v>19</v>
      </c>
      <c r="J23" s="25" t="str">
        <f t="shared" si="11"/>
        <v>Сраб.УРОВвн на себя</v>
      </c>
      <c r="K23" s="23" t="s">
        <v>159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>
        <v>0</v>
      </c>
      <c r="AX23" s="31">
        <f t="shared" si="5"/>
        <v>0</v>
      </c>
      <c r="AY23" s="31"/>
      <c r="AZ23" s="28"/>
      <c r="BA23" s="31"/>
      <c r="BB23" s="31"/>
      <c r="BC23" s="34"/>
      <c r="BD23" s="31"/>
      <c r="BE23" s="35"/>
      <c r="BF23" s="31"/>
      <c r="BG23" s="36" t="str">
        <f t="shared" si="13"/>
        <v>description: "Сраб.УРОВвн на себя", note: "Срабатывание УРОВ на «себя»", group: "measurement", minValue: null, maxValue: null, step: null, units: "null", defaultValue: null, eventRegistration: 0</v>
      </c>
      <c r="BH23" s="37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160</v>
      </c>
      <c r="F24" s="26" t="s">
        <v>161</v>
      </c>
      <c r="G24" s="26" t="s">
        <v>161</v>
      </c>
      <c r="H24" s="25"/>
      <c r="I24" s="25">
        <f t="shared" si="10"/>
        <v>7</v>
      </c>
      <c r="J24" s="25" t="str">
        <f t="shared" si="11"/>
        <v>ГЗ сигн</v>
      </c>
      <c r="K24" s="23" t="s">
        <v>162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>
        <v>0</v>
      </c>
      <c r="AX24" s="31">
        <f t="shared" si="5"/>
        <v>0</v>
      </c>
      <c r="AY24" s="31"/>
      <c r="AZ24" s="28"/>
      <c r="BA24" s="31"/>
      <c r="BB24" s="31"/>
      <c r="BC24" s="34"/>
      <c r="BD24" s="31"/>
      <c r="BE24" s="35"/>
      <c r="BF24" s="31"/>
      <c r="BG24" s="36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4" s="37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163</v>
      </c>
      <c r="F25" s="26" t="s">
        <v>164</v>
      </c>
      <c r="G25" s="26" t="s">
        <v>164</v>
      </c>
      <c r="H25" s="25"/>
      <c r="I25" s="25">
        <f t="shared" si="10"/>
        <v>12</v>
      </c>
      <c r="J25" s="25" t="str">
        <f t="shared" si="11"/>
        <v>Низ.изол. ГЗ</v>
      </c>
      <c r="K25" s="23" t="s">
        <v>165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>
        <v>0</v>
      </c>
      <c r="AX25" s="31">
        <f t="shared" si="5"/>
        <v>0</v>
      </c>
      <c r="AY25" s="31"/>
      <c r="AZ25" s="28"/>
      <c r="BA25" s="31"/>
      <c r="BB25" s="31"/>
      <c r="BC25" s="34"/>
      <c r="BD25" s="31"/>
      <c r="BE25" s="35"/>
      <c r="BF25" s="31"/>
      <c r="BG25" s="36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5" s="37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166</v>
      </c>
      <c r="F26" s="26" t="s">
        <v>166</v>
      </c>
      <c r="G26" s="26" t="s">
        <v>166</v>
      </c>
      <c r="H26" s="25"/>
      <c r="I26" s="25">
        <f t="shared" si="10"/>
        <v>16</v>
      </c>
      <c r="J26" s="25" t="str">
        <f t="shared" si="11"/>
        <v>ГЗ заблокирована</v>
      </c>
      <c r="K26" s="23" t="s">
        <v>167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>
        <v>0</v>
      </c>
      <c r="AX26" s="31">
        <f t="shared" si="5"/>
        <v>0</v>
      </c>
      <c r="AY26" s="31"/>
      <c r="AZ26" s="28"/>
      <c r="BA26" s="31"/>
      <c r="BB26" s="31"/>
      <c r="BC26" s="34"/>
      <c r="BD26" s="31"/>
      <c r="BE26" s="35"/>
      <c r="BF26" s="31"/>
      <c r="BG26" s="36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6" s="37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168</v>
      </c>
      <c r="F27" s="26" t="s">
        <v>169</v>
      </c>
      <c r="G27" s="26" t="s">
        <v>169</v>
      </c>
      <c r="H27" s="25"/>
      <c r="I27" s="25">
        <f t="shared" si="10"/>
        <v>7</v>
      </c>
      <c r="J27" s="25" t="str">
        <f t="shared" si="11"/>
        <v>ТЗ сигн</v>
      </c>
      <c r="K27" s="23" t="s">
        <v>170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>
        <v>0</v>
      </c>
      <c r="AX27" s="31">
        <f t="shared" si="5"/>
        <v>0</v>
      </c>
      <c r="AY27" s="31"/>
      <c r="AZ27" s="28"/>
      <c r="BA27" s="31"/>
      <c r="BB27" s="31"/>
      <c r="BC27" s="34"/>
      <c r="BD27" s="31"/>
      <c r="BE27" s="35"/>
      <c r="BF27" s="31"/>
      <c r="BG27" s="36" t="str">
        <f t="shared" si="13"/>
        <v>description: "ТЗ сигн", note: "Сигнализация от ТЗ", group: "measurement", minValue: null, maxValue: null, step: null, units: "null", defaultValue: null, eventRegistration: 0</v>
      </c>
      <c r="BH27" s="37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171</v>
      </c>
      <c r="F28" s="26" t="s">
        <v>172</v>
      </c>
      <c r="G28" s="26" t="s">
        <v>172</v>
      </c>
      <c r="H28" s="25"/>
      <c r="I28" s="25">
        <f t="shared" si="10"/>
        <v>12</v>
      </c>
      <c r="J28" s="25" t="str">
        <f t="shared" si="11"/>
        <v>Низ.изол. ТЗ</v>
      </c>
      <c r="K28" s="23" t="s">
        <v>173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>
        <v>0</v>
      </c>
      <c r="AX28" s="31">
        <f t="shared" si="5"/>
        <v>0</v>
      </c>
      <c r="AY28" s="31"/>
      <c r="AZ28" s="28"/>
      <c r="BA28" s="31"/>
      <c r="BB28" s="31"/>
      <c r="BC28" s="34"/>
      <c r="BD28" s="31"/>
      <c r="BE28" s="35"/>
      <c r="BF28" s="31"/>
      <c r="BG28" s="36" t="str">
        <f t="shared" si="13"/>
        <v>description: "Низ.изол. ТЗ", note: "Низкая изоляция ТЗ", group: "measurement", minValue: null, maxValue: null, step: null, units: "null", defaultValue: null, eventRegistration: 0</v>
      </c>
      <c r="BH28" s="37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174</v>
      </c>
      <c r="F29" s="26" t="s">
        <v>174</v>
      </c>
      <c r="G29" s="26" t="s">
        <v>174</v>
      </c>
      <c r="H29" s="25"/>
      <c r="I29" s="25">
        <f t="shared" si="10"/>
        <v>16</v>
      </c>
      <c r="J29" s="25" t="str">
        <f t="shared" si="11"/>
        <v>ТЗ заблокирована</v>
      </c>
      <c r="K29" s="23" t="s">
        <v>175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>
        <v>0</v>
      </c>
      <c r="AX29" s="31">
        <f t="shared" si="5"/>
        <v>0</v>
      </c>
      <c r="AY29" s="31"/>
      <c r="AZ29" s="28"/>
      <c r="BA29" s="31"/>
      <c r="BB29" s="31"/>
      <c r="BC29" s="34"/>
      <c r="BD29" s="31"/>
      <c r="BE29" s="35"/>
      <c r="BF29" s="31"/>
      <c r="BG29" s="36" t="str">
        <f t="shared" si="13"/>
        <v>description: "ТЗ заблокирована", note: "ТЗ заблокирована", group: "measurement", minValue: null, maxValue: null, step: null, units: "null", defaultValue: null, eventRegistration: 0</v>
      </c>
      <c r="BH29" s="37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176</v>
      </c>
      <c r="F30" s="26" t="s">
        <v>177</v>
      </c>
      <c r="G30" s="26" t="s">
        <v>177</v>
      </c>
      <c r="H30" s="25"/>
      <c r="I30" s="25">
        <f t="shared" si="10"/>
        <v>7</v>
      </c>
      <c r="J30" s="25" t="str">
        <f t="shared" si="11"/>
        <v>ТС сигн</v>
      </c>
      <c r="K30" s="23" t="s">
        <v>178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>
        <v>0</v>
      </c>
      <c r="AX30" s="31">
        <f t="shared" si="5"/>
        <v>0</v>
      </c>
      <c r="AY30" s="31"/>
      <c r="AZ30" s="28"/>
      <c r="BA30" s="31"/>
      <c r="BB30" s="31"/>
      <c r="BC30" s="34"/>
      <c r="BD30" s="31"/>
      <c r="BE30" s="35"/>
      <c r="BF30" s="31"/>
      <c r="BG30" s="36" t="str">
        <f t="shared" si="13"/>
        <v>description: "ТС сигн", note: "Сигнализация от ТС", group: "measurement", minValue: null, maxValue: null, step: null, units: "null", defaultValue: null, eventRegistration: 0</v>
      </c>
      <c r="BH30" s="37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179</v>
      </c>
      <c r="F31" s="26" t="s">
        <v>180</v>
      </c>
      <c r="G31" s="26" t="s">
        <v>180</v>
      </c>
      <c r="H31" s="25"/>
      <c r="I31" s="25">
        <f t="shared" si="10"/>
        <v>7</v>
      </c>
      <c r="J31" s="25" t="str">
        <f t="shared" si="11"/>
        <v>ОТ сигн</v>
      </c>
      <c r="K31" s="23" t="s">
        <v>181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>
        <v>0</v>
      </c>
      <c r="AX31" s="31">
        <f t="shared" si="5"/>
        <v>0</v>
      </c>
      <c r="AY31" s="31"/>
      <c r="AZ31" s="28"/>
      <c r="BA31" s="31"/>
      <c r="BB31" s="31"/>
      <c r="BC31" s="34"/>
      <c r="BD31" s="31"/>
      <c r="BE31" s="35"/>
      <c r="BF31" s="31"/>
      <c r="BG31" s="36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31" s="37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182</v>
      </c>
      <c r="F32" s="26" t="s">
        <v>183</v>
      </c>
      <c r="G32" s="26" t="s">
        <v>183</v>
      </c>
      <c r="H32" s="25"/>
      <c r="I32" s="25">
        <f t="shared" si="10"/>
        <v>10</v>
      </c>
      <c r="J32" s="25" t="str">
        <f t="shared" si="11"/>
        <v>ОТ НН сигн</v>
      </c>
      <c r="K32" s="23" t="s">
        <v>184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2"/>
        <v>0</v>
      </c>
      <c r="AW32" s="31">
        <v>0</v>
      </c>
      <c r="AX32" s="31">
        <f t="shared" si="5"/>
        <v>0</v>
      </c>
      <c r="AY32" s="31"/>
      <c r="AZ32" s="28"/>
      <c r="BA32" s="31"/>
      <c r="BB32" s="31"/>
      <c r="BC32" s="34"/>
      <c r="BD32" s="31"/>
      <c r="BE32" s="35"/>
      <c r="BF32" s="31"/>
      <c r="BG32" s="36" t="str">
        <f t="shared" si="13"/>
        <v>description: "ОТ НН сигн", note: "Контроль оперативного тока НН", group: "measurement", minValue: null, maxValue: null, step: null, units: "null", defaultValue: null, eventRegistration: 0</v>
      </c>
      <c r="BH32" s="37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185</v>
      </c>
      <c r="F33" s="26" t="s">
        <v>186</v>
      </c>
      <c r="G33" s="26" t="s">
        <v>186</v>
      </c>
      <c r="H33" s="25"/>
      <c r="I33" s="25">
        <f t="shared" si="10"/>
        <v>10</v>
      </c>
      <c r="J33" s="25" t="str">
        <f t="shared" si="11"/>
        <v>Внеш. откл</v>
      </c>
      <c r="K33" s="23" t="s">
        <v>187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2"/>
        <v>0</v>
      </c>
      <c r="AW33" s="31">
        <v>0</v>
      </c>
      <c r="AX33" s="31">
        <f t="shared" si="5"/>
        <v>0</v>
      </c>
      <c r="AY33" s="31"/>
      <c r="AZ33" s="28"/>
      <c r="BA33" s="31"/>
      <c r="BB33" s="31"/>
      <c r="BC33" s="34"/>
      <c r="BD33" s="31"/>
      <c r="BE33" s="35"/>
      <c r="BF33" s="31"/>
      <c r="BG33" s="36" t="str">
        <f t="shared" si="13"/>
        <v>description: "Внеш. откл", note: "Внешнее отключение", group: "measurement", minValue: null, maxValue: null, step: null, units: "null", defaultValue: null, eventRegistration: 0</v>
      </c>
      <c r="BH33" s="37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188</v>
      </c>
      <c r="F34" s="26" t="s">
        <v>189</v>
      </c>
      <c r="G34" s="26" t="s">
        <v>189</v>
      </c>
      <c r="H34" s="25"/>
      <c r="I34" s="25">
        <f t="shared" ref="I34:I37" si="14">LEN(F34)</f>
        <v>18</v>
      </c>
      <c r="J34" s="25" t="str">
        <f t="shared" ref="J34:J37" si="15">IF(LEN(F34)&lt;=$J$1,F34,"")</f>
        <v>Вых.цепи разобраны</v>
      </c>
      <c r="K34" s="23" t="s">
        <v>190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:AV37" si="16">BIN2DEC(CONCATENATE(0,0,0,0,AR34,AS34,AT34,AU34))</f>
        <v>0</v>
      </c>
      <c r="AW34" s="31">
        <v>0</v>
      </c>
      <c r="AX34" s="31">
        <f t="shared" si="5"/>
        <v>0</v>
      </c>
      <c r="AY34" s="31"/>
      <c r="AZ34" s="28"/>
      <c r="BA34" s="31"/>
      <c r="BB34" s="31"/>
      <c r="BC34" s="34"/>
      <c r="BD34" s="31"/>
      <c r="BE34" s="35"/>
      <c r="BF34" s="31"/>
      <c r="BG34" s="36" t="str">
        <f t="shared" ref="BG34:BG37" si="17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"Вых.цепи разобраны", note: "Выходные цепи разобраны", group: "measurement", minValue: null, maxValue: null, step: null, units: "null", defaultValue: null, eventRegistration: 0</v>
      </c>
      <c r="BH34" s="37"/>
    </row>
    <row r="35" spans="1:60" s="1" customFormat="1" ht="16.5" customHeight="1" x14ac:dyDescent="0.25">
      <c r="A35" s="23"/>
      <c r="B35" s="23" t="s">
        <v>50</v>
      </c>
      <c r="C35" s="24"/>
      <c r="D35" s="2"/>
      <c r="E35" s="25" t="s">
        <v>191</v>
      </c>
      <c r="F35" s="26" t="s">
        <v>191</v>
      </c>
      <c r="G35" s="26" t="s">
        <v>191</v>
      </c>
      <c r="H35" s="25"/>
      <c r="I35" s="25">
        <f t="shared" si="14"/>
        <v>11</v>
      </c>
      <c r="J35" s="25" t="str">
        <f t="shared" si="15"/>
        <v>БИ выведены</v>
      </c>
      <c r="K35" s="23" t="s">
        <v>192</v>
      </c>
      <c r="L35" s="27" t="s">
        <v>54</v>
      </c>
      <c r="M35" s="24" t="s">
        <v>51</v>
      </c>
      <c r="N35" s="24" t="s">
        <v>52</v>
      </c>
      <c r="O35" s="24"/>
      <c r="P35" s="28"/>
      <c r="Q35" s="28"/>
      <c r="R35" s="24" t="s">
        <v>53</v>
      </c>
      <c r="S35" s="24" t="s">
        <v>53</v>
      </c>
      <c r="T35" s="24" t="s">
        <v>53</v>
      </c>
      <c r="U35" s="24" t="s">
        <v>53</v>
      </c>
      <c r="V35" s="24"/>
      <c r="W35" s="24"/>
      <c r="X35" s="24" t="s">
        <v>53</v>
      </c>
      <c r="Y35" s="24">
        <v>0</v>
      </c>
      <c r="Z35" s="30"/>
      <c r="AA35" s="31">
        <v>0</v>
      </c>
      <c r="AB35" s="31"/>
      <c r="AC35" s="31"/>
      <c r="AD35" s="31"/>
      <c r="AE35" s="31"/>
      <c r="AF35" s="31">
        <v>0</v>
      </c>
      <c r="AG35" s="31">
        <v>0</v>
      </c>
      <c r="AH35" s="31">
        <v>0</v>
      </c>
      <c r="AI35" s="32"/>
      <c r="AJ35" s="33"/>
      <c r="AK35" s="33"/>
      <c r="AL35" s="33"/>
      <c r="AM35" s="33"/>
      <c r="AN35" s="33"/>
      <c r="AO35" s="33"/>
      <c r="AP35" s="33"/>
      <c r="AQ35" s="33"/>
      <c r="AR35" s="31">
        <v>0</v>
      </c>
      <c r="AS35" s="31">
        <v>0</v>
      </c>
      <c r="AT35" s="31">
        <v>0</v>
      </c>
      <c r="AU35" s="31">
        <v>0</v>
      </c>
      <c r="AV35" s="31">
        <f t="shared" si="16"/>
        <v>0</v>
      </c>
      <c r="AW35" s="31">
        <v>0</v>
      </c>
      <c r="AX35" s="31">
        <f t="shared" si="5"/>
        <v>0</v>
      </c>
      <c r="AY35" s="31"/>
      <c r="AZ35" s="28"/>
      <c r="BA35" s="31"/>
      <c r="BB35" s="31"/>
      <c r="BC35" s="34"/>
      <c r="BD35" s="31"/>
      <c r="BE35" s="35"/>
      <c r="BF35" s="31"/>
      <c r="BG35" s="36" t="str">
        <f t="shared" si="17"/>
        <v>description: "БИ выведены", note: "БИ выведены", group: "measurement", minValue: null, maxValue: null, step: null, units: "null", defaultValue: null, eventRegistration: 0</v>
      </c>
      <c r="BH35" s="37"/>
    </row>
    <row r="36" spans="1:60" s="1" customFormat="1" ht="16.5" customHeight="1" x14ac:dyDescent="0.25">
      <c r="A36" s="23"/>
      <c r="B36" s="23" t="s">
        <v>50</v>
      </c>
      <c r="C36" s="24"/>
      <c r="D36" s="2"/>
      <c r="E36" s="25" t="s">
        <v>193</v>
      </c>
      <c r="F36" s="26" t="s">
        <v>194</v>
      </c>
      <c r="G36" s="26" t="s">
        <v>194</v>
      </c>
      <c r="H36" s="25"/>
      <c r="I36" s="25">
        <f t="shared" si="14"/>
        <v>19</v>
      </c>
      <c r="J36" s="25" t="str">
        <f t="shared" si="15"/>
        <v>Общ. внеш. сигн. СС</v>
      </c>
      <c r="K36" s="23" t="s">
        <v>195</v>
      </c>
      <c r="L36" s="27" t="s">
        <v>54</v>
      </c>
      <c r="M36" s="24" t="s">
        <v>51</v>
      </c>
      <c r="N36" s="24" t="s">
        <v>52</v>
      </c>
      <c r="O36" s="24"/>
      <c r="P36" s="28"/>
      <c r="Q36" s="28"/>
      <c r="R36" s="24" t="s">
        <v>53</v>
      </c>
      <c r="S36" s="24" t="s">
        <v>53</v>
      </c>
      <c r="T36" s="24" t="s">
        <v>53</v>
      </c>
      <c r="U36" s="24" t="s">
        <v>53</v>
      </c>
      <c r="V36" s="24"/>
      <c r="W36" s="24"/>
      <c r="X36" s="24" t="s">
        <v>53</v>
      </c>
      <c r="Y36" s="24">
        <v>0</v>
      </c>
      <c r="Z36" s="30"/>
      <c r="AA36" s="31">
        <v>0</v>
      </c>
      <c r="AB36" s="31"/>
      <c r="AC36" s="31"/>
      <c r="AD36" s="31"/>
      <c r="AE36" s="31"/>
      <c r="AF36" s="31">
        <v>0</v>
      </c>
      <c r="AG36" s="31">
        <v>0</v>
      </c>
      <c r="AH36" s="31">
        <v>0</v>
      </c>
      <c r="AI36" s="32"/>
      <c r="AJ36" s="33"/>
      <c r="AK36" s="33"/>
      <c r="AL36" s="33"/>
      <c r="AM36" s="33"/>
      <c r="AN36" s="33"/>
      <c r="AO36" s="33"/>
      <c r="AP36" s="33"/>
      <c r="AQ36" s="33"/>
      <c r="AR36" s="31">
        <v>0</v>
      </c>
      <c r="AS36" s="31">
        <v>0</v>
      </c>
      <c r="AT36" s="31">
        <v>0</v>
      </c>
      <c r="AU36" s="31">
        <v>0</v>
      </c>
      <c r="AV36" s="31">
        <f t="shared" si="16"/>
        <v>0</v>
      </c>
      <c r="AW36" s="31">
        <v>0</v>
      </c>
      <c r="AX36" s="31">
        <f t="shared" si="5"/>
        <v>0</v>
      </c>
      <c r="AY36" s="31"/>
      <c r="AZ36" s="28"/>
      <c r="BA36" s="31"/>
      <c r="BB36" s="31"/>
      <c r="BC36" s="34"/>
      <c r="BD36" s="31"/>
      <c r="BE36" s="35"/>
      <c r="BF36" s="31"/>
      <c r="BG36" s="36" t="str">
        <f t="shared" si="17"/>
        <v>description: "Общ. внеш. сигн. СС", note: "Общий внешний сигнал от СС", group: "measurement", minValue: null, maxValue: null, step: null, units: "null", defaultValue: null, eventRegistration: 0</v>
      </c>
      <c r="BH36" s="37"/>
    </row>
    <row r="37" spans="1:60" s="1" customFormat="1" ht="16.5" customHeight="1" x14ac:dyDescent="0.25">
      <c r="A37" s="23"/>
      <c r="B37" s="23" t="s">
        <v>50</v>
      </c>
      <c r="C37" s="24"/>
      <c r="D37" s="2"/>
      <c r="E37" s="25" t="s">
        <v>196</v>
      </c>
      <c r="F37" s="26" t="s">
        <v>85</v>
      </c>
      <c r="G37" s="26" t="s">
        <v>85</v>
      </c>
      <c r="H37" s="25"/>
      <c r="I37" s="25">
        <f t="shared" si="14"/>
        <v>3</v>
      </c>
      <c r="J37" s="25" t="str">
        <f t="shared" si="15"/>
        <v>IRF</v>
      </c>
      <c r="K37" s="23" t="s">
        <v>85</v>
      </c>
      <c r="L37" s="27" t="s">
        <v>54</v>
      </c>
      <c r="M37" s="24" t="s">
        <v>51</v>
      </c>
      <c r="N37" s="24" t="s">
        <v>52</v>
      </c>
      <c r="O37" s="24"/>
      <c r="P37" s="28"/>
      <c r="Q37" s="28"/>
      <c r="R37" s="24" t="s">
        <v>53</v>
      </c>
      <c r="S37" s="24" t="s">
        <v>53</v>
      </c>
      <c r="T37" s="24" t="s">
        <v>53</v>
      </c>
      <c r="U37" s="24" t="s">
        <v>53</v>
      </c>
      <c r="V37" s="24"/>
      <c r="W37" s="24"/>
      <c r="X37" s="24" t="s">
        <v>53</v>
      </c>
      <c r="Y37" s="24">
        <v>0</v>
      </c>
      <c r="Z37" s="30"/>
      <c r="AA37" s="31">
        <v>0</v>
      </c>
      <c r="AB37" s="31"/>
      <c r="AC37" s="31"/>
      <c r="AD37" s="31"/>
      <c r="AE37" s="31"/>
      <c r="AF37" s="31">
        <v>0</v>
      </c>
      <c r="AG37" s="31">
        <v>0</v>
      </c>
      <c r="AH37" s="31">
        <v>0</v>
      </c>
      <c r="AI37" s="32"/>
      <c r="AJ37" s="33"/>
      <c r="AK37" s="33"/>
      <c r="AL37" s="33"/>
      <c r="AM37" s="33"/>
      <c r="AN37" s="33"/>
      <c r="AO37" s="33"/>
      <c r="AP37" s="33"/>
      <c r="AQ37" s="33"/>
      <c r="AR37" s="31">
        <v>0</v>
      </c>
      <c r="AS37" s="31">
        <v>0</v>
      </c>
      <c r="AT37" s="31">
        <v>0</v>
      </c>
      <c r="AU37" s="31">
        <v>0</v>
      </c>
      <c r="AV37" s="31">
        <f t="shared" si="16"/>
        <v>0</v>
      </c>
      <c r="AW37" s="31">
        <v>0</v>
      </c>
      <c r="AX37" s="31">
        <f t="shared" si="5"/>
        <v>0</v>
      </c>
      <c r="AY37" s="31"/>
      <c r="AZ37" s="28"/>
      <c r="BA37" s="31"/>
      <c r="BB37" s="31"/>
      <c r="BC37" s="34"/>
      <c r="BD37" s="31"/>
      <c r="BE37" s="35"/>
      <c r="BF37" s="31"/>
      <c r="BG37" s="36" t="str">
        <f t="shared" si="17"/>
        <v>description: "IRF", note: "Неисправность терминала", group: "measurement", minValue: null, maxValue: null, step: null, units: "null", defaultValue: null, eventRegistration: 0</v>
      </c>
      <c r="BH37" s="37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6"/>
      <c r="BC38" s="9"/>
      <c r="BD38" s="46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6"/>
      <c r="BC39" s="9"/>
      <c r="BD39" s="46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6"/>
      <c r="BC40" s="9"/>
      <c r="BD40" s="46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6"/>
      <c r="BC41" s="9"/>
      <c r="BD41" s="46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6"/>
      <c r="BC42" s="9"/>
      <c r="BD42" s="46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6"/>
      <c r="BC43" s="9"/>
      <c r="BD43" s="46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6"/>
      <c r="BC44" s="9"/>
      <c r="BD44" s="46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6"/>
      <c r="BC45" s="9"/>
      <c r="BD45" s="46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6"/>
      <c r="BC46" s="9"/>
      <c r="BD46" s="46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6"/>
      <c r="BC47" s="9"/>
      <c r="BD47" s="46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6"/>
      <c r="BC48" s="9"/>
      <c r="BD48" s="46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6"/>
      <c r="BC49" s="9"/>
      <c r="BD49" s="46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6"/>
      <c r="BC50" s="9"/>
      <c r="BD50" s="46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6"/>
      <c r="BC51" s="9"/>
      <c r="BD51" s="46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6"/>
      <c r="BC52" s="9"/>
      <c r="BD52" s="46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6"/>
      <c r="BC53" s="9"/>
      <c r="BD53" s="46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6"/>
      <c r="BC54" s="9"/>
      <c r="BD54" s="46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6"/>
      <c r="BC55" s="9"/>
      <c r="BD55" s="46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6"/>
      <c r="BC56" s="9"/>
      <c r="BD56" s="46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6"/>
      <c r="BC57" s="9"/>
      <c r="BD57" s="46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6"/>
      <c r="BC58" s="9"/>
      <c r="BD58" s="46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6"/>
      <c r="BC59" s="9"/>
      <c r="BD59" s="46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6"/>
      <c r="BC60" s="9"/>
      <c r="BD60" s="46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6"/>
      <c r="BC61" s="9"/>
      <c r="BD61" s="46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6"/>
      <c r="BC62" s="9"/>
      <c r="BD62" s="46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6"/>
      <c r="BC63" s="9"/>
      <c r="BD63" s="46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6"/>
      <c r="BC64" s="9"/>
      <c r="BD64" s="46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6"/>
      <c r="BC65" s="9"/>
      <c r="BD65" s="46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6"/>
      <c r="BC66" s="9"/>
      <c r="BD66" s="46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6"/>
      <c r="BC67" s="9"/>
      <c r="BD67" s="46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6"/>
      <c r="BC68" s="9"/>
      <c r="BD68" s="46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6"/>
      <c r="BC69" s="9"/>
      <c r="BD69" s="46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6"/>
      <c r="BC70" s="9"/>
      <c r="BD70" s="46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6"/>
      <c r="BC71" s="9"/>
      <c r="BD71" s="46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6"/>
      <c r="BC72" s="9"/>
      <c r="BD72" s="46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6"/>
      <c r="BC73" s="9"/>
      <c r="BD73" s="46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6"/>
      <c r="BC74" s="9"/>
      <c r="BD74" s="46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6"/>
      <c r="BC75" s="9"/>
      <c r="BD75" s="46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6"/>
      <c r="BC76" s="9"/>
      <c r="BD76" s="46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6"/>
      <c r="BC77" s="9"/>
      <c r="BD77" s="46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6"/>
      <c r="BC78" s="9"/>
      <c r="BD78" s="46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6"/>
      <c r="BC79" s="9"/>
      <c r="BD79" s="46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6"/>
      <c r="BC80" s="9"/>
      <c r="BD80" s="46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6"/>
      <c r="BC81" s="9"/>
      <c r="BD81" s="46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6"/>
      <c r="BC82" s="9"/>
      <c r="BD82" s="46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6"/>
      <c r="BC83" s="9"/>
      <c r="BD83" s="46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6"/>
      <c r="BC84" s="9"/>
      <c r="BD84" s="46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6"/>
      <c r="BC85" s="9"/>
      <c r="BD85" s="46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6"/>
      <c r="BC86" s="9"/>
      <c r="BD86" s="46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46"/>
      <c r="BC87" s="9"/>
      <c r="BD87" s="46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46"/>
      <c r="BC88" s="9"/>
      <c r="BD88" s="46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46"/>
      <c r="BC89" s="9"/>
      <c r="BD89" s="46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9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6"/>
      <c r="BC90" s="9"/>
      <c r="BD90" s="46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6"/>
      <c r="BC91" s="9"/>
      <c r="BD91" s="46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6"/>
      <c r="BC92" s="9"/>
      <c r="BD92" s="46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6"/>
      <c r="BC93" s="9"/>
      <c r="BD93" s="46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6"/>
      <c r="BC94" s="9"/>
      <c r="BD94" s="46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6"/>
      <c r="BC95" s="9"/>
      <c r="BD95" s="46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6"/>
      <c r="BC96" s="9"/>
      <c r="BD96" s="46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6"/>
      <c r="BC97" s="9"/>
      <c r="BD97" s="46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6"/>
      <c r="BC98" s="9"/>
      <c r="BD98" s="46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9"/>
      <c r="AB99" s="9"/>
      <c r="AC99" s="9"/>
      <c r="AD99" s="9"/>
      <c r="AE99" s="9"/>
      <c r="AF99" s="9"/>
      <c r="AG99" s="9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6"/>
      <c r="BC99" s="9"/>
      <c r="BD99" s="46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9"/>
      <c r="AB100" s="9"/>
      <c r="AC100" s="9"/>
      <c r="AD100" s="9"/>
      <c r="AE100" s="9"/>
      <c r="AF100" s="9"/>
      <c r="AG100" s="9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6"/>
      <c r="BC100" s="9"/>
      <c r="BD100" s="46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9"/>
      <c r="AB101" s="9"/>
      <c r="AC101" s="9"/>
      <c r="AD101" s="9"/>
      <c r="AE101" s="9"/>
      <c r="AF101" s="9"/>
      <c r="AG101" s="9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6"/>
      <c r="BC101" s="9"/>
      <c r="BD101" s="46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6"/>
      <c r="BC102" s="9"/>
      <c r="BD102" s="46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6"/>
      <c r="BC103" s="9"/>
      <c r="BD103" s="46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6"/>
      <c r="BC104" s="9"/>
      <c r="BD104" s="46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6"/>
      <c r="BC105" s="9"/>
      <c r="BD105" s="46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6"/>
      <c r="BC106" s="9"/>
      <c r="BD106" s="46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6"/>
      <c r="BC107" s="9"/>
      <c r="BD107" s="46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6"/>
      <c r="BC108" s="9"/>
      <c r="BD108" s="46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6"/>
      <c r="BC109" s="9"/>
      <c r="BD109" s="46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6"/>
      <c r="BC110" s="9"/>
      <c r="BD110" s="46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6"/>
      <c r="BC111" s="9"/>
      <c r="BD111" s="46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6"/>
      <c r="BC112" s="9"/>
      <c r="BD112" s="46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6"/>
      <c r="BC113" s="9"/>
      <c r="BD113" s="46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6"/>
      <c r="BC114" s="9"/>
      <c r="BD114" s="46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6"/>
      <c r="BC115" s="9"/>
      <c r="BD115" s="46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6"/>
      <c r="BC116" s="9"/>
      <c r="BD116" s="46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6"/>
      <c r="BC117" s="9"/>
      <c r="BD117" s="46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6"/>
      <c r="BC118" s="9"/>
      <c r="BD118" s="46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6"/>
      <c r="BC119" s="9"/>
      <c r="BD119" s="46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6"/>
      <c r="BC120" s="9"/>
      <c r="BD120" s="46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6"/>
      <c r="BC121" s="9"/>
      <c r="BD121" s="46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6"/>
      <c r="BC122" s="9"/>
      <c r="BD122" s="46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6"/>
      <c r="BC123" s="9"/>
      <c r="BD123" s="46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6"/>
      <c r="BC124" s="9"/>
      <c r="BD124" s="46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6"/>
      <c r="BC125" s="9"/>
      <c r="BD125" s="46"/>
      <c r="BE125" s="9"/>
      <c r="BF125" s="9"/>
      <c r="BG125" s="6"/>
      <c r="BH125" s="6"/>
    </row>
    <row r="126" spans="1:60" s="7" customFormat="1" ht="15.75" x14ac:dyDescent="0.25">
      <c r="A126" s="6"/>
      <c r="B126" s="6"/>
      <c r="C126" s="6"/>
      <c r="D126" s="6"/>
      <c r="R126" s="8"/>
      <c r="S126" s="9"/>
      <c r="T126" s="9"/>
      <c r="U126" s="9"/>
      <c r="V126" s="9"/>
      <c r="W126" s="9"/>
      <c r="X126" s="9"/>
      <c r="Y126" s="9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R126" s="6"/>
      <c r="AS126" s="6"/>
      <c r="AT126" s="6"/>
      <c r="AU126" s="6"/>
      <c r="AV126" s="6"/>
      <c r="AW126" s="6"/>
      <c r="AX126" s="6"/>
      <c r="AY126" s="9"/>
      <c r="AZ126" s="9"/>
      <c r="BA126" s="9"/>
      <c r="BB126" s="46"/>
      <c r="BC126" s="9"/>
      <c r="BD126" s="46"/>
      <c r="BE126" s="9"/>
      <c r="BF126" s="9"/>
      <c r="BG126" s="6"/>
      <c r="BH126" s="6"/>
    </row>
    <row r="127" spans="1:60" s="7" customFormat="1" ht="15.75" x14ac:dyDescent="0.25">
      <c r="A127" s="6"/>
      <c r="B127" s="6"/>
      <c r="C127" s="6"/>
      <c r="D127" s="6"/>
      <c r="R127" s="8"/>
      <c r="S127" s="9"/>
      <c r="T127" s="9"/>
      <c r="U127" s="9"/>
      <c r="V127" s="9"/>
      <c r="W127" s="9"/>
      <c r="X127" s="9"/>
      <c r="Y127" s="9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R127" s="6"/>
      <c r="AS127" s="6"/>
      <c r="AT127" s="6"/>
      <c r="AU127" s="6"/>
      <c r="AV127" s="6"/>
      <c r="AW127" s="6"/>
      <c r="AX127" s="6"/>
      <c r="AY127" s="9"/>
      <c r="AZ127" s="9"/>
      <c r="BA127" s="9"/>
      <c r="BB127" s="46"/>
      <c r="BC127" s="9"/>
      <c r="BD127" s="46"/>
      <c r="BE127" s="9"/>
      <c r="BF127" s="9"/>
      <c r="BG127" s="6"/>
      <c r="BH127" s="6"/>
    </row>
    <row r="128" spans="1:60" s="7" customFormat="1" ht="15.75" x14ac:dyDescent="0.25">
      <c r="A128" s="6"/>
      <c r="B128" s="6"/>
      <c r="C128" s="6"/>
      <c r="D128" s="6"/>
      <c r="R128" s="8"/>
      <c r="S128" s="9"/>
      <c r="T128" s="9"/>
      <c r="U128" s="9"/>
      <c r="V128" s="9"/>
      <c r="W128" s="9"/>
      <c r="X128" s="9"/>
      <c r="Y128" s="9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R128" s="6"/>
      <c r="AS128" s="6"/>
      <c r="AT128" s="6"/>
      <c r="AU128" s="6"/>
      <c r="AV128" s="6"/>
      <c r="AW128" s="6"/>
      <c r="AX128" s="6"/>
      <c r="AY128" s="9"/>
      <c r="AZ128" s="9"/>
      <c r="BA128" s="9"/>
      <c r="BB128" s="46"/>
      <c r="BC128" s="9"/>
      <c r="BD128" s="46"/>
      <c r="BE128" s="9"/>
      <c r="BF128" s="9"/>
      <c r="BG128" s="6"/>
      <c r="BH128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X11" sqref="AX11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6" hidden="1" customWidth="1" outlineLevel="1"/>
    <col min="55" max="55" width="13.28515625" style="9" hidden="1" customWidth="1" outlineLevel="1"/>
    <col min="56" max="56" width="13" style="46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60" t="s">
        <v>0</v>
      </c>
      <c r="BA1" s="61"/>
      <c r="BB1" s="61"/>
      <c r="BC1" s="61"/>
      <c r="BD1" s="61"/>
      <c r="BE1" s="61"/>
      <c r="BF1" s="61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55" t="s">
        <v>233</v>
      </c>
      <c r="AW2" s="55" t="s">
        <v>234</v>
      </c>
      <c r="AX2" s="55" t="s">
        <v>235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5" customFormat="1" x14ac:dyDescent="0.25">
      <c r="A3" s="38"/>
      <c r="B3" s="54" t="s">
        <v>232</v>
      </c>
      <c r="C3" s="39"/>
      <c r="D3" s="5" t="s">
        <v>89</v>
      </c>
      <c r="E3" s="26" t="s">
        <v>198</v>
      </c>
      <c r="F3" s="47" t="s">
        <v>86</v>
      </c>
      <c r="G3" s="47" t="s">
        <v>86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0" t="s">
        <v>87</v>
      </c>
      <c r="L3" s="41" t="s">
        <v>54</v>
      </c>
      <c r="M3" s="42" t="s">
        <v>51</v>
      </c>
      <c r="N3" s="42" t="s">
        <v>52</v>
      </c>
      <c r="O3" s="42"/>
      <c r="P3" s="28"/>
      <c r="Q3" s="28"/>
      <c r="R3" s="42" t="s">
        <v>53</v>
      </c>
      <c r="S3" s="42" t="s">
        <v>53</v>
      </c>
      <c r="T3" s="42" t="s">
        <v>53</v>
      </c>
      <c r="U3" s="42" t="s">
        <v>53</v>
      </c>
      <c r="V3" s="39"/>
      <c r="W3" s="39"/>
      <c r="X3" s="42" t="s">
        <v>53</v>
      </c>
      <c r="Y3" s="42">
        <v>2</v>
      </c>
      <c r="Z3" s="39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3"/>
      <c r="AK3" s="43"/>
      <c r="AL3" s="43"/>
      <c r="AM3" s="43"/>
      <c r="AN3" s="43"/>
      <c r="AO3" s="43"/>
      <c r="AP3" s="43"/>
      <c r="AQ3" s="43"/>
      <c r="AR3" s="39">
        <v>0</v>
      </c>
      <c r="AS3" s="39">
        <v>1</v>
      </c>
      <c r="AT3" s="39">
        <v>0</v>
      </c>
      <c r="AU3" s="39">
        <v>1</v>
      </c>
      <c r="AV3" s="39">
        <v>1</v>
      </c>
      <c r="AW3" s="39">
        <v>1</v>
      </c>
      <c r="AX3" s="39">
        <v>1</v>
      </c>
      <c r="AY3" s="44"/>
      <c r="AZ3" s="39"/>
      <c r="BA3" s="39"/>
      <c r="BB3" s="39"/>
      <c r="BC3" s="39"/>
      <c r="BD3" s="39"/>
      <c r="BE3" s="39"/>
      <c r="BF3" s="39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"status", minValue: null, maxValue: null, step: null, units: "null", defaultValue: null, eventRegistration: 2</v>
      </c>
    </row>
    <row r="4" spans="1:16379" s="45" customFormat="1" x14ac:dyDescent="0.25">
      <c r="A4" s="38"/>
      <c r="B4" s="54" t="s">
        <v>232</v>
      </c>
      <c r="C4" s="39"/>
      <c r="D4" s="5" t="s">
        <v>89</v>
      </c>
      <c r="E4" s="26" t="s">
        <v>79</v>
      </c>
      <c r="F4" s="47" t="s">
        <v>79</v>
      </c>
      <c r="G4" s="47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0" t="s">
        <v>88</v>
      </c>
      <c r="L4" s="41" t="s">
        <v>54</v>
      </c>
      <c r="M4" s="42" t="s">
        <v>51</v>
      </c>
      <c r="N4" s="42" t="s">
        <v>52</v>
      </c>
      <c r="O4" s="42"/>
      <c r="P4" s="28"/>
      <c r="Q4" s="28"/>
      <c r="R4" s="42" t="s">
        <v>53</v>
      </c>
      <c r="S4" s="42" t="s">
        <v>53</v>
      </c>
      <c r="T4" s="42" t="s">
        <v>53</v>
      </c>
      <c r="U4" s="42" t="s">
        <v>53</v>
      </c>
      <c r="V4" s="39"/>
      <c r="W4" s="39"/>
      <c r="X4" s="42" t="s">
        <v>53</v>
      </c>
      <c r="Y4" s="42">
        <v>2</v>
      </c>
      <c r="Z4" s="39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3"/>
      <c r="AK4" s="43"/>
      <c r="AL4" s="43"/>
      <c r="AM4" s="43"/>
      <c r="AN4" s="43"/>
      <c r="AO4" s="43"/>
      <c r="AP4" s="43"/>
      <c r="AQ4" s="43"/>
      <c r="AR4" s="39">
        <v>0</v>
      </c>
      <c r="AS4" s="39">
        <v>1</v>
      </c>
      <c r="AT4" s="39">
        <v>0</v>
      </c>
      <c r="AU4" s="39">
        <v>1</v>
      </c>
      <c r="AV4" s="39">
        <v>1</v>
      </c>
      <c r="AW4" s="39">
        <v>1</v>
      </c>
      <c r="AX4" s="39">
        <v>1</v>
      </c>
      <c r="AY4" s="44"/>
      <c r="AZ4" s="39"/>
      <c r="BA4" s="39"/>
      <c r="BB4" s="39"/>
      <c r="BC4" s="39"/>
      <c r="BD4" s="39"/>
      <c r="BE4" s="39"/>
      <c r="BF4" s="39"/>
      <c r="BG4" s="29" t="str">
        <f t="shared" si="1"/>
        <v>description: "Пуск", note: "Пуск",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5"/>
  <sheetViews>
    <sheetView topLeftCell="E1" zoomScale="160" zoomScaleNormal="160" workbookViewId="0">
      <selection activeCell="E12" sqref="E12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8" width="25.28515625" style="7" customWidth="1" outlineLevel="1"/>
    <col min="9" max="9" width="40.28515625" style="7" bestFit="1" customWidth="1" outlineLevel="1"/>
    <col min="10" max="10" width="7.28515625" style="7" bestFit="1" customWidth="1"/>
    <col min="11" max="11" width="25.28515625" style="7" bestFit="1" customWidth="1"/>
    <col min="12" max="12" width="29.42578125" style="7" bestFit="1" customWidth="1"/>
    <col min="13" max="13" width="9.42578125" style="7" customWidth="1"/>
    <col min="14" max="15" width="14.28515625" style="7" customWidth="1" outlineLevel="1"/>
    <col min="16" max="16" width="8.85546875" style="7" bestFit="1" customWidth="1" outlineLevel="1"/>
    <col min="17" max="17" width="16" style="7" bestFit="1" customWidth="1" outlineLevel="1"/>
    <col min="18" max="18" width="17.140625" style="7" bestFit="1" customWidth="1" outlineLevel="1"/>
    <col min="19" max="19" width="9.140625" style="8" customWidth="1" outlineLevel="1"/>
    <col min="20" max="20" width="9.5703125" style="9" customWidth="1" outlineLevel="1"/>
    <col min="21" max="21" width="11.28515625" style="9" customWidth="1" outlineLevel="1"/>
    <col min="22" max="22" width="8.28515625" style="9" customWidth="1" outlineLevel="1"/>
    <col min="23" max="23" width="12.5703125" style="9" customWidth="1" outlineLevel="1"/>
    <col min="24" max="24" width="13.5703125" style="9" customWidth="1" outlineLevel="1"/>
    <col min="25" max="25" width="13.140625" style="9" customWidth="1" outlineLevel="1"/>
    <col min="26" max="26" width="9.7109375" style="9" customWidth="1"/>
    <col min="27" max="27" width="12.7109375" style="6" customWidth="1"/>
    <col min="28" max="28" width="14.28515625" style="6" customWidth="1"/>
    <col min="29" max="29" width="16.42578125" style="6" bestFit="1" customWidth="1"/>
    <col min="30" max="30" width="16.7109375" style="6" bestFit="1" customWidth="1"/>
    <col min="31" max="31" width="7.7109375" style="6" bestFit="1" customWidth="1"/>
    <col min="32" max="32" width="33" style="6" customWidth="1"/>
    <col min="33" max="34" width="12.7109375" style="6" customWidth="1"/>
    <col min="35" max="35" width="12.85546875" style="6" customWidth="1"/>
    <col min="36" max="36" width="15.85546875" style="6" bestFit="1" customWidth="1"/>
    <col min="37" max="37" width="24.5703125" style="7" customWidth="1"/>
    <col min="38" max="38" width="26.42578125" style="7" customWidth="1"/>
    <col min="39" max="39" width="22.85546875" style="7" customWidth="1"/>
    <col min="40" max="41" width="24.5703125" style="7" customWidth="1"/>
    <col min="42" max="42" width="15.85546875" style="7" customWidth="1"/>
    <col min="43" max="43" width="29.5703125" style="7" bestFit="1" customWidth="1"/>
    <col min="44" max="44" width="19.140625" style="7" customWidth="1"/>
    <col min="45" max="45" width="13.7109375" style="6" customWidth="1"/>
    <col min="46" max="46" width="15.85546875" style="6" customWidth="1"/>
    <col min="47" max="47" width="17.85546875" style="6" customWidth="1"/>
    <col min="48" max="48" width="9.140625" style="6" customWidth="1"/>
    <col min="49" max="49" width="14" style="6" customWidth="1"/>
    <col min="50" max="50" width="21" style="6" bestFit="1" customWidth="1"/>
    <col min="51" max="51" width="22.28515625" style="6" customWidth="1"/>
    <col min="52" max="52" width="2.5703125" style="9" customWidth="1"/>
    <col min="53" max="53" width="10.5703125" style="9" hidden="1" customWidth="1" outlineLevel="1"/>
    <col min="54" max="54" width="12.140625" style="9" hidden="1" customWidth="1" outlineLevel="1"/>
    <col min="55" max="55" width="13.28515625" style="46" hidden="1" customWidth="1" outlineLevel="1"/>
    <col min="56" max="56" width="13.28515625" style="9" hidden="1" customWidth="1" outlineLevel="1"/>
    <col min="57" max="57" width="13" style="46" hidden="1" customWidth="1" outlineLevel="1"/>
    <col min="58" max="58" width="11.140625" style="9" hidden="1" customWidth="1" outlineLevel="1"/>
    <col min="59" max="59" width="12.7109375" style="9" hidden="1" customWidth="1" outlineLevel="1"/>
    <col min="60" max="60" width="185.28515625" style="6" bestFit="1" customWidth="1" collapsed="1"/>
    <col min="61" max="16384" width="9.140625" style="6"/>
  </cols>
  <sheetData>
    <row r="1" spans="1:16380" x14ac:dyDescent="0.25">
      <c r="E1" s="6"/>
      <c r="K1" s="7">
        <v>19</v>
      </c>
      <c r="AB1" s="10"/>
      <c r="AC1" s="10"/>
      <c r="AD1" s="10"/>
      <c r="AE1" s="10"/>
      <c r="AF1" s="10"/>
      <c r="AG1" s="11"/>
      <c r="AH1" s="11"/>
      <c r="AI1" s="10">
        <f>SUM(AB3:AB4)</f>
        <v>0</v>
      </c>
      <c r="AJ1" s="48"/>
      <c r="AK1" s="12"/>
      <c r="AL1" s="12"/>
      <c r="AM1" s="12"/>
      <c r="AN1" s="12"/>
      <c r="AO1" s="12"/>
      <c r="AP1" s="12"/>
      <c r="AQ1" s="12"/>
      <c r="AR1" s="12"/>
      <c r="AS1" s="48"/>
      <c r="AT1" s="11"/>
      <c r="AU1" s="11"/>
      <c r="AV1" s="11"/>
      <c r="AW1" s="11"/>
      <c r="AX1" s="11"/>
      <c r="AY1" s="11"/>
      <c r="AZ1" s="13"/>
      <c r="BA1" s="60" t="s">
        <v>0</v>
      </c>
      <c r="BB1" s="61"/>
      <c r="BC1" s="61"/>
      <c r="BD1" s="61"/>
      <c r="BE1" s="61"/>
      <c r="BF1" s="61"/>
      <c r="BG1" s="61"/>
    </row>
    <row r="2" spans="1:16380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58" t="s">
        <v>240</v>
      </c>
      <c r="I2" s="14" t="s">
        <v>7</v>
      </c>
      <c r="J2" s="14" t="s">
        <v>8</v>
      </c>
      <c r="K2" s="14" t="s">
        <v>70</v>
      </c>
      <c r="L2" s="18" t="s">
        <v>9</v>
      </c>
      <c r="M2" s="18" t="s">
        <v>10</v>
      </c>
      <c r="N2" s="18" t="s">
        <v>11</v>
      </c>
      <c r="O2" s="18" t="s">
        <v>12</v>
      </c>
      <c r="P2" s="18" t="s">
        <v>68</v>
      </c>
      <c r="Q2" s="18" t="s">
        <v>13</v>
      </c>
      <c r="R2" s="18" t="s">
        <v>14</v>
      </c>
      <c r="S2" s="18" t="s">
        <v>15</v>
      </c>
      <c r="T2" s="18" t="s">
        <v>16</v>
      </c>
      <c r="U2" s="18" t="s">
        <v>17</v>
      </c>
      <c r="V2" s="18" t="s">
        <v>55</v>
      </c>
      <c r="W2" s="18" t="s">
        <v>18</v>
      </c>
      <c r="X2" s="18" t="s">
        <v>19</v>
      </c>
      <c r="Y2" s="19" t="s">
        <v>20</v>
      </c>
      <c r="Z2" s="19" t="s">
        <v>21</v>
      </c>
      <c r="AA2" s="18" t="s">
        <v>22</v>
      </c>
      <c r="AB2" s="19" t="s">
        <v>23</v>
      </c>
      <c r="AC2" s="19" t="s">
        <v>64</v>
      </c>
      <c r="AD2" s="19" t="s">
        <v>65</v>
      </c>
      <c r="AE2" s="19" t="s">
        <v>66</v>
      </c>
      <c r="AF2" s="19" t="s">
        <v>67</v>
      </c>
      <c r="AG2" s="19" t="s">
        <v>24</v>
      </c>
      <c r="AH2" s="19" t="s">
        <v>25</v>
      </c>
      <c r="AI2" s="18" t="s">
        <v>26</v>
      </c>
      <c r="AJ2" s="20" t="s">
        <v>63</v>
      </c>
      <c r="AK2" s="14" t="s">
        <v>27</v>
      </c>
      <c r="AL2" s="14" t="s">
        <v>28</v>
      </c>
      <c r="AM2" s="14" t="s">
        <v>29</v>
      </c>
      <c r="AN2" s="14" t="s">
        <v>30</v>
      </c>
      <c r="AO2" s="14" t="s">
        <v>31</v>
      </c>
      <c r="AP2" s="14" t="s">
        <v>32</v>
      </c>
      <c r="AQ2" s="14" t="s">
        <v>33</v>
      </c>
      <c r="AR2" s="14" t="s">
        <v>34</v>
      </c>
      <c r="AS2" s="18" t="s">
        <v>35</v>
      </c>
      <c r="AT2" s="18" t="s">
        <v>36</v>
      </c>
      <c r="AU2" s="18" t="s">
        <v>37</v>
      </c>
      <c r="AV2" s="18" t="s">
        <v>38</v>
      </c>
      <c r="AW2" s="18" t="s">
        <v>39</v>
      </c>
      <c r="AX2" s="18" t="s">
        <v>40</v>
      </c>
      <c r="AY2" s="18" t="s">
        <v>41</v>
      </c>
      <c r="AZ2" s="19"/>
      <c r="BA2" s="18" t="s">
        <v>42</v>
      </c>
      <c r="BB2" s="18" t="s">
        <v>43</v>
      </c>
      <c r="BC2" s="21" t="s">
        <v>44</v>
      </c>
      <c r="BD2" s="18" t="s">
        <v>45</v>
      </c>
      <c r="BE2" s="21" t="s">
        <v>46</v>
      </c>
      <c r="BF2" s="18" t="s">
        <v>47</v>
      </c>
      <c r="BG2" s="18" t="s">
        <v>48</v>
      </c>
      <c r="BH2" s="19" t="s">
        <v>49</v>
      </c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  <c r="XEZ2" s="6"/>
    </row>
    <row r="3" spans="1:16380" s="1" customFormat="1" x14ac:dyDescent="0.25">
      <c r="A3" s="38"/>
      <c r="B3" s="38" t="s">
        <v>56</v>
      </c>
      <c r="C3" s="42"/>
      <c r="D3" s="5" t="s">
        <v>89</v>
      </c>
      <c r="E3" s="26" t="s">
        <v>197</v>
      </c>
      <c r="F3" s="26" t="s">
        <v>101</v>
      </c>
      <c r="G3" s="26" t="s">
        <v>75</v>
      </c>
      <c r="H3" s="26" t="s">
        <v>75</v>
      </c>
      <c r="I3" s="26" t="s">
        <v>71</v>
      </c>
      <c r="J3" s="26">
        <f>LEN(F3)</f>
        <v>13</v>
      </c>
      <c r="K3" s="26" t="str">
        <f>IF(LEN(F3)&lt;=$K$1,F3,"")</f>
        <v>Контр_ГЗ_сигн</v>
      </c>
      <c r="L3" s="38" t="s">
        <v>218</v>
      </c>
      <c r="M3" s="41" t="s">
        <v>54</v>
      </c>
      <c r="N3" s="42" t="s">
        <v>52</v>
      </c>
      <c r="O3" s="42" t="s">
        <v>52</v>
      </c>
      <c r="P3" s="42"/>
      <c r="Q3" s="44">
        <v>0</v>
      </c>
      <c r="R3" s="44"/>
      <c r="S3" s="42" t="s">
        <v>53</v>
      </c>
      <c r="T3" s="42">
        <v>0</v>
      </c>
      <c r="U3" s="42">
        <v>1</v>
      </c>
      <c r="V3" s="42">
        <v>1</v>
      </c>
      <c r="W3" s="42"/>
      <c r="X3" s="42"/>
      <c r="Y3" s="42">
        <v>0</v>
      </c>
      <c r="Z3" s="42">
        <v>0</v>
      </c>
      <c r="AA3" s="40"/>
      <c r="AB3" s="31">
        <v>0</v>
      </c>
      <c r="AC3" s="31"/>
      <c r="AD3" s="31"/>
      <c r="AE3" s="31"/>
      <c r="AF3" s="31"/>
      <c r="AG3" s="31">
        <v>0</v>
      </c>
      <c r="AH3" s="31">
        <v>0</v>
      </c>
      <c r="AI3" s="31">
        <v>0</v>
      </c>
      <c r="AJ3" s="31"/>
      <c r="AK3" s="39"/>
      <c r="AL3" s="39"/>
      <c r="AM3" s="39"/>
      <c r="AN3" s="39"/>
      <c r="AO3" s="39"/>
      <c r="AP3" s="39"/>
      <c r="AQ3" s="39"/>
      <c r="AR3" s="39"/>
      <c r="AS3" s="39">
        <v>0</v>
      </c>
      <c r="AT3" s="39">
        <v>0</v>
      </c>
      <c r="AU3" s="39">
        <v>0</v>
      </c>
      <c r="AV3" s="39">
        <v>0</v>
      </c>
      <c r="AW3" s="39">
        <f>BIN2DEC(CONCATENATE(0,0,0,0,AS3,AT3,AU3,AV3))</f>
        <v>0</v>
      </c>
      <c r="AX3" s="39" t="s">
        <v>72</v>
      </c>
      <c r="AY3" s="39"/>
      <c r="AZ3" s="44"/>
      <c r="BA3" s="39"/>
      <c r="BB3" s="39"/>
      <c r="BC3" s="39"/>
      <c r="BD3" s="39"/>
      <c r="BE3" s="39"/>
      <c r="BF3" s="39"/>
      <c r="BG3" s="39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"Контр_ГЗ_сигн", note: "Контроль сигнала «ГЗ сигн»", group: "setting", minValue: 0, maxValue: 1, step: 1, units: "null", defaultValue: 0, eventRegistration: 0</v>
      </c>
    </row>
    <row r="4" spans="1:16380" s="1" customFormat="1" x14ac:dyDescent="0.25">
      <c r="A4" s="38"/>
      <c r="B4" s="38" t="s">
        <v>56</v>
      </c>
      <c r="C4" s="42"/>
      <c r="D4" s="5" t="s">
        <v>89</v>
      </c>
      <c r="E4" s="26" t="s">
        <v>199</v>
      </c>
      <c r="F4" s="26" t="s">
        <v>200</v>
      </c>
      <c r="G4" s="26" t="s">
        <v>76</v>
      </c>
      <c r="H4" s="26" t="s">
        <v>76</v>
      </c>
      <c r="I4" s="26" t="s">
        <v>71</v>
      </c>
      <c r="J4" s="26">
        <f>LEN(F4)</f>
        <v>17</v>
      </c>
      <c r="K4" s="26" t="str">
        <f>IF(LEN(F4)&lt;=$K$1,F4,"")</f>
        <v>Контр_Низ_изол_ГЗ</v>
      </c>
      <c r="L4" s="38" t="s">
        <v>219</v>
      </c>
      <c r="M4" s="41" t="s">
        <v>54</v>
      </c>
      <c r="N4" s="42" t="s">
        <v>52</v>
      </c>
      <c r="O4" s="42" t="s">
        <v>52</v>
      </c>
      <c r="P4" s="42"/>
      <c r="Q4" s="44">
        <v>0</v>
      </c>
      <c r="R4" s="44"/>
      <c r="S4" s="42" t="s">
        <v>53</v>
      </c>
      <c r="T4" s="42">
        <v>0</v>
      </c>
      <c r="U4" s="42">
        <v>1</v>
      </c>
      <c r="V4" s="42">
        <v>1</v>
      </c>
      <c r="W4" s="42"/>
      <c r="X4" s="42"/>
      <c r="Y4" s="42">
        <v>0</v>
      </c>
      <c r="Z4" s="42">
        <v>0</v>
      </c>
      <c r="AA4" s="40"/>
      <c r="AB4" s="31">
        <v>0</v>
      </c>
      <c r="AC4" s="31"/>
      <c r="AD4" s="31"/>
      <c r="AE4" s="31"/>
      <c r="AF4" s="31"/>
      <c r="AG4" s="31">
        <v>0</v>
      </c>
      <c r="AH4" s="31">
        <v>0</v>
      </c>
      <c r="AI4" s="31">
        <v>0</v>
      </c>
      <c r="AJ4" s="31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>BIN2DEC(CONCATENATE(0,0,0,0,AS4,AT4,AU4,AV4))</f>
        <v>0</v>
      </c>
      <c r="AX4" s="39" t="s">
        <v>72</v>
      </c>
      <c r="AY4" s="39"/>
      <c r="AZ4" s="44"/>
      <c r="BA4" s="39"/>
      <c r="BB4" s="39"/>
      <c r="BC4" s="39"/>
      <c r="BD4" s="39"/>
      <c r="BE4" s="39"/>
      <c r="BF4" s="39"/>
      <c r="BG4" s="39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80" s="1" customFormat="1" x14ac:dyDescent="0.25">
      <c r="A5" s="38"/>
      <c r="B5" s="38" t="s">
        <v>56</v>
      </c>
      <c r="C5" s="42"/>
      <c r="D5" s="5" t="s">
        <v>89</v>
      </c>
      <c r="E5" s="26" t="s">
        <v>201</v>
      </c>
      <c r="F5" s="26" t="s">
        <v>103</v>
      </c>
      <c r="G5" s="26" t="s">
        <v>77</v>
      </c>
      <c r="H5" s="26" t="s">
        <v>77</v>
      </c>
      <c r="I5" s="26" t="s">
        <v>71</v>
      </c>
      <c r="J5" s="26">
        <f t="shared" ref="J5:J15" si="0">LEN(F5)</f>
        <v>13</v>
      </c>
      <c r="K5" s="26" t="str">
        <f t="shared" ref="K5:K15" si="1">IF(LEN(F5)&lt;=$K$1,F5,"")</f>
        <v>Контр_ГЗ_блок</v>
      </c>
      <c r="L5" s="38" t="s">
        <v>220</v>
      </c>
      <c r="M5" s="41" t="s">
        <v>54</v>
      </c>
      <c r="N5" s="42" t="s">
        <v>52</v>
      </c>
      <c r="O5" s="42" t="s">
        <v>52</v>
      </c>
      <c r="P5" s="42"/>
      <c r="Q5" s="44">
        <v>0</v>
      </c>
      <c r="R5" s="44"/>
      <c r="S5" s="42" t="s">
        <v>53</v>
      </c>
      <c r="T5" s="42">
        <v>0</v>
      </c>
      <c r="U5" s="42">
        <v>1</v>
      </c>
      <c r="V5" s="42">
        <v>1</v>
      </c>
      <c r="W5" s="42"/>
      <c r="X5" s="42"/>
      <c r="Y5" s="42">
        <v>0</v>
      </c>
      <c r="Z5" s="42">
        <v>0</v>
      </c>
      <c r="AA5" s="40"/>
      <c r="AB5" s="31">
        <v>0</v>
      </c>
      <c r="AC5" s="31"/>
      <c r="AD5" s="31"/>
      <c r="AE5" s="31"/>
      <c r="AF5" s="31"/>
      <c r="AG5" s="31">
        <v>0</v>
      </c>
      <c r="AH5" s="31">
        <v>0</v>
      </c>
      <c r="AI5" s="31">
        <v>0</v>
      </c>
      <c r="AJ5" s="31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ref="AW5:AW15" si="2">BIN2DEC(CONCATENATE(0,0,0,0,AS5,AT5,AU5,AV5))</f>
        <v>0</v>
      </c>
      <c r="AX5" s="39" t="s">
        <v>72</v>
      </c>
      <c r="AY5" s="39"/>
      <c r="AZ5" s="44"/>
      <c r="BA5" s="39"/>
      <c r="BB5" s="39"/>
      <c r="BC5" s="39"/>
      <c r="BD5" s="39"/>
      <c r="BE5" s="39"/>
      <c r="BF5" s="39"/>
      <c r="BG5" s="39"/>
      <c r="BH5" s="29" t="str">
        <f t="shared" ref="BH5:BH15" si="3"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80" s="1" customFormat="1" x14ac:dyDescent="0.25">
      <c r="A6" s="38"/>
      <c r="B6" s="38" t="s">
        <v>56</v>
      </c>
      <c r="C6" s="42"/>
      <c r="D6" s="5" t="s">
        <v>89</v>
      </c>
      <c r="E6" s="26" t="s">
        <v>202</v>
      </c>
      <c r="F6" s="26" t="s">
        <v>100</v>
      </c>
      <c r="G6" s="26" t="s">
        <v>78</v>
      </c>
      <c r="H6" s="26" t="s">
        <v>78</v>
      </c>
      <c r="I6" s="26" t="s">
        <v>71</v>
      </c>
      <c r="J6" s="26">
        <f t="shared" si="0"/>
        <v>13</v>
      </c>
      <c r="K6" s="26" t="str">
        <f t="shared" si="1"/>
        <v>Контр_ТЗ_сигн</v>
      </c>
      <c r="L6" s="38" t="s">
        <v>221</v>
      </c>
      <c r="M6" s="41" t="s">
        <v>54</v>
      </c>
      <c r="N6" s="42" t="s">
        <v>52</v>
      </c>
      <c r="O6" s="42" t="s">
        <v>52</v>
      </c>
      <c r="P6" s="42"/>
      <c r="Q6" s="44">
        <v>0</v>
      </c>
      <c r="R6" s="44"/>
      <c r="S6" s="42" t="s">
        <v>53</v>
      </c>
      <c r="T6" s="42">
        <v>0</v>
      </c>
      <c r="U6" s="42">
        <v>1</v>
      </c>
      <c r="V6" s="42">
        <v>1</v>
      </c>
      <c r="W6" s="42"/>
      <c r="X6" s="42"/>
      <c r="Y6" s="42">
        <v>0</v>
      </c>
      <c r="Z6" s="42">
        <v>0</v>
      </c>
      <c r="AA6" s="40"/>
      <c r="AB6" s="31">
        <v>0</v>
      </c>
      <c r="AC6" s="31"/>
      <c r="AD6" s="31"/>
      <c r="AE6" s="31"/>
      <c r="AF6" s="31"/>
      <c r="AG6" s="31">
        <v>0</v>
      </c>
      <c r="AH6" s="31">
        <v>0</v>
      </c>
      <c r="AI6" s="31">
        <v>0</v>
      </c>
      <c r="AJ6" s="31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72</v>
      </c>
      <c r="AY6" s="39"/>
      <c r="AZ6" s="44"/>
      <c r="BA6" s="39"/>
      <c r="BB6" s="39"/>
      <c r="BC6" s="39"/>
      <c r="BD6" s="39"/>
      <c r="BE6" s="39"/>
      <c r="BF6" s="39"/>
      <c r="BG6" s="39"/>
      <c r="BH6" s="29" t="str">
        <f t="shared" si="3"/>
        <v>description: "Контр_ТЗ_сигн", note: "Контроль сигнала «ТЗ сигн»", group: "setting", minValue: 0, maxValue: 1, step: 1, units: "null", defaultValue: 0, eventRegistration: 0</v>
      </c>
    </row>
    <row r="7" spans="1:16380" s="1" customFormat="1" x14ac:dyDescent="0.25">
      <c r="A7" s="38"/>
      <c r="B7" s="38" t="s">
        <v>56</v>
      </c>
      <c r="C7" s="42"/>
      <c r="D7" s="5" t="s">
        <v>89</v>
      </c>
      <c r="E7" s="26" t="s">
        <v>203</v>
      </c>
      <c r="F7" s="26" t="s">
        <v>204</v>
      </c>
      <c r="G7" s="26" t="s">
        <v>80</v>
      </c>
      <c r="H7" s="26" t="s">
        <v>80</v>
      </c>
      <c r="I7" s="26" t="s">
        <v>71</v>
      </c>
      <c r="J7" s="26">
        <f t="shared" ref="J7" si="4">LEN(F7)</f>
        <v>17</v>
      </c>
      <c r="K7" s="26" t="str">
        <f t="shared" ref="K7" si="5">IF(LEN(F7)&lt;=$K$1,F7,"")</f>
        <v>Контр_Низ_изол_ТЗ</v>
      </c>
      <c r="L7" s="38" t="s">
        <v>222</v>
      </c>
      <c r="M7" s="41" t="s">
        <v>54</v>
      </c>
      <c r="N7" s="42" t="s">
        <v>52</v>
      </c>
      <c r="O7" s="42" t="s">
        <v>52</v>
      </c>
      <c r="P7" s="42"/>
      <c r="Q7" s="44">
        <v>0</v>
      </c>
      <c r="R7" s="44"/>
      <c r="S7" s="42" t="s">
        <v>53</v>
      </c>
      <c r="T7" s="42">
        <v>0</v>
      </c>
      <c r="U7" s="42">
        <v>1</v>
      </c>
      <c r="V7" s="42">
        <v>1</v>
      </c>
      <c r="W7" s="42"/>
      <c r="X7" s="42"/>
      <c r="Y7" s="42">
        <v>0</v>
      </c>
      <c r="Z7" s="42">
        <v>0</v>
      </c>
      <c r="AA7" s="40"/>
      <c r="AB7" s="31">
        <v>0</v>
      </c>
      <c r="AC7" s="31"/>
      <c r="AD7" s="31"/>
      <c r="AE7" s="31"/>
      <c r="AF7" s="31"/>
      <c r="AG7" s="31">
        <v>0</v>
      </c>
      <c r="AH7" s="31">
        <v>0</v>
      </c>
      <c r="AI7" s="31">
        <v>0</v>
      </c>
      <c r="AJ7" s="31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ref="AW7" si="6">BIN2DEC(CONCATENATE(0,0,0,0,AS7,AT7,AU7,AV7))</f>
        <v>0</v>
      </c>
      <c r="AX7" s="39" t="s">
        <v>72</v>
      </c>
      <c r="AY7" s="39"/>
      <c r="AZ7" s="44"/>
      <c r="BA7" s="39"/>
      <c r="BB7" s="39"/>
      <c r="BC7" s="39"/>
      <c r="BD7" s="39"/>
      <c r="BE7" s="39"/>
      <c r="BF7" s="39"/>
      <c r="BG7" s="39"/>
      <c r="BH7" s="29" t="str">
        <f t="shared" ref="BH7" si="7">CONCATENATE("description: """,F7,"""", ", ", "note: """,E7,"""",", ","group: """, B7, """",", ","minValue: ", T7,", ","maxValue: ", U7,", ","step: ", V7,", ","units: """, S7, """",", ","defaultValue: ", Y7,", ","eventRegistration: ", Z7,)</f>
        <v>description: "Контр_Низ_изол_ТЗ", note: "Контроль сигнала «Низ. изол. ТЗ»", group: "setting", minValue: 0, maxValue: 1, step: 1, units: "null", defaultValue: 0, eventRegistration: 0</v>
      </c>
    </row>
    <row r="8" spans="1:16380" s="1" customFormat="1" x14ac:dyDescent="0.25">
      <c r="A8" s="38"/>
      <c r="B8" s="38" t="s">
        <v>56</v>
      </c>
      <c r="C8" s="42"/>
      <c r="D8" s="5" t="s">
        <v>89</v>
      </c>
      <c r="E8" s="26" t="s">
        <v>205</v>
      </c>
      <c r="F8" s="26" t="s">
        <v>102</v>
      </c>
      <c r="G8" s="26" t="s">
        <v>90</v>
      </c>
      <c r="H8" s="26" t="s">
        <v>90</v>
      </c>
      <c r="I8" s="26" t="s">
        <v>71</v>
      </c>
      <c r="J8" s="26">
        <f t="shared" si="0"/>
        <v>13</v>
      </c>
      <c r="K8" s="26" t="str">
        <f t="shared" si="1"/>
        <v>Контр_ТЗ_блок</v>
      </c>
      <c r="L8" s="38" t="s">
        <v>223</v>
      </c>
      <c r="M8" s="41" t="s">
        <v>54</v>
      </c>
      <c r="N8" s="42" t="s">
        <v>52</v>
      </c>
      <c r="O8" s="42" t="s">
        <v>52</v>
      </c>
      <c r="P8" s="42"/>
      <c r="Q8" s="44">
        <v>0</v>
      </c>
      <c r="R8" s="44"/>
      <c r="S8" s="42" t="s">
        <v>53</v>
      </c>
      <c r="T8" s="42">
        <v>0</v>
      </c>
      <c r="U8" s="42">
        <v>1</v>
      </c>
      <c r="V8" s="42">
        <v>1</v>
      </c>
      <c r="W8" s="42"/>
      <c r="X8" s="42"/>
      <c r="Y8" s="42">
        <v>0</v>
      </c>
      <c r="Z8" s="42">
        <v>0</v>
      </c>
      <c r="AA8" s="40"/>
      <c r="AB8" s="31">
        <v>0</v>
      </c>
      <c r="AC8" s="31"/>
      <c r="AD8" s="31"/>
      <c r="AE8" s="31"/>
      <c r="AF8" s="31"/>
      <c r="AG8" s="31">
        <v>0</v>
      </c>
      <c r="AH8" s="31">
        <v>0</v>
      </c>
      <c r="AI8" s="31">
        <v>0</v>
      </c>
      <c r="AJ8" s="31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72</v>
      </c>
      <c r="AY8" s="39"/>
      <c r="AZ8" s="44"/>
      <c r="BA8" s="39"/>
      <c r="BB8" s="39"/>
      <c r="BC8" s="39"/>
      <c r="BD8" s="39"/>
      <c r="BE8" s="39"/>
      <c r="BF8" s="39"/>
      <c r="BG8" s="39"/>
      <c r="BH8" s="29" t="str">
        <f t="shared" si="3"/>
        <v>description: "Контр_ТЗ_блок", note: "Контроль сигнала «ТЗ заблокирована»", group: "setting", minValue: 0, maxValue: 1, step: 1, units: "null", defaultValue: 0, eventRegistration: 0</v>
      </c>
    </row>
    <row r="9" spans="1:16380" s="1" customFormat="1" x14ac:dyDescent="0.25">
      <c r="A9" s="38"/>
      <c r="B9" s="38" t="s">
        <v>56</v>
      </c>
      <c r="C9" s="42"/>
      <c r="D9" s="5" t="s">
        <v>89</v>
      </c>
      <c r="E9" s="26" t="s">
        <v>206</v>
      </c>
      <c r="F9" s="26" t="s">
        <v>207</v>
      </c>
      <c r="G9" s="26" t="s">
        <v>91</v>
      </c>
      <c r="H9" s="26" t="s">
        <v>91</v>
      </c>
      <c r="I9" s="26" t="s">
        <v>71</v>
      </c>
      <c r="J9" s="26">
        <f t="shared" si="0"/>
        <v>13</v>
      </c>
      <c r="K9" s="26" t="str">
        <f t="shared" si="1"/>
        <v>Контр_ТС_сигн</v>
      </c>
      <c r="L9" s="38" t="s">
        <v>224</v>
      </c>
      <c r="M9" s="41" t="s">
        <v>54</v>
      </c>
      <c r="N9" s="42" t="s">
        <v>52</v>
      </c>
      <c r="O9" s="42" t="s">
        <v>52</v>
      </c>
      <c r="P9" s="42"/>
      <c r="Q9" s="44">
        <v>0</v>
      </c>
      <c r="R9" s="44"/>
      <c r="S9" s="42" t="s">
        <v>53</v>
      </c>
      <c r="T9" s="42">
        <v>0</v>
      </c>
      <c r="U9" s="42">
        <v>1</v>
      </c>
      <c r="V9" s="42">
        <v>1</v>
      </c>
      <c r="W9" s="42"/>
      <c r="X9" s="42"/>
      <c r="Y9" s="42">
        <v>0</v>
      </c>
      <c r="Z9" s="42">
        <v>0</v>
      </c>
      <c r="AA9" s="40"/>
      <c r="AB9" s="31">
        <v>0</v>
      </c>
      <c r="AC9" s="31"/>
      <c r="AD9" s="31"/>
      <c r="AE9" s="31"/>
      <c r="AF9" s="31"/>
      <c r="AG9" s="31">
        <v>0</v>
      </c>
      <c r="AH9" s="31">
        <v>0</v>
      </c>
      <c r="AI9" s="31">
        <v>0</v>
      </c>
      <c r="AJ9" s="31"/>
      <c r="AK9" s="39"/>
      <c r="AL9" s="39"/>
      <c r="AM9" s="39"/>
      <c r="AN9" s="39"/>
      <c r="AO9" s="39"/>
      <c r="AP9" s="39"/>
      <c r="AQ9" s="39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 t="s">
        <v>72</v>
      </c>
      <c r="AY9" s="39"/>
      <c r="AZ9" s="44"/>
      <c r="BA9" s="39"/>
      <c r="BB9" s="39"/>
      <c r="BC9" s="39"/>
      <c r="BD9" s="39"/>
      <c r="BE9" s="39"/>
      <c r="BF9" s="39"/>
      <c r="BG9" s="39"/>
      <c r="BH9" s="29" t="str">
        <f t="shared" si="3"/>
        <v>description: "Контр_ТС_сигн", note: "Контроль сигнала «ТС сигн»", group: "setting", minValue: 0, maxValue: 1, step: 1, units: "null", defaultValue: 0, eventRegistration: 0</v>
      </c>
    </row>
    <row r="10" spans="1:16380" s="1" customFormat="1" x14ac:dyDescent="0.25">
      <c r="A10" s="38"/>
      <c r="B10" s="38" t="s">
        <v>56</v>
      </c>
      <c r="C10" s="42"/>
      <c r="D10" s="5" t="s">
        <v>89</v>
      </c>
      <c r="E10" s="26" t="s">
        <v>208</v>
      </c>
      <c r="F10" s="26" t="s">
        <v>104</v>
      </c>
      <c r="G10" s="26" t="s">
        <v>92</v>
      </c>
      <c r="H10" s="26" t="s">
        <v>92</v>
      </c>
      <c r="I10" s="26" t="s">
        <v>71</v>
      </c>
      <c r="J10" s="26">
        <f t="shared" si="0"/>
        <v>13</v>
      </c>
      <c r="K10" s="26" t="str">
        <f t="shared" si="1"/>
        <v>Контр_ОТ_сигн</v>
      </c>
      <c r="L10" s="38" t="s">
        <v>225</v>
      </c>
      <c r="M10" s="41" t="s">
        <v>54</v>
      </c>
      <c r="N10" s="42" t="s">
        <v>52</v>
      </c>
      <c r="O10" s="42" t="s">
        <v>52</v>
      </c>
      <c r="P10" s="42"/>
      <c r="Q10" s="44">
        <v>0</v>
      </c>
      <c r="R10" s="44"/>
      <c r="S10" s="42" t="s">
        <v>53</v>
      </c>
      <c r="T10" s="42">
        <v>0</v>
      </c>
      <c r="U10" s="42">
        <v>1</v>
      </c>
      <c r="V10" s="42">
        <v>1</v>
      </c>
      <c r="W10" s="42"/>
      <c r="X10" s="42"/>
      <c r="Y10" s="42">
        <v>0</v>
      </c>
      <c r="Z10" s="42">
        <v>0</v>
      </c>
      <c r="AA10" s="40"/>
      <c r="AB10" s="31">
        <v>0</v>
      </c>
      <c r="AC10" s="31"/>
      <c r="AD10" s="31"/>
      <c r="AE10" s="31"/>
      <c r="AF10" s="31"/>
      <c r="AG10" s="31">
        <v>0</v>
      </c>
      <c r="AH10" s="31">
        <v>0</v>
      </c>
      <c r="AI10" s="31">
        <v>0</v>
      </c>
      <c r="AJ10" s="31"/>
      <c r="AK10" s="39"/>
      <c r="AL10" s="39"/>
      <c r="AM10" s="39"/>
      <c r="AN10" s="39"/>
      <c r="AO10" s="39"/>
      <c r="AP10" s="39"/>
      <c r="AQ10" s="39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 t="s">
        <v>72</v>
      </c>
      <c r="AY10" s="39"/>
      <c r="AZ10" s="44"/>
      <c r="BA10" s="39"/>
      <c r="BB10" s="39"/>
      <c r="BC10" s="39"/>
      <c r="BD10" s="39"/>
      <c r="BE10" s="39"/>
      <c r="BF10" s="39"/>
      <c r="BG10" s="39"/>
      <c r="BH10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11" spans="1:16380" s="1" customFormat="1" x14ac:dyDescent="0.25">
      <c r="A11" s="38"/>
      <c r="B11" s="38" t="s">
        <v>56</v>
      </c>
      <c r="C11" s="42"/>
      <c r="D11" s="5" t="s">
        <v>89</v>
      </c>
      <c r="E11" s="26" t="s">
        <v>209</v>
      </c>
      <c r="F11" s="26" t="s">
        <v>210</v>
      </c>
      <c r="G11" s="26" t="s">
        <v>93</v>
      </c>
      <c r="H11" s="26" t="s">
        <v>93</v>
      </c>
      <c r="I11" s="26" t="s">
        <v>71</v>
      </c>
      <c r="J11" s="26">
        <f t="shared" si="0"/>
        <v>16</v>
      </c>
      <c r="K11" s="26" t="str">
        <f t="shared" si="1"/>
        <v>Контр_ОТ_НН_сигн</v>
      </c>
      <c r="L11" s="38" t="s">
        <v>226</v>
      </c>
      <c r="M11" s="41" t="s">
        <v>54</v>
      </c>
      <c r="N11" s="42" t="s">
        <v>52</v>
      </c>
      <c r="O11" s="42" t="s">
        <v>52</v>
      </c>
      <c r="P11" s="42"/>
      <c r="Q11" s="44">
        <v>0</v>
      </c>
      <c r="R11" s="44"/>
      <c r="S11" s="42" t="s">
        <v>53</v>
      </c>
      <c r="T11" s="42">
        <v>0</v>
      </c>
      <c r="U11" s="42">
        <v>1</v>
      </c>
      <c r="V11" s="42">
        <v>1</v>
      </c>
      <c r="W11" s="42"/>
      <c r="X11" s="42"/>
      <c r="Y11" s="42">
        <v>0</v>
      </c>
      <c r="Z11" s="42">
        <v>0</v>
      </c>
      <c r="AA11" s="40"/>
      <c r="AB11" s="31">
        <v>0</v>
      </c>
      <c r="AC11" s="31"/>
      <c r="AD11" s="31"/>
      <c r="AE11" s="31"/>
      <c r="AF11" s="31"/>
      <c r="AG11" s="31">
        <v>0</v>
      </c>
      <c r="AH11" s="31">
        <v>0</v>
      </c>
      <c r="AI11" s="31">
        <v>0</v>
      </c>
      <c r="AJ11" s="31"/>
      <c r="AK11" s="39"/>
      <c r="AL11" s="39"/>
      <c r="AM11" s="39"/>
      <c r="AN11" s="39"/>
      <c r="AO11" s="39"/>
      <c r="AP11" s="39"/>
      <c r="AQ11" s="39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 t="s">
        <v>72</v>
      </c>
      <c r="AY11" s="39"/>
      <c r="AZ11" s="44"/>
      <c r="BA11" s="39"/>
      <c r="BB11" s="39"/>
      <c r="BC11" s="39"/>
      <c r="BD11" s="39"/>
      <c r="BE11" s="39"/>
      <c r="BF11" s="39"/>
      <c r="BG11" s="39"/>
      <c r="BH11" s="29" t="str">
        <f t="shared" si="3"/>
        <v>description: "Контр_ОТ_НН_сигн", note: "Контроль сигнала «ОТ НН сигн»", group: "setting", minValue: 0, maxValue: 1, step: 1, units: "null", defaultValue: 0, eventRegistration: 0</v>
      </c>
    </row>
    <row r="12" spans="1:16380" s="1" customFormat="1" x14ac:dyDescent="0.25">
      <c r="A12" s="38"/>
      <c r="B12" s="38" t="s">
        <v>56</v>
      </c>
      <c r="C12" s="42"/>
      <c r="D12" s="5" t="s">
        <v>89</v>
      </c>
      <c r="E12" s="26" t="s">
        <v>211</v>
      </c>
      <c r="F12" s="26" t="s">
        <v>212</v>
      </c>
      <c r="G12" s="26" t="s">
        <v>94</v>
      </c>
      <c r="H12" s="26" t="s">
        <v>94</v>
      </c>
      <c r="I12" s="26" t="s">
        <v>71</v>
      </c>
      <c r="J12" s="26">
        <f t="shared" si="0"/>
        <v>15</v>
      </c>
      <c r="K12" s="26" t="str">
        <f t="shared" si="1"/>
        <v>Контр_Внеш_откл</v>
      </c>
      <c r="L12" s="38" t="s">
        <v>227</v>
      </c>
      <c r="M12" s="41" t="s">
        <v>54</v>
      </c>
      <c r="N12" s="42" t="s">
        <v>52</v>
      </c>
      <c r="O12" s="42" t="s">
        <v>52</v>
      </c>
      <c r="P12" s="42"/>
      <c r="Q12" s="44">
        <v>0</v>
      </c>
      <c r="R12" s="44"/>
      <c r="S12" s="42" t="s">
        <v>53</v>
      </c>
      <c r="T12" s="42">
        <v>0</v>
      </c>
      <c r="U12" s="42">
        <v>1</v>
      </c>
      <c r="V12" s="42">
        <v>1</v>
      </c>
      <c r="W12" s="42"/>
      <c r="X12" s="42"/>
      <c r="Y12" s="42">
        <v>0</v>
      </c>
      <c r="Z12" s="42">
        <v>0</v>
      </c>
      <c r="AA12" s="40"/>
      <c r="AB12" s="31">
        <v>0</v>
      </c>
      <c r="AC12" s="31"/>
      <c r="AD12" s="31"/>
      <c r="AE12" s="31"/>
      <c r="AF12" s="31"/>
      <c r="AG12" s="31">
        <v>0</v>
      </c>
      <c r="AH12" s="31">
        <v>0</v>
      </c>
      <c r="AI12" s="31">
        <v>0</v>
      </c>
      <c r="AJ12" s="31"/>
      <c r="AK12" s="39"/>
      <c r="AL12" s="39"/>
      <c r="AM12" s="39"/>
      <c r="AN12" s="39"/>
      <c r="AO12" s="39"/>
      <c r="AP12" s="39"/>
      <c r="AQ12" s="39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 t="s">
        <v>72</v>
      </c>
      <c r="AY12" s="39"/>
      <c r="AZ12" s="44"/>
      <c r="BA12" s="39"/>
      <c r="BB12" s="39"/>
      <c r="BC12" s="39"/>
      <c r="BD12" s="39"/>
      <c r="BE12" s="39"/>
      <c r="BF12" s="39"/>
      <c r="BG12" s="39"/>
      <c r="BH12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13" spans="1:16380" s="1" customFormat="1" ht="16.5" customHeight="1" x14ac:dyDescent="0.25">
      <c r="A13" s="38"/>
      <c r="B13" s="38" t="s">
        <v>56</v>
      </c>
      <c r="C13" s="42"/>
      <c r="D13" s="5" t="s">
        <v>89</v>
      </c>
      <c r="E13" s="26" t="s">
        <v>213</v>
      </c>
      <c r="F13" s="26" t="s">
        <v>214</v>
      </c>
      <c r="G13" s="26" t="s">
        <v>95</v>
      </c>
      <c r="H13" s="26" t="s">
        <v>95</v>
      </c>
      <c r="I13" s="26" t="s">
        <v>71</v>
      </c>
      <c r="J13" s="26">
        <f t="shared" si="0"/>
        <v>19</v>
      </c>
      <c r="K13" s="26" t="str">
        <f t="shared" si="1"/>
        <v>Контр_Вых_цеп_разоб</v>
      </c>
      <c r="L13" s="38" t="s">
        <v>228</v>
      </c>
      <c r="M13" s="41" t="s">
        <v>54</v>
      </c>
      <c r="N13" s="42" t="s">
        <v>52</v>
      </c>
      <c r="O13" s="42" t="s">
        <v>52</v>
      </c>
      <c r="P13" s="42"/>
      <c r="Q13" s="44">
        <v>0</v>
      </c>
      <c r="R13" s="44"/>
      <c r="S13" s="42" t="s">
        <v>53</v>
      </c>
      <c r="T13" s="42">
        <v>0</v>
      </c>
      <c r="U13" s="42">
        <v>1</v>
      </c>
      <c r="V13" s="42">
        <v>1</v>
      </c>
      <c r="W13" s="42"/>
      <c r="X13" s="42"/>
      <c r="Y13" s="42">
        <v>0</v>
      </c>
      <c r="Z13" s="42">
        <v>0</v>
      </c>
      <c r="AA13" s="40"/>
      <c r="AB13" s="31">
        <v>0</v>
      </c>
      <c r="AC13" s="31"/>
      <c r="AD13" s="31"/>
      <c r="AE13" s="31"/>
      <c r="AF13" s="31"/>
      <c r="AG13" s="31">
        <v>0</v>
      </c>
      <c r="AH13" s="31">
        <v>0</v>
      </c>
      <c r="AI13" s="31">
        <v>0</v>
      </c>
      <c r="AJ13" s="31"/>
      <c r="AK13" s="39"/>
      <c r="AL13" s="39"/>
      <c r="AM13" s="39"/>
      <c r="AN13" s="39"/>
      <c r="AO13" s="39"/>
      <c r="AP13" s="39"/>
      <c r="AQ13" s="39"/>
      <c r="AR13" s="39"/>
      <c r="AS13" s="39">
        <v>0</v>
      </c>
      <c r="AT13" s="39">
        <v>0</v>
      </c>
      <c r="AU13" s="39">
        <v>0</v>
      </c>
      <c r="AV13" s="39">
        <v>0</v>
      </c>
      <c r="AW13" s="39">
        <f t="shared" si="2"/>
        <v>0</v>
      </c>
      <c r="AX13" s="39" t="s">
        <v>72</v>
      </c>
      <c r="AY13" s="39"/>
      <c r="AZ13" s="44"/>
      <c r="BA13" s="39"/>
      <c r="BB13" s="39"/>
      <c r="BC13" s="39"/>
      <c r="BD13" s="39"/>
      <c r="BE13" s="39"/>
      <c r="BF13" s="39"/>
      <c r="BG13" s="39"/>
      <c r="BH13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4" spans="1:16380" s="1" customFormat="1" ht="16.5" customHeight="1" x14ac:dyDescent="0.25">
      <c r="A14" s="38"/>
      <c r="B14" s="38" t="s">
        <v>56</v>
      </c>
      <c r="C14" s="42"/>
      <c r="D14" s="5" t="s">
        <v>89</v>
      </c>
      <c r="E14" s="26" t="s">
        <v>215</v>
      </c>
      <c r="F14" s="26" t="s">
        <v>216</v>
      </c>
      <c r="G14" s="26" t="s">
        <v>96</v>
      </c>
      <c r="H14" s="26" t="s">
        <v>96</v>
      </c>
      <c r="I14" s="26" t="s">
        <v>71</v>
      </c>
      <c r="J14" s="26">
        <f t="shared" ref="J14" si="8">LEN(F14)</f>
        <v>17</v>
      </c>
      <c r="K14" s="26" t="str">
        <f t="shared" ref="K14" si="9">IF(LEN(F14)&lt;=$K$1,F14,"")</f>
        <v>Контр_БИ_выведены</v>
      </c>
      <c r="L14" s="38" t="s">
        <v>229</v>
      </c>
      <c r="M14" s="41" t="s">
        <v>54</v>
      </c>
      <c r="N14" s="42" t="s">
        <v>52</v>
      </c>
      <c r="O14" s="42" t="s">
        <v>52</v>
      </c>
      <c r="P14" s="42"/>
      <c r="Q14" s="44">
        <v>0</v>
      </c>
      <c r="R14" s="44"/>
      <c r="S14" s="42" t="s">
        <v>53</v>
      </c>
      <c r="T14" s="42">
        <v>0</v>
      </c>
      <c r="U14" s="42">
        <v>1</v>
      </c>
      <c r="V14" s="42">
        <v>1</v>
      </c>
      <c r="W14" s="42"/>
      <c r="X14" s="42"/>
      <c r="Y14" s="42">
        <v>0</v>
      </c>
      <c r="Z14" s="42">
        <v>0</v>
      </c>
      <c r="AA14" s="40"/>
      <c r="AB14" s="31">
        <v>0</v>
      </c>
      <c r="AC14" s="31"/>
      <c r="AD14" s="31"/>
      <c r="AE14" s="31"/>
      <c r="AF14" s="31"/>
      <c r="AG14" s="31">
        <v>0</v>
      </c>
      <c r="AH14" s="31">
        <v>0</v>
      </c>
      <c r="AI14" s="31">
        <v>0</v>
      </c>
      <c r="AJ14" s="31"/>
      <c r="AK14" s="39"/>
      <c r="AL14" s="39"/>
      <c r="AM14" s="39"/>
      <c r="AN14" s="39"/>
      <c r="AO14" s="39"/>
      <c r="AP14" s="39"/>
      <c r="AQ14" s="39"/>
      <c r="AR14" s="39"/>
      <c r="AS14" s="39">
        <v>0</v>
      </c>
      <c r="AT14" s="39">
        <v>0</v>
      </c>
      <c r="AU14" s="39">
        <v>0</v>
      </c>
      <c r="AV14" s="39">
        <v>0</v>
      </c>
      <c r="AW14" s="39">
        <f t="shared" ref="AW14" si="10">BIN2DEC(CONCATENATE(0,0,0,0,AS14,AT14,AU14,AV14))</f>
        <v>0</v>
      </c>
      <c r="AX14" s="39" t="s">
        <v>72</v>
      </c>
      <c r="AY14" s="39"/>
      <c r="AZ14" s="44"/>
      <c r="BA14" s="39"/>
      <c r="BB14" s="39"/>
      <c r="BC14" s="39"/>
      <c r="BD14" s="39"/>
      <c r="BE14" s="39"/>
      <c r="BF14" s="39"/>
      <c r="BG14" s="39"/>
      <c r="BH14" s="29" t="str">
        <f t="shared" ref="BH14" si="11">CONCATENATE("description: """,F14,"""", ", ", "note: """,E14,"""",", ","group: """, B14, """",", ","minValue: ", T14,", ","maxValue: ", U14,", ","step: ", V14,", ","units: """, S14, """",", ","defaultValue: ", Y14,", ","eventRegistration: ", Z14,)</f>
        <v>description: "Контр_БИ_выведены", note: "Контроль сигнала «БИ выведены»", group: "setting", minValue: 0, maxValue: 1, step: 1, units: "null", defaultValue: 0, eventRegistration: 0</v>
      </c>
    </row>
    <row r="15" spans="1:16380" s="1" customFormat="1" ht="16.5" customHeight="1" x14ac:dyDescent="0.25">
      <c r="A15" s="38"/>
      <c r="B15" s="38" t="s">
        <v>56</v>
      </c>
      <c r="C15" s="42"/>
      <c r="D15" s="5" t="s">
        <v>89</v>
      </c>
      <c r="E15" s="26" t="s">
        <v>98</v>
      </c>
      <c r="F15" s="26" t="s">
        <v>217</v>
      </c>
      <c r="G15" s="26" t="s">
        <v>99</v>
      </c>
      <c r="H15" s="26" t="s">
        <v>99</v>
      </c>
      <c r="I15" s="26" t="s">
        <v>71</v>
      </c>
      <c r="J15" s="26">
        <f t="shared" si="0"/>
        <v>19</v>
      </c>
      <c r="K15" s="26" t="str">
        <f t="shared" si="1"/>
        <v>Контр_общ_внеш_сигн</v>
      </c>
      <c r="L15" s="38" t="s">
        <v>230</v>
      </c>
      <c r="M15" s="41" t="s">
        <v>54</v>
      </c>
      <c r="N15" s="42" t="s">
        <v>52</v>
      </c>
      <c r="O15" s="42" t="s">
        <v>52</v>
      </c>
      <c r="P15" s="42"/>
      <c r="Q15" s="44">
        <v>0</v>
      </c>
      <c r="R15" s="44"/>
      <c r="S15" s="42" t="s">
        <v>53</v>
      </c>
      <c r="T15" s="42">
        <v>0</v>
      </c>
      <c r="U15" s="42">
        <v>1</v>
      </c>
      <c r="V15" s="42">
        <v>1</v>
      </c>
      <c r="W15" s="42"/>
      <c r="X15" s="42"/>
      <c r="Y15" s="42">
        <v>0</v>
      </c>
      <c r="Z15" s="42">
        <v>0</v>
      </c>
      <c r="AA15" s="40"/>
      <c r="AB15" s="31">
        <v>0</v>
      </c>
      <c r="AC15" s="31"/>
      <c r="AD15" s="31"/>
      <c r="AE15" s="31"/>
      <c r="AF15" s="31"/>
      <c r="AG15" s="31">
        <v>0</v>
      </c>
      <c r="AH15" s="31">
        <v>0</v>
      </c>
      <c r="AI15" s="31">
        <v>0</v>
      </c>
      <c r="AJ15" s="31"/>
      <c r="AK15" s="39"/>
      <c r="AL15" s="39"/>
      <c r="AM15" s="39"/>
      <c r="AN15" s="39"/>
      <c r="AO15" s="39"/>
      <c r="AP15" s="39"/>
      <c r="AQ15" s="39"/>
      <c r="AR15" s="39"/>
      <c r="AS15" s="39">
        <v>0</v>
      </c>
      <c r="AT15" s="39">
        <v>0</v>
      </c>
      <c r="AU15" s="39">
        <v>0</v>
      </c>
      <c r="AV15" s="39">
        <v>0</v>
      </c>
      <c r="AW15" s="39">
        <f t="shared" si="2"/>
        <v>0</v>
      </c>
      <c r="AX15" s="39" t="s">
        <v>72</v>
      </c>
      <c r="AY15" s="39"/>
      <c r="AZ15" s="44"/>
      <c r="BA15" s="39"/>
      <c r="BB15" s="39"/>
      <c r="BC15" s="39"/>
      <c r="BD15" s="39"/>
      <c r="BE15" s="39"/>
      <c r="BF15" s="39"/>
      <c r="BG15" s="39"/>
      <c r="BH15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36" sqref="B36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49" t="s">
        <v>59</v>
      </c>
      <c r="B3" s="4" t="s">
        <v>89</v>
      </c>
    </row>
    <row r="4" spans="1:2" x14ac:dyDescent="0.25">
      <c r="A4" s="49" t="s">
        <v>60</v>
      </c>
      <c r="B4" s="51">
        <v>580</v>
      </c>
    </row>
    <row r="5" spans="1:2" x14ac:dyDescent="0.25">
      <c r="A5" s="49" t="s">
        <v>61</v>
      </c>
      <c r="B5" s="50" t="s">
        <v>52</v>
      </c>
    </row>
    <row r="6" spans="1:2" x14ac:dyDescent="0.25">
      <c r="A6" s="52" t="s">
        <v>62</v>
      </c>
      <c r="B6" s="50" t="s">
        <v>239</v>
      </c>
    </row>
    <row r="7" spans="1:2" x14ac:dyDescent="0.25">
      <c r="A7" s="52" t="s">
        <v>97</v>
      </c>
      <c r="B7" s="50">
        <v>1</v>
      </c>
    </row>
    <row r="8" spans="1:2" x14ac:dyDescent="0.25">
      <c r="A8" s="56" t="s">
        <v>236</v>
      </c>
      <c r="B8" t="s">
        <v>238</v>
      </c>
    </row>
    <row r="9" spans="1:2" x14ac:dyDescent="0.25">
      <c r="A9" s="56" t="s">
        <v>237</v>
      </c>
      <c r="B9" s="56"/>
    </row>
    <row r="10" spans="1:2" x14ac:dyDescent="0.25">
      <c r="A10" s="57" t="s">
        <v>89</v>
      </c>
      <c r="B10" t="s">
        <v>238</v>
      </c>
    </row>
    <row r="11" spans="1:2" x14ac:dyDescent="0.25">
      <c r="A11" s="56" t="s">
        <v>237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2025-10-16T14:02:16Z</dcterms:modified>
</cp:coreProperties>
</file>