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4" l="1"/>
  <c r="J6" i="4"/>
  <c r="I6" i="4"/>
  <c r="BG5" i="4"/>
  <c r="J5" i="4"/>
  <c r="I5" i="4"/>
  <c r="BG4" i="4"/>
  <c r="J4" i="4"/>
  <c r="I4" i="4"/>
  <c r="BG7" i="4" l="1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0" i="4"/>
  <c r="I10" i="4"/>
  <c r="BG9" i="4"/>
  <c r="I9" i="4"/>
  <c r="BG8" i="4"/>
  <c r="AP8" i="4"/>
  <c r="I8" i="4"/>
  <c r="BG3" i="4"/>
  <c r="J3" i="4"/>
  <c r="I3" i="4"/>
  <c r="AH1" i="4"/>
</calcChain>
</file>

<file path=xl/sharedStrings.xml><?xml version="1.0" encoding="utf-8"?>
<sst xmlns="http://schemas.openxmlformats.org/spreadsheetml/2006/main" count="492" uniqueCount="174">
  <si>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</si>
  <si>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</si>
  <si>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</si>
  <si>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</si>
  <si>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</si>
  <si>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</si>
  <si>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</si>
  <si>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</si>
  <si>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</si>
  <si>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</si>
  <si>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</si>
  <si>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</si>
  <si>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</si>
  <si>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</si>
  <si>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</si>
  <si>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</si>
  <si>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</si>
  <si>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</si>
  <si>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</si>
  <si>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</si>
  <si>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</si>
  <si>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</si>
  <si>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</si>
  <si>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</si>
  <si>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</si>
  <si>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</si>
  <si>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</si>
  <si>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</si>
  <si>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</si>
  <si>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</si>
  <si>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</si>
  <si>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</si>
  <si>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</si>
  <si>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</si>
  <si>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</si>
  <si>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</si>
  <si>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</si>
  <si>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</si>
  <si>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</si>
  <si>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</si>
  <si>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</si>
  <si>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</si>
  <si>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</si>
  <si>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</si>
  <si>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</si>
  <si>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</si>
  <si>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</si>
  <si>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</si>
  <si>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</si>
  <si>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</si>
  <si>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</si>
  <si>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</si>
  <si>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</si>
  <si>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</si>
  <si>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</si>
  <si>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</si>
  <si>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</si>
  <si>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</si>
  <si>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</si>
  <si>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</si>
  <si>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</si>
  <si>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</si>
  <si>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</si>
  <si>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</si>
  <si>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</si>
  <si>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</si>
  <si>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</si>
  <si>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</si>
  <si>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</si>
  <si>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</si>
  <si>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</si>
  <si>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</si>
  <si>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</si>
  <si>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</si>
  <si>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</si>
  <si>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</si>
  <si>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</si>
  <si>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</si>
  <si>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</si>
  <si>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</si>
  <si>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</si>
  <si>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</si>
  <si>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</si>
  <si>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</si>
  <si>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</si>
  <si>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</si>
  <si>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</si>
  <si>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</si>
  <si>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</si>
  <si>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</si>
  <si>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</si>
  <si>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</si>
  <si>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</si>
  <si>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</si>
  <si>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</si>
  <si>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</si>
  <si>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</si>
  <si>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</si>
  <si>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</si>
  <si>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</si>
  <si>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</si>
  <si>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</si>
  <si>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</si>
  <si>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</si>
  <si>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</si>
  <si>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</si>
  <si>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</si>
  <si>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</si>
  <si>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</si>
  <si>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</si>
  <si>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</si>
  <si>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</si>
  <si>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</si>
  <si>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</si>
  <si>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</si>
  <si>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</si>
  <si>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</si>
  <si>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</si>
  <si>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</si>
  <si>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</si>
  <si>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</si>
  <si>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</si>
  <si>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</si>
  <si>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</si>
  <si>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</si>
  <si>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</si>
  <si>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</si>
  <si>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</si>
  <si>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PTOC1_FuncEnabled</t>
  </si>
  <si>
    <t>PTOC1_FuncOperDisabled</t>
  </si>
  <si>
    <t>Пуск ИО тока</t>
  </si>
  <si>
    <t>ИО I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</si>
  <si>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</si>
  <si>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</si>
  <si>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</si>
  <si>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</si>
  <si>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</si>
  <si>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</si>
  <si>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</si>
  <si>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</si>
  <si>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</si>
  <si>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</si>
  <si>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</si>
  <si>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</si>
  <si>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</si>
  <si>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</si>
  <si>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</si>
  <si>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</si>
  <si>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</si>
  <si>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</si>
  <si>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</si>
  <si>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</si>
  <si>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</si>
  <si>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ТК ЗДЗ</t>
  </si>
  <si>
    <t>Оперативный вывод функции ТК ЗДЗ</t>
  </si>
  <si>
    <t>ОВ ТК ЗДЗ</t>
  </si>
  <si>
    <t>LVARCTOC_operOutFunction</t>
  </si>
  <si>
    <t>Индикация поведения логического узла ТК ЗДЗ</t>
  </si>
  <si>
    <t>Индикация исправности логического узла ТК ЗДЗ</t>
  </si>
  <si>
    <t>LVARCTOC</t>
  </si>
  <si>
    <t>I&gt;</t>
  </si>
  <si>
    <t>SG</t>
  </si>
  <si>
    <t>FbVersion</t>
  </si>
  <si>
    <t>system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</si>
  <si>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</si>
  <si>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</si>
  <si>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</si>
  <si>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</si>
  <si>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</si>
  <si>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</si>
  <si>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</si>
  <si>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Контроль тока ЗДЗ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</si>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</sst>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abSelected="1" topLeftCell="AO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5.85546875" style="1" customWidth="1"/>
    <col min="49" max="49" width="17.85546875" style="1" customWidth="1"/>
    <col min="50" max="50" width="9.140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165</v>
      </c>
      <c r="AW2" s="56" t="s">
        <v>166</v>
      </c>
      <c r="AX2" s="56" t="s">
        <v>167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10" si="0">LEN(F3)</f>
        <v>10</v>
      </c>
      <c r="J3" s="34" t="str">
        <f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v>0</v>
      </c>
      <c r="AW3" s="46">
        <v>0</v>
      </c>
      <c r="AX3" s="46"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>IF(LEN(F4)&lt;=$J$1,F4,"")</f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0</v>
      </c>
      <c r="AX4" s="46"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>IF(LEN(F5)&lt;=$J$1,F5,"")</f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6">
        <v>0</v>
      </c>
      <c r="AX5" s="46"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79" customFormat="1" ht="15.75" x14ac:dyDescent="0.25">
      <c r="A6" s="64"/>
      <c r="B6" s="64" t="s">
        <v>164</v>
      </c>
      <c r="C6" s="65"/>
      <c r="D6" s="66"/>
      <c r="E6" s="67" t="s">
        <v>107</v>
      </c>
      <c r="F6" s="68" t="s">
        <v>107</v>
      </c>
      <c r="G6" s="68" t="s">
        <v>107</v>
      </c>
      <c r="H6" s="67"/>
      <c r="I6" s="67">
        <f t="shared" si="0"/>
        <v>15</v>
      </c>
      <c r="J6" s="67" t="str">
        <f>IF(LEN(F6)&lt;=$J$1,F6,"")</f>
        <v>Вывод терминала</v>
      </c>
      <c r="K6" s="64" t="s">
        <v>108</v>
      </c>
      <c r="L6" s="69" t="s">
        <v>54</v>
      </c>
      <c r="M6" s="65" t="s">
        <v>51</v>
      </c>
      <c r="N6" s="65" t="s">
        <v>52</v>
      </c>
      <c r="O6" s="65"/>
      <c r="P6" s="70"/>
      <c r="Q6" s="70"/>
      <c r="R6" s="65" t="s">
        <v>53</v>
      </c>
      <c r="S6" s="65" t="s">
        <v>53</v>
      </c>
      <c r="T6" s="65" t="s">
        <v>53</v>
      </c>
      <c r="U6" s="65" t="s">
        <v>53</v>
      </c>
      <c r="V6" s="65"/>
      <c r="W6" s="65"/>
      <c r="X6" s="65" t="s">
        <v>53</v>
      </c>
      <c r="Y6" s="65">
        <v>0</v>
      </c>
      <c r="Z6" s="71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/>
      <c r="AJ6" s="74"/>
      <c r="AK6" s="74"/>
      <c r="AL6" s="74"/>
      <c r="AM6" s="74"/>
      <c r="AN6" s="74"/>
      <c r="AO6" s="74"/>
      <c r="AP6" s="74"/>
      <c r="AQ6" s="74"/>
      <c r="AR6" s="72">
        <v>0</v>
      </c>
      <c r="AS6" s="72">
        <v>0</v>
      </c>
      <c r="AT6" s="81">
        <v>1</v>
      </c>
      <c r="AU6" s="46">
        <v>0</v>
      </c>
      <c r="AV6" s="81">
        <v>1</v>
      </c>
      <c r="AW6" s="81">
        <v>1</v>
      </c>
      <c r="AX6" s="81">
        <v>1</v>
      </c>
      <c r="AY6" s="72"/>
      <c r="AZ6" s="70"/>
      <c r="BA6" s="72"/>
      <c r="BB6" s="72"/>
      <c r="BC6" s="75"/>
      <c r="BD6" s="72"/>
      <c r="BE6" s="76"/>
      <c r="BF6" s="72"/>
      <c r="BG6" s="7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8"/>
    </row>
    <row r="7" spans="1:16379" s="79" customFormat="1" ht="15.75" x14ac:dyDescent="0.25">
      <c r="A7" s="64"/>
      <c r="B7" s="64" t="s">
        <v>164</v>
      </c>
      <c r="C7" s="65"/>
      <c r="D7" s="80" t="s">
        <v>153</v>
      </c>
      <c r="E7" s="67" t="s">
        <v>154</v>
      </c>
      <c r="F7" s="68" t="s">
        <v>155</v>
      </c>
      <c r="G7" s="68" t="s">
        <v>155</v>
      </c>
      <c r="H7" s="67"/>
      <c r="I7" s="67">
        <f t="shared" si="0"/>
        <v>9</v>
      </c>
      <c r="J7" s="67" t="str">
        <f>IF(LEN(F7)&lt;=$J$1,F7,"")</f>
        <v>ОВ ТК ЗДЗ</v>
      </c>
      <c r="K7" s="64" t="s">
        <v>156</v>
      </c>
      <c r="L7" s="69" t="s">
        <v>54</v>
      </c>
      <c r="M7" s="65" t="s">
        <v>51</v>
      </c>
      <c r="N7" s="65" t="s">
        <v>52</v>
      </c>
      <c r="O7" s="65"/>
      <c r="P7" s="70"/>
      <c r="Q7" s="70"/>
      <c r="R7" s="65" t="s">
        <v>53</v>
      </c>
      <c r="S7" s="65" t="s">
        <v>53</v>
      </c>
      <c r="T7" s="65" t="s">
        <v>53</v>
      </c>
      <c r="U7" s="65" t="s">
        <v>53</v>
      </c>
      <c r="V7" s="65"/>
      <c r="W7" s="65"/>
      <c r="X7" s="65" t="s">
        <v>53</v>
      </c>
      <c r="Y7" s="65">
        <v>0</v>
      </c>
      <c r="Z7" s="71"/>
      <c r="AA7" s="72">
        <v>0</v>
      </c>
      <c r="AB7" s="72"/>
      <c r="AC7" s="72"/>
      <c r="AD7" s="72"/>
      <c r="AE7" s="72"/>
      <c r="AF7" s="72">
        <v>0</v>
      </c>
      <c r="AG7" s="72">
        <v>0</v>
      </c>
      <c r="AH7" s="72">
        <v>0</v>
      </c>
      <c r="AI7" s="73"/>
      <c r="AJ7" s="74"/>
      <c r="AK7" s="74"/>
      <c r="AL7" s="74"/>
      <c r="AM7" s="74"/>
      <c r="AN7" s="74"/>
      <c r="AO7" s="74"/>
      <c r="AP7" s="74"/>
      <c r="AQ7" s="74"/>
      <c r="AR7" s="72">
        <v>0</v>
      </c>
      <c r="AS7" s="72">
        <v>0</v>
      </c>
      <c r="AT7" s="81">
        <v>1</v>
      </c>
      <c r="AU7" s="46">
        <v>0</v>
      </c>
      <c r="AV7" s="81">
        <v>1</v>
      </c>
      <c r="AW7" s="81">
        <v>1</v>
      </c>
      <c r="AX7" s="81">
        <v>1</v>
      </c>
      <c r="AY7" s="72"/>
      <c r="AZ7" s="70"/>
      <c r="BA7" s="72"/>
      <c r="BB7" s="72"/>
      <c r="BC7" s="75"/>
      <c r="BD7" s="72"/>
      <c r="BE7" s="76"/>
      <c r="BF7" s="72"/>
      <c r="BG7" s="7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ТК ЗДЗ", note: "Оперативный вывод функции ТК ЗДЗ", group: "control", minValue: null, maxValue: null, step: null, units: "null", defaultValue: null, eventRegistration: 0</v>
      </c>
      <c r="BH7" s="78"/>
    </row>
    <row r="8" spans="1:16379" s="21" customFormat="1" ht="15.75" x14ac:dyDescent="0.25">
      <c r="A8" s="19"/>
      <c r="B8" s="55" t="s">
        <v>163</v>
      </c>
      <c r="C8" s="20"/>
      <c r="D8" s="9"/>
      <c r="E8" s="35" t="s">
        <v>55</v>
      </c>
      <c r="F8" s="35" t="s">
        <v>56</v>
      </c>
      <c r="G8" s="35" t="s">
        <v>56</v>
      </c>
      <c r="H8" s="9"/>
      <c r="I8" s="34">
        <f t="shared" si="0"/>
        <v>10</v>
      </c>
      <c r="J8" s="35" t="s">
        <v>56</v>
      </c>
      <c r="K8" s="48" t="s">
        <v>58</v>
      </c>
      <c r="L8" s="45" t="s">
        <v>57</v>
      </c>
      <c r="M8" s="32" t="s">
        <v>51</v>
      </c>
      <c r="N8" s="32" t="s">
        <v>52</v>
      </c>
      <c r="O8" s="32"/>
      <c r="P8" s="20"/>
      <c r="Q8" s="20"/>
      <c r="R8" s="32" t="s">
        <v>53</v>
      </c>
      <c r="S8" s="32" t="s">
        <v>53</v>
      </c>
      <c r="T8" s="32" t="s">
        <v>53</v>
      </c>
      <c r="U8" s="32" t="s">
        <v>53</v>
      </c>
      <c r="V8" s="20"/>
      <c r="W8" s="20"/>
      <c r="X8" s="32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112</v>
      </c>
      <c r="AK8" s="44" t="s">
        <v>59</v>
      </c>
      <c r="AL8" s="44" t="s">
        <v>60</v>
      </c>
      <c r="AM8" s="44" t="s">
        <v>61</v>
      </c>
      <c r="AN8" s="44"/>
      <c r="AO8" s="44" t="s">
        <v>62</v>
      </c>
      <c r="AP8" s="44" t="str">
        <f>CONCATENATE(AJ8, ".", AL8)</f>
        <v>LLN0.GrRef.setSrcRef</v>
      </c>
      <c r="AQ8" s="44" t="s">
        <v>63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9"/>
      <c r="AZ8" s="20"/>
      <c r="BA8" s="20"/>
      <c r="BB8" s="20"/>
      <c r="BC8" s="20"/>
      <c r="BD8" s="20"/>
      <c r="BE8" s="20"/>
      <c r="BF8" s="20"/>
      <c r="BG8" s="42" t="str">
        <f t="shared" ref="BG8:BG10" si="1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"system", minValue: null, maxValue: null, step: null, units: "null", defaultValue: null, eventRegistration: 0</v>
      </c>
    </row>
    <row r="9" spans="1:16379" s="21" customFormat="1" ht="15.75" x14ac:dyDescent="0.25">
      <c r="A9" s="19"/>
      <c r="B9" s="55" t="s">
        <v>163</v>
      </c>
      <c r="C9" s="20"/>
      <c r="D9" s="9"/>
      <c r="E9" s="35" t="s">
        <v>68</v>
      </c>
      <c r="F9" s="35" t="s">
        <v>69</v>
      </c>
      <c r="G9" s="35" t="s">
        <v>69</v>
      </c>
      <c r="H9" s="9"/>
      <c r="I9" s="34">
        <f t="shared" si="0"/>
        <v>8</v>
      </c>
      <c r="J9" s="35" t="s">
        <v>69</v>
      </c>
      <c r="K9" s="48" t="s">
        <v>70</v>
      </c>
      <c r="L9" s="36" t="s">
        <v>54</v>
      </c>
      <c r="M9" s="32" t="s">
        <v>51</v>
      </c>
      <c r="N9" s="32" t="s">
        <v>52</v>
      </c>
      <c r="O9" s="32"/>
      <c r="P9" s="20"/>
      <c r="Q9" s="20"/>
      <c r="R9" s="32" t="s">
        <v>53</v>
      </c>
      <c r="S9" s="32" t="s">
        <v>53</v>
      </c>
      <c r="T9" s="32" t="s">
        <v>53</v>
      </c>
      <c r="U9" s="32" t="s">
        <v>53</v>
      </c>
      <c r="V9" s="20"/>
      <c r="W9" s="20"/>
      <c r="X9" s="32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44"/>
      <c r="AK9" s="44"/>
      <c r="AL9" s="44"/>
      <c r="AM9" s="44"/>
      <c r="AN9" s="44"/>
      <c r="AO9" s="44"/>
      <c r="AP9" s="44"/>
      <c r="AQ9" s="44"/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22"/>
      <c r="AZ9" s="23"/>
      <c r="BA9" s="23"/>
      <c r="BB9" s="23"/>
      <c r="BC9" s="23"/>
      <c r="BD9" s="23"/>
      <c r="BE9" s="23"/>
      <c r="BF9" s="23"/>
      <c r="BG9" s="42" t="str">
        <f t="shared" si="1"/>
        <v>description: "Ош.крит.", note: "Наличие критической неисправности", group: "system", minValue: null, maxValue: null, step: null, units: "null", defaultValue: null, eventRegistration: 0</v>
      </c>
    </row>
    <row r="10" spans="1:16379" s="21" customFormat="1" ht="15.75" x14ac:dyDescent="0.25">
      <c r="A10" s="19"/>
      <c r="B10" s="55" t="s">
        <v>163</v>
      </c>
      <c r="C10" s="20"/>
      <c r="D10" s="9"/>
      <c r="E10" s="35" t="s">
        <v>71</v>
      </c>
      <c r="F10" s="35" t="s">
        <v>72</v>
      </c>
      <c r="G10" s="35" t="s">
        <v>72</v>
      </c>
      <c r="H10" s="9"/>
      <c r="I10" s="34">
        <f t="shared" si="0"/>
        <v>6</v>
      </c>
      <c r="J10" s="35" t="s">
        <v>72</v>
      </c>
      <c r="K10" s="48" t="s">
        <v>73</v>
      </c>
      <c r="L10" s="36" t="s">
        <v>54</v>
      </c>
      <c r="M10" s="32" t="s">
        <v>51</v>
      </c>
      <c r="N10" s="32" t="s">
        <v>52</v>
      </c>
      <c r="O10" s="32"/>
      <c r="P10" s="20"/>
      <c r="Q10" s="20"/>
      <c r="R10" s="32" t="s">
        <v>53</v>
      </c>
      <c r="S10" s="32" t="s">
        <v>53</v>
      </c>
      <c r="T10" s="32" t="s">
        <v>53</v>
      </c>
      <c r="U10" s="32" t="s">
        <v>53</v>
      </c>
      <c r="V10" s="20"/>
      <c r="W10" s="20"/>
      <c r="X10" s="32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44"/>
      <c r="AK10" s="44"/>
      <c r="AL10" s="44"/>
      <c r="AM10" s="44"/>
      <c r="AN10" s="44"/>
      <c r="AO10" s="44"/>
      <c r="AP10" s="44"/>
      <c r="AQ10" s="44"/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22"/>
      <c r="AZ10" s="23"/>
      <c r="BA10" s="23"/>
      <c r="BB10" s="23"/>
      <c r="BC10" s="23"/>
      <c r="BD10" s="23"/>
      <c r="BE10" s="23"/>
      <c r="BF10" s="23"/>
      <c r="BG10" s="42" t="str">
        <f t="shared" si="1"/>
        <v>description: "Ошибка", note: "Наличие некритической ошибки", group: "system",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3" sqref="A3:XFD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5.85546875" style="1" customWidth="1"/>
    <col min="49" max="49" width="17.85546875" style="1" customWidth="1"/>
    <col min="50" max="50" width="9.140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165</v>
      </c>
      <c r="AW2" s="56" t="s">
        <v>166</v>
      </c>
      <c r="AX2" s="56" t="s">
        <v>167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7" t="s">
        <v>168</v>
      </c>
      <c r="C3" s="20"/>
      <c r="D3" s="52" t="s">
        <v>153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128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7" t="s">
        <v>168</v>
      </c>
      <c r="C4" s="20"/>
      <c r="D4" s="52" t="s">
        <v>153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129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7" t="s">
        <v>168</v>
      </c>
      <c r="C5" s="20"/>
      <c r="D5" s="52" t="s">
        <v>153</v>
      </c>
      <c r="E5" s="35" t="s">
        <v>130</v>
      </c>
      <c r="F5" s="25" t="s">
        <v>131</v>
      </c>
      <c r="G5" s="25" t="s">
        <v>131</v>
      </c>
      <c r="H5" s="9"/>
      <c r="I5" s="35">
        <f>LEN(F5)</f>
        <v>4</v>
      </c>
      <c r="J5" s="35" t="str">
        <f>IF(LEN(F5)&lt;=$J$1,F5,"")</f>
        <v>ИО I</v>
      </c>
      <c r="K5" s="48" t="s">
        <v>133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7" t="s">
        <v>168</v>
      </c>
      <c r="C6" s="20"/>
      <c r="D6" s="52" t="s">
        <v>153</v>
      </c>
      <c r="E6" s="35" t="s">
        <v>132</v>
      </c>
      <c r="F6" s="25" t="s">
        <v>132</v>
      </c>
      <c r="G6" s="25" t="s">
        <v>132</v>
      </c>
      <c r="H6" s="9"/>
      <c r="I6" s="35">
        <f>LEN(F6)</f>
        <v>4</v>
      </c>
      <c r="J6" s="35" t="str">
        <f>IF(LEN(F6)&lt;=$J$1,F6,"")</f>
        <v>Пуск</v>
      </c>
      <c r="K6" s="48" t="s">
        <v>134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137</v>
      </c>
      <c r="AJ6" s="44" t="s">
        <v>140</v>
      </c>
      <c r="AK6" s="44" t="s">
        <v>141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7" t="s">
        <v>168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7" t="s">
        <v>168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7" t="s">
        <v>168</v>
      </c>
      <c r="C9" s="20"/>
      <c r="D9" s="52" t="s">
        <v>153</v>
      </c>
      <c r="E9" s="35" t="s">
        <v>157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135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137</v>
      </c>
      <c r="AJ9" s="44" t="s">
        <v>138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ТК ЗДЗ",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7" t="s">
        <v>168</v>
      </c>
      <c r="C10" s="20"/>
      <c r="D10" s="52" t="s">
        <v>153</v>
      </c>
      <c r="E10" s="35" t="s">
        <v>158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136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137</v>
      </c>
      <c r="AJ10" s="44" t="s">
        <v>139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ТК ЗДЗ",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zoomScale="80" zoomScaleNormal="80" workbookViewId="0">
      <selection activeCell="I11" sqref="I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2" t="s">
        <v>0</v>
      </c>
      <c r="BB1" s="63"/>
      <c r="BC1" s="63"/>
      <c r="BD1" s="63"/>
      <c r="BE1" s="63"/>
      <c r="BF1" s="63"/>
      <c r="BG1" s="6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61" t="s">
        <v>173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153</v>
      </c>
      <c r="E3" s="35" t="s">
        <v>115</v>
      </c>
      <c r="F3" s="35" t="s">
        <v>111</v>
      </c>
      <c r="G3" s="35" t="s">
        <v>116</v>
      </c>
      <c r="H3" s="59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142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153</v>
      </c>
      <c r="E4" s="35" t="s">
        <v>143</v>
      </c>
      <c r="F4" s="35" t="s">
        <v>144</v>
      </c>
      <c r="G4" s="35" t="s">
        <v>160</v>
      </c>
      <c r="H4" s="60" t="s">
        <v>172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145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146</v>
      </c>
      <c r="S4" s="47" t="s">
        <v>147</v>
      </c>
      <c r="T4" s="47" t="s">
        <v>148</v>
      </c>
      <c r="U4" s="47">
        <v>30</v>
      </c>
      <c r="V4" s="47" t="s">
        <v>149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137</v>
      </c>
      <c r="AK4" s="20" t="s">
        <v>150</v>
      </c>
      <c r="AL4" s="20" t="s">
        <v>151</v>
      </c>
      <c r="AM4" s="20" t="s">
        <v>152</v>
      </c>
      <c r="AN4" s="20" t="s">
        <v>120</v>
      </c>
      <c r="AO4" s="20"/>
      <c r="AP4" s="20" t="s">
        <v>161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4"/>
      <c r="BD5" s="4"/>
      <c r="BE5" s="24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3" customWidth="1"/>
    <col min="2" max="2" width="38.425781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153</v>
      </c>
    </row>
    <row r="4" spans="1:2" x14ac:dyDescent="0.25">
      <c r="A4" s="26" t="s">
        <v>93</v>
      </c>
      <c r="B4" s="28">
        <v>140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159</v>
      </c>
    </row>
    <row r="7" spans="1:2" x14ac:dyDescent="0.25">
      <c r="A7" s="29" t="s">
        <v>162</v>
      </c>
      <c r="B7" s="27">
        <v>1</v>
      </c>
    </row>
    <row r="8" spans="1:2" x14ac:dyDescent="0.25">
      <c r="A8" s="58" t="s">
        <v>169</v>
      </c>
      <c r="B8" s="58" t="s">
        <v>171</v>
      </c>
    </row>
    <row r="9" spans="1:2" x14ac:dyDescent="0.25">
      <c r="A9" s="58" t="s">
        <v>170</v>
      </c>
      <c r="B9" s="58"/>
    </row>
    <row r="10" spans="1:2" x14ac:dyDescent="0.25">
      <c r="A10" s="52" t="s">
        <v>153</v>
      </c>
      <c r="B10" s="58" t="s">
        <v>171</v>
      </c>
    </row>
    <row r="11" spans="1:2" x14ac:dyDescent="0.25">
      <c r="A11" s="58" t="s">
        <v>170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2025-09-09T05:44:41Z</dcterms:modified>
</cp:coreProperties>
</file>