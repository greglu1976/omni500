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9" i="4" l="1"/>
  <c r="AX48" i="4"/>
  <c r="AX47" i="4"/>
  <c r="AX46" i="4"/>
  <c r="AX45" i="4"/>
  <c r="AX44" i="4"/>
  <c r="AX43" i="4"/>
  <c r="AX42" i="4"/>
  <c r="AX41" i="4"/>
  <c r="AX40" i="4"/>
  <c r="AX39" i="4"/>
  <c r="AX38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64" i="5"/>
  <c r="AX63" i="5"/>
  <c r="AX62" i="5"/>
  <c r="AX61" i="5"/>
  <c r="AX60" i="5"/>
  <c r="AX59" i="5"/>
  <c r="AX58" i="5"/>
  <c r="AX57" i="5"/>
  <c r="AX56" i="5"/>
  <c r="AX55" i="5"/>
  <c r="AX54" i="5"/>
  <c r="AX53" i="5"/>
  <c r="AX52" i="5"/>
  <c r="AX51" i="5"/>
  <c r="AX50" i="5"/>
  <c r="AX49" i="5"/>
  <c r="AX48" i="5"/>
  <c r="AX47" i="5"/>
  <c r="AX46" i="5"/>
  <c r="AX45" i="5"/>
  <c r="AX44" i="5"/>
  <c r="AX43" i="5"/>
  <c r="AX42" i="5"/>
  <c r="AX41" i="5"/>
  <c r="AX40" i="5"/>
  <c r="AX39" i="5"/>
  <c r="BG50" i="5" l="1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AR13" i="6" l="1"/>
  <c r="AR12" i="6"/>
  <c r="AR16" i="6"/>
  <c r="AR15" i="6"/>
  <c r="AR9" i="6"/>
  <c r="AR8" i="6"/>
  <c r="BI20" i="6"/>
  <c r="AX20" i="6"/>
  <c r="L20" i="6"/>
  <c r="K20" i="6"/>
  <c r="BI19" i="6"/>
  <c r="AX19" i="6"/>
  <c r="L19" i="6"/>
  <c r="K19" i="6"/>
  <c r="BI18" i="6"/>
  <c r="AX18" i="6"/>
  <c r="L18" i="6"/>
  <c r="K18" i="6"/>
  <c r="BI17" i="6"/>
  <c r="AX17" i="6"/>
  <c r="L17" i="6"/>
  <c r="K17" i="6"/>
  <c r="BI22" i="6"/>
  <c r="AX22" i="6"/>
  <c r="L22" i="6"/>
  <c r="K22" i="6"/>
  <c r="BI21" i="6"/>
  <c r="AX21" i="6"/>
  <c r="L21" i="6"/>
  <c r="K21" i="6"/>
  <c r="BI24" i="6"/>
  <c r="AX24" i="6"/>
  <c r="L24" i="6"/>
  <c r="K24" i="6"/>
  <c r="BI23" i="6"/>
  <c r="AX23" i="6"/>
  <c r="L23" i="6"/>
  <c r="K23" i="6"/>
  <c r="BI16" i="6"/>
  <c r="AX16" i="6"/>
  <c r="L16" i="6"/>
  <c r="K16" i="6"/>
  <c r="BI15" i="6"/>
  <c r="AX15" i="6"/>
  <c r="L15" i="6"/>
  <c r="K15" i="6"/>
  <c r="BI14" i="6"/>
  <c r="AX14" i="6"/>
  <c r="L14" i="6"/>
  <c r="K14" i="6"/>
  <c r="BI13" i="6"/>
  <c r="AX13" i="6"/>
  <c r="L13" i="6"/>
  <c r="K13" i="6"/>
  <c r="BI12" i="6"/>
  <c r="AX12" i="6"/>
  <c r="L12" i="6"/>
  <c r="K12" i="6"/>
  <c r="BI11" i="6"/>
  <c r="AX11" i="6"/>
  <c r="L11" i="6"/>
  <c r="K11" i="6"/>
  <c r="BI10" i="6"/>
  <c r="AX10" i="6"/>
  <c r="L10" i="6"/>
  <c r="K10" i="6"/>
  <c r="BI9" i="6"/>
  <c r="AX9" i="6"/>
  <c r="L9" i="6"/>
  <c r="K9" i="6"/>
  <c r="BI7" i="6"/>
  <c r="AX7" i="6"/>
  <c r="L7" i="6"/>
  <c r="K7" i="6"/>
  <c r="BI6" i="6"/>
  <c r="AX6" i="6"/>
  <c r="L6" i="6"/>
  <c r="K6" i="6"/>
  <c r="BI5" i="6"/>
  <c r="AX5" i="6"/>
  <c r="L5" i="6"/>
  <c r="K5" i="6"/>
  <c r="BI4" i="6"/>
  <c r="AX4" i="6"/>
  <c r="L4" i="6"/>
  <c r="K4" i="6"/>
  <c r="AP37" i="4"/>
  <c r="AP36" i="4"/>
  <c r="AP37" i="5"/>
  <c r="AP34" i="5"/>
  <c r="AP36" i="5"/>
  <c r="AP29" i="5"/>
  <c r="AP27" i="5"/>
  <c r="AP26" i="5"/>
  <c r="AP56" i="5"/>
  <c r="AP55" i="5"/>
  <c r="AP54" i="5"/>
  <c r="AP53" i="5"/>
  <c r="AP20" i="5"/>
  <c r="AP18" i="5"/>
  <c r="AP17" i="5"/>
  <c r="AP11" i="5"/>
  <c r="AP7" i="5"/>
  <c r="BG64" i="5"/>
  <c r="AV64" i="5"/>
  <c r="AP64" i="5"/>
  <c r="J64" i="5"/>
  <c r="BG63" i="5"/>
  <c r="AV63" i="5"/>
  <c r="AP63" i="5"/>
  <c r="J63" i="5"/>
  <c r="BG60" i="5"/>
  <c r="AV60" i="5"/>
  <c r="AP60" i="5"/>
  <c r="J60" i="5"/>
  <c r="BG59" i="5"/>
  <c r="AV59" i="5"/>
  <c r="AP59" i="5"/>
  <c r="J59" i="5"/>
  <c r="BG35" i="5"/>
  <c r="J35" i="5"/>
  <c r="I35" i="5"/>
  <c r="BG34" i="5"/>
  <c r="J34" i="5"/>
  <c r="I34" i="5"/>
  <c r="BG36" i="5"/>
  <c r="J36" i="5"/>
  <c r="I36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43" i="4"/>
  <c r="AV43" i="4"/>
  <c r="J43" i="4"/>
  <c r="I43" i="4"/>
  <c r="BG42" i="4"/>
  <c r="AV42" i="4"/>
  <c r="J42" i="4"/>
  <c r="I42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44" i="4"/>
  <c r="J44" i="4"/>
  <c r="I45" i="4"/>
  <c r="J45" i="4"/>
  <c r="I46" i="4"/>
  <c r="J46" i="4"/>
  <c r="AP6" i="5" l="1"/>
  <c r="BG37" i="5" l="1"/>
  <c r="J37" i="5"/>
  <c r="I3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46" i="4"/>
  <c r="AV46" i="4"/>
  <c r="BG45" i="4"/>
  <c r="AV45" i="4"/>
  <c r="BG44" i="4"/>
  <c r="AV44" i="4"/>
  <c r="BG37" i="4"/>
  <c r="BG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27" i="4"/>
  <c r="AV27" i="4"/>
  <c r="BG26" i="4"/>
  <c r="AV26" i="4"/>
  <c r="BG62" i="5" l="1"/>
  <c r="AV62" i="5"/>
  <c r="AP62" i="5"/>
  <c r="J62" i="5"/>
  <c r="BG61" i="5"/>
  <c r="AV61" i="5"/>
  <c r="AP61" i="5"/>
  <c r="J61" i="5"/>
  <c r="BG58" i="5"/>
  <c r="AV58" i="5"/>
  <c r="AP58" i="5"/>
  <c r="J58" i="5"/>
  <c r="BG57" i="5"/>
  <c r="AV57" i="5"/>
  <c r="AP57" i="5"/>
  <c r="J57" i="5"/>
  <c r="BG52" i="5"/>
  <c r="AV52" i="5"/>
  <c r="AP52" i="5"/>
  <c r="J52" i="5"/>
  <c r="BG51" i="5"/>
  <c r="AV51" i="5"/>
  <c r="AP51" i="5"/>
  <c r="J51" i="5"/>
  <c r="J39" i="5"/>
  <c r="AP39" i="5"/>
  <c r="AV39" i="5"/>
  <c r="BG39" i="5"/>
  <c r="BG38" i="5"/>
  <c r="J38" i="5"/>
  <c r="I3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I8" i="6" l="1"/>
  <c r="AX8" i="6"/>
  <c r="L8" i="6"/>
  <c r="K8" i="6"/>
  <c r="J40" i="5"/>
  <c r="J45" i="5"/>
  <c r="J46" i="5"/>
  <c r="AP46" i="5"/>
  <c r="AP45" i="5"/>
  <c r="AP40" i="5"/>
  <c r="AV40" i="5"/>
  <c r="AV45" i="5"/>
  <c r="AV46" i="5"/>
  <c r="BG40" i="5"/>
  <c r="BG45" i="5"/>
  <c r="BG4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47" i="4"/>
  <c r="J48" i="4"/>
  <c r="J49" i="4"/>
  <c r="BG6" i="5" l="1"/>
  <c r="J6" i="5"/>
  <c r="I6" i="5"/>
  <c r="BG5" i="5" l="1"/>
  <c r="J5" i="5"/>
  <c r="I5" i="5"/>
  <c r="BG3" i="4" l="1"/>
  <c r="BG4" i="4" l="1"/>
  <c r="BI3" i="6" l="1"/>
  <c r="AX3" i="6"/>
  <c r="L3" i="6"/>
  <c r="K3" i="6"/>
  <c r="AJ1" i="6"/>
  <c r="BG4" i="5"/>
  <c r="J4" i="5"/>
  <c r="I4" i="5"/>
  <c r="BG3" i="5"/>
  <c r="J3" i="5"/>
  <c r="I3" i="5"/>
  <c r="AH1" i="5"/>
  <c r="BG49" i="4"/>
  <c r="AV49" i="4"/>
  <c r="I49" i="4"/>
  <c r="BG48" i="4"/>
  <c r="AV48" i="4"/>
  <c r="I48" i="4"/>
  <c r="BG47" i="4"/>
  <c r="AV47" i="4"/>
  <c r="AP47" i="4"/>
  <c r="I47" i="4"/>
  <c r="AH1" i="4"/>
</calcChain>
</file>

<file path=xl/sharedStrings.xml><?xml version="1.0" encoding="utf-8"?>
<sst xmlns="http://schemas.openxmlformats.org/spreadsheetml/2006/main" count="2316" uniqueCount="502">
  <si>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</si>
  <si>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</si>
  <si>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</si>
  <si>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</si>
  <si>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</si>
  <si>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</si>
  <si>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</si>
  <si>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</si>
  <si>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</si>
  <si>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</si>
  <si>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</si>
  <si>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</si>
  <si>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</si>
  <si>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</si>
  <si>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</si>
  <si>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</si>
  <si>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</si>
  <si>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</si>
  <si>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</si>
  <si>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</si>
  <si>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</si>
  <si>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</si>
  <si>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</si>
  <si>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</si>
  <si>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</si>
  <si>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</si>
  <si>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</si>
  <si>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</si>
  <si>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</si>
  <si>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</si>
  <si>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</si>
  <si>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</si>
  <si>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</si>
  <si>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</si>
  <si>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</si>
  <si>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</si>
  <si>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</si>
  <si>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</si>
  <si>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</si>
  <si>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</si>
  <si>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</si>
  <si>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</si>
  <si>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</si>
  <si>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</si>
  <si>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</si>
  <si>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</si>
  <si>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</si>
  <si>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</si>
  <si>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</si>
  <si>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</si>
  <si>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</si>
  <si>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</si>
  <si>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</si>
  <si>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</si>
  <si>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</si>
  <si>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</si>
  <si>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</si>
  <si>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</si>
  <si>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</si>
  <si>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</si>
  <si>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</si>
  <si>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</si>
  <si>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</si>
  <si>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</si>
  <si>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</si>
  <si>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</si>
  <si>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</si>
  <si>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</si>
  <si>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</si>
  <si>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</si>
  <si>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</si>
  <si>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</si>
  <si>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</si>
  <si>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</si>
  <si>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</si>
  <si>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</si>
  <si>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</si>
  <si>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</si>
  <si>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</si>
  <si>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</si>
  <si>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</si>
  <si>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</si>
  <si>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</si>
  <si>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</si>
  <si>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</si>
  <si>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</si>
  <si>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</si>
  <si>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</si>
  <si>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</si>
  <si>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</si>
  <si>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</si>
  <si>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</si>
  <si>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</si>
  <si>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</si>
  <si>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</si>
  <si>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</si>
  <si>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</si>
  <si>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</si>
  <si>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</si>
  <si>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</si>
  <si>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</si>
  <si>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</si>
  <si>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</si>
  <si>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</si>
  <si>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</si>
  <si>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</si>
  <si>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</si>
  <si>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</si>
  <si>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</si>
  <si>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</si>
  <si>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</si>
  <si>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</si>
  <si>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</si>
  <si>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</si>
  <si>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</si>
  <si>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</si>
  <si>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</si>
  <si>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</si>
  <si>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</si>
  <si>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</si>
  <si>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</si>
  <si>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</si>
  <si>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</si>
  <si>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</si>
  <si>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</si>
  <si>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</si>
  <si>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</si>
  <si>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</si>
  <si>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</si>
  <si>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</si>
  <si>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</si>
  <si>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</si>
  <si>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</si>
  <si>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</si>
  <si>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</si>
  <si>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</si>
  <si>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</si>
  <si>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</si>
  <si>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</si>
  <si>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</si>
  <si>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</si>
  <si>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</si>
  <si>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</si>
  <si>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</si>
  <si>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</si>
  <si>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</si>
  <si>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</si>
  <si>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</si>
  <si>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</si>
  <si>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</si>
  <si>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</si>
  <si>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</si>
  <si>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</si>
  <si>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</si>
  <si>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</si>
  <si>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</si>
  <si>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</si>
  <si>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</si>
  <si>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</si>
  <si>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</si>
  <si>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</si>
  <si>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</si>
  <si>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</si>
  <si>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</si>
  <si>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</si>
  <si>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</si>
  <si>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</si>
  <si>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</si>
  <si>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</si>
  <si>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</si>
  <si>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</si>
  <si>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</si>
  <si>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</si>
  <si>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</si>
  <si>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</si>
  <si>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</si>
  <si>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</si>
  <si>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</si>
  <si>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</si>
  <si>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</si>
  <si>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</si>
  <si>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</si>
  <si>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</si>
  <si>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</si>
  <si>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</si>
  <si>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</si>
  <si>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</si>
  <si>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</si>
  <si>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</si>
  <si>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</si>
  <si>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</si>
  <si>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</si>
  <si>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</si>
  <si>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</si>
  <si>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</si>
  <si>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</si>
  <si>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</si>
  <si>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</si>
  <si>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</si>
  <si>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</si>
  <si>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</si>
  <si>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</si>
  <si>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</si>
  <si>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</si>
  <si>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</si>
  <si>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</si>
  <si>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</si>
  <si>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</si>
  <si>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</si>
  <si>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</si>
  <si>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</si>
  <si>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</si>
  <si>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</si>
  <si>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</si>
  <si>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</si>
  <si>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</si>
  <si>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</si>
  <si>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</si>
  <si>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</si>
  <si>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</si>
  <si>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</si>
  <si>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</si>
  <si>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</si>
  <si>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</si>
  <si>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</si>
  <si>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</si>
  <si>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</si>
  <si>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</si>
  <si>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Выключатель отключен</t>
  </si>
  <si>
    <t>В Отключен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</si>
  <si>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</si>
  <si>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</si>
  <si>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</si>
  <si>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</si>
  <si>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</si>
  <si>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</si>
  <si>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</si>
  <si>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</si>
  <si>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</si>
  <si>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</si>
  <si>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</si>
  <si>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</si>
  <si>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</si>
  <si>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</si>
  <si>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</si>
  <si>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</si>
  <si>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</si>
  <si>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</si>
  <si>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</si>
  <si>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</si>
  <si>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</si>
  <si>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</si>
  <si>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</si>
  <si>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</si>
  <si>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</si>
  <si>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</si>
  <si>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</si>
  <si>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</si>
  <si>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</si>
  <si>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</si>
  <si>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</si>
  <si>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</si>
  <si>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</si>
  <si>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</si>
  <si>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</si>
  <si>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</si>
  <si>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</si>
  <si>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</si>
  <si>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</si>
  <si>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</si>
  <si>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</si>
  <si>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</si>
  <si>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</si>
  <si>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</si>
  <si>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</si>
  <si>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</si>
  <si>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</si>
  <si>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</si>
  <si>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</si>
  <si>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</si>
  <si>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</si>
  <si>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</si>
  <si>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</si>
  <si>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</si>
  <si>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</si>
  <si>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</si>
  <si>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</si>
  <si>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</si>
  <si>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</si>
  <si>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</si>
  <si>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</si>
  <si>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</si>
  <si>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</si>
  <si>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</si>
  <si>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</si>
  <si>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</si>
  <si>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</si>
  <si>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</si>
  <si>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</si>
  <si>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</si>
  <si>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</si>
  <si>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</si>
  <si>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</si>
  <si>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</si>
  <si>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</si>
  <si>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</si>
  <si>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</si>
  <si>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</si>
  <si>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</si>
  <si>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</si>
  <si>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</si>
  <si>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</si>
  <si>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</si>
  <si>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</si>
  <si>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</si>
  <si>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</si>
  <si>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</si>
  <si>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</si>
  <si>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</si>
  <si>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</si>
  <si>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</si>
  <si>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</si>
  <si>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</si>
  <si>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</si>
  <si>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</si>
  <si>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</si>
  <si>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</si>
  <si>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</si>
  <si>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</si>
  <si>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</si>
  <si>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</si>
  <si>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</si>
  <si>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</si>
  <si>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</si>
  <si>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</si>
  <si>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</si>
  <si>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</si>
  <si>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УВЭ</t>
  </si>
  <si>
    <t>УЗН</t>
  </si>
  <si>
    <t>ОБР ВЭ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</si>
  <si>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</si>
  <si>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</si>
  <si>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</si>
  <si>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</si>
  <si>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</si>
  <si>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</si>
  <si>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</si>
  <si>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</si>
  <si>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</si>
  <si>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</si>
  <si>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</si>
  <si>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</si>
  <si>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</si>
  <si>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</si>
  <si>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</si>
  <si>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</si>
  <si>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</si>
  <si>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</si>
  <si>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</si>
  <si>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</si>
  <si>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</si>
  <si>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</si>
  <si>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</si>
  <si>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</si>
  <si>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</si>
  <si>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</si>
  <si>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</si>
  <si>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</si>
  <si>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</si>
  <si>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</si>
  <si>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</si>
  <si>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</si>
  <si>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</si>
  <si>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</si>
  <si>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</si>
  <si>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</si>
  <si>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</si>
  <si>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</si>
  <si>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</si>
  <si>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</si>
  <si>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</si>
  <si>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</si>
  <si>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</si>
  <si>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</si>
  <si>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</si>
  <si>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</si>
  <si>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</si>
  <si>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</si>
  <si>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</si>
  <si>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</si>
  <si>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</si>
  <si>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</si>
  <si>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</si>
  <si>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</si>
  <si>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</si>
  <si>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</si>
  <si>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</si>
  <si>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</si>
  <si>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</si>
  <si>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</si>
  <si>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</si>
  <si>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</si>
  <si>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</si>
  <si>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</si>
  <si>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</si>
  <si>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</si>
  <si>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</si>
  <si>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</si>
  <si>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</si>
  <si>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</si>
  <si>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</si>
  <si>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</si>
  <si>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</si>
  <si>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</si>
  <si>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</si>
  <si>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</si>
  <si>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</si>
  <si>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</si>
  <si>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</si>
  <si>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</si>
  <si>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</si>
  <si>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</si>
  <si>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</si>
  <si>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</si>
  <si>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</si>
  <si>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</si>
  <si>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</si>
  <si>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</si>
  <si>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</si>
  <si>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</si>
  <si>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</si>
  <si>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</si>
  <si>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</si>
  <si>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</si>
  <si>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</si>
  <si>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</si>
  <si>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</si>
  <si>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</si>
  <si>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</si>
  <si>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ESCILO1_SD3PosCtrl</t>
  </si>
  <si>
    <t>ESCILO1_SD4PosCtrl</t>
  </si>
  <si>
    <t>WECILO1_SD1PosCtrl</t>
  </si>
  <si>
    <t>WECILO1_SD2PosCtrl</t>
  </si>
  <si>
    <t>CBCILO1_ESPosCtrl</t>
  </si>
  <si>
    <t>CBCILO1_SD1PosCtrl</t>
  </si>
  <si>
    <t>CBCILO1_SD2PosCtrl</t>
  </si>
  <si>
    <t>Контроль KA3</t>
  </si>
  <si>
    <t>Контр_KA3</t>
  </si>
  <si>
    <t>Контроль KA4</t>
  </si>
  <si>
    <t>Контр_KA4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</si>
  <si>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</si>
  <si>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</si>
  <si>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</si>
  <si>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</si>
  <si>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</si>
  <si>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</si>
  <si>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</si>
  <si>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</si>
  <si>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</si>
  <si>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</si>
  <si>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</si>
  <si>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</si>
  <si>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</si>
  <si>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</si>
  <si>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</si>
  <si>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</si>
  <si>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</si>
  <si>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</si>
  <si>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</si>
  <si>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</si>
  <si>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</si>
  <si>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WEPosClsFrmWE</t>
  </si>
  <si>
    <t>WEPosOpnFrmWE</t>
  </si>
  <si>
    <t>ESPosOpnFrmES</t>
  </si>
  <si>
    <t>ESPosClsFrmES</t>
  </si>
  <si>
    <t>CBCILO1_EnaDisCB</t>
  </si>
  <si>
    <t>Ключ М/Д привода В</t>
  </si>
  <si>
    <t>Положение ВЭ (Выкачен)</t>
  </si>
  <si>
    <t>Положение ВЭ (Вкачен)</t>
  </si>
  <si>
    <t>Тзад_вкл_с_КС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</si>
  <si>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</si>
  <si>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</si>
  <si>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</si>
  <si>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</si>
  <si>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</si>
  <si>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</si>
  <si>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</si>
  <si>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</t>
  </si>
  <si>
    <t>Оперативная блокировка заземляющего ножа</t>
  </si>
  <si>
    <t>alias</t>
  </si>
  <si>
    <t>LLN0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</si>
  <si>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</si>
  <si>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</si>
  <si>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</si>
  <si>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</si>
  <si>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</si>
  <si>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</si>
  <si>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</si>
  <si>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</si>
  <si>
    <t>Выдержка времени подавления выдачи положения «Не определено»</t>
  </si>
  <si>
    <t>LLN0_EnaDis</t>
  </si>
  <si>
    <t>LLN0_EnaDisSD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</si>
</sst>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6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8" borderId="0" xfId="0" applyFont="1" applyFill="1"/>
    <xf numFmtId="0" fontId="3" fillId="0" borderId="0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/>
    <xf numFmtId="0" fontId="3" fillId="10" borderId="1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righ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0" applyFont="1" applyFill="1"/>
    <xf numFmtId="0" fontId="3" fillId="12" borderId="2" xfId="0" applyFont="1" applyFill="1" applyBorder="1"/>
    <xf numFmtId="0" fontId="3" fillId="12" borderId="1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AT36" sqref="AT36:AX37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1.28515625" style="14" customWidth="1"/>
    <col min="6" max="7" width="25.7109375" style="14" customWidth="1" outlineLevel="1"/>
    <col min="8" max="8" width="33.140625" style="14" bestFit="1" customWidth="1" outlineLevel="1"/>
    <col min="9" max="9" width="10" style="14" customWidth="1"/>
    <col min="10" max="10" width="23.28515625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01.8554687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SUM(AA5:AA56)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54" t="s">
        <v>0</v>
      </c>
      <c r="BA1" s="155"/>
      <c r="BB1" s="155"/>
      <c r="BC1" s="155"/>
      <c r="BD1" s="155"/>
      <c r="BE1" s="155"/>
      <c r="BF1" s="155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492</v>
      </c>
      <c r="AW2" s="120" t="s">
        <v>493</v>
      </c>
      <c r="AX2" s="120" t="s">
        <v>494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0" customFormat="1" ht="15.75" x14ac:dyDescent="0.25">
      <c r="A3" s="137"/>
      <c r="B3" s="137" t="s">
        <v>495</v>
      </c>
      <c r="C3" s="138"/>
      <c r="D3" s="139"/>
      <c r="E3" s="140" t="s">
        <v>103</v>
      </c>
      <c r="F3" s="141" t="s">
        <v>103</v>
      </c>
      <c r="G3" s="141" t="s">
        <v>103</v>
      </c>
      <c r="H3" s="140"/>
      <c r="I3" s="140">
        <f t="shared" ref="I3:I4" si="0">LEN(F3)</f>
        <v>15</v>
      </c>
      <c r="J3" s="140" t="str">
        <f t="shared" ref="J3:J4" si="1">IF(LEN(F3)&lt;=$J$1,F3,"")</f>
        <v>Вывод терминала</v>
      </c>
      <c r="K3" s="137" t="s">
        <v>104</v>
      </c>
      <c r="L3" s="142" t="s">
        <v>54</v>
      </c>
      <c r="M3" s="138" t="s">
        <v>51</v>
      </c>
      <c r="N3" s="138" t="s">
        <v>52</v>
      </c>
      <c r="O3" s="138"/>
      <c r="P3" s="143"/>
      <c r="Q3" s="143"/>
      <c r="R3" s="138" t="s">
        <v>53</v>
      </c>
      <c r="S3" s="138" t="s">
        <v>53</v>
      </c>
      <c r="T3" s="138" t="s">
        <v>53</v>
      </c>
      <c r="U3" s="138" t="s">
        <v>53</v>
      </c>
      <c r="V3" s="138"/>
      <c r="W3" s="138"/>
      <c r="X3" s="138" t="s">
        <v>53</v>
      </c>
      <c r="Y3" s="138">
        <v>0</v>
      </c>
      <c r="Z3" s="144"/>
      <c r="AA3" s="145">
        <v>0</v>
      </c>
      <c r="AB3" s="145"/>
      <c r="AC3" s="145"/>
      <c r="AD3" s="145"/>
      <c r="AE3" s="145"/>
      <c r="AF3" s="145">
        <v>0</v>
      </c>
      <c r="AG3" s="145">
        <v>0</v>
      </c>
      <c r="AH3" s="145">
        <v>0</v>
      </c>
      <c r="AI3" s="146"/>
      <c r="AJ3" s="147"/>
      <c r="AK3" s="147"/>
      <c r="AL3" s="147"/>
      <c r="AM3" s="147"/>
      <c r="AN3" s="147"/>
      <c r="AO3" s="147"/>
      <c r="AP3" s="147"/>
      <c r="AQ3" s="147"/>
      <c r="AR3" s="145">
        <v>0</v>
      </c>
      <c r="AS3" s="145">
        <v>0</v>
      </c>
      <c r="AT3" s="153">
        <v>1</v>
      </c>
      <c r="AU3" s="67">
        <v>0</v>
      </c>
      <c r="AV3" s="153">
        <v>1</v>
      </c>
      <c r="AW3" s="153">
        <v>1</v>
      </c>
      <c r="AX3" s="153">
        <v>1</v>
      </c>
      <c r="AY3" s="145"/>
      <c r="AZ3" s="143"/>
      <c r="BA3" s="145"/>
      <c r="BB3" s="145"/>
      <c r="BC3" s="145"/>
      <c r="BD3" s="145"/>
      <c r="BE3" s="145"/>
      <c r="BF3" s="145"/>
      <c r="BG3" s="148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9"/>
    </row>
    <row r="4" spans="1:16379" s="150" customFormat="1" ht="16.5" customHeight="1" x14ac:dyDescent="0.25">
      <c r="A4" s="137"/>
      <c r="B4" s="137" t="s">
        <v>495</v>
      </c>
      <c r="C4" s="138"/>
      <c r="D4" s="151" t="s">
        <v>242</v>
      </c>
      <c r="E4" s="140" t="s">
        <v>129</v>
      </c>
      <c r="F4" s="141" t="s">
        <v>130</v>
      </c>
      <c r="G4" s="141" t="s">
        <v>130</v>
      </c>
      <c r="H4" s="140"/>
      <c r="I4" s="140">
        <f t="shared" si="0"/>
        <v>5</v>
      </c>
      <c r="J4" s="140" t="str">
        <f t="shared" si="1"/>
        <v>ОВ КП</v>
      </c>
      <c r="K4" s="137" t="s">
        <v>131</v>
      </c>
      <c r="L4" s="142" t="s">
        <v>54</v>
      </c>
      <c r="M4" s="138" t="s">
        <v>51</v>
      </c>
      <c r="N4" s="138" t="s">
        <v>52</v>
      </c>
      <c r="O4" s="138"/>
      <c r="P4" s="143"/>
      <c r="Q4" s="143"/>
      <c r="R4" s="138" t="s">
        <v>53</v>
      </c>
      <c r="S4" s="138" t="s">
        <v>53</v>
      </c>
      <c r="T4" s="138" t="s">
        <v>53</v>
      </c>
      <c r="U4" s="138" t="s">
        <v>53</v>
      </c>
      <c r="V4" s="138"/>
      <c r="W4" s="138"/>
      <c r="X4" s="138" t="s">
        <v>53</v>
      </c>
      <c r="Y4" s="138">
        <v>0</v>
      </c>
      <c r="Z4" s="144"/>
      <c r="AA4" s="145">
        <v>0</v>
      </c>
      <c r="AB4" s="145"/>
      <c r="AC4" s="145"/>
      <c r="AD4" s="145"/>
      <c r="AE4" s="145"/>
      <c r="AF4" s="145">
        <v>0</v>
      </c>
      <c r="AG4" s="145">
        <v>0</v>
      </c>
      <c r="AH4" s="145">
        <v>0</v>
      </c>
      <c r="AI4" s="146"/>
      <c r="AJ4" s="147"/>
      <c r="AK4" s="147"/>
      <c r="AL4" s="147"/>
      <c r="AM4" s="147"/>
      <c r="AN4" s="147"/>
      <c r="AO4" s="147"/>
      <c r="AP4" s="147"/>
      <c r="AQ4" s="147"/>
      <c r="AR4" s="145">
        <v>0</v>
      </c>
      <c r="AS4" s="145">
        <v>0</v>
      </c>
      <c r="AT4" s="153">
        <v>1</v>
      </c>
      <c r="AU4" s="67">
        <v>0</v>
      </c>
      <c r="AV4" s="153">
        <v>1</v>
      </c>
      <c r="AW4" s="153">
        <v>1</v>
      </c>
      <c r="AX4" s="153">
        <v>1</v>
      </c>
      <c r="AY4" s="145"/>
      <c r="AZ4" s="143"/>
      <c r="BA4" s="145"/>
      <c r="BB4" s="145"/>
      <c r="BC4" s="145"/>
      <c r="BD4" s="145"/>
      <c r="BE4" s="145"/>
      <c r="BF4" s="145"/>
      <c r="BG4" s="148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49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f t="shared" ref="AX5:AX35" si="6">BIN2DEC(CONCATENATE(0,0,0,0,AT5,AU5,AV5,AW5))</f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135" t="s">
        <v>496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3"/>
        <v>17</v>
      </c>
      <c r="J6" s="58" t="str">
        <f t="shared" si="4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5"/>
        <v>0</v>
      </c>
      <c r="AW6" s="67">
        <v>0</v>
      </c>
      <c r="AX6" s="67">
        <f t="shared" si="6"/>
        <v>0</v>
      </c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>
        <v>0</v>
      </c>
      <c r="AX7" s="67">
        <f t="shared" si="6"/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135" t="s">
        <v>496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>
        <v>0</v>
      </c>
      <c r="AX8" s="67">
        <f t="shared" si="6"/>
        <v>0</v>
      </c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>
        <v>0</v>
      </c>
      <c r="AX9" s="67">
        <f t="shared" si="6"/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>
        <v>0</v>
      </c>
      <c r="AX10" s="67">
        <f t="shared" si="6"/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135" t="s">
        <v>496</v>
      </c>
      <c r="C11" s="56"/>
      <c r="D11" s="29"/>
      <c r="E11" s="58" t="s">
        <v>476</v>
      </c>
      <c r="F11" s="68" t="s">
        <v>476</v>
      </c>
      <c r="G11" s="68" t="s">
        <v>476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>
        <v>0</v>
      </c>
      <c r="AX11" s="67">
        <f t="shared" si="6"/>
        <v>0</v>
      </c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>
        <v>0</v>
      </c>
      <c r="AX12" s="67">
        <f t="shared" si="6"/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135" t="s">
        <v>496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>
        <v>0</v>
      </c>
      <c r="AX13" s="67">
        <f t="shared" si="6"/>
        <v>0</v>
      </c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>
        <v>0</v>
      </c>
      <c r="AX14" s="67">
        <f t="shared" si="6"/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135" t="s">
        <v>496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>
        <v>0</v>
      </c>
      <c r="AX15" s="67">
        <f t="shared" si="6"/>
        <v>0</v>
      </c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>
        <v>0</v>
      </c>
      <c r="AX16" s="67">
        <f t="shared" si="6"/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>
        <v>0</v>
      </c>
      <c r="AX17" s="67">
        <f t="shared" si="6"/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>
        <v>0</v>
      </c>
      <c r="AX18" s="67">
        <f t="shared" si="6"/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>
        <v>0</v>
      </c>
      <c r="AX19" s="67">
        <f t="shared" si="6"/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135" t="s">
        <v>496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>
        <v>0</v>
      </c>
      <c r="AX20" s="67">
        <f t="shared" si="6"/>
        <v>0</v>
      </c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135" t="s">
        <v>496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>
        <v>0</v>
      </c>
      <c r="AX21" s="67">
        <f t="shared" si="6"/>
        <v>0</v>
      </c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179</v>
      </c>
      <c r="F22" s="68" t="s">
        <v>180</v>
      </c>
      <c r="G22" s="68" t="s">
        <v>180</v>
      </c>
      <c r="H22" s="58"/>
      <c r="I22" s="58">
        <f t="shared" si="20"/>
        <v>13</v>
      </c>
      <c r="J22" s="58" t="str">
        <f t="shared" si="21"/>
        <v>Выкат. ВЭ ИЧМ</v>
      </c>
      <c r="K22" s="55" t="s">
        <v>181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>
        <v>0</v>
      </c>
      <c r="AX22" s="67">
        <f t="shared" si="6"/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 ИЧМ", note: "Выкатить ВЭ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182</v>
      </c>
      <c r="F23" s="68" t="s">
        <v>183</v>
      </c>
      <c r="G23" s="68" t="s">
        <v>183</v>
      </c>
      <c r="H23" s="58"/>
      <c r="I23" s="58">
        <f t="shared" si="20"/>
        <v>13</v>
      </c>
      <c r="J23" s="58" t="str">
        <f t="shared" si="21"/>
        <v>Выкат. ВЭ АСУ</v>
      </c>
      <c r="K23" s="55" t="s">
        <v>184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>
        <v>0</v>
      </c>
      <c r="AX23" s="67">
        <f t="shared" si="6"/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 АСУ", note: "Выкатить ВЭ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185</v>
      </c>
      <c r="F24" s="68" t="s">
        <v>186</v>
      </c>
      <c r="G24" s="68" t="s">
        <v>186</v>
      </c>
      <c r="H24" s="58"/>
      <c r="I24" s="58">
        <f t="shared" si="20"/>
        <v>19</v>
      </c>
      <c r="J24" s="58" t="str">
        <f t="shared" si="21"/>
        <v>Разр.упр. от ОБР ВЭ</v>
      </c>
      <c r="K24" s="55" t="s">
        <v>187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>
        <v>0</v>
      </c>
      <c r="AX24" s="67">
        <f t="shared" si="6"/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188</v>
      </c>
      <c r="F25" s="68" t="s">
        <v>189</v>
      </c>
      <c r="G25" s="68" t="s">
        <v>189</v>
      </c>
      <c r="H25" s="58"/>
      <c r="I25" s="58">
        <f t="shared" si="20"/>
        <v>12</v>
      </c>
      <c r="J25" s="58" t="str">
        <f t="shared" si="21"/>
        <v>Вкат. ВЭ ИЧМ</v>
      </c>
      <c r="K25" s="55" t="s">
        <v>190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>
        <v>0</v>
      </c>
      <c r="AX25" s="67">
        <f t="shared" si="6"/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 ИЧМ", note: "Вкатить ВЭ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191</v>
      </c>
      <c r="F26" s="68" t="s">
        <v>192</v>
      </c>
      <c r="G26" s="68" t="s">
        <v>192</v>
      </c>
      <c r="H26" s="58"/>
      <c r="I26" s="58">
        <f t="shared" ref="I26" si="24">LEN(F26)</f>
        <v>12</v>
      </c>
      <c r="J26" s="58" t="str">
        <f t="shared" ref="J26" si="25">IF(LEN(F26)&lt;=$J$1,F26,"")</f>
        <v>Вкат. ВЭ АСУ</v>
      </c>
      <c r="K26" s="55" t="s">
        <v>193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>
        <v>0</v>
      </c>
      <c r="AX26" s="67">
        <f t="shared" si="6"/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 АСУ", note: "Вкатить ВЭ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135" t="s">
        <v>496</v>
      </c>
      <c r="C27" s="56"/>
      <c r="D27" s="29"/>
      <c r="E27" s="58" t="s">
        <v>194</v>
      </c>
      <c r="F27" s="68" t="s">
        <v>195</v>
      </c>
      <c r="G27" s="68" t="s">
        <v>195</v>
      </c>
      <c r="H27" s="58"/>
      <c r="I27" s="58">
        <f t="shared" ref="I27:I46" si="28">LEN(F27)</f>
        <v>15</v>
      </c>
      <c r="J27" s="58" t="str">
        <f t="shared" ref="J27:J46" si="29">IF(LEN(F27)&lt;=$J$1,F27,"")</f>
        <v>Контр.полож. ВЭ</v>
      </c>
      <c r="K27" s="55" t="s">
        <v>196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46" si="30">BIN2DEC(CONCATENATE(0,0,0,0,AR27,AS27,AT27,AU27))</f>
        <v>0</v>
      </c>
      <c r="AW27" s="67">
        <v>0</v>
      </c>
      <c r="AX27" s="67">
        <f t="shared" si="6"/>
        <v>0</v>
      </c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46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ВЭ", note: "Контрольное положение ВЭ", group: "input",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135" t="s">
        <v>496</v>
      </c>
      <c r="C28" s="56"/>
      <c r="D28" s="29"/>
      <c r="E28" s="58" t="s">
        <v>197</v>
      </c>
      <c r="F28" s="68" t="s">
        <v>198</v>
      </c>
      <c r="G28" s="68" t="s">
        <v>198</v>
      </c>
      <c r="H28" s="58"/>
      <c r="I28" s="58">
        <f t="shared" si="28"/>
        <v>15</v>
      </c>
      <c r="J28" s="58" t="str">
        <f t="shared" si="29"/>
        <v>Рабоч.полож. ВЭ</v>
      </c>
      <c r="K28" s="55" t="s">
        <v>199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>
        <v>0</v>
      </c>
      <c r="AX28" s="67">
        <f t="shared" si="6"/>
        <v>0</v>
      </c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ВЭ", note: "Рабочее положение ВЭ", group: "input",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200</v>
      </c>
      <c r="F29" s="68" t="s">
        <v>201</v>
      </c>
      <c r="G29" s="68" t="s">
        <v>201</v>
      </c>
      <c r="H29" s="58"/>
      <c r="I29" s="58">
        <f t="shared" si="28"/>
        <v>12</v>
      </c>
      <c r="J29" s="58" t="str">
        <f t="shared" si="29"/>
        <v>Откл. ЗН ИЧМ</v>
      </c>
      <c r="K29" s="55" t="s">
        <v>202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>
        <v>0</v>
      </c>
      <c r="AX29" s="67">
        <f t="shared" si="6"/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203</v>
      </c>
      <c r="F30" s="29" t="s">
        <v>204</v>
      </c>
      <c r="G30" s="29" t="s">
        <v>205</v>
      </c>
      <c r="H30" s="58"/>
      <c r="I30" s="58">
        <f t="shared" si="28"/>
        <v>12</v>
      </c>
      <c r="J30" s="58" t="str">
        <f t="shared" si="29"/>
        <v>Откл. ЗН АСУ</v>
      </c>
      <c r="K30" s="55" t="s">
        <v>206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>
        <v>0</v>
      </c>
      <c r="AX30" s="67">
        <f t="shared" si="6"/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207</v>
      </c>
      <c r="F31" s="68" t="s">
        <v>208</v>
      </c>
      <c r="G31" s="68" t="s">
        <v>208</v>
      </c>
      <c r="H31" s="58"/>
      <c r="I31" s="58">
        <f t="shared" si="28"/>
        <v>19</v>
      </c>
      <c r="J31" s="58" t="str">
        <f t="shared" si="29"/>
        <v>Разр.упр. от ОБР ЗН</v>
      </c>
      <c r="K31" s="55" t="s">
        <v>209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>
        <v>0</v>
      </c>
      <c r="AX31" s="67">
        <f t="shared" si="6"/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210</v>
      </c>
      <c r="F32" s="68" t="s">
        <v>211</v>
      </c>
      <c r="G32" s="68" t="s">
        <v>211</v>
      </c>
      <c r="H32" s="58"/>
      <c r="I32" s="58">
        <f t="shared" si="28"/>
        <v>11</v>
      </c>
      <c r="J32" s="58" t="str">
        <f t="shared" si="29"/>
        <v>Вкл. ЗН ИЧМ</v>
      </c>
      <c r="K32" s="55" t="s">
        <v>212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>
        <v>0</v>
      </c>
      <c r="AX32" s="67">
        <f t="shared" si="6"/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213</v>
      </c>
      <c r="F33" s="68" t="s">
        <v>214</v>
      </c>
      <c r="G33" s="68" t="s">
        <v>214</v>
      </c>
      <c r="H33" s="58"/>
      <c r="I33" s="58">
        <f t="shared" si="28"/>
        <v>11</v>
      </c>
      <c r="J33" s="58" t="str">
        <f t="shared" si="29"/>
        <v>Вкл. ЗН АСУ</v>
      </c>
      <c r="K33" s="55" t="s">
        <v>215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>
        <v>0</v>
      </c>
      <c r="AX33" s="67">
        <f t="shared" si="6"/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135" t="s">
        <v>496</v>
      </c>
      <c r="C34" s="56"/>
      <c r="D34" s="29"/>
      <c r="E34" s="58" t="s">
        <v>216</v>
      </c>
      <c r="F34" s="68" t="s">
        <v>217</v>
      </c>
      <c r="G34" s="68" t="s">
        <v>217</v>
      </c>
      <c r="H34" s="58"/>
      <c r="I34" s="58">
        <f t="shared" si="28"/>
        <v>17</v>
      </c>
      <c r="J34" s="58" t="str">
        <f t="shared" si="29"/>
        <v>ЗН отключен (б/к)</v>
      </c>
      <c r="K34" s="55" t="s">
        <v>218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si="30"/>
        <v>0</v>
      </c>
      <c r="AW34" s="67">
        <v>0</v>
      </c>
      <c r="AX34" s="67">
        <f t="shared" si="6"/>
        <v>0</v>
      </c>
      <c r="AY34" s="67"/>
      <c r="AZ34" s="60"/>
      <c r="BA34" s="67"/>
      <c r="BB34" s="67"/>
      <c r="BC34" s="67"/>
      <c r="BD34" s="67"/>
      <c r="BE34" s="67"/>
      <c r="BF34" s="67"/>
      <c r="BG34" s="62" t="str">
        <f t="shared" si="31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135" t="s">
        <v>496</v>
      </c>
      <c r="C35" s="56"/>
      <c r="D35" s="29"/>
      <c r="E35" s="58" t="s">
        <v>219</v>
      </c>
      <c r="F35" s="68" t="s">
        <v>220</v>
      </c>
      <c r="G35" s="68" t="s">
        <v>220</v>
      </c>
      <c r="H35" s="58"/>
      <c r="I35" s="58">
        <f t="shared" si="28"/>
        <v>16</v>
      </c>
      <c r="J35" s="58" t="str">
        <f t="shared" si="29"/>
        <v>ЗН включен (б/к)</v>
      </c>
      <c r="K35" s="55" t="s">
        <v>221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0"/>
        <v>0</v>
      </c>
      <c r="AW35" s="67">
        <v>0</v>
      </c>
      <c r="AX35" s="67">
        <f t="shared" si="6"/>
        <v>0</v>
      </c>
      <c r="AY35" s="67"/>
      <c r="AZ35" s="60"/>
      <c r="BA35" s="67"/>
      <c r="BB35" s="67"/>
      <c r="BC35" s="67"/>
      <c r="BD35" s="67"/>
      <c r="BE35" s="67"/>
      <c r="BF35" s="67"/>
      <c r="BG35" s="62" t="str">
        <f t="shared" si="31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35" s="63"/>
    </row>
    <row r="36" spans="1:60" s="150" customFormat="1" ht="16.5" customHeight="1" x14ac:dyDescent="0.25">
      <c r="A36" s="137"/>
      <c r="B36" s="137" t="s">
        <v>495</v>
      </c>
      <c r="C36" s="138"/>
      <c r="D36" s="151"/>
      <c r="E36" s="140" t="s">
        <v>222</v>
      </c>
      <c r="F36" s="141" t="s">
        <v>223</v>
      </c>
      <c r="G36" s="141" t="s">
        <v>223</v>
      </c>
      <c r="H36" s="140"/>
      <c r="I36" s="140">
        <f t="shared" si="28"/>
        <v>19</v>
      </c>
      <c r="J36" s="140" t="str">
        <f t="shared" si="29"/>
        <v>Програм. деблок. ВЭ</v>
      </c>
      <c r="K36" s="137" t="s">
        <v>224</v>
      </c>
      <c r="L36" s="142" t="s">
        <v>54</v>
      </c>
      <c r="M36" s="138" t="s">
        <v>51</v>
      </c>
      <c r="N36" s="138" t="s">
        <v>52</v>
      </c>
      <c r="O36" s="138"/>
      <c r="P36" s="143"/>
      <c r="Q36" s="143"/>
      <c r="R36" s="138" t="s">
        <v>53</v>
      </c>
      <c r="S36" s="138" t="s">
        <v>53</v>
      </c>
      <c r="T36" s="138" t="s">
        <v>53</v>
      </c>
      <c r="U36" s="138" t="s">
        <v>53</v>
      </c>
      <c r="V36" s="138"/>
      <c r="W36" s="138"/>
      <c r="X36" s="138" t="s">
        <v>53</v>
      </c>
      <c r="Y36" s="138">
        <v>0</v>
      </c>
      <c r="Z36" s="144"/>
      <c r="AA36" s="145">
        <v>0</v>
      </c>
      <c r="AB36" s="145"/>
      <c r="AC36" s="145"/>
      <c r="AD36" s="145"/>
      <c r="AE36" s="145"/>
      <c r="AF36" s="145">
        <v>0</v>
      </c>
      <c r="AG36" s="145">
        <v>0</v>
      </c>
      <c r="AH36" s="145">
        <v>0</v>
      </c>
      <c r="AI36" s="146" t="s">
        <v>393</v>
      </c>
      <c r="AJ36" s="152" t="s">
        <v>398</v>
      </c>
      <c r="AK36" s="152" t="s">
        <v>374</v>
      </c>
      <c r="AL36" s="152" t="s">
        <v>64</v>
      </c>
      <c r="AM36" s="152" t="s">
        <v>105</v>
      </c>
      <c r="AN36" s="152"/>
      <c r="AO36" s="152" t="s">
        <v>67</v>
      </c>
      <c r="AP36" s="152" t="str">
        <f>CONCATENATE(AJ36, ".", AL36)</f>
        <v>WECILO1.ForceEna.stVal</v>
      </c>
      <c r="AQ36" s="152" t="s">
        <v>63</v>
      </c>
      <c r="AR36" s="145">
        <v>0</v>
      </c>
      <c r="AS36" s="145">
        <v>0</v>
      </c>
      <c r="AT36" s="153">
        <v>1</v>
      </c>
      <c r="AU36" s="67">
        <v>0</v>
      </c>
      <c r="AV36" s="153">
        <v>1</v>
      </c>
      <c r="AW36" s="153">
        <v>1</v>
      </c>
      <c r="AX36" s="153">
        <v>1</v>
      </c>
      <c r="AY36" s="145"/>
      <c r="AZ36" s="143"/>
      <c r="BA36" s="145"/>
      <c r="BB36" s="145"/>
      <c r="BC36" s="145"/>
      <c r="BD36" s="145"/>
      <c r="BE36" s="145"/>
      <c r="BF36" s="145"/>
      <c r="BG36" s="148" t="str">
        <f t="shared" si="31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36" s="149"/>
    </row>
    <row r="37" spans="1:60" s="150" customFormat="1" ht="16.5" customHeight="1" x14ac:dyDescent="0.25">
      <c r="A37" s="137"/>
      <c r="B37" s="137" t="s">
        <v>495</v>
      </c>
      <c r="C37" s="138"/>
      <c r="D37" s="151"/>
      <c r="E37" s="140" t="s">
        <v>225</v>
      </c>
      <c r="F37" s="141" t="s">
        <v>226</v>
      </c>
      <c r="G37" s="141" t="s">
        <v>226</v>
      </c>
      <c r="H37" s="140"/>
      <c r="I37" s="140">
        <f>LEN(F37)</f>
        <v>19</v>
      </c>
      <c r="J37" s="140" t="str">
        <f>IF(LEN(F37)&lt;=$J$1,F37,"")</f>
        <v>Програм. деблок. ЗН</v>
      </c>
      <c r="K37" s="137" t="s">
        <v>227</v>
      </c>
      <c r="L37" s="142" t="s">
        <v>54</v>
      </c>
      <c r="M37" s="138" t="s">
        <v>51</v>
      </c>
      <c r="N37" s="138" t="s">
        <v>52</v>
      </c>
      <c r="O37" s="138"/>
      <c r="P37" s="143"/>
      <c r="Q37" s="143"/>
      <c r="R37" s="138" t="s">
        <v>53</v>
      </c>
      <c r="S37" s="138" t="s">
        <v>53</v>
      </c>
      <c r="T37" s="138" t="s">
        <v>53</v>
      </c>
      <c r="U37" s="138" t="s">
        <v>53</v>
      </c>
      <c r="V37" s="138"/>
      <c r="W37" s="138"/>
      <c r="X37" s="138" t="s">
        <v>53</v>
      </c>
      <c r="Y37" s="138">
        <v>0</v>
      </c>
      <c r="Z37" s="144"/>
      <c r="AA37" s="145">
        <v>0</v>
      </c>
      <c r="AB37" s="145"/>
      <c r="AC37" s="145"/>
      <c r="AD37" s="145"/>
      <c r="AE37" s="145"/>
      <c r="AF37" s="145">
        <v>0</v>
      </c>
      <c r="AG37" s="145">
        <v>0</v>
      </c>
      <c r="AH37" s="145">
        <v>0</v>
      </c>
      <c r="AI37" s="146" t="s">
        <v>393</v>
      </c>
      <c r="AJ37" s="152" t="s">
        <v>399</v>
      </c>
      <c r="AK37" s="152" t="s">
        <v>374</v>
      </c>
      <c r="AL37" s="152" t="s">
        <v>64</v>
      </c>
      <c r="AM37" s="152" t="s">
        <v>105</v>
      </c>
      <c r="AN37" s="152"/>
      <c r="AO37" s="152" t="s">
        <v>67</v>
      </c>
      <c r="AP37" s="152" t="str">
        <f>CONCATENATE(AJ37, ".", AL37)</f>
        <v>ESCILO1.ForceEna.stVal</v>
      </c>
      <c r="AQ37" s="152" t="s">
        <v>63</v>
      </c>
      <c r="AR37" s="145">
        <v>0</v>
      </c>
      <c r="AS37" s="145">
        <v>0</v>
      </c>
      <c r="AT37" s="153">
        <v>1</v>
      </c>
      <c r="AU37" s="67">
        <v>0</v>
      </c>
      <c r="AV37" s="153">
        <v>1</v>
      </c>
      <c r="AW37" s="153">
        <v>1</v>
      </c>
      <c r="AX37" s="153">
        <v>1</v>
      </c>
      <c r="AY37" s="145"/>
      <c r="AZ37" s="143"/>
      <c r="BA37" s="145"/>
      <c r="BB37" s="145"/>
      <c r="BC37" s="145"/>
      <c r="BD37" s="145"/>
      <c r="BE37" s="145"/>
      <c r="BF37" s="145"/>
      <c r="BG37" s="148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37" s="149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228</v>
      </c>
      <c r="F38" s="68" t="s">
        <v>229</v>
      </c>
      <c r="G38" s="68" t="s">
        <v>229</v>
      </c>
      <c r="H38" s="58"/>
      <c r="I38" s="58">
        <f t="shared" ref="I38:I43" si="32">LEN(F38)</f>
        <v>10</v>
      </c>
      <c r="J38" s="58" t="str">
        <f t="shared" ref="J38:J43" si="33">IF(LEN(F38)&lt;=$J$1,F38,"")</f>
        <v>В Отключен</v>
      </c>
      <c r="K38" s="55" t="s">
        <v>470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ref="AV38:AV43" si="34">BIN2DEC(CONCATENATE(0,0,0,0,AR38,AS38,AT38,AU38))</f>
        <v>0</v>
      </c>
      <c r="AW38" s="67">
        <v>0</v>
      </c>
      <c r="AX38" s="67">
        <f t="shared" ref="AX38:AX49" si="35">BIN2DEC(CONCATENATE(0,0,0,0,AT38,AU38,AV38,AW38))</f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ref="BG38:BG43" si="36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"В Отключен", note: "Выключатель отключен",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230</v>
      </c>
      <c r="F39" s="68" t="s">
        <v>230</v>
      </c>
      <c r="G39" s="68" t="s">
        <v>230</v>
      </c>
      <c r="H39" s="58"/>
      <c r="I39" s="58">
        <f t="shared" si="32"/>
        <v>9</v>
      </c>
      <c r="J39" s="58" t="str">
        <f t="shared" si="33"/>
        <v>ВЭ Вкачен</v>
      </c>
      <c r="K39" s="55" t="s">
        <v>471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4"/>
        <v>0</v>
      </c>
      <c r="AW39" s="67">
        <v>0</v>
      </c>
      <c r="AX39" s="67">
        <f t="shared" si="35"/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6"/>
        <v>description: "ВЭ Вкачен", note: "ВЭ Вкачен",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231</v>
      </c>
      <c r="F40" s="68" t="s">
        <v>231</v>
      </c>
      <c r="G40" s="68" t="s">
        <v>231</v>
      </c>
      <c r="H40" s="58"/>
      <c r="I40" s="58">
        <f t="shared" si="32"/>
        <v>10</v>
      </c>
      <c r="J40" s="58" t="str">
        <f t="shared" si="33"/>
        <v>ВЭ Выкачен</v>
      </c>
      <c r="K40" s="55" t="s">
        <v>472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4"/>
        <v>0</v>
      </c>
      <c r="AW40" s="67">
        <v>0</v>
      </c>
      <c r="AX40" s="67">
        <f t="shared" si="35"/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6"/>
        <v>description: "ВЭ Выкачен", note: "ВЭ Выкачен",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232</v>
      </c>
      <c r="F41" s="68" t="s">
        <v>232</v>
      </c>
      <c r="G41" s="68" t="s">
        <v>232</v>
      </c>
      <c r="H41" s="58"/>
      <c r="I41" s="58">
        <f t="shared" si="32"/>
        <v>11</v>
      </c>
      <c r="J41" s="58" t="str">
        <f t="shared" si="33"/>
        <v>ЗН Отключен</v>
      </c>
      <c r="K41" s="55" t="s">
        <v>473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4"/>
        <v>0</v>
      </c>
      <c r="AW41" s="67">
        <v>0</v>
      </c>
      <c r="AX41" s="67">
        <f t="shared" si="35"/>
        <v>0</v>
      </c>
      <c r="AY41" s="67"/>
      <c r="AZ41" s="60"/>
      <c r="BA41" s="67"/>
      <c r="BB41" s="67"/>
      <c r="BC41" s="67"/>
      <c r="BD41" s="67"/>
      <c r="BE41" s="67"/>
      <c r="BF41" s="67"/>
      <c r="BG41" s="62" t="str">
        <f t="shared" si="36"/>
        <v>description: "ЗН Отключен", note: "ЗН Отключен",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135" t="s">
        <v>496</v>
      </c>
      <c r="C42" s="56"/>
      <c r="D42" s="29"/>
      <c r="E42" s="58" t="s">
        <v>233</v>
      </c>
      <c r="F42" s="68" t="s">
        <v>233</v>
      </c>
      <c r="G42" s="68" t="s">
        <v>233</v>
      </c>
      <c r="H42" s="58"/>
      <c r="I42" s="58">
        <f t="shared" si="32"/>
        <v>12</v>
      </c>
      <c r="J42" s="58" t="str">
        <f t="shared" si="33"/>
        <v>KA1 Отключен</v>
      </c>
      <c r="K42" s="55" t="s">
        <v>234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4"/>
        <v>0</v>
      </c>
      <c r="AW42" s="67">
        <v>0</v>
      </c>
      <c r="AX42" s="67">
        <f t="shared" si="35"/>
        <v>0</v>
      </c>
      <c r="AY42" s="67"/>
      <c r="AZ42" s="60"/>
      <c r="BA42" s="67"/>
      <c r="BB42" s="67"/>
      <c r="BC42" s="67"/>
      <c r="BD42" s="67"/>
      <c r="BE42" s="67"/>
      <c r="BF42" s="67"/>
      <c r="BG42" s="62" t="str">
        <f t="shared" si="36"/>
        <v>description: "KA1 Отключен", note: "KA1 Отключен", group: "input",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135" t="s">
        <v>496</v>
      </c>
      <c r="C43" s="56"/>
      <c r="D43" s="29"/>
      <c r="E43" s="58" t="s">
        <v>235</v>
      </c>
      <c r="F43" s="68" t="s">
        <v>235</v>
      </c>
      <c r="G43" s="68" t="s">
        <v>235</v>
      </c>
      <c r="H43" s="58"/>
      <c r="I43" s="58">
        <f t="shared" si="32"/>
        <v>12</v>
      </c>
      <c r="J43" s="58" t="str">
        <f t="shared" si="33"/>
        <v>KA2 Отключен</v>
      </c>
      <c r="K43" s="55" t="s">
        <v>236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/>
      <c r="AJ43" s="16"/>
      <c r="AK43" s="16"/>
      <c r="AL43" s="16"/>
      <c r="AM43" s="16"/>
      <c r="AN43" s="16"/>
      <c r="AO43" s="16"/>
      <c r="AP43" s="16"/>
      <c r="AQ43" s="16"/>
      <c r="AR43" s="67">
        <v>0</v>
      </c>
      <c r="AS43" s="67">
        <v>0</v>
      </c>
      <c r="AT43" s="67">
        <v>0</v>
      </c>
      <c r="AU43" s="67">
        <v>0</v>
      </c>
      <c r="AV43" s="67">
        <f t="shared" si="34"/>
        <v>0</v>
      </c>
      <c r="AW43" s="67">
        <v>0</v>
      </c>
      <c r="AX43" s="67">
        <f t="shared" si="35"/>
        <v>0</v>
      </c>
      <c r="AY43" s="67"/>
      <c r="AZ43" s="60"/>
      <c r="BA43" s="67"/>
      <c r="BB43" s="67"/>
      <c r="BC43" s="67"/>
      <c r="BD43" s="67"/>
      <c r="BE43" s="67"/>
      <c r="BF43" s="67"/>
      <c r="BG43" s="62" t="str">
        <f t="shared" si="36"/>
        <v>description: "KA2 Отключен", note: "KA2 Отключен", group: "input",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237</v>
      </c>
      <c r="F44" s="68" t="s">
        <v>237</v>
      </c>
      <c r="G44" s="68" t="s">
        <v>237</v>
      </c>
      <c r="H44" s="58"/>
      <c r="I44" s="58">
        <f t="shared" si="28"/>
        <v>10</v>
      </c>
      <c r="J44" s="58" t="str">
        <f t="shared" si="29"/>
        <v>ЗН Включен</v>
      </c>
      <c r="K44" s="55" t="s">
        <v>474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/>
      <c r="AJ44" s="16"/>
      <c r="AK44" s="16"/>
      <c r="AL44" s="16"/>
      <c r="AM44" s="16"/>
      <c r="AN44" s="16"/>
      <c r="AO44" s="16"/>
      <c r="AP44" s="16"/>
      <c r="AQ44" s="16"/>
      <c r="AR44" s="67">
        <v>0</v>
      </c>
      <c r="AS44" s="67">
        <v>0</v>
      </c>
      <c r="AT44" s="67">
        <v>0</v>
      </c>
      <c r="AU44" s="67">
        <v>0</v>
      </c>
      <c r="AV44" s="67">
        <f t="shared" si="30"/>
        <v>0</v>
      </c>
      <c r="AW44" s="67">
        <v>0</v>
      </c>
      <c r="AX44" s="67">
        <f t="shared" si="35"/>
        <v>0</v>
      </c>
      <c r="AY44" s="67"/>
      <c r="AZ44" s="60"/>
      <c r="BA44" s="67"/>
      <c r="BB44" s="67"/>
      <c r="BC44" s="67"/>
      <c r="BD44" s="67"/>
      <c r="BE44" s="67"/>
      <c r="BF44" s="67"/>
      <c r="BG44" s="62" t="str">
        <f t="shared" si="31"/>
        <v>description: "ЗН Включен", note: "ЗН Включен",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135" t="s">
        <v>496</v>
      </c>
      <c r="C45" s="56"/>
      <c r="D45" s="29"/>
      <c r="E45" s="58" t="s">
        <v>238</v>
      </c>
      <c r="F45" s="68" t="s">
        <v>238</v>
      </c>
      <c r="G45" s="68" t="s">
        <v>238</v>
      </c>
      <c r="H45" s="58"/>
      <c r="I45" s="58">
        <f t="shared" si="28"/>
        <v>12</v>
      </c>
      <c r="J45" s="58" t="str">
        <f t="shared" si="29"/>
        <v>KA3 Отключен</v>
      </c>
      <c r="K45" s="55" t="s">
        <v>239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/>
      <c r="AJ45" s="16"/>
      <c r="AK45" s="16"/>
      <c r="AL45" s="16"/>
      <c r="AM45" s="16"/>
      <c r="AN45" s="16"/>
      <c r="AO45" s="16"/>
      <c r="AP45" s="16"/>
      <c r="AQ45" s="16"/>
      <c r="AR45" s="67">
        <v>0</v>
      </c>
      <c r="AS45" s="67">
        <v>0</v>
      </c>
      <c r="AT45" s="67">
        <v>0</v>
      </c>
      <c r="AU45" s="67">
        <v>0</v>
      </c>
      <c r="AV45" s="67">
        <f t="shared" si="30"/>
        <v>0</v>
      </c>
      <c r="AW45" s="67">
        <v>0</v>
      </c>
      <c r="AX45" s="67">
        <f t="shared" si="35"/>
        <v>0</v>
      </c>
      <c r="AY45" s="67"/>
      <c r="AZ45" s="60"/>
      <c r="BA45" s="67"/>
      <c r="BB45" s="67"/>
      <c r="BC45" s="67"/>
      <c r="BD45" s="67"/>
      <c r="BE45" s="67"/>
      <c r="BF45" s="67"/>
      <c r="BG45" s="62" t="str">
        <f t="shared" si="31"/>
        <v>description: "KA3 Отключен", note: "KA3 Отключен", group: "input",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135" t="s">
        <v>496</v>
      </c>
      <c r="C46" s="56"/>
      <c r="D46" s="29"/>
      <c r="E46" s="58" t="s">
        <v>240</v>
      </c>
      <c r="F46" s="68" t="s">
        <v>240</v>
      </c>
      <c r="G46" s="68" t="s">
        <v>240</v>
      </c>
      <c r="H46" s="58"/>
      <c r="I46" s="58">
        <f t="shared" si="28"/>
        <v>12</v>
      </c>
      <c r="J46" s="58" t="str">
        <f t="shared" si="29"/>
        <v>KA4 Отключен</v>
      </c>
      <c r="K46" s="55" t="s">
        <v>241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si="30"/>
        <v>0</v>
      </c>
      <c r="AW46" s="67">
        <v>0</v>
      </c>
      <c r="AX46" s="67">
        <f t="shared" si="35"/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si="31"/>
        <v>description: "KA4 Отключен", note: "KA4 Отключен", group: "input", minValue: null, maxValue: null, step: null, units: "null", defaultValue: null, eventRegistration: 0</v>
      </c>
      <c r="BH46" s="63"/>
    </row>
    <row r="47" spans="1:60" s="28" customFormat="1" ht="15.75" x14ac:dyDescent="0.25">
      <c r="A47" s="18"/>
      <c r="B47" s="30" t="s">
        <v>50</v>
      </c>
      <c r="C47" s="19"/>
      <c r="D47" s="31"/>
      <c r="E47" s="20" t="s">
        <v>55</v>
      </c>
      <c r="F47" s="20" t="s">
        <v>56</v>
      </c>
      <c r="G47" s="20" t="s">
        <v>56</v>
      </c>
      <c r="H47" s="31"/>
      <c r="I47" s="32">
        <f>LEN(F47)</f>
        <v>10</v>
      </c>
      <c r="J47" s="32" t="str">
        <f>IF(LEN(F47)&lt;=$J$1,F47,"")</f>
        <v>Насл.режим</v>
      </c>
      <c r="K47" s="21" t="s">
        <v>58</v>
      </c>
      <c r="L47" s="22" t="s">
        <v>57</v>
      </c>
      <c r="M47" s="33" t="s">
        <v>51</v>
      </c>
      <c r="N47" s="33" t="s">
        <v>52</v>
      </c>
      <c r="O47" s="33"/>
      <c r="P47" s="19"/>
      <c r="Q47" s="19"/>
      <c r="R47" s="33" t="s">
        <v>53</v>
      </c>
      <c r="S47" s="33" t="s">
        <v>53</v>
      </c>
      <c r="T47" s="33" t="s">
        <v>53</v>
      </c>
      <c r="U47" s="33" t="s">
        <v>53</v>
      </c>
      <c r="V47" s="19"/>
      <c r="W47" s="19"/>
      <c r="X47" s="3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92</v>
      </c>
      <c r="AJ47" s="26" t="s">
        <v>107</v>
      </c>
      <c r="AK47" s="26" t="s">
        <v>59</v>
      </c>
      <c r="AL47" s="26" t="s">
        <v>60</v>
      </c>
      <c r="AM47" s="26" t="s">
        <v>61</v>
      </c>
      <c r="AN47" s="26"/>
      <c r="AO47" s="26" t="s">
        <v>62</v>
      </c>
      <c r="AP47" s="26" t="str">
        <f>CONCATENATE(AJ47, ".", AL47)</f>
        <v>LLN0.GrRef.setSrcRef</v>
      </c>
      <c r="AQ47" s="26" t="s">
        <v>63</v>
      </c>
      <c r="AR47" s="24">
        <v>0</v>
      </c>
      <c r="AS47" s="24">
        <v>0</v>
      </c>
      <c r="AT47" s="24">
        <v>0</v>
      </c>
      <c r="AU47" s="24">
        <v>0</v>
      </c>
      <c r="AV47" s="24">
        <f t="shared" ref="AV47:AV49" si="37">BIN2DEC(CONCATENATE(0,0,0,0,AR47,AS47,AT47,AU47))</f>
        <v>0</v>
      </c>
      <c r="AW47" s="24">
        <v>0</v>
      </c>
      <c r="AX47" s="24">
        <f t="shared" si="35"/>
        <v>0</v>
      </c>
      <c r="AY47" s="27"/>
      <c r="AZ47" s="19"/>
      <c r="BA47" s="19"/>
      <c r="BB47" s="19"/>
      <c r="BC47" s="19"/>
      <c r="BD47" s="19"/>
      <c r="BE47" s="19"/>
      <c r="BF47" s="19"/>
      <c r="BG47" s="34" t="str">
        <f t="shared" ref="BG47:BG49" si="38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"Насл.режим", note: "Наследуемый режим работы", group: "measurement", minValue: null, maxValue: null, step: null, units: "null", defaultValue: null, eventRegistration: 0</v>
      </c>
    </row>
    <row r="48" spans="1:60" s="28" customFormat="1" ht="15.75" x14ac:dyDescent="0.25">
      <c r="A48" s="18"/>
      <c r="B48" s="30" t="s">
        <v>50</v>
      </c>
      <c r="C48" s="19"/>
      <c r="D48" s="31"/>
      <c r="E48" s="20" t="s">
        <v>68</v>
      </c>
      <c r="F48" s="20" t="s">
        <v>69</v>
      </c>
      <c r="G48" s="20" t="s">
        <v>69</v>
      </c>
      <c r="H48" s="31"/>
      <c r="I48" s="32">
        <f>LEN(F48)</f>
        <v>8</v>
      </c>
      <c r="J48" s="32" t="str">
        <f>IF(LEN(F48)&lt;=$J$1,F48,"")</f>
        <v>Ош.крит.</v>
      </c>
      <c r="K48" s="21" t="s">
        <v>70</v>
      </c>
      <c r="L48" s="35" t="s">
        <v>54</v>
      </c>
      <c r="M48" s="33" t="s">
        <v>51</v>
      </c>
      <c r="N48" s="33" t="s">
        <v>52</v>
      </c>
      <c r="O48" s="33"/>
      <c r="P48" s="19"/>
      <c r="Q48" s="19"/>
      <c r="R48" s="33" t="s">
        <v>53</v>
      </c>
      <c r="S48" s="33" t="s">
        <v>53</v>
      </c>
      <c r="T48" s="33" t="s">
        <v>53</v>
      </c>
      <c r="U48" s="33" t="s">
        <v>53</v>
      </c>
      <c r="V48" s="19"/>
      <c r="W48" s="19"/>
      <c r="X48" s="3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/>
      <c r="AJ48" s="26"/>
      <c r="AK48" s="26"/>
      <c r="AL48" s="26"/>
      <c r="AM48" s="26"/>
      <c r="AN48" s="26"/>
      <c r="AO48" s="26"/>
      <c r="AP48" s="26"/>
      <c r="AQ48" s="26"/>
      <c r="AR48" s="24">
        <v>0</v>
      </c>
      <c r="AS48" s="24">
        <v>0</v>
      </c>
      <c r="AT48" s="24">
        <v>0</v>
      </c>
      <c r="AU48" s="24">
        <v>0</v>
      </c>
      <c r="AV48" s="24">
        <f t="shared" si="37"/>
        <v>0</v>
      </c>
      <c r="AW48" s="24">
        <v>0</v>
      </c>
      <c r="AX48" s="24">
        <f t="shared" si="35"/>
        <v>0</v>
      </c>
      <c r="AY48" s="27"/>
      <c r="AZ48" s="19"/>
      <c r="BA48" s="19"/>
      <c r="BB48" s="19"/>
      <c r="BC48" s="19"/>
      <c r="BD48" s="19"/>
      <c r="BE48" s="19"/>
      <c r="BF48" s="19"/>
      <c r="BG48" s="34" t="str">
        <f t="shared" si="3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9" spans="1:60" s="28" customFormat="1" ht="15.75" x14ac:dyDescent="0.25">
      <c r="A49" s="18"/>
      <c r="B49" s="30" t="s">
        <v>50</v>
      </c>
      <c r="C49" s="19"/>
      <c r="D49" s="31"/>
      <c r="E49" s="20" t="s">
        <v>71</v>
      </c>
      <c r="F49" s="20" t="s">
        <v>72</v>
      </c>
      <c r="G49" s="20" t="s">
        <v>72</v>
      </c>
      <c r="H49" s="31"/>
      <c r="I49" s="32">
        <f>LEN(F49)</f>
        <v>6</v>
      </c>
      <c r="J49" s="32" t="str">
        <f>IF(LEN(F49)&lt;=$J$1,F49,"")</f>
        <v>Ошибка</v>
      </c>
      <c r="K49" s="21" t="s">
        <v>73</v>
      </c>
      <c r="L49" s="35" t="s">
        <v>54</v>
      </c>
      <c r="M49" s="33" t="s">
        <v>51</v>
      </c>
      <c r="N49" s="33" t="s">
        <v>52</v>
      </c>
      <c r="O49" s="33"/>
      <c r="P49" s="19"/>
      <c r="Q49" s="19"/>
      <c r="R49" s="33" t="s">
        <v>53</v>
      </c>
      <c r="S49" s="33" t="s">
        <v>53</v>
      </c>
      <c r="T49" s="33" t="s">
        <v>53</v>
      </c>
      <c r="U49" s="33" t="s">
        <v>53</v>
      </c>
      <c r="V49" s="19"/>
      <c r="W49" s="19"/>
      <c r="X49" s="3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/>
      <c r="AJ49" s="26"/>
      <c r="AK49" s="26"/>
      <c r="AL49" s="26"/>
      <c r="AM49" s="26"/>
      <c r="AN49" s="26"/>
      <c r="AO49" s="26"/>
      <c r="AP49" s="26"/>
      <c r="AQ49" s="26"/>
      <c r="AR49" s="24">
        <v>0</v>
      </c>
      <c r="AS49" s="24">
        <v>0</v>
      </c>
      <c r="AT49" s="24">
        <v>0</v>
      </c>
      <c r="AU49" s="24">
        <v>0</v>
      </c>
      <c r="AV49" s="24">
        <f t="shared" si="37"/>
        <v>0</v>
      </c>
      <c r="AW49" s="24">
        <v>0</v>
      </c>
      <c r="AX49" s="24">
        <f t="shared" si="35"/>
        <v>0</v>
      </c>
      <c r="AY49" s="27"/>
      <c r="AZ49" s="19"/>
      <c r="BA49" s="19"/>
      <c r="BB49" s="19"/>
      <c r="BC49" s="19"/>
      <c r="BD49" s="19"/>
      <c r="BE49" s="19"/>
      <c r="BF49" s="19"/>
      <c r="BG49" s="34" t="str">
        <f t="shared" si="38"/>
        <v>description: "Ошибка", note: "Наличие некритической ошибки", group: "measurement", minValue: null, maxValue: null, step: null, units: "null", defaultValue: null, eventRegistration: 0</v>
      </c>
    </row>
    <row r="50" spans="1:60" s="14" customFormat="1" ht="15.75" x14ac:dyDescent="0.25">
      <c r="A50" s="37"/>
      <c r="B50" s="37"/>
      <c r="C50" s="37"/>
      <c r="D50" s="37"/>
      <c r="R50" s="37"/>
      <c r="S50" s="38"/>
      <c r="T50" s="38"/>
      <c r="U50" s="38"/>
      <c r="V50" s="38"/>
      <c r="W50" s="38"/>
      <c r="X50" s="38"/>
      <c r="Y50" s="38"/>
      <c r="Z50" s="37"/>
      <c r="AA50" s="38"/>
      <c r="AB50" s="38"/>
      <c r="AC50" s="38"/>
      <c r="AD50" s="38"/>
      <c r="AE50" s="38"/>
      <c r="AF50" s="38"/>
      <c r="AG50" s="38"/>
      <c r="AH50" s="37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7"/>
      <c r="BH50" s="37"/>
    </row>
    <row r="51" spans="1:60" s="14" customFormat="1" ht="15.75" x14ac:dyDescent="0.25">
      <c r="A51" s="37"/>
      <c r="B51" s="37"/>
      <c r="C51" s="37"/>
      <c r="D51" s="37"/>
      <c r="R51" s="37"/>
      <c r="S51" s="38"/>
      <c r="T51" s="38"/>
      <c r="U51" s="38"/>
      <c r="V51" s="38"/>
      <c r="W51" s="38"/>
      <c r="X51" s="38"/>
      <c r="Y51" s="38"/>
      <c r="Z51" s="37"/>
      <c r="AA51" s="38"/>
      <c r="AB51" s="38"/>
      <c r="AC51" s="38"/>
      <c r="AD51" s="38"/>
      <c r="AE51" s="38"/>
      <c r="AF51" s="38"/>
      <c r="AG51" s="38"/>
      <c r="AH51" s="37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7"/>
      <c r="BH51" s="37"/>
    </row>
    <row r="52" spans="1:60" s="14" customFormat="1" ht="15.75" x14ac:dyDescent="0.25">
      <c r="A52" s="37"/>
      <c r="B52" s="37"/>
      <c r="C52" s="37"/>
      <c r="D52" s="37"/>
      <c r="R52" s="37"/>
      <c r="S52" s="38"/>
      <c r="T52" s="38"/>
      <c r="U52" s="38"/>
      <c r="V52" s="38"/>
      <c r="W52" s="38"/>
      <c r="X52" s="38"/>
      <c r="Y52" s="38"/>
      <c r="Z52" s="37"/>
      <c r="AA52" s="38"/>
      <c r="AB52" s="38"/>
      <c r="AC52" s="38"/>
      <c r="AD52" s="38"/>
      <c r="AE52" s="38"/>
      <c r="AF52" s="38"/>
      <c r="AG52" s="38"/>
      <c r="AH52" s="37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7"/>
      <c r="BH52" s="37"/>
    </row>
    <row r="53" spans="1:60" s="14" customFormat="1" ht="15.75" x14ac:dyDescent="0.25">
      <c r="A53" s="37"/>
      <c r="B53" s="37"/>
      <c r="C53" s="37"/>
      <c r="D53" s="37"/>
      <c r="R53" s="37"/>
      <c r="S53" s="38"/>
      <c r="T53" s="38"/>
      <c r="U53" s="38"/>
      <c r="V53" s="38"/>
      <c r="W53" s="38"/>
      <c r="X53" s="38"/>
      <c r="Y53" s="38"/>
      <c r="Z53" s="37"/>
      <c r="AA53" s="38"/>
      <c r="AB53" s="38"/>
      <c r="AC53" s="38"/>
      <c r="AD53" s="38"/>
      <c r="AE53" s="38"/>
      <c r="AF53" s="38"/>
      <c r="AG53" s="38"/>
      <c r="AH53" s="37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7"/>
      <c r="BH53" s="37"/>
    </row>
    <row r="54" spans="1:60" s="14" customFormat="1" ht="15.75" x14ac:dyDescent="0.25">
      <c r="A54" s="37"/>
      <c r="B54" s="37"/>
      <c r="C54" s="37"/>
      <c r="D54" s="37"/>
      <c r="R54" s="37"/>
      <c r="S54" s="38"/>
      <c r="T54" s="38"/>
      <c r="U54" s="38"/>
      <c r="V54" s="38"/>
      <c r="W54" s="38"/>
      <c r="X54" s="38"/>
      <c r="Y54" s="38"/>
      <c r="Z54" s="37"/>
      <c r="AA54" s="38"/>
      <c r="AB54" s="38"/>
      <c r="AC54" s="38"/>
      <c r="AD54" s="38"/>
      <c r="AE54" s="38"/>
      <c r="AF54" s="38"/>
      <c r="AG54" s="38"/>
      <c r="AH54" s="37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7"/>
      <c r="BH54" s="37"/>
    </row>
    <row r="55" spans="1:60" s="14" customFormat="1" ht="15.75" x14ac:dyDescent="0.25">
      <c r="A55" s="37"/>
      <c r="B55" s="37"/>
      <c r="C55" s="37"/>
      <c r="D55" s="37"/>
      <c r="R55" s="37"/>
      <c r="S55" s="38"/>
      <c r="T55" s="38"/>
      <c r="U55" s="38"/>
      <c r="V55" s="38"/>
      <c r="W55" s="38"/>
      <c r="X55" s="38"/>
      <c r="Y55" s="38"/>
      <c r="Z55" s="37"/>
      <c r="AA55" s="38"/>
      <c r="AB55" s="38"/>
      <c r="AC55" s="38"/>
      <c r="AD55" s="38"/>
      <c r="AE55" s="38"/>
      <c r="AF55" s="38"/>
      <c r="AG55" s="38"/>
      <c r="AH55" s="37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7"/>
      <c r="BH55" s="37"/>
    </row>
    <row r="56" spans="1:60" s="14" customFormat="1" ht="15.75" x14ac:dyDescent="0.25">
      <c r="A56" s="37"/>
      <c r="B56" s="37"/>
      <c r="C56" s="37"/>
      <c r="D56" s="37"/>
      <c r="R56" s="37"/>
      <c r="S56" s="38"/>
      <c r="T56" s="38"/>
      <c r="U56" s="38"/>
      <c r="V56" s="38"/>
      <c r="W56" s="38"/>
      <c r="X56" s="38"/>
      <c r="Y56" s="38"/>
      <c r="Z56" s="37"/>
      <c r="AA56" s="38"/>
      <c r="AB56" s="38"/>
      <c r="AC56" s="38"/>
      <c r="AD56" s="38"/>
      <c r="AE56" s="38"/>
      <c r="AF56" s="38"/>
      <c r="AG56" s="38"/>
      <c r="AH56" s="37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7"/>
      <c r="BH56" s="37"/>
    </row>
    <row r="57" spans="1:60" s="14" customFormat="1" ht="15.75" x14ac:dyDescent="0.25">
      <c r="A57" s="37"/>
      <c r="B57" s="37"/>
      <c r="C57" s="37"/>
      <c r="D57" s="37"/>
      <c r="R57" s="37"/>
      <c r="S57" s="38"/>
      <c r="T57" s="38"/>
      <c r="U57" s="38"/>
      <c r="V57" s="38"/>
      <c r="W57" s="38"/>
      <c r="X57" s="38"/>
      <c r="Y57" s="38"/>
      <c r="Z57" s="37"/>
      <c r="AA57" s="38"/>
      <c r="AB57" s="38"/>
      <c r="AC57" s="38"/>
      <c r="AD57" s="38"/>
      <c r="AE57" s="38"/>
      <c r="AF57" s="38"/>
      <c r="AG57" s="38"/>
      <c r="AH57" s="37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7"/>
      <c r="BH57" s="37"/>
    </row>
    <row r="58" spans="1:60" s="14" customFormat="1" ht="15.75" x14ac:dyDescent="0.25">
      <c r="A58" s="37"/>
      <c r="B58" s="37"/>
      <c r="C58" s="37"/>
      <c r="D58" s="37"/>
      <c r="R58" s="37"/>
      <c r="S58" s="38"/>
      <c r="T58" s="38"/>
      <c r="U58" s="38"/>
      <c r="V58" s="38"/>
      <c r="W58" s="38"/>
      <c r="X58" s="38"/>
      <c r="Y58" s="38"/>
      <c r="Z58" s="37"/>
      <c r="AA58" s="38"/>
      <c r="AB58" s="38"/>
      <c r="AC58" s="38"/>
      <c r="AD58" s="38"/>
      <c r="AE58" s="38"/>
      <c r="AF58" s="38"/>
      <c r="AG58" s="38"/>
      <c r="AH58" s="37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7"/>
      <c r="BH58" s="37"/>
    </row>
    <row r="59" spans="1:60" s="14" customFormat="1" ht="15.75" x14ac:dyDescent="0.25">
      <c r="A59" s="37"/>
      <c r="B59" s="37"/>
      <c r="C59" s="37"/>
      <c r="D59" s="37"/>
      <c r="R59" s="37"/>
      <c r="S59" s="38"/>
      <c r="T59" s="38"/>
      <c r="U59" s="38"/>
      <c r="V59" s="38"/>
      <c r="W59" s="38"/>
      <c r="X59" s="38"/>
      <c r="Y59" s="38"/>
      <c r="Z59" s="37"/>
      <c r="AA59" s="38"/>
      <c r="AB59" s="38"/>
      <c r="AC59" s="38"/>
      <c r="AD59" s="38"/>
      <c r="AE59" s="38"/>
      <c r="AF59" s="38"/>
      <c r="AG59" s="38"/>
      <c r="AH59" s="37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7"/>
      <c r="BH59" s="37"/>
    </row>
    <row r="60" spans="1:60" s="14" customFormat="1" ht="15.75" x14ac:dyDescent="0.25">
      <c r="A60" s="37"/>
      <c r="B60" s="37"/>
      <c r="C60" s="37"/>
      <c r="D60" s="37"/>
      <c r="R60" s="37"/>
      <c r="S60" s="38"/>
      <c r="T60" s="38"/>
      <c r="U60" s="38"/>
      <c r="V60" s="38"/>
      <c r="W60" s="38"/>
      <c r="X60" s="38"/>
      <c r="Y60" s="38"/>
      <c r="Z60" s="37"/>
      <c r="AA60" s="38"/>
      <c r="AB60" s="38"/>
      <c r="AC60" s="38"/>
      <c r="AD60" s="38"/>
      <c r="AE60" s="38"/>
      <c r="AF60" s="38"/>
      <c r="AG60" s="38"/>
      <c r="AH60" s="37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7"/>
      <c r="BH60" s="37"/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7"/>
      <c r="AS161" s="37"/>
      <c r="AT161" s="37"/>
      <c r="AU161" s="37"/>
      <c r="AV161" s="37"/>
      <c r="AW161" s="37"/>
      <c r="AX161" s="37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7"/>
      <c r="AR162" s="37"/>
      <c r="AS162" s="37"/>
      <c r="AT162" s="37"/>
      <c r="AU162" s="37"/>
      <c r="AV162" s="37"/>
      <c r="AW162" s="37"/>
      <c r="AX162" s="37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7"/>
      <c r="AR163" s="37"/>
      <c r="AS163" s="37"/>
      <c r="AT163" s="37"/>
      <c r="AU163" s="37"/>
      <c r="AV163" s="37"/>
      <c r="AW163" s="37"/>
      <c r="AX163" s="37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7"/>
      <c r="AR164" s="37"/>
      <c r="AS164" s="37"/>
      <c r="AT164" s="37"/>
      <c r="AU164" s="37"/>
      <c r="AV164" s="37"/>
      <c r="AW164" s="37"/>
      <c r="AX164" s="37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7"/>
      <c r="AR165" s="37"/>
      <c r="AS165" s="37"/>
      <c r="AT165" s="37"/>
      <c r="AU165" s="37"/>
      <c r="AV165" s="37"/>
      <c r="AW165" s="37"/>
      <c r="AX165" s="37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7"/>
      <c r="AR166" s="37"/>
      <c r="AS166" s="37"/>
      <c r="AT166" s="37"/>
      <c r="AU166" s="37"/>
      <c r="AV166" s="37"/>
      <c r="AW166" s="37"/>
      <c r="AX166" s="37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7"/>
      <c r="AR167" s="37"/>
      <c r="AS167" s="37"/>
      <c r="AT167" s="37"/>
      <c r="AU167" s="37"/>
      <c r="AV167" s="37"/>
      <c r="AW167" s="37"/>
      <c r="AX167" s="37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7"/>
      <c r="AR168" s="37"/>
      <c r="AS168" s="37"/>
      <c r="AT168" s="37"/>
      <c r="AU168" s="37"/>
      <c r="AV168" s="37"/>
      <c r="AW168" s="37"/>
      <c r="AX168" s="37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7"/>
      <c r="AR169" s="37"/>
      <c r="AS169" s="37"/>
      <c r="AT169" s="37"/>
      <c r="AU169" s="37"/>
      <c r="AV169" s="37"/>
      <c r="AW169" s="37"/>
      <c r="AX169" s="37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7"/>
      <c r="AR170" s="37"/>
      <c r="AS170" s="37"/>
      <c r="AT170" s="37"/>
      <c r="AU170" s="37"/>
      <c r="AV170" s="37"/>
      <c r="AW170" s="37"/>
      <c r="AX170" s="37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7"/>
      <c r="AR171" s="37"/>
      <c r="AS171" s="37"/>
      <c r="AT171" s="37"/>
      <c r="AU171" s="37"/>
      <c r="AV171" s="37"/>
      <c r="AW171" s="37"/>
      <c r="AX171" s="37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7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4"/>
  <sheetViews>
    <sheetView topLeftCell="D43" zoomScale="115" zoomScaleNormal="115" workbookViewId="0">
      <selection activeCell="E16" sqref="E16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SUM(AA3:AA38)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54" t="s">
        <v>0</v>
      </c>
      <c r="BA1" s="155"/>
      <c r="BB1" s="155"/>
      <c r="BC1" s="155"/>
      <c r="BD1" s="155"/>
      <c r="BE1" s="155"/>
      <c r="BF1" s="155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492</v>
      </c>
      <c r="AW2" s="120" t="s">
        <v>493</v>
      </c>
      <c r="AX2" s="120" t="s">
        <v>494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19" t="s">
        <v>491</v>
      </c>
      <c r="C3" s="70"/>
      <c r="D3" s="29" t="s">
        <v>242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243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19" t="s">
        <v>491</v>
      </c>
      <c r="C4" s="70"/>
      <c r="D4" s="29" t="s">
        <v>242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244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19" t="s">
        <v>491</v>
      </c>
      <c r="C5" s="82"/>
      <c r="D5" s="91" t="s">
        <v>336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245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19" t="s">
        <v>491</v>
      </c>
      <c r="C6" s="82"/>
      <c r="D6" s="91" t="s">
        <v>336</v>
      </c>
      <c r="E6" s="77" t="s">
        <v>291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246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367</v>
      </c>
      <c r="AJ6" s="86" t="s">
        <v>370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19" t="s">
        <v>491</v>
      </c>
      <c r="C7" s="82"/>
      <c r="D7" s="91" t="s">
        <v>336</v>
      </c>
      <c r="E7" s="77" t="s">
        <v>292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247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367</v>
      </c>
      <c r="AJ7" s="86" t="s">
        <v>371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19" t="s">
        <v>491</v>
      </c>
      <c r="C8" s="82"/>
      <c r="D8" s="91" t="s">
        <v>336</v>
      </c>
      <c r="E8" s="77" t="s">
        <v>293</v>
      </c>
      <c r="F8" s="6" t="s">
        <v>294</v>
      </c>
      <c r="G8" s="6" t="s">
        <v>294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248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19" t="s">
        <v>491</v>
      </c>
      <c r="C9" s="82"/>
      <c r="D9" s="91" t="s">
        <v>336</v>
      </c>
      <c r="E9" s="77" t="s">
        <v>295</v>
      </c>
      <c r="F9" s="6" t="s">
        <v>296</v>
      </c>
      <c r="G9" s="6" t="s">
        <v>296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249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19" t="s">
        <v>491</v>
      </c>
      <c r="C10" s="82"/>
      <c r="D10" s="91" t="s">
        <v>336</v>
      </c>
      <c r="E10" s="77" t="s">
        <v>297</v>
      </c>
      <c r="F10" s="6" t="s">
        <v>297</v>
      </c>
      <c r="G10" s="6" t="s">
        <v>297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250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19" t="s">
        <v>491</v>
      </c>
      <c r="C11" s="82"/>
      <c r="D11" s="91" t="s">
        <v>336</v>
      </c>
      <c r="E11" s="77" t="s">
        <v>298</v>
      </c>
      <c r="F11" s="6" t="s">
        <v>299</v>
      </c>
      <c r="G11" s="6" t="s">
        <v>299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251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367</v>
      </c>
      <c r="AJ11" s="86" t="s">
        <v>372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19" t="s">
        <v>491</v>
      </c>
      <c r="C12" s="82"/>
      <c r="D12" s="91" t="s">
        <v>336</v>
      </c>
      <c r="E12" s="77" t="s">
        <v>300</v>
      </c>
      <c r="F12" s="6" t="s">
        <v>301</v>
      </c>
      <c r="G12" s="6" t="s">
        <v>301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252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19" t="s">
        <v>491</v>
      </c>
      <c r="C13" s="82"/>
      <c r="D13" s="91" t="s">
        <v>336</v>
      </c>
      <c r="E13" s="77" t="s">
        <v>302</v>
      </c>
      <c r="F13" s="6" t="s">
        <v>303</v>
      </c>
      <c r="G13" s="6" t="s">
        <v>303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253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19" t="s">
        <v>491</v>
      </c>
      <c r="C14" s="82"/>
      <c r="D14" s="91" t="s">
        <v>336</v>
      </c>
      <c r="E14" s="77" t="s">
        <v>304</v>
      </c>
      <c r="F14" s="6" t="s">
        <v>305</v>
      </c>
      <c r="G14" s="6" t="s">
        <v>305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254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19" t="s">
        <v>491</v>
      </c>
      <c r="C15" s="82"/>
      <c r="D15" s="91" t="s">
        <v>336</v>
      </c>
      <c r="E15" s="77" t="s">
        <v>306</v>
      </c>
      <c r="F15" s="6" t="s">
        <v>307</v>
      </c>
      <c r="G15" s="6" t="s">
        <v>307</v>
      </c>
      <c r="H15" s="7"/>
      <c r="I15" s="77">
        <f t="shared" ref="I15:I37" si="12">LEN(F15)</f>
        <v>13</v>
      </c>
      <c r="J15" s="77" t="str">
        <f>IF(LEN(F15)&lt;=$J$1,F15,"")</f>
        <v>Неисправность</v>
      </c>
      <c r="K15" s="83" t="s">
        <v>255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:BG37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19" t="s">
        <v>491</v>
      </c>
      <c r="C16" s="70"/>
      <c r="D16" s="29" t="s">
        <v>337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36" si="14">LEN(F16)</f>
        <v>4</v>
      </c>
      <c r="J16" s="68" t="str">
        <f t="shared" ref="J16:J36" si="15">IF(LEN(F16)&lt;=$J$1,F16,"")</f>
        <v>Ввод</v>
      </c>
      <c r="K16" s="71" t="s">
        <v>260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36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19" t="s">
        <v>491</v>
      </c>
      <c r="C17" s="70"/>
      <c r="D17" s="29" t="s">
        <v>337</v>
      </c>
      <c r="E17" s="68" t="s">
        <v>315</v>
      </c>
      <c r="F17" s="4" t="s">
        <v>316</v>
      </c>
      <c r="G17" s="4" t="s">
        <v>316</v>
      </c>
      <c r="H17" s="66"/>
      <c r="I17" s="68">
        <f t="shared" si="14"/>
        <v>8</v>
      </c>
      <c r="J17" s="68" t="str">
        <f t="shared" si="15"/>
        <v>Выкатить</v>
      </c>
      <c r="K17" s="71" t="s">
        <v>261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378</v>
      </c>
      <c r="AJ17" s="64" t="s">
        <v>383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19" t="s">
        <v>491</v>
      </c>
      <c r="C18" s="70"/>
      <c r="D18" s="29" t="s">
        <v>337</v>
      </c>
      <c r="E18" s="68" t="s">
        <v>317</v>
      </c>
      <c r="F18" s="4" t="s">
        <v>318</v>
      </c>
      <c r="G18" s="4" t="s">
        <v>318</v>
      </c>
      <c r="H18" s="66"/>
      <c r="I18" s="68">
        <f t="shared" si="14"/>
        <v>7</v>
      </c>
      <c r="J18" s="68" t="str">
        <f t="shared" si="15"/>
        <v>Вкатить</v>
      </c>
      <c r="K18" s="71" t="s">
        <v>262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378</v>
      </c>
      <c r="AJ18" s="64" t="s">
        <v>384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19" t="s">
        <v>491</v>
      </c>
      <c r="C19" s="70"/>
      <c r="D19" s="29" t="s">
        <v>337</v>
      </c>
      <c r="E19" s="68" t="s">
        <v>297</v>
      </c>
      <c r="F19" s="4" t="s">
        <v>297</v>
      </c>
      <c r="G19" s="4" t="s">
        <v>297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263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19" t="s">
        <v>491</v>
      </c>
      <c r="C20" s="70"/>
      <c r="D20" s="29" t="s">
        <v>337</v>
      </c>
      <c r="E20" s="68" t="s">
        <v>298</v>
      </c>
      <c r="F20" s="4" t="s">
        <v>299</v>
      </c>
      <c r="G20" s="4" t="s">
        <v>299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264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378</v>
      </c>
      <c r="AJ20" s="64" t="s">
        <v>385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19" t="s">
        <v>491</v>
      </c>
      <c r="C21" s="70"/>
      <c r="D21" s="29" t="s">
        <v>337</v>
      </c>
      <c r="E21" s="68" t="s">
        <v>319</v>
      </c>
      <c r="F21" s="4" t="s">
        <v>301</v>
      </c>
      <c r="G21" s="4" t="s">
        <v>301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265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19" t="s">
        <v>491</v>
      </c>
      <c r="C22" s="70"/>
      <c r="D22" s="29" t="s">
        <v>337</v>
      </c>
      <c r="E22" s="68" t="s">
        <v>477</v>
      </c>
      <c r="F22" s="4" t="s">
        <v>320</v>
      </c>
      <c r="G22" s="4" t="s">
        <v>320</v>
      </c>
      <c r="H22" s="66"/>
      <c r="I22" s="68">
        <f t="shared" si="14"/>
        <v>7</v>
      </c>
      <c r="J22" s="68" t="str">
        <f t="shared" si="15"/>
        <v>Выкачен</v>
      </c>
      <c r="K22" s="71" t="s">
        <v>266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19" t="s">
        <v>491</v>
      </c>
      <c r="C23" s="70"/>
      <c r="D23" s="29" t="s">
        <v>337</v>
      </c>
      <c r="E23" s="68" t="s">
        <v>478</v>
      </c>
      <c r="F23" s="4" t="s">
        <v>321</v>
      </c>
      <c r="G23" s="4" t="s">
        <v>321</v>
      </c>
      <c r="H23" s="66"/>
      <c r="I23" s="68">
        <f t="shared" si="14"/>
        <v>6</v>
      </c>
      <c r="J23" s="68" t="str">
        <f t="shared" si="15"/>
        <v>Вкачен</v>
      </c>
      <c r="K23" s="71" t="s">
        <v>267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19" t="s">
        <v>491</v>
      </c>
      <c r="C24" s="70"/>
      <c r="D24" s="29" t="s">
        <v>337</v>
      </c>
      <c r="E24" s="68" t="s">
        <v>322</v>
      </c>
      <c r="F24" s="4" t="s">
        <v>307</v>
      </c>
      <c r="G24" s="4" t="s">
        <v>307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268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19" t="s">
        <v>491</v>
      </c>
      <c r="C25" s="82"/>
      <c r="D25" s="91" t="s">
        <v>338</v>
      </c>
      <c r="E25" s="77" t="s">
        <v>120</v>
      </c>
      <c r="F25" s="6" t="s">
        <v>122</v>
      </c>
      <c r="G25" s="6" t="s">
        <v>122</v>
      </c>
      <c r="H25" s="7"/>
      <c r="I25" s="77">
        <f t="shared" si="14"/>
        <v>4</v>
      </c>
      <c r="J25" s="77" t="str">
        <f t="shared" si="15"/>
        <v>Ввод</v>
      </c>
      <c r="K25" s="83" t="s">
        <v>273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19" t="s">
        <v>491</v>
      </c>
      <c r="C26" s="82"/>
      <c r="D26" s="91" t="s">
        <v>338</v>
      </c>
      <c r="E26" s="77" t="s">
        <v>323</v>
      </c>
      <c r="F26" s="6" t="s">
        <v>125</v>
      </c>
      <c r="G26" s="6" t="s">
        <v>125</v>
      </c>
      <c r="H26" s="7"/>
      <c r="I26" s="77">
        <f t="shared" si="14"/>
        <v>9</v>
      </c>
      <c r="J26" s="77" t="str">
        <f t="shared" si="15"/>
        <v>Отключить</v>
      </c>
      <c r="K26" s="83" t="s">
        <v>274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378</v>
      </c>
      <c r="AJ26" s="86" t="s">
        <v>390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ESCSWI1.OpOpn.general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6"/>
        <v>description: "Отключить", note: "Отключить заземляющий нож", group: "status", minValue: null, maxValue: null, step: null, units: "null", defaultValue: null, eventRegistration: 2</v>
      </c>
    </row>
    <row r="27" spans="1:59" s="8" customFormat="1" x14ac:dyDescent="0.25">
      <c r="A27" s="81"/>
      <c r="B27" s="119" t="s">
        <v>491</v>
      </c>
      <c r="C27" s="82"/>
      <c r="D27" s="91" t="s">
        <v>338</v>
      </c>
      <c r="E27" s="77" t="s">
        <v>324</v>
      </c>
      <c r="F27" s="6" t="s">
        <v>126</v>
      </c>
      <c r="G27" s="6" t="s">
        <v>126</v>
      </c>
      <c r="H27" s="7"/>
      <c r="I27" s="77">
        <f t="shared" si="14"/>
        <v>8</v>
      </c>
      <c r="J27" s="77" t="str">
        <f t="shared" si="15"/>
        <v>Включить</v>
      </c>
      <c r="K27" s="83" t="s">
        <v>275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378</v>
      </c>
      <c r="AJ27" s="86" t="s">
        <v>391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ESCSWI1.OpCls.general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6"/>
        <v>description: "Включить", note: "Включить заземляющий нож", group: "status", minValue: null, maxValue: null, step: null, units: "null", defaultValue: null, eventRegistration: 2</v>
      </c>
    </row>
    <row r="28" spans="1:59" s="8" customFormat="1" x14ac:dyDescent="0.25">
      <c r="A28" s="81"/>
      <c r="B28" s="119" t="s">
        <v>491</v>
      </c>
      <c r="C28" s="82"/>
      <c r="D28" s="91" t="s">
        <v>338</v>
      </c>
      <c r="E28" s="77" t="s">
        <v>297</v>
      </c>
      <c r="F28" s="6" t="s">
        <v>297</v>
      </c>
      <c r="G28" s="6" t="s">
        <v>297</v>
      </c>
      <c r="H28" s="7"/>
      <c r="I28" s="77">
        <f t="shared" si="14"/>
        <v>17</v>
      </c>
      <c r="J28" s="77" t="str">
        <f t="shared" si="15"/>
        <v>Идет переключение</v>
      </c>
      <c r="K28" s="83" t="s">
        <v>276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19" t="s">
        <v>491</v>
      </c>
      <c r="C29" s="82"/>
      <c r="D29" s="91" t="s">
        <v>338</v>
      </c>
      <c r="E29" s="77" t="s">
        <v>298</v>
      </c>
      <c r="F29" s="6" t="s">
        <v>299</v>
      </c>
      <c r="G29" s="6" t="s">
        <v>299</v>
      </c>
      <c r="H29" s="7"/>
      <c r="I29" s="77">
        <f t="shared" si="14"/>
        <v>18</v>
      </c>
      <c r="J29" s="77" t="str">
        <f t="shared" si="15"/>
        <v>Прев. времени пер.</v>
      </c>
      <c r="K29" s="83" t="s">
        <v>277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378</v>
      </c>
      <c r="AJ29" s="86" t="s">
        <v>392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ESCSWI1.OpTmAlm.stVal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19" t="s">
        <v>491</v>
      </c>
      <c r="C30" s="82"/>
      <c r="D30" s="91" t="s">
        <v>338</v>
      </c>
      <c r="E30" s="77" t="s">
        <v>325</v>
      </c>
      <c r="F30" s="6" t="s">
        <v>301</v>
      </c>
      <c r="G30" s="6" t="s">
        <v>301</v>
      </c>
      <c r="H30" s="7"/>
      <c r="I30" s="77">
        <f t="shared" si="14"/>
        <v>13</v>
      </c>
      <c r="J30" s="77" t="str">
        <f t="shared" si="15"/>
        <v>Не определено</v>
      </c>
      <c r="K30" s="83" t="s">
        <v>278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6"/>
        <v>description: "Не определено", note: "Положение ЗН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19" t="s">
        <v>491</v>
      </c>
      <c r="C31" s="82"/>
      <c r="D31" s="91" t="s">
        <v>338</v>
      </c>
      <c r="E31" s="77" t="s">
        <v>326</v>
      </c>
      <c r="F31" s="6" t="s">
        <v>303</v>
      </c>
      <c r="G31" s="6" t="s">
        <v>303</v>
      </c>
      <c r="H31" s="7"/>
      <c r="I31" s="77">
        <f t="shared" si="14"/>
        <v>9</v>
      </c>
      <c r="J31" s="77" t="str">
        <f t="shared" si="15"/>
        <v>Отключено</v>
      </c>
      <c r="K31" s="83" t="s">
        <v>279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6"/>
        <v>description: "Отключено", note: "Положение ЗН (Отключено)", group: "status", minValue: null, maxValue: null, step: null, units: "null", defaultValue: null, eventRegistration: 2</v>
      </c>
    </row>
    <row r="32" spans="1:59" s="8" customFormat="1" x14ac:dyDescent="0.25">
      <c r="A32" s="81"/>
      <c r="B32" s="119" t="s">
        <v>491</v>
      </c>
      <c r="C32" s="82"/>
      <c r="D32" s="91" t="s">
        <v>338</v>
      </c>
      <c r="E32" s="77" t="s">
        <v>327</v>
      </c>
      <c r="F32" s="6" t="s">
        <v>305</v>
      </c>
      <c r="G32" s="6" t="s">
        <v>305</v>
      </c>
      <c r="H32" s="7"/>
      <c r="I32" s="77">
        <f t="shared" si="14"/>
        <v>8</v>
      </c>
      <c r="J32" s="77" t="str">
        <f t="shared" si="15"/>
        <v>Включено</v>
      </c>
      <c r="K32" s="83" t="s">
        <v>280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6"/>
        <v>description: "Включено", note: "Положение ЗН (Включено)", group: "status", minValue: null, maxValue: null, step: null, units: "null", defaultValue: null, eventRegistration: 2</v>
      </c>
    </row>
    <row r="33" spans="1:60" s="8" customFormat="1" x14ac:dyDescent="0.25">
      <c r="A33" s="81"/>
      <c r="B33" s="119" t="s">
        <v>491</v>
      </c>
      <c r="C33" s="82"/>
      <c r="D33" s="91" t="s">
        <v>338</v>
      </c>
      <c r="E33" s="77" t="s">
        <v>328</v>
      </c>
      <c r="F33" s="6" t="s">
        <v>307</v>
      </c>
      <c r="G33" s="6" t="s">
        <v>307</v>
      </c>
      <c r="H33" s="7"/>
      <c r="I33" s="77">
        <f t="shared" si="14"/>
        <v>13</v>
      </c>
      <c r="J33" s="77" t="str">
        <f t="shared" si="15"/>
        <v>Неисправность</v>
      </c>
      <c r="K33" s="83" t="s">
        <v>281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6"/>
        <v>description: "Неисправность", note: "Положение ЗН (Неисправность)", group: "status", minValue: null, maxValue: null, step: null, units: "null", defaultValue: null, eventRegistration: 2</v>
      </c>
    </row>
    <row r="34" spans="1:60" s="113" customFormat="1" x14ac:dyDescent="0.25">
      <c r="A34" s="98"/>
      <c r="B34" s="119" t="s">
        <v>491</v>
      </c>
      <c r="C34" s="99"/>
      <c r="D34" s="100" t="s">
        <v>340</v>
      </c>
      <c r="E34" s="101" t="s">
        <v>331</v>
      </c>
      <c r="F34" s="102" t="s">
        <v>332</v>
      </c>
      <c r="G34" s="102" t="s">
        <v>332</v>
      </c>
      <c r="H34" s="103"/>
      <c r="I34" s="101">
        <f>LEN(F34)</f>
        <v>13</v>
      </c>
      <c r="J34" s="101" t="str">
        <f>IF(LEN(F34)&lt;=$J$1,F34,"")</f>
        <v>Разрешить вкл</v>
      </c>
      <c r="K34" s="104" t="s">
        <v>287</v>
      </c>
      <c r="L34" s="105" t="s">
        <v>54</v>
      </c>
      <c r="M34" s="106" t="s">
        <v>51</v>
      </c>
      <c r="N34" s="106" t="s">
        <v>52</v>
      </c>
      <c r="O34" s="106"/>
      <c r="P34" s="107"/>
      <c r="Q34" s="107"/>
      <c r="R34" s="106" t="s">
        <v>53</v>
      </c>
      <c r="S34" s="106" t="s">
        <v>53</v>
      </c>
      <c r="T34" s="106" t="s">
        <v>53</v>
      </c>
      <c r="U34" s="106" t="s">
        <v>53</v>
      </c>
      <c r="V34" s="99"/>
      <c r="W34" s="99"/>
      <c r="X34" s="106" t="s">
        <v>53</v>
      </c>
      <c r="Y34" s="106">
        <v>2</v>
      </c>
      <c r="Z34" s="99"/>
      <c r="AA34" s="108">
        <v>0</v>
      </c>
      <c r="AB34" s="108"/>
      <c r="AC34" s="108"/>
      <c r="AD34" s="108"/>
      <c r="AE34" s="108"/>
      <c r="AF34" s="108">
        <v>0</v>
      </c>
      <c r="AG34" s="108">
        <v>0</v>
      </c>
      <c r="AH34" s="108">
        <v>0</v>
      </c>
      <c r="AI34" s="109" t="s">
        <v>394</v>
      </c>
      <c r="AJ34" s="110" t="s">
        <v>397</v>
      </c>
      <c r="AK34" s="110" t="s">
        <v>123</v>
      </c>
      <c r="AL34" s="110" t="s">
        <v>64</v>
      </c>
      <c r="AM34" s="110" t="s">
        <v>105</v>
      </c>
      <c r="AN34" s="110"/>
      <c r="AO34" s="110" t="s">
        <v>67</v>
      </c>
      <c r="AP34" s="110" t="str">
        <f t="shared" ref="AP34" si="17">CONCATENATE(AJ34, ".", AL34)</f>
        <v>CBCILO1.EnaCls.stVal</v>
      </c>
      <c r="AQ34" s="110" t="s">
        <v>63</v>
      </c>
      <c r="AR34" s="99">
        <v>0</v>
      </c>
      <c r="AS34" s="99">
        <v>1</v>
      </c>
      <c r="AT34" s="99">
        <v>0</v>
      </c>
      <c r="AU34" s="99">
        <v>1</v>
      </c>
      <c r="AV34" s="82">
        <v>1</v>
      </c>
      <c r="AW34" s="82">
        <v>1</v>
      </c>
      <c r="AX34" s="82">
        <v>1</v>
      </c>
      <c r="AY34" s="111"/>
      <c r="AZ34" s="99"/>
      <c r="BA34" s="99"/>
      <c r="BB34" s="99"/>
      <c r="BC34" s="99"/>
      <c r="BD34" s="99"/>
      <c r="BE34" s="99"/>
      <c r="BF34" s="99"/>
      <c r="BG34" s="112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"Разрешить вкл", note: "Разрешить включение", group: "status", minValue: null, maxValue: null, step: null, units: "null", defaultValue: null, eventRegistration: 2</v>
      </c>
    </row>
    <row r="35" spans="1:60" s="113" customFormat="1" x14ac:dyDescent="0.25">
      <c r="A35" s="98"/>
      <c r="B35" s="119" t="s">
        <v>491</v>
      </c>
      <c r="C35" s="99"/>
      <c r="D35" s="100" t="s">
        <v>340</v>
      </c>
      <c r="E35" s="101" t="s">
        <v>333</v>
      </c>
      <c r="F35" s="102" t="s">
        <v>334</v>
      </c>
      <c r="G35" s="102" t="s">
        <v>334</v>
      </c>
      <c r="H35" s="103"/>
      <c r="I35" s="101">
        <f>LEN(F35)</f>
        <v>14</v>
      </c>
      <c r="J35" s="101" t="str">
        <f>IF(LEN(F35)&lt;=$J$1,F35,"")</f>
        <v>Блокировка вкл</v>
      </c>
      <c r="K35" s="104" t="s">
        <v>288</v>
      </c>
      <c r="L35" s="105" t="s">
        <v>54</v>
      </c>
      <c r="M35" s="106" t="s">
        <v>51</v>
      </c>
      <c r="N35" s="106" t="s">
        <v>52</v>
      </c>
      <c r="O35" s="106"/>
      <c r="P35" s="107"/>
      <c r="Q35" s="107"/>
      <c r="R35" s="106" t="s">
        <v>53</v>
      </c>
      <c r="S35" s="106" t="s">
        <v>53</v>
      </c>
      <c r="T35" s="106" t="s">
        <v>53</v>
      </c>
      <c r="U35" s="106" t="s">
        <v>53</v>
      </c>
      <c r="V35" s="99"/>
      <c r="W35" s="99"/>
      <c r="X35" s="106" t="s">
        <v>53</v>
      </c>
      <c r="Y35" s="106">
        <v>2</v>
      </c>
      <c r="Z35" s="99"/>
      <c r="AA35" s="108">
        <v>0</v>
      </c>
      <c r="AB35" s="108"/>
      <c r="AC35" s="108"/>
      <c r="AD35" s="108"/>
      <c r="AE35" s="108"/>
      <c r="AF35" s="108">
        <v>0</v>
      </c>
      <c r="AG35" s="108">
        <v>0</v>
      </c>
      <c r="AH35" s="108">
        <v>0</v>
      </c>
      <c r="AI35" s="109"/>
      <c r="AJ35" s="110"/>
      <c r="AK35" s="110"/>
      <c r="AL35" s="110"/>
      <c r="AM35" s="110"/>
      <c r="AN35" s="110"/>
      <c r="AO35" s="110"/>
      <c r="AP35" s="110"/>
      <c r="AQ35" s="110"/>
      <c r="AR35" s="99">
        <v>0</v>
      </c>
      <c r="AS35" s="99">
        <v>1</v>
      </c>
      <c r="AT35" s="99">
        <v>0</v>
      </c>
      <c r="AU35" s="99">
        <v>1</v>
      </c>
      <c r="AV35" s="82">
        <v>1</v>
      </c>
      <c r="AW35" s="82">
        <v>1</v>
      </c>
      <c r="AX35" s="82">
        <v>1</v>
      </c>
      <c r="AY35" s="111"/>
      <c r="AZ35" s="99"/>
      <c r="BA35" s="99"/>
      <c r="BB35" s="99"/>
      <c r="BC35" s="99"/>
      <c r="BD35" s="99"/>
      <c r="BE35" s="99"/>
      <c r="BF35" s="99"/>
      <c r="BG35" s="112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"Блокировка вкл", note: "Блокировка включения", group: "status", minValue: null, maxValue: null, step: null, units: "null", defaultValue: null, eventRegistration: 2</v>
      </c>
    </row>
    <row r="36" spans="1:60" s="3" customFormat="1" x14ac:dyDescent="0.25">
      <c r="A36" s="69"/>
      <c r="B36" s="119" t="s">
        <v>491</v>
      </c>
      <c r="C36" s="70"/>
      <c r="D36" s="29" t="s">
        <v>339</v>
      </c>
      <c r="E36" s="68" t="s">
        <v>329</v>
      </c>
      <c r="F36" s="4" t="s">
        <v>330</v>
      </c>
      <c r="G36" s="4" t="s">
        <v>330</v>
      </c>
      <c r="H36" s="66"/>
      <c r="I36" s="68">
        <f t="shared" si="14"/>
        <v>16</v>
      </c>
      <c r="J36" s="68" t="str">
        <f t="shared" si="15"/>
        <v>Разрешить управ.</v>
      </c>
      <c r="K36" s="71" t="s">
        <v>286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393</v>
      </c>
      <c r="AJ36" s="64" t="s">
        <v>395</v>
      </c>
      <c r="AK36" s="64" t="s">
        <v>123</v>
      </c>
      <c r="AL36" s="64" t="s">
        <v>64</v>
      </c>
      <c r="AM36" s="64" t="s">
        <v>105</v>
      </c>
      <c r="AN36" s="64"/>
      <c r="AO36" s="64" t="s">
        <v>67</v>
      </c>
      <c r="AP36" s="64" t="str">
        <f>CONCATENATE(AJ36, ".", AL36)</f>
        <v>WECILO1.EnaOp.stVal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16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37" spans="1:60" s="113" customFormat="1" x14ac:dyDescent="0.25">
      <c r="A37" s="98"/>
      <c r="B37" s="119" t="s">
        <v>491</v>
      </c>
      <c r="C37" s="99"/>
      <c r="D37" s="100" t="s">
        <v>341</v>
      </c>
      <c r="E37" s="101" t="s">
        <v>335</v>
      </c>
      <c r="F37" s="102" t="s">
        <v>330</v>
      </c>
      <c r="G37" s="102" t="s">
        <v>330</v>
      </c>
      <c r="H37" s="103"/>
      <c r="I37" s="101">
        <f t="shared" si="12"/>
        <v>16</v>
      </c>
      <c r="J37" s="101" t="str">
        <f t="shared" ref="J37" si="18">IF(LEN(F37)&lt;=$J$1,F37,"")</f>
        <v>Разрешить управ.</v>
      </c>
      <c r="K37" s="104" t="s">
        <v>289</v>
      </c>
      <c r="L37" s="105" t="s">
        <v>54</v>
      </c>
      <c r="M37" s="106" t="s">
        <v>51</v>
      </c>
      <c r="N37" s="106" t="s">
        <v>52</v>
      </c>
      <c r="O37" s="106"/>
      <c r="P37" s="107"/>
      <c r="Q37" s="107"/>
      <c r="R37" s="106" t="s">
        <v>53</v>
      </c>
      <c r="S37" s="106" t="s">
        <v>53</v>
      </c>
      <c r="T37" s="106" t="s">
        <v>53</v>
      </c>
      <c r="U37" s="106" t="s">
        <v>53</v>
      </c>
      <c r="V37" s="99"/>
      <c r="W37" s="99"/>
      <c r="X37" s="106" t="s">
        <v>53</v>
      </c>
      <c r="Y37" s="106">
        <v>2</v>
      </c>
      <c r="Z37" s="99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09" t="s">
        <v>393</v>
      </c>
      <c r="AJ37" s="110" t="s">
        <v>396</v>
      </c>
      <c r="AK37" s="110" t="s">
        <v>123</v>
      </c>
      <c r="AL37" s="110" t="s">
        <v>64</v>
      </c>
      <c r="AM37" s="110" t="s">
        <v>105</v>
      </c>
      <c r="AN37" s="110"/>
      <c r="AO37" s="110" t="s">
        <v>67</v>
      </c>
      <c r="AP37" s="110" t="str">
        <f>CONCATENATE(AJ37, ".", AL37)</f>
        <v>ESCILO1.EnaOp.stVal</v>
      </c>
      <c r="AQ37" s="110" t="s">
        <v>63</v>
      </c>
      <c r="AR37" s="99">
        <v>0</v>
      </c>
      <c r="AS37" s="99">
        <v>1</v>
      </c>
      <c r="AT37" s="99">
        <v>0</v>
      </c>
      <c r="AU37" s="99">
        <v>1</v>
      </c>
      <c r="AV37" s="82">
        <v>1</v>
      </c>
      <c r="AW37" s="82">
        <v>1</v>
      </c>
      <c r="AX37" s="82">
        <v>1</v>
      </c>
      <c r="AY37" s="111"/>
      <c r="AZ37" s="99"/>
      <c r="BA37" s="99"/>
      <c r="BB37" s="99"/>
      <c r="BC37" s="99"/>
      <c r="BD37" s="99"/>
      <c r="BE37" s="99"/>
      <c r="BF37" s="99"/>
      <c r="BG37" s="112" t="str">
        <f t="shared" si="13"/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38" spans="1:60" s="133" customFormat="1" x14ac:dyDescent="0.25">
      <c r="A38" s="121"/>
      <c r="B38" s="121" t="s">
        <v>491</v>
      </c>
      <c r="C38" s="122"/>
      <c r="D38" s="123" t="s">
        <v>242</v>
      </c>
      <c r="E38" s="124" t="s">
        <v>297</v>
      </c>
      <c r="F38" s="124" t="s">
        <v>297</v>
      </c>
      <c r="G38" s="124" t="s">
        <v>297</v>
      </c>
      <c r="H38" s="122"/>
      <c r="I38" s="124">
        <f t="shared" ref="I38" si="19">LEN(F38)</f>
        <v>17</v>
      </c>
      <c r="J38" s="124" t="str">
        <f t="shared" ref="J38" si="20">IF(LEN(F38)&lt;=$J$1,F38,"")</f>
        <v>Идет переключение</v>
      </c>
      <c r="K38" s="125" t="s">
        <v>290</v>
      </c>
      <c r="L38" s="126" t="s">
        <v>54</v>
      </c>
      <c r="M38" s="127" t="s">
        <v>51</v>
      </c>
      <c r="N38" s="127" t="s">
        <v>52</v>
      </c>
      <c r="O38" s="127"/>
      <c r="P38" s="128"/>
      <c r="Q38" s="128"/>
      <c r="R38" s="127" t="s">
        <v>53</v>
      </c>
      <c r="S38" s="127" t="s">
        <v>53</v>
      </c>
      <c r="T38" s="127" t="s">
        <v>53</v>
      </c>
      <c r="U38" s="127" t="s">
        <v>53</v>
      </c>
      <c r="V38" s="122"/>
      <c r="W38" s="122"/>
      <c r="X38" s="127" t="s">
        <v>53</v>
      </c>
      <c r="Y38" s="127">
        <v>2</v>
      </c>
      <c r="Z38" s="122"/>
      <c r="AA38" s="129">
        <v>0</v>
      </c>
      <c r="AB38" s="129"/>
      <c r="AC38" s="129"/>
      <c r="AD38" s="129"/>
      <c r="AE38" s="129"/>
      <c r="AF38" s="129">
        <v>0</v>
      </c>
      <c r="AG38" s="129">
        <v>0</v>
      </c>
      <c r="AH38" s="129">
        <v>0</v>
      </c>
      <c r="AI38" s="134" t="s">
        <v>92</v>
      </c>
      <c r="AJ38" s="130"/>
      <c r="AK38" s="130"/>
      <c r="AL38" s="130"/>
      <c r="AM38" s="130"/>
      <c r="AN38" s="130"/>
      <c r="AO38" s="130"/>
      <c r="AP38" s="130"/>
      <c r="AQ38" s="130"/>
      <c r="AR38" s="122">
        <v>0</v>
      </c>
      <c r="AS38" s="122">
        <v>1</v>
      </c>
      <c r="AT38" s="122">
        <v>0</v>
      </c>
      <c r="AU38" s="122">
        <v>1</v>
      </c>
      <c r="AV38" s="122">
        <v>1</v>
      </c>
      <c r="AW38" s="122">
        <v>1</v>
      </c>
      <c r="AX38" s="122">
        <v>1</v>
      </c>
      <c r="AY38" s="131"/>
      <c r="AZ38" s="122"/>
      <c r="BA38" s="122"/>
      <c r="BB38" s="122"/>
      <c r="BC38" s="122"/>
      <c r="BD38" s="122"/>
      <c r="BE38" s="122"/>
      <c r="BF38" s="122"/>
      <c r="BG38" s="132" t="str">
        <f t="shared" ref="BG38" si="2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"Идет переключение", note: "Идет переключение", group: "status", minValue: null, maxValue: null, step: null, units: "null", defaultValue: null, eventRegistration: 2</v>
      </c>
    </row>
    <row r="39" spans="1:60" s="12" customFormat="1" x14ac:dyDescent="0.25">
      <c r="A39" s="18"/>
      <c r="B39" s="119" t="s">
        <v>491</v>
      </c>
      <c r="C39" s="19"/>
      <c r="D39" s="10"/>
      <c r="E39" s="20" t="s">
        <v>75</v>
      </c>
      <c r="F39" s="20" t="s">
        <v>76</v>
      </c>
      <c r="G39" s="20" t="s">
        <v>76</v>
      </c>
      <c r="H39" s="19"/>
      <c r="I39" s="20">
        <v>12</v>
      </c>
      <c r="J39" s="20" t="str">
        <f t="shared" ref="J39:J44" si="22">IF(LEN(F39)&lt;=$J$1,F39,"")</f>
        <v>Поведение LD</v>
      </c>
      <c r="K39" s="21" t="s">
        <v>77</v>
      </c>
      <c r="L39" s="22" t="s">
        <v>57</v>
      </c>
      <c r="M39" s="23" t="s">
        <v>51</v>
      </c>
      <c r="N39" s="23" t="s">
        <v>52</v>
      </c>
      <c r="O39" s="23"/>
      <c r="P39" s="19"/>
      <c r="Q39" s="19"/>
      <c r="R39" s="23" t="s">
        <v>53</v>
      </c>
      <c r="S39" s="23" t="s">
        <v>53</v>
      </c>
      <c r="T39" s="23" t="s">
        <v>53</v>
      </c>
      <c r="U39" s="23" t="s">
        <v>53</v>
      </c>
      <c r="V39" s="19"/>
      <c r="W39" s="19"/>
      <c r="X39" s="23" t="s">
        <v>53</v>
      </c>
      <c r="Y39" s="23">
        <v>0</v>
      </c>
      <c r="Z39" s="19"/>
      <c r="AA39" s="24">
        <v>0</v>
      </c>
      <c r="AB39" s="24"/>
      <c r="AC39" s="24"/>
      <c r="AD39" s="24"/>
      <c r="AE39" s="24"/>
      <c r="AF39" s="24">
        <v>0</v>
      </c>
      <c r="AG39" s="24">
        <v>0</v>
      </c>
      <c r="AH39" s="24">
        <v>0</v>
      </c>
      <c r="AI39" s="25" t="s">
        <v>92</v>
      </c>
      <c r="AJ39" s="26" t="s">
        <v>108</v>
      </c>
      <c r="AK39" s="26" t="s">
        <v>78</v>
      </c>
      <c r="AL39" s="26" t="s">
        <v>64</v>
      </c>
      <c r="AM39" s="26" t="s">
        <v>65</v>
      </c>
      <c r="AN39" s="26" t="s">
        <v>66</v>
      </c>
      <c r="AO39" s="26" t="s">
        <v>67</v>
      </c>
      <c r="AP39" s="26" t="str">
        <f t="shared" ref="AP39:AP40" si="23">CONCATENATE(AJ39, ".", AL39)</f>
        <v>LLN0.Beh.stVal</v>
      </c>
      <c r="AQ39" s="26" t="s">
        <v>63</v>
      </c>
      <c r="AR39" s="19">
        <v>0</v>
      </c>
      <c r="AS39" s="19">
        <v>0</v>
      </c>
      <c r="AT39" s="19">
        <v>0</v>
      </c>
      <c r="AU39" s="19">
        <v>0</v>
      </c>
      <c r="AV39" s="19">
        <f t="shared" ref="AV39:AV44" si="24">BIN2DEC(CONCATENATE(0,0,0,0,AR39,AS39,AT39,AU39))</f>
        <v>0</v>
      </c>
      <c r="AW39" s="19">
        <v>0</v>
      </c>
      <c r="AX39" s="19">
        <f t="shared" ref="AX39:AX44" si="25">BIN2DEC(CONCATENATE(0,0,0,0,AT39,AU39,AV39,AW39))</f>
        <v>0</v>
      </c>
      <c r="AY39" s="27"/>
      <c r="AZ39" s="19"/>
      <c r="BA39" s="19"/>
      <c r="BB39" s="19"/>
      <c r="BC39" s="19"/>
      <c r="BD39" s="19"/>
      <c r="BE39" s="19"/>
      <c r="BF39" s="19"/>
      <c r="BG39" s="11" t="str">
        <f t="shared" ref="BG39:BG44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39" s="28"/>
    </row>
    <row r="40" spans="1:60" s="12" customFormat="1" x14ac:dyDescent="0.25">
      <c r="A40" s="18"/>
      <c r="B40" s="119" t="s">
        <v>491</v>
      </c>
      <c r="C40" s="19"/>
      <c r="D40" s="18"/>
      <c r="E40" s="20" t="s">
        <v>79</v>
      </c>
      <c r="F40" s="20" t="s">
        <v>80</v>
      </c>
      <c r="G40" s="20" t="s">
        <v>80</v>
      </c>
      <c r="H40" s="19"/>
      <c r="I40" s="20">
        <v>14</v>
      </c>
      <c r="J40" s="20" t="str">
        <f t="shared" si="22"/>
        <v>Исправность LD</v>
      </c>
      <c r="K40" s="21" t="s">
        <v>81</v>
      </c>
      <c r="L40" s="22" t="s">
        <v>57</v>
      </c>
      <c r="M40" s="23" t="s">
        <v>51</v>
      </c>
      <c r="N40" s="23" t="s">
        <v>52</v>
      </c>
      <c r="O40" s="23"/>
      <c r="P40" s="13"/>
      <c r="Q40" s="13"/>
      <c r="R40" s="23" t="s">
        <v>53</v>
      </c>
      <c r="S40" s="23" t="s">
        <v>53</v>
      </c>
      <c r="T40" s="23" t="s">
        <v>53</v>
      </c>
      <c r="U40" s="23" t="s">
        <v>53</v>
      </c>
      <c r="V40" s="19"/>
      <c r="W40" s="19"/>
      <c r="X40" s="23" t="s">
        <v>53</v>
      </c>
      <c r="Y40" s="23">
        <v>0</v>
      </c>
      <c r="Z40" s="19"/>
      <c r="AA40" s="24">
        <v>0</v>
      </c>
      <c r="AB40" s="24"/>
      <c r="AC40" s="24"/>
      <c r="AD40" s="24"/>
      <c r="AE40" s="24"/>
      <c r="AF40" s="24">
        <v>0</v>
      </c>
      <c r="AG40" s="24">
        <v>0</v>
      </c>
      <c r="AH40" s="24">
        <v>0</v>
      </c>
      <c r="AI40" s="25" t="s">
        <v>92</v>
      </c>
      <c r="AJ40" s="26" t="s">
        <v>109</v>
      </c>
      <c r="AK40" s="26" t="s">
        <v>78</v>
      </c>
      <c r="AL40" s="26" t="s">
        <v>64</v>
      </c>
      <c r="AM40" s="26" t="s">
        <v>65</v>
      </c>
      <c r="AN40" s="26" t="s">
        <v>82</v>
      </c>
      <c r="AO40" s="26" t="s">
        <v>67</v>
      </c>
      <c r="AP40" s="26" t="str">
        <f t="shared" si="23"/>
        <v>LLN0.Health.stVal</v>
      </c>
      <c r="AQ40" s="26" t="s">
        <v>63</v>
      </c>
      <c r="AR40" s="19">
        <v>0</v>
      </c>
      <c r="AS40" s="19">
        <v>0</v>
      </c>
      <c r="AT40" s="19">
        <v>0</v>
      </c>
      <c r="AU40" s="19">
        <v>0</v>
      </c>
      <c r="AV40" s="19">
        <f t="shared" si="24"/>
        <v>0</v>
      </c>
      <c r="AW40" s="19">
        <v>0</v>
      </c>
      <c r="AX40" s="19">
        <f t="shared" si="25"/>
        <v>0</v>
      </c>
      <c r="AY40" s="27"/>
      <c r="AZ40" s="19"/>
      <c r="BA40" s="19"/>
      <c r="BB40" s="19"/>
      <c r="BC40" s="19"/>
      <c r="BD40" s="19"/>
      <c r="BE40" s="19"/>
      <c r="BF40" s="19"/>
      <c r="BG40" s="11" t="str">
        <f t="shared" si="2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0" s="28"/>
    </row>
    <row r="41" spans="1:60" s="3" customFormat="1" x14ac:dyDescent="0.25">
      <c r="A41" s="69"/>
      <c r="B41" s="119" t="s">
        <v>491</v>
      </c>
      <c r="C41" s="70"/>
      <c r="D41" s="29" t="s">
        <v>336</v>
      </c>
      <c r="E41" s="68" t="s">
        <v>308</v>
      </c>
      <c r="F41" s="4" t="s">
        <v>309</v>
      </c>
      <c r="G41" s="4" t="s">
        <v>309</v>
      </c>
      <c r="H41" s="66"/>
      <c r="I41" s="68">
        <f t="shared" ref="I41:I44" si="27">LEN(F41)</f>
        <v>18</v>
      </c>
      <c r="J41" s="68" t="str">
        <f t="shared" si="22"/>
        <v>Повед. местн. упр.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0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 t="s">
        <v>367</v>
      </c>
      <c r="AJ41" s="64" t="s">
        <v>368</v>
      </c>
      <c r="AK41" s="64" t="s">
        <v>123</v>
      </c>
      <c r="AL41" s="64" t="s">
        <v>64</v>
      </c>
      <c r="AM41" s="64" t="s">
        <v>105</v>
      </c>
      <c r="AN41" s="64"/>
      <c r="AO41" s="64" t="s">
        <v>67</v>
      </c>
      <c r="AP41" s="64" t="str">
        <f t="shared" ref="AP41:AP50" si="28">CONCATENATE(AJ41, ".", AL41)</f>
        <v>CBCSWI1.Loc.stVal</v>
      </c>
      <c r="AQ41" s="64" t="s">
        <v>63</v>
      </c>
      <c r="AR41" s="70">
        <v>0</v>
      </c>
      <c r="AS41" s="70">
        <v>0</v>
      </c>
      <c r="AT41" s="70">
        <v>0</v>
      </c>
      <c r="AU41" s="70">
        <v>0</v>
      </c>
      <c r="AV41" s="70">
        <f t="shared" si="24"/>
        <v>0</v>
      </c>
      <c r="AW41" s="70">
        <v>0</v>
      </c>
      <c r="AX41" s="70">
        <f t="shared" si="25"/>
        <v>0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2" spans="1:60" s="3" customFormat="1" x14ac:dyDescent="0.25">
      <c r="A42" s="69"/>
      <c r="B42" s="119" t="s">
        <v>491</v>
      </c>
      <c r="C42" s="70"/>
      <c r="D42" s="29" t="s">
        <v>336</v>
      </c>
      <c r="E42" s="68" t="s">
        <v>310</v>
      </c>
      <c r="F42" s="4" t="s">
        <v>311</v>
      </c>
      <c r="G42" s="4" t="s">
        <v>311</v>
      </c>
      <c r="H42" s="66"/>
      <c r="I42" s="68">
        <f t="shared" si="27"/>
        <v>9</v>
      </c>
      <c r="J42" s="68" t="str">
        <f t="shared" si="22"/>
        <v>Ключ упр.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0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 t="s">
        <v>367</v>
      </c>
      <c r="AJ42" s="64" t="s">
        <v>369</v>
      </c>
      <c r="AK42" s="64" t="s">
        <v>123</v>
      </c>
      <c r="AL42" s="64" t="s">
        <v>64</v>
      </c>
      <c r="AM42" s="64" t="s">
        <v>105</v>
      </c>
      <c r="AN42" s="64"/>
      <c r="AO42" s="64" t="s">
        <v>67</v>
      </c>
      <c r="AP42" s="64" t="str">
        <f t="shared" si="28"/>
        <v>CBCSWI1.LocKey.stVal</v>
      </c>
      <c r="AQ42" s="64" t="s">
        <v>63</v>
      </c>
      <c r="AR42" s="70">
        <v>0</v>
      </c>
      <c r="AS42" s="70">
        <v>0</v>
      </c>
      <c r="AT42" s="70">
        <v>0</v>
      </c>
      <c r="AU42" s="70">
        <v>0</v>
      </c>
      <c r="AV42" s="70">
        <f t="shared" si="24"/>
        <v>0</v>
      </c>
      <c r="AW42" s="70">
        <v>0</v>
      </c>
      <c r="AX42" s="70">
        <f t="shared" si="25"/>
        <v>0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6"/>
        <v>description: "Ключ упр.", note: "Положение ключа режима управления", group: "status", minValue: null, maxValue: null, step: null, units: "null", defaultValue: null, eventRegistration: 0</v>
      </c>
    </row>
    <row r="43" spans="1:60" s="3" customFormat="1" x14ac:dyDescent="0.25">
      <c r="A43" s="69"/>
      <c r="B43" s="119" t="s">
        <v>491</v>
      </c>
      <c r="C43" s="70"/>
      <c r="D43" s="29" t="s">
        <v>336</v>
      </c>
      <c r="E43" s="68" t="s">
        <v>312</v>
      </c>
      <c r="F43" s="4" t="s">
        <v>313</v>
      </c>
      <c r="G43" s="4" t="s">
        <v>313</v>
      </c>
      <c r="H43" s="66"/>
      <c r="I43" s="68">
        <f t="shared" si="27"/>
        <v>18</v>
      </c>
      <c r="J43" s="68" t="str">
        <f t="shared" si="22"/>
        <v>Перекр. ур. станц.</v>
      </c>
      <c r="K43" s="71" t="s">
        <v>258</v>
      </c>
      <c r="L43" s="72" t="s">
        <v>54</v>
      </c>
      <c r="M43" s="73" t="s">
        <v>51</v>
      </c>
      <c r="N43" s="73" t="s">
        <v>52</v>
      </c>
      <c r="O43" s="73"/>
      <c r="P43" s="60"/>
      <c r="Q43" s="60"/>
      <c r="R43" s="73" t="s">
        <v>53</v>
      </c>
      <c r="S43" s="73" t="s">
        <v>53</v>
      </c>
      <c r="T43" s="73" t="s">
        <v>53</v>
      </c>
      <c r="U43" s="73" t="s">
        <v>53</v>
      </c>
      <c r="V43" s="70"/>
      <c r="W43" s="70"/>
      <c r="X43" s="73" t="s">
        <v>53</v>
      </c>
      <c r="Y43" s="73">
        <v>0</v>
      </c>
      <c r="Z43" s="70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367</v>
      </c>
      <c r="AJ43" s="64" t="s">
        <v>373</v>
      </c>
      <c r="AK43" s="64" t="s">
        <v>374</v>
      </c>
      <c r="AL43" s="64" t="s">
        <v>64</v>
      </c>
      <c r="AM43" s="64" t="s">
        <v>105</v>
      </c>
      <c r="AN43" s="64"/>
      <c r="AO43" s="64" t="s">
        <v>67</v>
      </c>
      <c r="AP43" s="64" t="str">
        <f t="shared" si="28"/>
        <v>CBCSWI1.LocSta.stVal</v>
      </c>
      <c r="AQ43" s="64" t="s">
        <v>63</v>
      </c>
      <c r="AR43" s="70">
        <v>0</v>
      </c>
      <c r="AS43" s="70">
        <v>0</v>
      </c>
      <c r="AT43" s="70">
        <v>0</v>
      </c>
      <c r="AU43" s="70">
        <v>0</v>
      </c>
      <c r="AV43" s="70">
        <f t="shared" si="24"/>
        <v>0</v>
      </c>
      <c r="AW43" s="70">
        <v>0</v>
      </c>
      <c r="AX43" s="70">
        <f t="shared" si="25"/>
        <v>0</v>
      </c>
      <c r="AY43" s="75"/>
      <c r="AZ43" s="70"/>
      <c r="BA43" s="70"/>
      <c r="BB43" s="70"/>
      <c r="BC43" s="70"/>
      <c r="BD43" s="70"/>
      <c r="BE43" s="70"/>
      <c r="BF43" s="70"/>
      <c r="BG43" s="74" t="str">
        <f t="shared" si="2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44" spans="1:60" s="3" customFormat="1" x14ac:dyDescent="0.25">
      <c r="A44" s="69"/>
      <c r="B44" s="119" t="s">
        <v>491</v>
      </c>
      <c r="C44" s="70"/>
      <c r="D44" s="29" t="s">
        <v>336</v>
      </c>
      <c r="E44" s="68" t="s">
        <v>314</v>
      </c>
      <c r="F44" s="4" t="s">
        <v>314</v>
      </c>
      <c r="G44" s="4" t="s">
        <v>314</v>
      </c>
      <c r="H44" s="66"/>
      <c r="I44" s="68">
        <f t="shared" si="27"/>
        <v>9</v>
      </c>
      <c r="J44" s="68" t="str">
        <f t="shared" si="22"/>
        <v>Положение</v>
      </c>
      <c r="K44" s="71" t="s">
        <v>259</v>
      </c>
      <c r="L44" s="72" t="s">
        <v>366</v>
      </c>
      <c r="M44" s="73" t="s">
        <v>51</v>
      </c>
      <c r="N44" s="73" t="s">
        <v>52</v>
      </c>
      <c r="O44" s="73"/>
      <c r="P44" s="60"/>
      <c r="Q44" s="60"/>
      <c r="R44" s="73" t="s">
        <v>53</v>
      </c>
      <c r="S44" s="73" t="s">
        <v>53</v>
      </c>
      <c r="T44" s="73" t="s">
        <v>53</v>
      </c>
      <c r="U44" s="73" t="s">
        <v>53</v>
      </c>
      <c r="V44" s="70"/>
      <c r="W44" s="70"/>
      <c r="X44" s="73" t="s">
        <v>53</v>
      </c>
      <c r="Y44" s="73">
        <v>0</v>
      </c>
      <c r="Z44" s="70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367</v>
      </c>
      <c r="AJ44" s="64" t="s">
        <v>375</v>
      </c>
      <c r="AK44" s="64" t="s">
        <v>376</v>
      </c>
      <c r="AL44" s="64" t="s">
        <v>64</v>
      </c>
      <c r="AM44" s="64" t="s">
        <v>65</v>
      </c>
      <c r="AN44" s="64" t="s">
        <v>377</v>
      </c>
      <c r="AO44" s="64" t="s">
        <v>67</v>
      </c>
      <c r="AP44" s="64" t="str">
        <f t="shared" si="28"/>
        <v>CBCSWI1.Pos.stVal</v>
      </c>
      <c r="AQ44" s="64" t="s">
        <v>63</v>
      </c>
      <c r="AR44" s="70">
        <v>0</v>
      </c>
      <c r="AS44" s="70">
        <v>0</v>
      </c>
      <c r="AT44" s="70">
        <v>0</v>
      </c>
      <c r="AU44" s="70">
        <v>0</v>
      </c>
      <c r="AV44" s="70">
        <f t="shared" si="24"/>
        <v>0</v>
      </c>
      <c r="AW44" s="70">
        <v>0</v>
      </c>
      <c r="AX44" s="70">
        <f t="shared" si="25"/>
        <v>0</v>
      </c>
      <c r="AY44" s="75"/>
      <c r="AZ44" s="70"/>
      <c r="BA44" s="70"/>
      <c r="BB44" s="70"/>
      <c r="BC44" s="70"/>
      <c r="BD44" s="70"/>
      <c r="BE44" s="70"/>
      <c r="BF44" s="70"/>
      <c r="BG44" s="74" t="str">
        <f t="shared" si="26"/>
        <v>description: "Положение", note: "Положение", group: "status", minValue: null, maxValue: null, step: null, units: "null", defaultValue: null, eventRegistration: 0</v>
      </c>
    </row>
    <row r="45" spans="1:60" s="14" customFormat="1" x14ac:dyDescent="0.25">
      <c r="A45" s="69"/>
      <c r="B45" s="119" t="s">
        <v>491</v>
      </c>
      <c r="C45" s="70"/>
      <c r="D45" s="29" t="s">
        <v>336</v>
      </c>
      <c r="E45" s="68" t="s">
        <v>342</v>
      </c>
      <c r="F45" s="68" t="s">
        <v>83</v>
      </c>
      <c r="G45" s="68" t="s">
        <v>83</v>
      </c>
      <c r="H45" s="70"/>
      <c r="I45" s="68">
        <v>9</v>
      </c>
      <c r="J45" s="68" t="str">
        <f>IF(LEN(F45)&lt;=$J$1,F45,"")</f>
        <v>Поведение</v>
      </c>
      <c r="K45" s="71" t="s">
        <v>344</v>
      </c>
      <c r="L45" s="72" t="s">
        <v>57</v>
      </c>
      <c r="M45" s="73" t="s">
        <v>51</v>
      </c>
      <c r="N45" s="73" t="s">
        <v>52</v>
      </c>
      <c r="O45" s="73"/>
      <c r="P45" s="70"/>
      <c r="Q45" s="7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0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367</v>
      </c>
      <c r="AJ45" s="64" t="s">
        <v>400</v>
      </c>
      <c r="AK45" s="64" t="s">
        <v>78</v>
      </c>
      <c r="AL45" s="64" t="s">
        <v>64</v>
      </c>
      <c r="AM45" s="64" t="s">
        <v>65</v>
      </c>
      <c r="AN45" s="64" t="s">
        <v>66</v>
      </c>
      <c r="AO45" s="64" t="s">
        <v>67</v>
      </c>
      <c r="AP45" s="64" t="str">
        <f t="shared" si="28"/>
        <v>CBCSWI1.Beh.stVal</v>
      </c>
      <c r="AQ45" s="64" t="s">
        <v>63</v>
      </c>
      <c r="AR45" s="70">
        <v>0</v>
      </c>
      <c r="AS45" s="70">
        <v>0</v>
      </c>
      <c r="AT45" s="70">
        <v>0</v>
      </c>
      <c r="AU45" s="70">
        <v>0</v>
      </c>
      <c r="AV45" s="70">
        <f>BIN2DEC(CONCATENATE(0,0,0,0,AR45,AS45,AT45,AU45))</f>
        <v>0</v>
      </c>
      <c r="AW45" s="70">
        <v>0</v>
      </c>
      <c r="AX45" s="70">
        <f>BIN2DEC(CONCATENATE(0,0,0,0,AT45,AU45,AV45,AW45))</f>
        <v>0</v>
      </c>
      <c r="AY45" s="75"/>
      <c r="AZ45" s="70"/>
      <c r="BA45" s="70"/>
      <c r="BB45" s="70"/>
      <c r="BC45" s="70"/>
      <c r="BD45" s="70"/>
      <c r="BE45" s="70"/>
      <c r="BF45" s="70"/>
      <c r="BG45" s="74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45" s="3"/>
    </row>
    <row r="46" spans="1:60" s="14" customFormat="1" x14ac:dyDescent="0.25">
      <c r="A46" s="69"/>
      <c r="B46" s="119" t="s">
        <v>491</v>
      </c>
      <c r="C46" s="70"/>
      <c r="D46" s="29" t="s">
        <v>336</v>
      </c>
      <c r="E46" s="68" t="s">
        <v>343</v>
      </c>
      <c r="F46" s="68" t="s">
        <v>84</v>
      </c>
      <c r="G46" s="68" t="s">
        <v>84</v>
      </c>
      <c r="H46" s="70"/>
      <c r="I46" s="68">
        <v>11</v>
      </c>
      <c r="J46" s="68" t="str">
        <f>IF(LEN(F46)&lt;=$J$1,F46,"")</f>
        <v>Исправность</v>
      </c>
      <c r="K46" s="71" t="s">
        <v>345</v>
      </c>
      <c r="L46" s="72" t="s">
        <v>57</v>
      </c>
      <c r="M46" s="73" t="s">
        <v>51</v>
      </c>
      <c r="N46" s="73" t="s">
        <v>52</v>
      </c>
      <c r="O46" s="73"/>
      <c r="P46" s="60"/>
      <c r="Q46" s="60"/>
      <c r="R46" s="73" t="s">
        <v>53</v>
      </c>
      <c r="S46" s="73" t="s">
        <v>53</v>
      </c>
      <c r="T46" s="73" t="s">
        <v>53</v>
      </c>
      <c r="U46" s="73" t="s">
        <v>53</v>
      </c>
      <c r="V46" s="70"/>
      <c r="W46" s="70"/>
      <c r="X46" s="73" t="s">
        <v>53</v>
      </c>
      <c r="Y46" s="73">
        <v>0</v>
      </c>
      <c r="Z46" s="70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 t="s">
        <v>367</v>
      </c>
      <c r="AJ46" s="64" t="s">
        <v>401</v>
      </c>
      <c r="AK46" s="64" t="s">
        <v>78</v>
      </c>
      <c r="AL46" s="64" t="s">
        <v>64</v>
      </c>
      <c r="AM46" s="64" t="s">
        <v>65</v>
      </c>
      <c r="AN46" s="64" t="s">
        <v>82</v>
      </c>
      <c r="AO46" s="64" t="s">
        <v>67</v>
      </c>
      <c r="AP46" s="64" t="str">
        <f t="shared" si="28"/>
        <v>CBCSWI1.Health.stVal</v>
      </c>
      <c r="AQ46" s="64" t="s">
        <v>63</v>
      </c>
      <c r="AR46" s="70">
        <v>0</v>
      </c>
      <c r="AS46" s="70">
        <v>0</v>
      </c>
      <c r="AT46" s="70">
        <v>0</v>
      </c>
      <c r="AU46" s="70">
        <v>0</v>
      </c>
      <c r="AV46" s="70">
        <f>BIN2DEC(CONCATENATE(0,0,0,0,AR46,AS46,AT46,AU46))</f>
        <v>0</v>
      </c>
      <c r="AW46" s="70">
        <v>0</v>
      </c>
      <c r="AX46" s="70">
        <f>BIN2DEC(CONCATENATE(0,0,0,0,AT46,AU46,AV46,AW46))</f>
        <v>0</v>
      </c>
      <c r="AY46" s="75"/>
      <c r="AZ46" s="70"/>
      <c r="BA46" s="70"/>
      <c r="BB46" s="70"/>
      <c r="BC46" s="70"/>
      <c r="BD46" s="70"/>
      <c r="BE46" s="70"/>
      <c r="BF46" s="70"/>
      <c r="BG46" s="7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46" s="3"/>
    </row>
    <row r="47" spans="1:60" s="28" customFormat="1" x14ac:dyDescent="0.25">
      <c r="A47" s="18"/>
      <c r="B47" s="119" t="s">
        <v>491</v>
      </c>
      <c r="C47" s="19"/>
      <c r="D47" s="10" t="s">
        <v>337</v>
      </c>
      <c r="E47" s="20" t="s">
        <v>308</v>
      </c>
      <c r="F47" s="97" t="s">
        <v>309</v>
      </c>
      <c r="G47" s="97" t="s">
        <v>309</v>
      </c>
      <c r="H47" s="31"/>
      <c r="I47" s="20">
        <f t="shared" ref="I47:I50" si="29">LEN(F47)</f>
        <v>18</v>
      </c>
      <c r="J47" s="20" t="str">
        <f t="shared" ref="J47:J50" si="30">IF(LEN(F47)&lt;=$J$1,F47,"")</f>
        <v>Повед. местн. упр.</v>
      </c>
      <c r="K47" s="21" t="s">
        <v>269</v>
      </c>
      <c r="L47" s="22" t="s">
        <v>54</v>
      </c>
      <c r="M47" s="23" t="s">
        <v>51</v>
      </c>
      <c r="N47" s="23" t="s">
        <v>52</v>
      </c>
      <c r="O47" s="23"/>
      <c r="P47" s="13"/>
      <c r="Q47" s="13"/>
      <c r="R47" s="23" t="s">
        <v>53</v>
      </c>
      <c r="S47" s="23" t="s">
        <v>53</v>
      </c>
      <c r="T47" s="23" t="s">
        <v>53</v>
      </c>
      <c r="U47" s="23" t="s">
        <v>53</v>
      </c>
      <c r="V47" s="19"/>
      <c r="W47" s="19"/>
      <c r="X47" s="2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378</v>
      </c>
      <c r="AJ47" s="26" t="s">
        <v>379</v>
      </c>
      <c r="AK47" s="26" t="s">
        <v>123</v>
      </c>
      <c r="AL47" s="26" t="s">
        <v>64</v>
      </c>
      <c r="AM47" s="26" t="s">
        <v>105</v>
      </c>
      <c r="AN47" s="26"/>
      <c r="AO47" s="26" t="s">
        <v>67</v>
      </c>
      <c r="AP47" s="26" t="str">
        <f t="shared" si="28"/>
        <v>WECSWI1.Loc.stVal</v>
      </c>
      <c r="AQ47" s="26" t="s">
        <v>63</v>
      </c>
      <c r="AR47" s="19">
        <v>0</v>
      </c>
      <c r="AS47" s="19">
        <v>0</v>
      </c>
      <c r="AT47" s="19">
        <v>0</v>
      </c>
      <c r="AU47" s="19">
        <v>0</v>
      </c>
      <c r="AV47" s="19">
        <f t="shared" ref="AV47:AV50" si="31">BIN2DEC(CONCATENATE(0,0,0,0,AR47,AS47,AT47,AU47))</f>
        <v>0</v>
      </c>
      <c r="AW47" s="19">
        <v>0</v>
      </c>
      <c r="AX47" s="19">
        <f t="shared" ref="AX47:AX58" si="32">BIN2DEC(CONCATENATE(0,0,0,0,AT47,AU47,AV47,AW47))</f>
        <v>0</v>
      </c>
      <c r="AY47" s="27"/>
      <c r="AZ47" s="19"/>
      <c r="BA47" s="19"/>
      <c r="BB47" s="19"/>
      <c r="BC47" s="19"/>
      <c r="BD47" s="19"/>
      <c r="BE47" s="19"/>
      <c r="BF47" s="19"/>
      <c r="BG47" s="11" t="str">
        <f t="shared" ref="BG47:BG50" si="3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8" spans="1:60" s="28" customFormat="1" x14ac:dyDescent="0.25">
      <c r="A48" s="18"/>
      <c r="B48" s="119" t="s">
        <v>491</v>
      </c>
      <c r="C48" s="19"/>
      <c r="D48" s="10" t="s">
        <v>337</v>
      </c>
      <c r="E48" s="20" t="s">
        <v>310</v>
      </c>
      <c r="F48" s="97" t="s">
        <v>311</v>
      </c>
      <c r="G48" s="97" t="s">
        <v>311</v>
      </c>
      <c r="H48" s="31"/>
      <c r="I48" s="20">
        <f t="shared" si="29"/>
        <v>9</v>
      </c>
      <c r="J48" s="20" t="str">
        <f t="shared" si="30"/>
        <v>Ключ упр.</v>
      </c>
      <c r="K48" s="21" t="s">
        <v>270</v>
      </c>
      <c r="L48" s="22" t="s">
        <v>54</v>
      </c>
      <c r="M48" s="23" t="s">
        <v>51</v>
      </c>
      <c r="N48" s="23" t="s">
        <v>52</v>
      </c>
      <c r="O48" s="23"/>
      <c r="P48" s="13"/>
      <c r="Q48" s="13"/>
      <c r="R48" s="23" t="s">
        <v>53</v>
      </c>
      <c r="S48" s="23" t="s">
        <v>53</v>
      </c>
      <c r="T48" s="23" t="s">
        <v>53</v>
      </c>
      <c r="U48" s="23" t="s">
        <v>53</v>
      </c>
      <c r="V48" s="19"/>
      <c r="W48" s="19"/>
      <c r="X48" s="2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 t="s">
        <v>378</v>
      </c>
      <c r="AJ48" s="26" t="s">
        <v>380</v>
      </c>
      <c r="AK48" s="26" t="s">
        <v>123</v>
      </c>
      <c r="AL48" s="26" t="s">
        <v>64</v>
      </c>
      <c r="AM48" s="26" t="s">
        <v>105</v>
      </c>
      <c r="AN48" s="26"/>
      <c r="AO48" s="26" t="s">
        <v>67</v>
      </c>
      <c r="AP48" s="26" t="str">
        <f t="shared" si="28"/>
        <v>WECSWI1.LocKey.stVal</v>
      </c>
      <c r="AQ48" s="26" t="s">
        <v>63</v>
      </c>
      <c r="AR48" s="19">
        <v>0</v>
      </c>
      <c r="AS48" s="19">
        <v>0</v>
      </c>
      <c r="AT48" s="19">
        <v>0</v>
      </c>
      <c r="AU48" s="19">
        <v>0</v>
      </c>
      <c r="AV48" s="19">
        <f t="shared" si="31"/>
        <v>0</v>
      </c>
      <c r="AW48" s="19">
        <v>0</v>
      </c>
      <c r="AX48" s="19">
        <f t="shared" si="32"/>
        <v>0</v>
      </c>
      <c r="AY48" s="27"/>
      <c r="AZ48" s="19"/>
      <c r="BA48" s="19"/>
      <c r="BB48" s="19"/>
      <c r="BC48" s="19"/>
      <c r="BD48" s="19"/>
      <c r="BE48" s="19"/>
      <c r="BF48" s="19"/>
      <c r="BG48" s="11" t="str">
        <f t="shared" si="33"/>
        <v>description: "Ключ упр.", note: "Положение ключа режима управления", group: "status", minValue: null, maxValue: null, step: null, units: "null", defaultValue: null, eventRegistration: 0</v>
      </c>
    </row>
    <row r="49" spans="1:60" s="28" customFormat="1" x14ac:dyDescent="0.25">
      <c r="A49" s="18"/>
      <c r="B49" s="119" t="s">
        <v>491</v>
      </c>
      <c r="C49" s="19"/>
      <c r="D49" s="10" t="s">
        <v>337</v>
      </c>
      <c r="E49" s="20" t="s">
        <v>312</v>
      </c>
      <c r="F49" s="97" t="s">
        <v>313</v>
      </c>
      <c r="G49" s="97" t="s">
        <v>313</v>
      </c>
      <c r="H49" s="31"/>
      <c r="I49" s="20">
        <f t="shared" si="29"/>
        <v>18</v>
      </c>
      <c r="J49" s="20" t="str">
        <f t="shared" si="30"/>
        <v>Перекр. ур. станц.</v>
      </c>
      <c r="K49" s="21" t="s">
        <v>271</v>
      </c>
      <c r="L49" s="22" t="s">
        <v>54</v>
      </c>
      <c r="M49" s="23" t="s">
        <v>51</v>
      </c>
      <c r="N49" s="23" t="s">
        <v>52</v>
      </c>
      <c r="O49" s="23"/>
      <c r="P49" s="13"/>
      <c r="Q49" s="13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378</v>
      </c>
      <c r="AJ49" s="26" t="s">
        <v>381</v>
      </c>
      <c r="AK49" s="26" t="s">
        <v>374</v>
      </c>
      <c r="AL49" s="26" t="s">
        <v>64</v>
      </c>
      <c r="AM49" s="26" t="s">
        <v>105</v>
      </c>
      <c r="AN49" s="26"/>
      <c r="AO49" s="26" t="s">
        <v>67</v>
      </c>
      <c r="AP49" s="26" t="str">
        <f t="shared" si="28"/>
        <v>WECSWI1.LocSta.stVal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si="31"/>
        <v>0</v>
      </c>
      <c r="AW49" s="19">
        <v>0</v>
      </c>
      <c r="AX49" s="19">
        <f t="shared" si="32"/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si="33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0" spans="1:60" s="28" customFormat="1" x14ac:dyDescent="0.25">
      <c r="A50" s="18"/>
      <c r="B50" s="119" t="s">
        <v>491</v>
      </c>
      <c r="C50" s="19"/>
      <c r="D50" s="10" t="s">
        <v>337</v>
      </c>
      <c r="E50" s="20" t="s">
        <v>314</v>
      </c>
      <c r="F50" s="97" t="s">
        <v>314</v>
      </c>
      <c r="G50" s="97" t="s">
        <v>314</v>
      </c>
      <c r="H50" s="31"/>
      <c r="I50" s="20">
        <f t="shared" si="29"/>
        <v>9</v>
      </c>
      <c r="J50" s="20" t="str">
        <f t="shared" si="30"/>
        <v>Положение</v>
      </c>
      <c r="K50" s="21" t="s">
        <v>272</v>
      </c>
      <c r="L50" s="22" t="s">
        <v>366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378</v>
      </c>
      <c r="AJ50" s="26" t="s">
        <v>382</v>
      </c>
      <c r="AK50" s="26" t="s">
        <v>376</v>
      </c>
      <c r="AL50" s="26" t="s">
        <v>64</v>
      </c>
      <c r="AM50" s="26" t="s">
        <v>65</v>
      </c>
      <c r="AN50" s="26" t="s">
        <v>377</v>
      </c>
      <c r="AO50" s="26" t="s">
        <v>67</v>
      </c>
      <c r="AP50" s="26" t="str">
        <f t="shared" si="28"/>
        <v>WECSWI1.Pos.stVal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1"/>
        <v>0</v>
      </c>
      <c r="AW50" s="19">
        <v>0</v>
      </c>
      <c r="AX50" s="19">
        <f t="shared" si="32"/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3"/>
        <v>description: "Положение", note: "Положение", group: "status", minValue: null, maxValue: null, step: null, units: "null", defaultValue: null, eventRegistration: 0</v>
      </c>
    </row>
    <row r="51" spans="1:60" s="12" customFormat="1" x14ac:dyDescent="0.25">
      <c r="A51" s="18"/>
      <c r="B51" s="119" t="s">
        <v>491</v>
      </c>
      <c r="C51" s="19"/>
      <c r="D51" s="10" t="s">
        <v>337</v>
      </c>
      <c r="E51" s="20" t="s">
        <v>346</v>
      </c>
      <c r="F51" s="20" t="s">
        <v>83</v>
      </c>
      <c r="G51" s="20" t="s">
        <v>83</v>
      </c>
      <c r="H51" s="19"/>
      <c r="I51" s="20">
        <v>9</v>
      </c>
      <c r="J51" s="20" t="str">
        <f t="shared" ref="J51:J56" si="34">IF(LEN(F51)&lt;=$J$1,F51,"")</f>
        <v>Поведение</v>
      </c>
      <c r="K51" s="21" t="s">
        <v>348</v>
      </c>
      <c r="L51" s="22" t="s">
        <v>57</v>
      </c>
      <c r="M51" s="23" t="s">
        <v>51</v>
      </c>
      <c r="N51" s="23" t="s">
        <v>52</v>
      </c>
      <c r="O51" s="23"/>
      <c r="P51" s="19"/>
      <c r="Q51" s="19"/>
      <c r="R51" s="23" t="s">
        <v>53</v>
      </c>
      <c r="S51" s="23" t="s">
        <v>53</v>
      </c>
      <c r="T51" s="23" t="s">
        <v>53</v>
      </c>
      <c r="U51" s="23" t="s">
        <v>53</v>
      </c>
      <c r="V51" s="19"/>
      <c r="W51" s="19"/>
      <c r="X51" s="23" t="s">
        <v>53</v>
      </c>
      <c r="Y51" s="23">
        <v>0</v>
      </c>
      <c r="Z51" s="19"/>
      <c r="AA51" s="24">
        <v>0</v>
      </c>
      <c r="AB51" s="24"/>
      <c r="AC51" s="24"/>
      <c r="AD51" s="24"/>
      <c r="AE51" s="24"/>
      <c r="AF51" s="24">
        <v>0</v>
      </c>
      <c r="AG51" s="24">
        <v>0</v>
      </c>
      <c r="AH51" s="24">
        <v>0</v>
      </c>
      <c r="AI51" s="25" t="s">
        <v>378</v>
      </c>
      <c r="AJ51" s="26" t="s">
        <v>402</v>
      </c>
      <c r="AK51" s="26" t="s">
        <v>78</v>
      </c>
      <c r="AL51" s="26" t="s">
        <v>64</v>
      </c>
      <c r="AM51" s="26" t="s">
        <v>65</v>
      </c>
      <c r="AN51" s="26" t="s">
        <v>66</v>
      </c>
      <c r="AO51" s="26" t="s">
        <v>67</v>
      </c>
      <c r="AP51" s="26" t="str">
        <f t="shared" ref="AP51:AP52" si="35">CONCATENATE(AJ51, ".", AL51)</f>
        <v>WECSWI1.Beh.stVal</v>
      </c>
      <c r="AQ51" s="26" t="s">
        <v>63</v>
      </c>
      <c r="AR51" s="19">
        <v>0</v>
      </c>
      <c r="AS51" s="19">
        <v>0</v>
      </c>
      <c r="AT51" s="19">
        <v>0</v>
      </c>
      <c r="AU51" s="19">
        <v>0</v>
      </c>
      <c r="AV51" s="19">
        <f t="shared" ref="AV51:AV56" si="36">BIN2DEC(CONCATENATE(0,0,0,0,AR51,AS51,AT51,AU51))</f>
        <v>0</v>
      </c>
      <c r="AW51" s="19">
        <v>0</v>
      </c>
      <c r="AX51" s="19">
        <f t="shared" si="32"/>
        <v>0</v>
      </c>
      <c r="AY51" s="27"/>
      <c r="AZ51" s="19"/>
      <c r="BA51" s="19"/>
      <c r="BB51" s="19"/>
      <c r="BC51" s="19"/>
      <c r="BD51" s="19"/>
      <c r="BE51" s="19"/>
      <c r="BF51" s="19"/>
      <c r="BG51" s="11" t="str">
        <f t="shared" ref="BG51:BG56" si="37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51" s="28"/>
    </row>
    <row r="52" spans="1:60" s="12" customFormat="1" x14ac:dyDescent="0.25">
      <c r="A52" s="18"/>
      <c r="B52" s="119" t="s">
        <v>491</v>
      </c>
      <c r="C52" s="19"/>
      <c r="D52" s="10" t="s">
        <v>337</v>
      </c>
      <c r="E52" s="20" t="s">
        <v>347</v>
      </c>
      <c r="F52" s="20" t="s">
        <v>84</v>
      </c>
      <c r="G52" s="20" t="s">
        <v>84</v>
      </c>
      <c r="H52" s="19"/>
      <c r="I52" s="20">
        <v>11</v>
      </c>
      <c r="J52" s="20" t="str">
        <f t="shared" si="34"/>
        <v>Исправность</v>
      </c>
      <c r="K52" s="21" t="s">
        <v>349</v>
      </c>
      <c r="L52" s="22" t="s">
        <v>57</v>
      </c>
      <c r="M52" s="23" t="s">
        <v>51</v>
      </c>
      <c r="N52" s="23" t="s">
        <v>52</v>
      </c>
      <c r="O52" s="23"/>
      <c r="P52" s="13"/>
      <c r="Q52" s="13"/>
      <c r="R52" s="23" t="s">
        <v>53</v>
      </c>
      <c r="S52" s="23" t="s">
        <v>53</v>
      </c>
      <c r="T52" s="23" t="s">
        <v>53</v>
      </c>
      <c r="U52" s="23" t="s">
        <v>53</v>
      </c>
      <c r="V52" s="19"/>
      <c r="W52" s="19"/>
      <c r="X52" s="23" t="s">
        <v>53</v>
      </c>
      <c r="Y52" s="23">
        <v>0</v>
      </c>
      <c r="Z52" s="19"/>
      <c r="AA52" s="24">
        <v>0</v>
      </c>
      <c r="AB52" s="24"/>
      <c r="AC52" s="24"/>
      <c r="AD52" s="24"/>
      <c r="AE52" s="24"/>
      <c r="AF52" s="24">
        <v>0</v>
      </c>
      <c r="AG52" s="24">
        <v>0</v>
      </c>
      <c r="AH52" s="24">
        <v>0</v>
      </c>
      <c r="AI52" s="25" t="s">
        <v>378</v>
      </c>
      <c r="AJ52" s="26" t="s">
        <v>403</v>
      </c>
      <c r="AK52" s="26" t="s">
        <v>78</v>
      </c>
      <c r="AL52" s="26" t="s">
        <v>64</v>
      </c>
      <c r="AM52" s="26" t="s">
        <v>65</v>
      </c>
      <c r="AN52" s="26" t="s">
        <v>82</v>
      </c>
      <c r="AO52" s="26" t="s">
        <v>67</v>
      </c>
      <c r="AP52" s="26" t="str">
        <f t="shared" si="35"/>
        <v>WECSWI1.Health.stVal</v>
      </c>
      <c r="AQ52" s="26" t="s">
        <v>63</v>
      </c>
      <c r="AR52" s="19">
        <v>0</v>
      </c>
      <c r="AS52" s="19">
        <v>0</v>
      </c>
      <c r="AT52" s="19">
        <v>0</v>
      </c>
      <c r="AU52" s="19">
        <v>0</v>
      </c>
      <c r="AV52" s="19">
        <f t="shared" si="36"/>
        <v>0</v>
      </c>
      <c r="AW52" s="19">
        <v>0</v>
      </c>
      <c r="AX52" s="19">
        <f t="shared" si="32"/>
        <v>0</v>
      </c>
      <c r="AY52" s="27"/>
      <c r="AZ52" s="19"/>
      <c r="BA52" s="19"/>
      <c r="BB52" s="19"/>
      <c r="BC52" s="19"/>
      <c r="BD52" s="19"/>
      <c r="BE52" s="19"/>
      <c r="BF52" s="19"/>
      <c r="BG52" s="11" t="str">
        <f t="shared" si="37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52" s="28"/>
    </row>
    <row r="53" spans="1:60" s="3" customFormat="1" x14ac:dyDescent="0.25">
      <c r="A53" s="69"/>
      <c r="B53" s="119" t="s">
        <v>491</v>
      </c>
      <c r="C53" s="70"/>
      <c r="D53" s="29" t="s">
        <v>338</v>
      </c>
      <c r="E53" s="68" t="s">
        <v>308</v>
      </c>
      <c r="F53" s="4" t="s">
        <v>309</v>
      </c>
      <c r="G53" s="4" t="s">
        <v>309</v>
      </c>
      <c r="H53" s="66"/>
      <c r="I53" s="68">
        <f>LEN(F53)</f>
        <v>18</v>
      </c>
      <c r="J53" s="68" t="str">
        <f t="shared" si="34"/>
        <v>Повед. местн. упр.</v>
      </c>
      <c r="K53" s="71" t="s">
        <v>282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378</v>
      </c>
      <c r="AJ53" s="64" t="s">
        <v>386</v>
      </c>
      <c r="AK53" s="64" t="s">
        <v>123</v>
      </c>
      <c r="AL53" s="64" t="s">
        <v>64</v>
      </c>
      <c r="AM53" s="64" t="s">
        <v>105</v>
      </c>
      <c r="AN53" s="64"/>
      <c r="AO53" s="64" t="s">
        <v>67</v>
      </c>
      <c r="AP53" s="64" t="str">
        <f>CONCATENATE(AJ53, ".", AL53)</f>
        <v>ESCSWI1.Loc.stVal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6"/>
        <v>0</v>
      </c>
      <c r="AW53" s="70">
        <v>0</v>
      </c>
      <c r="AX53" s="70">
        <f t="shared" si="32"/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4" spans="1:60" s="3" customFormat="1" x14ac:dyDescent="0.25">
      <c r="A54" s="69"/>
      <c r="B54" s="119" t="s">
        <v>491</v>
      </c>
      <c r="C54" s="70"/>
      <c r="D54" s="29" t="s">
        <v>338</v>
      </c>
      <c r="E54" s="68" t="s">
        <v>310</v>
      </c>
      <c r="F54" s="4" t="s">
        <v>311</v>
      </c>
      <c r="G54" s="4" t="s">
        <v>311</v>
      </c>
      <c r="H54" s="66"/>
      <c r="I54" s="68">
        <f>LEN(F54)</f>
        <v>9</v>
      </c>
      <c r="J54" s="68" t="str">
        <f t="shared" si="34"/>
        <v>Ключ упр.</v>
      </c>
      <c r="K54" s="71" t="s">
        <v>283</v>
      </c>
      <c r="L54" s="72" t="s">
        <v>54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378</v>
      </c>
      <c r="AJ54" s="64" t="s">
        <v>387</v>
      </c>
      <c r="AK54" s="64" t="s">
        <v>123</v>
      </c>
      <c r="AL54" s="64" t="s">
        <v>64</v>
      </c>
      <c r="AM54" s="64" t="s">
        <v>105</v>
      </c>
      <c r="AN54" s="64"/>
      <c r="AO54" s="64" t="s">
        <v>67</v>
      </c>
      <c r="AP54" s="64" t="str">
        <f>CONCATENATE(AJ54, ".", AL54)</f>
        <v>ESCSWI1.LocKey.stVal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6"/>
        <v>0</v>
      </c>
      <c r="AW54" s="70">
        <v>0</v>
      </c>
      <c r="AX54" s="70">
        <f t="shared" si="32"/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7"/>
        <v>description: "Ключ упр.", note: "Положение ключа режима управления", group: "status", minValue: null, maxValue: null, step: null, units: "null", defaultValue: null, eventRegistration: 0</v>
      </c>
    </row>
    <row r="55" spans="1:60" s="3" customFormat="1" x14ac:dyDescent="0.25">
      <c r="A55" s="69"/>
      <c r="B55" s="119" t="s">
        <v>491</v>
      </c>
      <c r="C55" s="70"/>
      <c r="D55" s="29" t="s">
        <v>338</v>
      </c>
      <c r="E55" s="68" t="s">
        <v>312</v>
      </c>
      <c r="F55" s="4" t="s">
        <v>313</v>
      </c>
      <c r="G55" s="4" t="s">
        <v>313</v>
      </c>
      <c r="H55" s="66"/>
      <c r="I55" s="68">
        <f>LEN(F55)</f>
        <v>18</v>
      </c>
      <c r="J55" s="68" t="str">
        <f t="shared" si="34"/>
        <v>Перекр. ур. станц.</v>
      </c>
      <c r="K55" s="71" t="s">
        <v>284</v>
      </c>
      <c r="L55" s="72" t="s">
        <v>54</v>
      </c>
      <c r="M55" s="73" t="s">
        <v>51</v>
      </c>
      <c r="N55" s="73" t="s">
        <v>52</v>
      </c>
      <c r="O55" s="73"/>
      <c r="P55" s="60"/>
      <c r="Q55" s="6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378</v>
      </c>
      <c r="AJ55" s="64" t="s">
        <v>388</v>
      </c>
      <c r="AK55" s="64" t="s">
        <v>374</v>
      </c>
      <c r="AL55" s="64" t="s">
        <v>64</v>
      </c>
      <c r="AM55" s="64" t="s">
        <v>105</v>
      </c>
      <c r="AN55" s="64"/>
      <c r="AO55" s="64" t="s">
        <v>67</v>
      </c>
      <c r="AP55" s="64" t="str">
        <f>CONCATENATE(AJ55, ".", AL55)</f>
        <v>ESCSWI1.LocSta.stVal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 t="shared" si="36"/>
        <v>0</v>
      </c>
      <c r="AW55" s="70">
        <v>0</v>
      </c>
      <c r="AX55" s="70">
        <f t="shared" si="32"/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 t="shared" si="3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6" spans="1:60" s="3" customFormat="1" x14ac:dyDescent="0.25">
      <c r="A56" s="69"/>
      <c r="B56" s="119" t="s">
        <v>491</v>
      </c>
      <c r="C56" s="70"/>
      <c r="D56" s="29" t="s">
        <v>338</v>
      </c>
      <c r="E56" s="68" t="s">
        <v>314</v>
      </c>
      <c r="F56" s="4" t="s">
        <v>314</v>
      </c>
      <c r="G56" s="4" t="s">
        <v>314</v>
      </c>
      <c r="H56" s="66"/>
      <c r="I56" s="68">
        <f>LEN(F56)</f>
        <v>9</v>
      </c>
      <c r="J56" s="68" t="str">
        <f t="shared" si="34"/>
        <v>Положение</v>
      </c>
      <c r="K56" s="71" t="s">
        <v>285</v>
      </c>
      <c r="L56" s="72" t="s">
        <v>366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378</v>
      </c>
      <c r="AJ56" s="64" t="s">
        <v>389</v>
      </c>
      <c r="AK56" s="64" t="s">
        <v>376</v>
      </c>
      <c r="AL56" s="64" t="s">
        <v>64</v>
      </c>
      <c r="AM56" s="64" t="s">
        <v>65</v>
      </c>
      <c r="AN56" s="64" t="s">
        <v>377</v>
      </c>
      <c r="AO56" s="64" t="s">
        <v>67</v>
      </c>
      <c r="AP56" s="64" t="str">
        <f>CONCATENATE(AJ56, ".", AL56)</f>
        <v>ESCSWI1.Pos.stVal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 t="shared" si="36"/>
        <v>0</v>
      </c>
      <c r="AW56" s="70">
        <v>0</v>
      </c>
      <c r="AX56" s="70">
        <f t="shared" si="32"/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 t="shared" si="37"/>
        <v>description: "Положение", note: "Положение", group: "status", minValue: null, maxValue: null, step: null, units: "null", defaultValue: null, eventRegistration: 0</v>
      </c>
    </row>
    <row r="57" spans="1:60" s="15" customFormat="1" x14ac:dyDescent="0.25">
      <c r="A57" s="69"/>
      <c r="B57" s="119" t="s">
        <v>491</v>
      </c>
      <c r="C57" s="70"/>
      <c r="D57" s="29" t="s">
        <v>338</v>
      </c>
      <c r="E57" s="68" t="s">
        <v>350</v>
      </c>
      <c r="F57" s="68" t="s">
        <v>83</v>
      </c>
      <c r="G57" s="68" t="s">
        <v>83</v>
      </c>
      <c r="H57" s="70"/>
      <c r="I57" s="68">
        <v>9</v>
      </c>
      <c r="J57" s="68" t="str">
        <f t="shared" ref="J57:J62" si="38">IF(LEN(F57)&lt;=$J$1,F57,"")</f>
        <v>Поведение</v>
      </c>
      <c r="K57" s="71" t="s">
        <v>352</v>
      </c>
      <c r="L57" s="72" t="s">
        <v>57</v>
      </c>
      <c r="M57" s="73" t="s">
        <v>51</v>
      </c>
      <c r="N57" s="73" t="s">
        <v>52</v>
      </c>
      <c r="O57" s="73"/>
      <c r="P57" s="70"/>
      <c r="Q57" s="70"/>
      <c r="R57" s="73" t="s">
        <v>53</v>
      </c>
      <c r="S57" s="73" t="s">
        <v>53</v>
      </c>
      <c r="T57" s="73" t="s">
        <v>53</v>
      </c>
      <c r="U57" s="73" t="s">
        <v>53</v>
      </c>
      <c r="V57" s="70"/>
      <c r="W57" s="70"/>
      <c r="X57" s="73" t="s">
        <v>53</v>
      </c>
      <c r="Y57" s="73">
        <v>0</v>
      </c>
      <c r="Z57" s="70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 t="s">
        <v>378</v>
      </c>
      <c r="AJ57" s="64" t="s">
        <v>404</v>
      </c>
      <c r="AK57" s="64" t="s">
        <v>78</v>
      </c>
      <c r="AL57" s="64" t="s">
        <v>64</v>
      </c>
      <c r="AM57" s="64" t="s">
        <v>65</v>
      </c>
      <c r="AN57" s="64" t="s">
        <v>66</v>
      </c>
      <c r="AO57" s="64" t="s">
        <v>67</v>
      </c>
      <c r="AP57" s="64" t="str">
        <f t="shared" ref="AP57:AP62" si="39">CONCATENATE(AJ57, ".", AL57)</f>
        <v>ESCSWI1.Beh.stVal</v>
      </c>
      <c r="AQ57" s="64" t="s">
        <v>63</v>
      </c>
      <c r="AR57" s="70">
        <v>0</v>
      </c>
      <c r="AS57" s="70">
        <v>0</v>
      </c>
      <c r="AT57" s="70">
        <v>0</v>
      </c>
      <c r="AU57" s="70">
        <v>0</v>
      </c>
      <c r="AV57" s="70">
        <f t="shared" ref="AV57:AV62" si="40">BIN2DEC(CONCATENATE(0,0,0,0,AR57,AS57,AT57,AU57))</f>
        <v>0</v>
      </c>
      <c r="AW57" s="70">
        <v>0</v>
      </c>
      <c r="AX57" s="70">
        <f t="shared" si="32"/>
        <v>0</v>
      </c>
      <c r="AY57" s="75"/>
      <c r="AZ57" s="70"/>
      <c r="BA57" s="70"/>
      <c r="BB57" s="70"/>
      <c r="BC57" s="70"/>
      <c r="BD57" s="70"/>
      <c r="BE57" s="70"/>
      <c r="BF57" s="70"/>
      <c r="BG57" s="74" t="str">
        <f t="shared" ref="BG57:BG62" si="41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57" s="3"/>
    </row>
    <row r="58" spans="1:60" s="15" customFormat="1" x14ac:dyDescent="0.25">
      <c r="A58" s="69"/>
      <c r="B58" s="119" t="s">
        <v>491</v>
      </c>
      <c r="C58" s="70"/>
      <c r="D58" s="29" t="s">
        <v>338</v>
      </c>
      <c r="E58" s="68" t="s">
        <v>351</v>
      </c>
      <c r="F58" s="68" t="s">
        <v>84</v>
      </c>
      <c r="G58" s="68" t="s">
        <v>84</v>
      </c>
      <c r="H58" s="70"/>
      <c r="I58" s="68">
        <v>11</v>
      </c>
      <c r="J58" s="68" t="str">
        <f t="shared" si="38"/>
        <v>Исправность</v>
      </c>
      <c r="K58" s="71" t="s">
        <v>353</v>
      </c>
      <c r="L58" s="72" t="s">
        <v>57</v>
      </c>
      <c r="M58" s="73" t="s">
        <v>51</v>
      </c>
      <c r="N58" s="73" t="s">
        <v>52</v>
      </c>
      <c r="O58" s="73"/>
      <c r="P58" s="60"/>
      <c r="Q58" s="60"/>
      <c r="R58" s="73" t="s">
        <v>53</v>
      </c>
      <c r="S58" s="73" t="s">
        <v>53</v>
      </c>
      <c r="T58" s="73" t="s">
        <v>53</v>
      </c>
      <c r="U58" s="73" t="s">
        <v>53</v>
      </c>
      <c r="V58" s="70"/>
      <c r="W58" s="70"/>
      <c r="X58" s="73" t="s">
        <v>53</v>
      </c>
      <c r="Y58" s="73">
        <v>0</v>
      </c>
      <c r="Z58" s="70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 t="s">
        <v>378</v>
      </c>
      <c r="AJ58" s="64" t="s">
        <v>405</v>
      </c>
      <c r="AK58" s="64" t="s">
        <v>78</v>
      </c>
      <c r="AL58" s="64" t="s">
        <v>64</v>
      </c>
      <c r="AM58" s="64" t="s">
        <v>65</v>
      </c>
      <c r="AN58" s="64" t="s">
        <v>82</v>
      </c>
      <c r="AO58" s="64" t="s">
        <v>67</v>
      </c>
      <c r="AP58" s="64" t="str">
        <f t="shared" si="39"/>
        <v>ESCSWI1.Health.stVal</v>
      </c>
      <c r="AQ58" s="64" t="s">
        <v>63</v>
      </c>
      <c r="AR58" s="70">
        <v>0</v>
      </c>
      <c r="AS58" s="70">
        <v>0</v>
      </c>
      <c r="AT58" s="70">
        <v>0</v>
      </c>
      <c r="AU58" s="70">
        <v>0</v>
      </c>
      <c r="AV58" s="70">
        <f t="shared" si="40"/>
        <v>0</v>
      </c>
      <c r="AW58" s="70">
        <v>0</v>
      </c>
      <c r="AX58" s="70">
        <f t="shared" si="32"/>
        <v>0</v>
      </c>
      <c r="AY58" s="75"/>
      <c r="AZ58" s="70"/>
      <c r="BA58" s="70"/>
      <c r="BB58" s="70"/>
      <c r="BC58" s="70"/>
      <c r="BD58" s="70"/>
      <c r="BE58" s="70"/>
      <c r="BF58" s="70"/>
      <c r="BG58" s="74" t="str">
        <f t="shared" si="41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58" s="3"/>
    </row>
    <row r="59" spans="1:60" s="12" customFormat="1" x14ac:dyDescent="0.25">
      <c r="A59" s="18"/>
      <c r="B59" s="119" t="s">
        <v>491</v>
      </c>
      <c r="C59" s="19"/>
      <c r="D59" s="10" t="s">
        <v>340</v>
      </c>
      <c r="E59" s="20" t="s">
        <v>358</v>
      </c>
      <c r="F59" s="20" t="s">
        <v>83</v>
      </c>
      <c r="G59" s="20" t="s">
        <v>83</v>
      </c>
      <c r="H59" s="19"/>
      <c r="I59" s="20">
        <v>9</v>
      </c>
      <c r="J59" s="20" t="str">
        <f>IF(LEN(F59)&lt;=$J$1,F59,"")</f>
        <v>Поведение</v>
      </c>
      <c r="K59" s="21" t="s">
        <v>362</v>
      </c>
      <c r="L59" s="22" t="s">
        <v>57</v>
      </c>
      <c r="M59" s="23" t="s">
        <v>51</v>
      </c>
      <c r="N59" s="23" t="s">
        <v>52</v>
      </c>
      <c r="O59" s="23"/>
      <c r="P59" s="19"/>
      <c r="Q59" s="19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394</v>
      </c>
      <c r="AJ59" s="26" t="s">
        <v>408</v>
      </c>
      <c r="AK59" s="26" t="s">
        <v>78</v>
      </c>
      <c r="AL59" s="26" t="s">
        <v>64</v>
      </c>
      <c r="AM59" s="26" t="s">
        <v>65</v>
      </c>
      <c r="AN59" s="26" t="s">
        <v>66</v>
      </c>
      <c r="AO59" s="26" t="s">
        <v>67</v>
      </c>
      <c r="AP59" s="26" t="str">
        <f>CONCATENATE(AJ59, ".", AL59)</f>
        <v>CBCILO1.Beh.stVal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>BIN2DEC(CONCATENATE(0,0,0,0,AR59,AS59,AT59,AU59))</f>
        <v>0</v>
      </c>
      <c r="AW59" s="19">
        <v>0</v>
      </c>
      <c r="AX59" s="19">
        <f>BIN2DEC(CONCATENATE(0,0,0,0,AT59,AU59,AV59,AW59))</f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59" s="28"/>
    </row>
    <row r="60" spans="1:60" s="12" customFormat="1" x14ac:dyDescent="0.25">
      <c r="A60" s="18"/>
      <c r="B60" s="119" t="s">
        <v>491</v>
      </c>
      <c r="C60" s="19"/>
      <c r="D60" s="10" t="s">
        <v>340</v>
      </c>
      <c r="E60" s="20" t="s">
        <v>359</v>
      </c>
      <c r="F60" s="20" t="s">
        <v>84</v>
      </c>
      <c r="G60" s="20" t="s">
        <v>84</v>
      </c>
      <c r="H60" s="19"/>
      <c r="I60" s="20">
        <v>11</v>
      </c>
      <c r="J60" s="20" t="str">
        <f>IF(LEN(F60)&lt;=$J$1,F60,"")</f>
        <v>Исправность</v>
      </c>
      <c r="K60" s="21" t="s">
        <v>363</v>
      </c>
      <c r="L60" s="22" t="s">
        <v>57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394</v>
      </c>
      <c r="AJ60" s="26" t="s">
        <v>409</v>
      </c>
      <c r="AK60" s="26" t="s">
        <v>78</v>
      </c>
      <c r="AL60" s="26" t="s">
        <v>64</v>
      </c>
      <c r="AM60" s="26" t="s">
        <v>65</v>
      </c>
      <c r="AN60" s="26" t="s">
        <v>82</v>
      </c>
      <c r="AO60" s="26" t="s">
        <v>67</v>
      </c>
      <c r="AP60" s="26" t="str">
        <f>CONCATENATE(AJ60, ".", AL60)</f>
        <v>CBCILO1.Health.stVal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>BIN2DEC(CONCATENATE(0,0,0,0,AR60,AS60,AT60,AU60))</f>
        <v>0</v>
      </c>
      <c r="AW60" s="19">
        <v>0</v>
      </c>
      <c r="AX60" s="19">
        <f>BIN2DEC(CONCATENATE(0,0,0,0,AT60,AU60,AV60,AW60))</f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60" s="28"/>
    </row>
    <row r="61" spans="1:60" s="15" customFormat="1" x14ac:dyDescent="0.25">
      <c r="A61" s="69"/>
      <c r="B61" s="119" t="s">
        <v>491</v>
      </c>
      <c r="C61" s="70"/>
      <c r="D61" s="29" t="s">
        <v>339</v>
      </c>
      <c r="E61" s="68" t="s">
        <v>354</v>
      </c>
      <c r="F61" s="68" t="s">
        <v>83</v>
      </c>
      <c r="G61" s="68" t="s">
        <v>83</v>
      </c>
      <c r="H61" s="70"/>
      <c r="I61" s="68">
        <v>9</v>
      </c>
      <c r="J61" s="68" t="str">
        <f t="shared" si="38"/>
        <v>Поведение</v>
      </c>
      <c r="K61" s="71" t="s">
        <v>356</v>
      </c>
      <c r="L61" s="72" t="s">
        <v>57</v>
      </c>
      <c r="M61" s="73" t="s">
        <v>51</v>
      </c>
      <c r="N61" s="73" t="s">
        <v>52</v>
      </c>
      <c r="O61" s="73"/>
      <c r="P61" s="70"/>
      <c r="Q61" s="70"/>
      <c r="R61" s="73" t="s">
        <v>53</v>
      </c>
      <c r="S61" s="73" t="s">
        <v>53</v>
      </c>
      <c r="T61" s="73" t="s">
        <v>53</v>
      </c>
      <c r="U61" s="73" t="s">
        <v>53</v>
      </c>
      <c r="V61" s="70"/>
      <c r="W61" s="70"/>
      <c r="X61" s="73" t="s">
        <v>53</v>
      </c>
      <c r="Y61" s="73">
        <v>0</v>
      </c>
      <c r="Z61" s="70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6" t="s">
        <v>393</v>
      </c>
      <c r="AJ61" s="64" t="s">
        <v>406</v>
      </c>
      <c r="AK61" s="64" t="s">
        <v>78</v>
      </c>
      <c r="AL61" s="64" t="s">
        <v>64</v>
      </c>
      <c r="AM61" s="64" t="s">
        <v>65</v>
      </c>
      <c r="AN61" s="64" t="s">
        <v>66</v>
      </c>
      <c r="AO61" s="64" t="s">
        <v>67</v>
      </c>
      <c r="AP61" s="64" t="str">
        <f t="shared" si="39"/>
        <v>WECILO1.Beh.stVal</v>
      </c>
      <c r="AQ61" s="64" t="s">
        <v>63</v>
      </c>
      <c r="AR61" s="70">
        <v>0</v>
      </c>
      <c r="AS61" s="70">
        <v>0</v>
      </c>
      <c r="AT61" s="70">
        <v>0</v>
      </c>
      <c r="AU61" s="70">
        <v>0</v>
      </c>
      <c r="AV61" s="70">
        <f t="shared" si="40"/>
        <v>0</v>
      </c>
      <c r="AW61" s="70">
        <v>0</v>
      </c>
      <c r="AX61" s="70">
        <f t="shared" ref="AX61:AX64" si="42">BIN2DEC(CONCATENATE(0,0,0,0,AT61,AU61,AV61,AW61))</f>
        <v>0</v>
      </c>
      <c r="AY61" s="75"/>
      <c r="AZ61" s="70"/>
      <c r="BA61" s="70"/>
      <c r="BB61" s="70"/>
      <c r="BC61" s="70"/>
      <c r="BD61" s="70"/>
      <c r="BE61" s="70"/>
      <c r="BF61" s="70"/>
      <c r="BG61" s="74" t="str">
        <f t="shared" si="41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61" s="3"/>
    </row>
    <row r="62" spans="1:60" s="15" customFormat="1" x14ac:dyDescent="0.25">
      <c r="A62" s="69"/>
      <c r="B62" s="119" t="s">
        <v>491</v>
      </c>
      <c r="C62" s="70"/>
      <c r="D62" s="29" t="s">
        <v>339</v>
      </c>
      <c r="E62" s="68" t="s">
        <v>355</v>
      </c>
      <c r="F62" s="68" t="s">
        <v>84</v>
      </c>
      <c r="G62" s="68" t="s">
        <v>84</v>
      </c>
      <c r="H62" s="70"/>
      <c r="I62" s="68">
        <v>11</v>
      </c>
      <c r="J62" s="68" t="str">
        <f t="shared" si="38"/>
        <v>Исправность</v>
      </c>
      <c r="K62" s="71" t="s">
        <v>357</v>
      </c>
      <c r="L62" s="72" t="s">
        <v>57</v>
      </c>
      <c r="M62" s="73" t="s">
        <v>51</v>
      </c>
      <c r="N62" s="73" t="s">
        <v>52</v>
      </c>
      <c r="O62" s="73"/>
      <c r="P62" s="60"/>
      <c r="Q62" s="60"/>
      <c r="R62" s="73" t="s">
        <v>53</v>
      </c>
      <c r="S62" s="73" t="s">
        <v>53</v>
      </c>
      <c r="T62" s="73" t="s">
        <v>53</v>
      </c>
      <c r="U62" s="73" t="s">
        <v>53</v>
      </c>
      <c r="V62" s="70"/>
      <c r="W62" s="70"/>
      <c r="X62" s="73" t="s">
        <v>53</v>
      </c>
      <c r="Y62" s="73">
        <v>0</v>
      </c>
      <c r="Z62" s="70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6" t="s">
        <v>393</v>
      </c>
      <c r="AJ62" s="64" t="s">
        <v>407</v>
      </c>
      <c r="AK62" s="64" t="s">
        <v>78</v>
      </c>
      <c r="AL62" s="64" t="s">
        <v>64</v>
      </c>
      <c r="AM62" s="64" t="s">
        <v>65</v>
      </c>
      <c r="AN62" s="64" t="s">
        <v>82</v>
      </c>
      <c r="AO62" s="64" t="s">
        <v>67</v>
      </c>
      <c r="AP62" s="64" t="str">
        <f t="shared" si="39"/>
        <v>WECILO1.Health.stVal</v>
      </c>
      <c r="AQ62" s="64" t="s">
        <v>63</v>
      </c>
      <c r="AR62" s="70">
        <v>0</v>
      </c>
      <c r="AS62" s="70">
        <v>0</v>
      </c>
      <c r="AT62" s="70">
        <v>0</v>
      </c>
      <c r="AU62" s="70">
        <v>0</v>
      </c>
      <c r="AV62" s="70">
        <f t="shared" si="40"/>
        <v>0</v>
      </c>
      <c r="AW62" s="70">
        <v>0</v>
      </c>
      <c r="AX62" s="70">
        <f t="shared" si="42"/>
        <v>0</v>
      </c>
      <c r="AY62" s="75"/>
      <c r="AZ62" s="70"/>
      <c r="BA62" s="70"/>
      <c r="BB62" s="70"/>
      <c r="BC62" s="70"/>
      <c r="BD62" s="70"/>
      <c r="BE62" s="70"/>
      <c r="BF62" s="70"/>
      <c r="BG62" s="74" t="str">
        <f t="shared" si="41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62" s="3"/>
    </row>
    <row r="63" spans="1:60" s="12" customFormat="1" x14ac:dyDescent="0.25">
      <c r="A63" s="18"/>
      <c r="B63" s="119" t="s">
        <v>491</v>
      </c>
      <c r="C63" s="19"/>
      <c r="D63" s="10" t="s">
        <v>341</v>
      </c>
      <c r="E63" s="20" t="s">
        <v>360</v>
      </c>
      <c r="F63" s="20" t="s">
        <v>83</v>
      </c>
      <c r="G63" s="20" t="s">
        <v>83</v>
      </c>
      <c r="H63" s="19"/>
      <c r="I63" s="20">
        <v>9</v>
      </c>
      <c r="J63" s="20" t="str">
        <f t="shared" ref="J63:J64" si="43">IF(LEN(F63)&lt;=$J$1,F63,"")</f>
        <v>Поведение</v>
      </c>
      <c r="K63" s="21" t="s">
        <v>364</v>
      </c>
      <c r="L63" s="22" t="s">
        <v>57</v>
      </c>
      <c r="M63" s="23" t="s">
        <v>51</v>
      </c>
      <c r="N63" s="23" t="s">
        <v>52</v>
      </c>
      <c r="O63" s="23"/>
      <c r="P63" s="19"/>
      <c r="Q63" s="19"/>
      <c r="R63" s="23" t="s">
        <v>53</v>
      </c>
      <c r="S63" s="23" t="s">
        <v>53</v>
      </c>
      <c r="T63" s="23" t="s">
        <v>53</v>
      </c>
      <c r="U63" s="23" t="s">
        <v>53</v>
      </c>
      <c r="V63" s="19"/>
      <c r="W63" s="19"/>
      <c r="X63" s="23" t="s">
        <v>53</v>
      </c>
      <c r="Y63" s="23">
        <v>0</v>
      </c>
      <c r="Z63" s="19"/>
      <c r="AA63" s="24">
        <v>0</v>
      </c>
      <c r="AB63" s="24"/>
      <c r="AC63" s="24"/>
      <c r="AD63" s="24"/>
      <c r="AE63" s="24"/>
      <c r="AF63" s="24">
        <v>0</v>
      </c>
      <c r="AG63" s="24">
        <v>0</v>
      </c>
      <c r="AH63" s="24">
        <v>0</v>
      </c>
      <c r="AI63" s="25" t="s">
        <v>393</v>
      </c>
      <c r="AJ63" s="26" t="s">
        <v>410</v>
      </c>
      <c r="AK63" s="26" t="s">
        <v>78</v>
      </c>
      <c r="AL63" s="26" t="s">
        <v>64</v>
      </c>
      <c r="AM63" s="26" t="s">
        <v>65</v>
      </c>
      <c r="AN63" s="26" t="s">
        <v>66</v>
      </c>
      <c r="AO63" s="26" t="s">
        <v>67</v>
      </c>
      <c r="AP63" s="26" t="str">
        <f t="shared" ref="AP63:AP64" si="44">CONCATENATE(AJ63, ".", AL63)</f>
        <v>ESCILO1.Beh.stVal</v>
      </c>
      <c r="AQ63" s="26" t="s">
        <v>63</v>
      </c>
      <c r="AR63" s="19">
        <v>0</v>
      </c>
      <c r="AS63" s="19">
        <v>0</v>
      </c>
      <c r="AT63" s="19">
        <v>0</v>
      </c>
      <c r="AU63" s="19">
        <v>0</v>
      </c>
      <c r="AV63" s="19">
        <f t="shared" ref="AV63:AV64" si="45">BIN2DEC(CONCATENATE(0,0,0,0,AR63,AS63,AT63,AU63))</f>
        <v>0</v>
      </c>
      <c r="AW63" s="19">
        <v>0</v>
      </c>
      <c r="AX63" s="19">
        <f t="shared" si="42"/>
        <v>0</v>
      </c>
      <c r="AY63" s="27"/>
      <c r="AZ63" s="19"/>
      <c r="BA63" s="19"/>
      <c r="BB63" s="19"/>
      <c r="BC63" s="19"/>
      <c r="BD63" s="19"/>
      <c r="BE63" s="19"/>
      <c r="BF63" s="19"/>
      <c r="BG63" s="11" t="str">
        <f t="shared" ref="BG63:BG64" si="4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63" s="28"/>
    </row>
    <row r="64" spans="1:60" s="12" customFormat="1" x14ac:dyDescent="0.25">
      <c r="A64" s="18"/>
      <c r="B64" s="119" t="s">
        <v>491</v>
      </c>
      <c r="C64" s="19"/>
      <c r="D64" s="10" t="s">
        <v>341</v>
      </c>
      <c r="E64" s="20" t="s">
        <v>361</v>
      </c>
      <c r="F64" s="20" t="s">
        <v>84</v>
      </c>
      <c r="G64" s="20" t="s">
        <v>84</v>
      </c>
      <c r="H64" s="19"/>
      <c r="I64" s="20">
        <v>11</v>
      </c>
      <c r="J64" s="20" t="str">
        <f t="shared" si="43"/>
        <v>Исправность</v>
      </c>
      <c r="K64" s="21" t="s">
        <v>365</v>
      </c>
      <c r="L64" s="22" t="s">
        <v>57</v>
      </c>
      <c r="M64" s="23" t="s">
        <v>51</v>
      </c>
      <c r="N64" s="23" t="s">
        <v>52</v>
      </c>
      <c r="O64" s="23"/>
      <c r="P64" s="13"/>
      <c r="Q64" s="13"/>
      <c r="R64" s="23" t="s">
        <v>53</v>
      </c>
      <c r="S64" s="23" t="s">
        <v>53</v>
      </c>
      <c r="T64" s="23" t="s">
        <v>53</v>
      </c>
      <c r="U64" s="23" t="s">
        <v>53</v>
      </c>
      <c r="V64" s="19"/>
      <c r="W64" s="19"/>
      <c r="X64" s="23" t="s">
        <v>53</v>
      </c>
      <c r="Y64" s="23">
        <v>0</v>
      </c>
      <c r="Z64" s="19"/>
      <c r="AA64" s="24">
        <v>0</v>
      </c>
      <c r="AB64" s="24"/>
      <c r="AC64" s="24"/>
      <c r="AD64" s="24"/>
      <c r="AE64" s="24"/>
      <c r="AF64" s="24">
        <v>0</v>
      </c>
      <c r="AG64" s="24">
        <v>0</v>
      </c>
      <c r="AH64" s="24">
        <v>0</v>
      </c>
      <c r="AI64" s="25" t="s">
        <v>393</v>
      </c>
      <c r="AJ64" s="26" t="s">
        <v>411</v>
      </c>
      <c r="AK64" s="26" t="s">
        <v>78</v>
      </c>
      <c r="AL64" s="26" t="s">
        <v>64</v>
      </c>
      <c r="AM64" s="26" t="s">
        <v>65</v>
      </c>
      <c r="AN64" s="26" t="s">
        <v>82</v>
      </c>
      <c r="AO64" s="26" t="s">
        <v>67</v>
      </c>
      <c r="AP64" s="26" t="str">
        <f t="shared" si="44"/>
        <v>ESCILO1.Health.stVal</v>
      </c>
      <c r="AQ64" s="26" t="s">
        <v>63</v>
      </c>
      <c r="AR64" s="19">
        <v>0</v>
      </c>
      <c r="AS64" s="19">
        <v>0</v>
      </c>
      <c r="AT64" s="19">
        <v>0</v>
      </c>
      <c r="AU64" s="19">
        <v>0</v>
      </c>
      <c r="AV64" s="19">
        <f t="shared" si="45"/>
        <v>0</v>
      </c>
      <c r="AW64" s="19">
        <v>0</v>
      </c>
      <c r="AX64" s="19">
        <f t="shared" si="42"/>
        <v>0</v>
      </c>
      <c r="AY64" s="27"/>
      <c r="AZ64" s="19"/>
      <c r="BA64" s="19"/>
      <c r="BB64" s="19"/>
      <c r="BC64" s="19"/>
      <c r="BD64" s="19"/>
      <c r="BE64" s="19"/>
      <c r="BF64" s="19"/>
      <c r="BG64" s="11" t="str">
        <f t="shared" si="46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64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4"/>
  <sheetViews>
    <sheetView tabSelected="1" topLeftCell="C1" zoomScale="85" zoomScaleNormal="85" workbookViewId="0">
      <selection activeCell="M3" sqref="M3:M4"/>
    </sheetView>
  </sheetViews>
  <sheetFormatPr defaultColWidth="9.140625" defaultRowHeight="15.75" outlineLevelCol="1" x14ac:dyDescent="0.25"/>
  <cols>
    <col min="1" max="1" width="4.140625" style="36" bestFit="1" customWidth="1"/>
    <col min="2" max="2" width="12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19.5703125" style="65" customWidth="1" outlineLevel="1"/>
    <col min="10" max="10" width="40.28515625" style="65" bestFit="1" customWidth="1" outlineLevel="1"/>
    <col min="11" max="11" width="7.28515625" style="65" bestFit="1" customWidth="1"/>
    <col min="12" max="12" width="25.28515625" style="65" bestFit="1" customWidth="1"/>
    <col min="13" max="13" width="32.7109375" style="65" bestFit="1" customWidth="1"/>
    <col min="14" max="14" width="9.42578125" style="65" customWidth="1"/>
    <col min="15" max="16" width="14.28515625" style="65" customWidth="1" outlineLevel="1"/>
    <col min="17" max="17" width="8.85546875" style="65" bestFit="1" customWidth="1" outlineLevel="1"/>
    <col min="18" max="18" width="16" style="65" bestFit="1" customWidth="1" outlineLevel="1"/>
    <col min="19" max="19" width="25.140625" style="65" bestFit="1" customWidth="1" outlineLevel="1"/>
    <col min="20" max="20" width="9.140625" style="37" customWidth="1" outlineLevel="1"/>
    <col min="21" max="21" width="9.5703125" style="38" customWidth="1" outlineLevel="1"/>
    <col min="22" max="22" width="11.28515625" style="38" customWidth="1" outlineLevel="1"/>
    <col min="23" max="23" width="8.28515625" style="38" customWidth="1" outlineLevel="1"/>
    <col min="24" max="24" width="12.5703125" style="38" customWidth="1" outlineLevel="1"/>
    <col min="25" max="25" width="13.5703125" style="38" customWidth="1" outlineLevel="1"/>
    <col min="26" max="26" width="13.140625" style="38" customWidth="1" outlineLevel="1"/>
    <col min="27" max="27" width="9.7109375" style="38" customWidth="1"/>
    <col min="28" max="28" width="12.7109375" style="36" customWidth="1"/>
    <col min="29" max="29" width="14.28515625" style="36" customWidth="1"/>
    <col min="30" max="30" width="16.42578125" style="36" bestFit="1" customWidth="1"/>
    <col min="31" max="31" width="16.7109375" style="36" bestFit="1" customWidth="1"/>
    <col min="32" max="32" width="7.7109375" style="36" bestFit="1" customWidth="1"/>
    <col min="33" max="33" width="33" style="36" bestFit="1" customWidth="1"/>
    <col min="34" max="35" width="12.7109375" style="36" customWidth="1"/>
    <col min="36" max="36" width="9.28515625" style="36" customWidth="1"/>
    <col min="37" max="37" width="15.85546875" style="36" bestFit="1" customWidth="1"/>
    <col min="38" max="38" width="24.5703125" style="65" customWidth="1"/>
    <col min="39" max="39" width="26.42578125" style="65" customWidth="1"/>
    <col min="40" max="40" width="22.85546875" style="65" customWidth="1"/>
    <col min="41" max="42" width="24.5703125" style="65" customWidth="1"/>
    <col min="43" max="43" width="15.85546875" style="65" customWidth="1"/>
    <col min="44" max="44" width="29.5703125" style="65" bestFit="1" customWidth="1"/>
    <col min="45" max="45" width="19.140625" style="65" customWidth="1"/>
    <col min="46" max="46" width="13.7109375" style="36" customWidth="1"/>
    <col min="47" max="47" width="15.85546875" style="36" customWidth="1"/>
    <col min="48" max="48" width="17.85546875" style="36" customWidth="1"/>
    <col min="49" max="49" width="9.140625" style="36" customWidth="1"/>
    <col min="50" max="50" width="14" style="36" customWidth="1"/>
    <col min="51" max="51" width="21" style="36" bestFit="1" customWidth="1"/>
    <col min="52" max="52" width="22.28515625" style="36" customWidth="1"/>
    <col min="53" max="53" width="2.5703125" style="38" customWidth="1"/>
    <col min="54" max="54" width="10.5703125" style="38" hidden="1" customWidth="1" outlineLevel="1"/>
    <col min="55" max="55" width="12.140625" style="38" hidden="1" customWidth="1" outlineLevel="1"/>
    <col min="56" max="56" width="13.28515625" style="50" hidden="1" customWidth="1" outlineLevel="1"/>
    <col min="57" max="57" width="13.28515625" style="38" hidden="1" customWidth="1" outlineLevel="1"/>
    <col min="58" max="58" width="13" style="50" hidden="1" customWidth="1" outlineLevel="1"/>
    <col min="59" max="59" width="11.140625" style="38" hidden="1" customWidth="1" outlineLevel="1"/>
    <col min="60" max="60" width="12.7109375" style="38" hidden="1" customWidth="1" outlineLevel="1"/>
    <col min="61" max="61" width="192.28515625" style="36" bestFit="1" customWidth="1" collapsed="1"/>
    <col min="62" max="16384" width="9.140625" style="36"/>
  </cols>
  <sheetData>
    <row r="1" spans="1:16381" x14ac:dyDescent="0.25">
      <c r="F1" s="36"/>
      <c r="L1" s="65">
        <v>19</v>
      </c>
      <c r="AC1" s="39"/>
      <c r="AD1" s="39"/>
      <c r="AE1" s="39"/>
      <c r="AF1" s="39"/>
      <c r="AG1" s="39"/>
      <c r="AH1" s="40"/>
      <c r="AI1" s="40"/>
      <c r="AJ1" s="39">
        <f>SUM(AC8:AC8)</f>
        <v>0</v>
      </c>
      <c r="AK1" s="41"/>
      <c r="AL1" s="42"/>
      <c r="AM1" s="42"/>
      <c r="AN1" s="42"/>
      <c r="AO1" s="42"/>
      <c r="AP1" s="42"/>
      <c r="AQ1" s="42"/>
      <c r="AR1" s="42"/>
      <c r="AS1" s="42"/>
      <c r="AT1" s="41"/>
      <c r="AU1" s="40"/>
      <c r="AV1" s="40"/>
      <c r="AW1" s="40"/>
      <c r="AX1" s="40"/>
      <c r="AY1" s="40"/>
      <c r="AZ1" s="40"/>
      <c r="BA1" s="66"/>
      <c r="BB1" s="154" t="s">
        <v>0</v>
      </c>
      <c r="BC1" s="155"/>
      <c r="BD1" s="155"/>
      <c r="BE1" s="155"/>
      <c r="BF1" s="155"/>
      <c r="BG1" s="155"/>
      <c r="BH1" s="155"/>
    </row>
    <row r="2" spans="1:16381" s="49" customFormat="1" ht="47.25" x14ac:dyDescent="0.25">
      <c r="A2" s="43" t="s">
        <v>1</v>
      </c>
      <c r="B2" s="136" t="s">
        <v>497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116" t="s">
        <v>489</v>
      </c>
      <c r="J2" s="43" t="s">
        <v>7</v>
      </c>
      <c r="K2" s="43" t="s">
        <v>8</v>
      </c>
      <c r="L2" s="43" t="s">
        <v>100</v>
      </c>
      <c r="M2" s="46" t="s">
        <v>9</v>
      </c>
      <c r="N2" s="46" t="s">
        <v>10</v>
      </c>
      <c r="O2" s="46" t="s">
        <v>11</v>
      </c>
      <c r="P2" s="46" t="s">
        <v>12</v>
      </c>
      <c r="Q2" s="46" t="s">
        <v>98</v>
      </c>
      <c r="R2" s="46" t="s">
        <v>13</v>
      </c>
      <c r="S2" s="46" t="s">
        <v>14</v>
      </c>
      <c r="T2" s="46" t="s">
        <v>15</v>
      </c>
      <c r="U2" s="46" t="s">
        <v>16</v>
      </c>
      <c r="V2" s="46" t="s">
        <v>17</v>
      </c>
      <c r="W2" s="46" t="s">
        <v>74</v>
      </c>
      <c r="X2" s="46" t="s">
        <v>18</v>
      </c>
      <c r="Y2" s="46" t="s">
        <v>19</v>
      </c>
      <c r="Z2" s="47" t="s">
        <v>20</v>
      </c>
      <c r="AA2" s="47" t="s">
        <v>21</v>
      </c>
      <c r="AB2" s="46" t="s">
        <v>22</v>
      </c>
      <c r="AC2" s="47" t="s">
        <v>23</v>
      </c>
      <c r="AD2" s="47" t="s">
        <v>94</v>
      </c>
      <c r="AE2" s="47" t="s">
        <v>95</v>
      </c>
      <c r="AF2" s="47" t="s">
        <v>96</v>
      </c>
      <c r="AG2" s="47" t="s">
        <v>97</v>
      </c>
      <c r="AH2" s="47" t="s">
        <v>24</v>
      </c>
      <c r="AI2" s="47" t="s">
        <v>25</v>
      </c>
      <c r="AJ2" s="46" t="s">
        <v>26</v>
      </c>
      <c r="AK2" s="54" t="s">
        <v>93</v>
      </c>
      <c r="AL2" s="43" t="s">
        <v>27</v>
      </c>
      <c r="AM2" s="43" t="s">
        <v>28</v>
      </c>
      <c r="AN2" s="43" t="s">
        <v>29</v>
      </c>
      <c r="AO2" s="43" t="s">
        <v>30</v>
      </c>
      <c r="AP2" s="43" t="s">
        <v>31</v>
      </c>
      <c r="AQ2" s="43" t="s">
        <v>32</v>
      </c>
      <c r="AR2" s="43" t="s">
        <v>33</v>
      </c>
      <c r="AS2" s="43" t="s">
        <v>34</v>
      </c>
      <c r="AT2" s="46" t="s">
        <v>35</v>
      </c>
      <c r="AU2" s="46" t="s">
        <v>36</v>
      </c>
      <c r="AV2" s="46" t="s">
        <v>37</v>
      </c>
      <c r="AW2" s="46" t="s">
        <v>38</v>
      </c>
      <c r="AX2" s="46" t="s">
        <v>39</v>
      </c>
      <c r="AY2" s="46" t="s">
        <v>40</v>
      </c>
      <c r="AZ2" s="46" t="s">
        <v>41</v>
      </c>
      <c r="BA2" s="47"/>
      <c r="BB2" s="46" t="s">
        <v>42</v>
      </c>
      <c r="BC2" s="46" t="s">
        <v>43</v>
      </c>
      <c r="BD2" s="48" t="s">
        <v>44</v>
      </c>
      <c r="BE2" s="46" t="s">
        <v>45</v>
      </c>
      <c r="BF2" s="48" t="s">
        <v>46</v>
      </c>
      <c r="BG2" s="46" t="s">
        <v>47</v>
      </c>
      <c r="BH2" s="46" t="s">
        <v>48</v>
      </c>
      <c r="BI2" s="47" t="s">
        <v>49</v>
      </c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  <c r="XFA2" s="36"/>
    </row>
    <row r="3" spans="1:16381" s="89" customFormat="1" x14ac:dyDescent="0.25">
      <c r="A3" s="69"/>
      <c r="B3" s="69"/>
      <c r="C3" s="69" t="s">
        <v>85</v>
      </c>
      <c r="D3" s="73"/>
      <c r="E3" s="29" t="s">
        <v>242</v>
      </c>
      <c r="F3" s="68" t="s">
        <v>111</v>
      </c>
      <c r="G3" s="68" t="s">
        <v>106</v>
      </c>
      <c r="H3" s="68" t="s">
        <v>110</v>
      </c>
      <c r="I3" s="117" t="s">
        <v>110</v>
      </c>
      <c r="J3" s="68" t="s">
        <v>101</v>
      </c>
      <c r="K3" s="68">
        <f>LEN(G3)</f>
        <v>12</v>
      </c>
      <c r="L3" s="68" t="str">
        <f>IF(LEN(G3)&lt;=$L$1,G3,"")</f>
        <v>Ввод_функции</v>
      </c>
      <c r="M3" s="119" t="s">
        <v>500</v>
      </c>
      <c r="N3" s="72" t="s">
        <v>54</v>
      </c>
      <c r="O3" s="73" t="s">
        <v>52</v>
      </c>
      <c r="P3" s="73" t="s">
        <v>52</v>
      </c>
      <c r="Q3" s="73"/>
      <c r="R3" s="75">
        <v>0</v>
      </c>
      <c r="S3" s="75"/>
      <c r="T3" s="73" t="s">
        <v>53</v>
      </c>
      <c r="U3" s="73">
        <v>0</v>
      </c>
      <c r="V3" s="73">
        <v>1</v>
      </c>
      <c r="W3" s="73">
        <v>1</v>
      </c>
      <c r="X3" s="73"/>
      <c r="Y3" s="73"/>
      <c r="Z3" s="73">
        <v>0</v>
      </c>
      <c r="AA3" s="73">
        <v>0</v>
      </c>
      <c r="AB3" s="71"/>
      <c r="AC3" s="67">
        <v>0</v>
      </c>
      <c r="AD3" s="67"/>
      <c r="AE3" s="67"/>
      <c r="AF3" s="67"/>
      <c r="AG3" s="67"/>
      <c r="AH3" s="67">
        <v>0</v>
      </c>
      <c r="AI3" s="67">
        <v>0</v>
      </c>
      <c r="AJ3" s="67">
        <v>0</v>
      </c>
      <c r="AK3" s="118" t="s">
        <v>490</v>
      </c>
      <c r="AL3" s="70"/>
      <c r="AM3" s="70"/>
      <c r="AN3" s="70"/>
      <c r="AO3" s="70"/>
      <c r="AP3" s="70"/>
      <c r="AQ3" s="70"/>
      <c r="AR3" s="70"/>
      <c r="AS3" s="70"/>
      <c r="AT3" s="70">
        <v>0</v>
      </c>
      <c r="AU3" s="70">
        <v>0</v>
      </c>
      <c r="AV3" s="70">
        <v>0</v>
      </c>
      <c r="AW3" s="70">
        <v>0</v>
      </c>
      <c r="AX3" s="70">
        <f>BIN2DEC(CONCATENATE(0,0,0,0,AT3,AU3,AV3,AW3))</f>
        <v>0</v>
      </c>
      <c r="AY3" s="70" t="s">
        <v>102</v>
      </c>
      <c r="AZ3" s="70"/>
      <c r="BA3" s="75"/>
      <c r="BB3" s="70"/>
      <c r="BC3" s="70"/>
      <c r="BD3" s="70"/>
      <c r="BE3" s="70"/>
      <c r="BF3" s="70"/>
      <c r="BG3" s="70"/>
      <c r="BH3" s="70"/>
      <c r="BI3" s="74" t="str">
        <f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89" customFormat="1" x14ac:dyDescent="0.25">
      <c r="A4" s="69"/>
      <c r="B4" s="119" t="s">
        <v>498</v>
      </c>
      <c r="C4" s="69" t="s">
        <v>85</v>
      </c>
      <c r="D4" s="73"/>
      <c r="E4" s="29" t="s">
        <v>242</v>
      </c>
      <c r="F4" s="68" t="s">
        <v>418</v>
      </c>
      <c r="G4" s="68" t="s">
        <v>419</v>
      </c>
      <c r="H4" s="68" t="s">
        <v>420</v>
      </c>
      <c r="I4" s="117" t="s">
        <v>420</v>
      </c>
      <c r="J4" s="68" t="s">
        <v>101</v>
      </c>
      <c r="K4" s="68">
        <f t="shared" ref="K4:K7" si="0">LEN(G4)</f>
        <v>6</v>
      </c>
      <c r="L4" s="68" t="str">
        <f t="shared" ref="L4:L7" si="1">IF(LEN(G4)&lt;=$L$1,G4,"")</f>
        <v>ОБР_КА</v>
      </c>
      <c r="M4" s="119" t="s">
        <v>501</v>
      </c>
      <c r="N4" s="72" t="s">
        <v>54</v>
      </c>
      <c r="O4" s="73" t="s">
        <v>52</v>
      </c>
      <c r="P4" s="73" t="s">
        <v>52</v>
      </c>
      <c r="Q4" s="73"/>
      <c r="R4" s="75">
        <v>0</v>
      </c>
      <c r="S4" s="75"/>
      <c r="T4" s="73" t="s">
        <v>53</v>
      </c>
      <c r="U4" s="73">
        <v>0</v>
      </c>
      <c r="V4" s="73">
        <v>1</v>
      </c>
      <c r="W4" s="73">
        <v>1</v>
      </c>
      <c r="X4" s="73"/>
      <c r="Y4" s="73"/>
      <c r="Z4" s="73">
        <v>0</v>
      </c>
      <c r="AA4" s="73">
        <v>0</v>
      </c>
      <c r="AB4" s="71"/>
      <c r="AC4" s="67">
        <v>0</v>
      </c>
      <c r="AD4" s="67"/>
      <c r="AE4" s="67"/>
      <c r="AF4" s="67"/>
      <c r="AG4" s="67"/>
      <c r="AH4" s="67">
        <v>0</v>
      </c>
      <c r="AI4" s="67">
        <v>0</v>
      </c>
      <c r="AJ4" s="67">
        <v>0</v>
      </c>
      <c r="AK4" s="118" t="s">
        <v>490</v>
      </c>
      <c r="AT4" s="70">
        <v>0</v>
      </c>
      <c r="AU4" s="70">
        <v>0</v>
      </c>
      <c r="AV4" s="70">
        <v>0</v>
      </c>
      <c r="AW4" s="70">
        <v>0</v>
      </c>
      <c r="AX4" s="70">
        <f t="shared" ref="AX4:AX7" si="2">BIN2DEC(CONCATENATE(0,0,0,0,AT4,AU4,AV4,AW4))</f>
        <v>0</v>
      </c>
      <c r="AY4" s="70" t="s">
        <v>102</v>
      </c>
      <c r="AZ4" s="70"/>
      <c r="BA4" s="75"/>
      <c r="BB4" s="70"/>
      <c r="BC4" s="70"/>
      <c r="BD4" s="70"/>
      <c r="BE4" s="70"/>
      <c r="BF4" s="70"/>
      <c r="BG4" s="70"/>
      <c r="BH4" s="70"/>
      <c r="BI4" s="74" t="str">
        <f t="shared" ref="BI4:BI7" si="3">CONCATENATE("description: """,G4,"""", ", ", "note: """,F4,"""",", ","group: """, C4, """",", ","minValue: ", U4,", ","maxValue: ", V4,", ","step: ", W4,", ","units: """, T4, """",", ","defaultValue: ", Z4,", ","eventRegistration: ", AA4,)</f>
        <v>description: "ОБР_КА", note: "Ввод ОБР КА в работу", group: "setting", minValue: 0, maxValue: 1, step: 1, units: "null", defaultValue: 0, eventRegistration: 0</v>
      </c>
    </row>
    <row r="5" spans="1:16381" s="90" customFormat="1" x14ac:dyDescent="0.25">
      <c r="A5" s="81"/>
      <c r="B5" s="81"/>
      <c r="C5" s="81" t="s">
        <v>85</v>
      </c>
      <c r="D5" s="85"/>
      <c r="E5" s="91" t="s">
        <v>336</v>
      </c>
      <c r="F5" s="77" t="s">
        <v>111</v>
      </c>
      <c r="G5" s="77" t="s">
        <v>106</v>
      </c>
      <c r="H5" s="77" t="s">
        <v>110</v>
      </c>
      <c r="I5" s="117" t="s">
        <v>110</v>
      </c>
      <c r="J5" s="77" t="s">
        <v>101</v>
      </c>
      <c r="K5" s="77">
        <f t="shared" si="0"/>
        <v>12</v>
      </c>
      <c r="L5" s="77" t="str">
        <f t="shared" si="1"/>
        <v>Ввод_функции</v>
      </c>
      <c r="M5" s="81" t="s">
        <v>412</v>
      </c>
      <c r="N5" s="84" t="s">
        <v>54</v>
      </c>
      <c r="O5" s="85" t="s">
        <v>52</v>
      </c>
      <c r="P5" s="85" t="s">
        <v>52</v>
      </c>
      <c r="Q5" s="85"/>
      <c r="R5" s="87">
        <v>0</v>
      </c>
      <c r="S5" s="87"/>
      <c r="T5" s="85" t="s">
        <v>53</v>
      </c>
      <c r="U5" s="85">
        <v>0</v>
      </c>
      <c r="V5" s="85">
        <v>1</v>
      </c>
      <c r="W5" s="85">
        <v>1</v>
      </c>
      <c r="X5" s="85"/>
      <c r="Y5" s="85"/>
      <c r="Z5" s="85">
        <v>0</v>
      </c>
      <c r="AA5" s="85">
        <v>0</v>
      </c>
      <c r="AB5" s="83"/>
      <c r="AC5" s="79">
        <v>0</v>
      </c>
      <c r="AD5" s="79"/>
      <c r="AE5" s="79"/>
      <c r="AF5" s="79"/>
      <c r="AG5" s="79"/>
      <c r="AH5" s="79">
        <v>0</v>
      </c>
      <c r="AI5" s="79">
        <v>0</v>
      </c>
      <c r="AJ5" s="79">
        <v>0</v>
      </c>
      <c r="AK5" s="79"/>
      <c r="AL5" s="82"/>
      <c r="AM5" s="82"/>
      <c r="AN5" s="82"/>
      <c r="AO5" s="82"/>
      <c r="AP5" s="82"/>
      <c r="AQ5" s="82"/>
      <c r="AR5" s="82"/>
      <c r="AS5" s="82"/>
      <c r="AT5" s="82">
        <v>0</v>
      </c>
      <c r="AU5" s="82">
        <v>0</v>
      </c>
      <c r="AV5" s="82">
        <v>0</v>
      </c>
      <c r="AW5" s="82">
        <v>0</v>
      </c>
      <c r="AX5" s="82">
        <f t="shared" si="2"/>
        <v>0</v>
      </c>
      <c r="AY5" s="82" t="s">
        <v>102</v>
      </c>
      <c r="AZ5" s="82"/>
      <c r="BA5" s="87"/>
      <c r="BB5" s="82"/>
      <c r="BC5" s="82"/>
      <c r="BD5" s="82"/>
      <c r="BE5" s="82"/>
      <c r="BF5" s="82"/>
      <c r="BG5" s="82"/>
      <c r="BH5" s="82"/>
      <c r="BI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1" s="90" customFormat="1" x14ac:dyDescent="0.25">
      <c r="A6" s="81"/>
      <c r="B6" s="81"/>
      <c r="C6" s="81" t="s">
        <v>85</v>
      </c>
      <c r="D6" s="85"/>
      <c r="E6" s="91" t="s">
        <v>336</v>
      </c>
      <c r="F6" s="77" t="s">
        <v>293</v>
      </c>
      <c r="G6" s="77" t="s">
        <v>421</v>
      </c>
      <c r="H6" s="77" t="s">
        <v>115</v>
      </c>
      <c r="I6" s="117" t="s">
        <v>115</v>
      </c>
      <c r="J6" s="77" t="s">
        <v>101</v>
      </c>
      <c r="K6" s="77">
        <f t="shared" si="0"/>
        <v>14</v>
      </c>
      <c r="L6" s="77" t="str">
        <f t="shared" si="1"/>
        <v>Контроль_синхр</v>
      </c>
      <c r="M6" s="81" t="s">
        <v>413</v>
      </c>
      <c r="N6" s="84" t="s">
        <v>54</v>
      </c>
      <c r="O6" s="85" t="s">
        <v>52</v>
      </c>
      <c r="P6" s="85" t="s">
        <v>52</v>
      </c>
      <c r="Q6" s="85"/>
      <c r="R6" s="87">
        <v>0</v>
      </c>
      <c r="S6" s="87"/>
      <c r="T6" s="85" t="s">
        <v>53</v>
      </c>
      <c r="U6" s="85">
        <v>0</v>
      </c>
      <c r="V6" s="85">
        <v>1</v>
      </c>
      <c r="W6" s="85">
        <v>1</v>
      </c>
      <c r="X6" s="85"/>
      <c r="Y6" s="85"/>
      <c r="Z6" s="85">
        <v>0</v>
      </c>
      <c r="AA6" s="85">
        <v>0</v>
      </c>
      <c r="AB6" s="83"/>
      <c r="AC6" s="79">
        <v>0</v>
      </c>
      <c r="AD6" s="79"/>
      <c r="AE6" s="79"/>
      <c r="AF6" s="79"/>
      <c r="AG6" s="79"/>
      <c r="AH6" s="79">
        <v>0</v>
      </c>
      <c r="AI6" s="79">
        <v>0</v>
      </c>
      <c r="AJ6" s="79">
        <v>0</v>
      </c>
      <c r="AK6" s="79"/>
      <c r="AL6" s="82"/>
      <c r="AM6" s="82"/>
      <c r="AN6" s="82"/>
      <c r="AO6" s="82"/>
      <c r="AP6" s="82"/>
      <c r="AQ6" s="82"/>
      <c r="AR6" s="82"/>
      <c r="AS6" s="82"/>
      <c r="AT6" s="82">
        <v>0</v>
      </c>
      <c r="AU6" s="82">
        <v>0</v>
      </c>
      <c r="AV6" s="82">
        <v>0</v>
      </c>
      <c r="AW6" s="82">
        <v>0</v>
      </c>
      <c r="AX6" s="82">
        <f t="shared" si="2"/>
        <v>0</v>
      </c>
      <c r="AY6" s="82" t="s">
        <v>102</v>
      </c>
      <c r="AZ6" s="82"/>
      <c r="BA6" s="87"/>
      <c r="BB6" s="82"/>
      <c r="BC6" s="82"/>
      <c r="BD6" s="82"/>
      <c r="BE6" s="82"/>
      <c r="BF6" s="82"/>
      <c r="BG6" s="82"/>
      <c r="BH6" s="82"/>
      <c r="BI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1" s="90" customFormat="1" x14ac:dyDescent="0.25">
      <c r="A7" s="81"/>
      <c r="B7" s="81"/>
      <c r="C7" s="81" t="s">
        <v>85</v>
      </c>
      <c r="D7" s="85"/>
      <c r="E7" s="91" t="s">
        <v>336</v>
      </c>
      <c r="F7" s="77" t="s">
        <v>422</v>
      </c>
      <c r="G7" s="77" t="s">
        <v>423</v>
      </c>
      <c r="H7" s="77" t="s">
        <v>116</v>
      </c>
      <c r="I7" s="117" t="s">
        <v>116</v>
      </c>
      <c r="J7" s="77" t="s">
        <v>101</v>
      </c>
      <c r="K7" s="77">
        <f t="shared" si="0"/>
        <v>19</v>
      </c>
      <c r="L7" s="77" t="str">
        <f t="shared" si="1"/>
        <v>Бл_вкл_от_авар_откл</v>
      </c>
      <c r="M7" s="81" t="s">
        <v>414</v>
      </c>
      <c r="N7" s="84" t="s">
        <v>54</v>
      </c>
      <c r="O7" s="85" t="s">
        <v>52</v>
      </c>
      <c r="P7" s="85" t="s">
        <v>52</v>
      </c>
      <c r="Q7" s="85"/>
      <c r="R7" s="87">
        <v>0</v>
      </c>
      <c r="S7" s="87"/>
      <c r="T7" s="85" t="s">
        <v>53</v>
      </c>
      <c r="U7" s="85">
        <v>0</v>
      </c>
      <c r="V7" s="85">
        <v>1</v>
      </c>
      <c r="W7" s="85">
        <v>1</v>
      </c>
      <c r="X7" s="85"/>
      <c r="Y7" s="85"/>
      <c r="Z7" s="85">
        <v>0</v>
      </c>
      <c r="AA7" s="85">
        <v>0</v>
      </c>
      <c r="AB7" s="83"/>
      <c r="AC7" s="79">
        <v>0</v>
      </c>
      <c r="AD7" s="79"/>
      <c r="AE7" s="79"/>
      <c r="AF7" s="79"/>
      <c r="AG7" s="79"/>
      <c r="AH7" s="79">
        <v>0</v>
      </c>
      <c r="AI7" s="79">
        <v>0</v>
      </c>
      <c r="AJ7" s="79">
        <v>0</v>
      </c>
      <c r="AK7" s="79"/>
      <c r="AL7" s="82"/>
      <c r="AM7" s="82"/>
      <c r="AN7" s="82"/>
      <c r="AO7" s="82"/>
      <c r="AP7" s="82"/>
      <c r="AQ7" s="82"/>
      <c r="AR7" s="82"/>
      <c r="AS7" s="82"/>
      <c r="AT7" s="82">
        <v>0</v>
      </c>
      <c r="AU7" s="82">
        <v>0</v>
      </c>
      <c r="AV7" s="82">
        <v>0</v>
      </c>
      <c r="AW7" s="82">
        <v>0</v>
      </c>
      <c r="AX7" s="82">
        <f t="shared" si="2"/>
        <v>0</v>
      </c>
      <c r="AY7" s="82" t="s">
        <v>102</v>
      </c>
      <c r="AZ7" s="82"/>
      <c r="BA7" s="87"/>
      <c r="BB7" s="82"/>
      <c r="BC7" s="82"/>
      <c r="BD7" s="82"/>
      <c r="BE7" s="82"/>
      <c r="BF7" s="82"/>
      <c r="BG7" s="82"/>
      <c r="BH7" s="82"/>
      <c r="BI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1" s="90" customFormat="1" x14ac:dyDescent="0.25">
      <c r="A8" s="81"/>
      <c r="B8" s="81"/>
      <c r="C8" s="81" t="s">
        <v>85</v>
      </c>
      <c r="D8" s="85"/>
      <c r="E8" s="91" t="s">
        <v>336</v>
      </c>
      <c r="F8" s="77" t="s">
        <v>424</v>
      </c>
      <c r="G8" s="77" t="s">
        <v>425</v>
      </c>
      <c r="H8" s="77" t="s">
        <v>426</v>
      </c>
      <c r="I8" s="117" t="s">
        <v>426</v>
      </c>
      <c r="J8" s="77"/>
      <c r="K8" s="77">
        <f t="shared" ref="K8" si="4">LEN(G8)</f>
        <v>7</v>
      </c>
      <c r="L8" s="77" t="str">
        <f t="shared" ref="L8" si="5">IF(LEN(G8)&lt;=$L$1,G8,"")</f>
        <v>Tперекл</v>
      </c>
      <c r="M8" s="81" t="s">
        <v>415</v>
      </c>
      <c r="N8" s="84" t="s">
        <v>112</v>
      </c>
      <c r="O8" s="85" t="s">
        <v>52</v>
      </c>
      <c r="P8" s="85" t="s">
        <v>52</v>
      </c>
      <c r="Q8" s="85"/>
      <c r="R8" s="87">
        <v>2</v>
      </c>
      <c r="S8" s="87" t="s">
        <v>113</v>
      </c>
      <c r="T8" s="85" t="s">
        <v>114</v>
      </c>
      <c r="U8" s="85">
        <v>10</v>
      </c>
      <c r="V8" s="85">
        <v>10000</v>
      </c>
      <c r="W8" s="85">
        <v>10</v>
      </c>
      <c r="X8" s="85"/>
      <c r="Y8" s="85"/>
      <c r="Z8" s="85">
        <v>10000</v>
      </c>
      <c r="AA8" s="85">
        <v>0</v>
      </c>
      <c r="AB8" s="83"/>
      <c r="AC8" s="79">
        <v>0</v>
      </c>
      <c r="AD8" s="79"/>
      <c r="AE8" s="79"/>
      <c r="AF8" s="79"/>
      <c r="AG8" s="79"/>
      <c r="AH8" s="79">
        <v>0</v>
      </c>
      <c r="AI8" s="79">
        <v>0</v>
      </c>
      <c r="AJ8" s="79">
        <v>0</v>
      </c>
      <c r="AK8" s="80" t="s">
        <v>367</v>
      </c>
      <c r="AL8" s="86" t="s">
        <v>460</v>
      </c>
      <c r="AM8" s="86" t="s">
        <v>461</v>
      </c>
      <c r="AN8" s="86" t="s">
        <v>118</v>
      </c>
      <c r="AO8" s="86" t="s">
        <v>112</v>
      </c>
      <c r="AP8" s="86"/>
      <c r="AQ8" s="86" t="s">
        <v>462</v>
      </c>
      <c r="AR8" s="86" t="str">
        <f>CONCATENATE(AL8, ".", AN8)</f>
        <v>CBCSWI1.OpTmms.setVal</v>
      </c>
      <c r="AS8" s="86" t="s">
        <v>63</v>
      </c>
      <c r="AT8" s="82">
        <v>0</v>
      </c>
      <c r="AU8" s="82">
        <v>0</v>
      </c>
      <c r="AV8" s="82">
        <v>0</v>
      </c>
      <c r="AW8" s="82">
        <v>0</v>
      </c>
      <c r="AX8" s="82">
        <f t="shared" ref="AX8" si="6">BIN2DEC(CONCATENATE(0,0,0,0,AT8,AU8,AV8,AW8))</f>
        <v>0</v>
      </c>
      <c r="AY8" s="82"/>
      <c r="AZ8" s="82"/>
      <c r="BA8" s="87"/>
      <c r="BB8" s="82"/>
      <c r="BC8" s="82"/>
      <c r="BD8" s="82"/>
      <c r="BE8" s="82"/>
      <c r="BF8" s="82"/>
      <c r="BG8" s="82"/>
      <c r="BH8" s="82"/>
      <c r="BI8" s="88" t="str">
        <f t="shared" ref="BI8" si="7">CONCATENATE("description: """,G8,"""", ", ", "note: """,F8,"""",", ","group: """, C8, """",", ","minValue: ", U8,", ","maxValue: ", V8,", ","step: ", W8,", ","units: """, T8, """",", ","defaultValue: ", Z8,", ","eventRegistration: ", AA8,)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1" s="90" customFormat="1" ht="16.5" customHeight="1" x14ac:dyDescent="0.25">
      <c r="A9" s="81"/>
      <c r="B9" s="81"/>
      <c r="C9" s="81" t="s">
        <v>85</v>
      </c>
      <c r="D9" s="85"/>
      <c r="E9" s="91" t="s">
        <v>336</v>
      </c>
      <c r="F9" s="77" t="s">
        <v>499</v>
      </c>
      <c r="G9" s="77" t="s">
        <v>427</v>
      </c>
      <c r="H9" s="77" t="s">
        <v>428</v>
      </c>
      <c r="I9" s="117" t="s">
        <v>428</v>
      </c>
      <c r="J9" s="77"/>
      <c r="K9" s="77">
        <f t="shared" ref="K9" si="8">LEN(G9)</f>
        <v>4</v>
      </c>
      <c r="L9" s="77" t="str">
        <f t="shared" ref="L9" si="9">IF(LEN(G9)&lt;=$L$1,G9,"")</f>
        <v>Tблк</v>
      </c>
      <c r="M9" s="81" t="s">
        <v>416</v>
      </c>
      <c r="N9" s="84" t="s">
        <v>112</v>
      </c>
      <c r="O9" s="85" t="s">
        <v>52</v>
      </c>
      <c r="P9" s="85" t="s">
        <v>52</v>
      </c>
      <c r="Q9" s="85"/>
      <c r="R9" s="87">
        <v>2</v>
      </c>
      <c r="S9" s="87" t="s">
        <v>113</v>
      </c>
      <c r="T9" s="85" t="s">
        <v>114</v>
      </c>
      <c r="U9" s="85">
        <v>10</v>
      </c>
      <c r="V9" s="85">
        <v>10000</v>
      </c>
      <c r="W9" s="85">
        <v>10</v>
      </c>
      <c r="X9" s="85"/>
      <c r="Y9" s="85"/>
      <c r="Z9" s="85">
        <v>10000</v>
      </c>
      <c r="AA9" s="85">
        <v>0</v>
      </c>
      <c r="AB9" s="83"/>
      <c r="AC9" s="79">
        <v>0</v>
      </c>
      <c r="AD9" s="79"/>
      <c r="AE9" s="79"/>
      <c r="AF9" s="79"/>
      <c r="AG9" s="79"/>
      <c r="AH9" s="79">
        <v>0</v>
      </c>
      <c r="AI9" s="79">
        <v>0</v>
      </c>
      <c r="AJ9" s="79">
        <v>0</v>
      </c>
      <c r="AK9" s="80" t="s">
        <v>367</v>
      </c>
      <c r="AL9" s="86" t="s">
        <v>463</v>
      </c>
      <c r="AM9" s="86" t="s">
        <v>461</v>
      </c>
      <c r="AN9" s="86" t="s">
        <v>118</v>
      </c>
      <c r="AO9" s="86" t="s">
        <v>112</v>
      </c>
      <c r="AP9" s="86"/>
      <c r="AQ9" s="86" t="s">
        <v>462</v>
      </c>
      <c r="AR9" s="86" t="str">
        <f>CONCATENATE(AL9, ".", AN9)</f>
        <v>CBCSWI1.BlkTmms.setVal</v>
      </c>
      <c r="AS9" s="86" t="s">
        <v>63</v>
      </c>
      <c r="AT9" s="82">
        <v>0</v>
      </c>
      <c r="AU9" s="82">
        <v>0</v>
      </c>
      <c r="AV9" s="82">
        <v>0</v>
      </c>
      <c r="AW9" s="82">
        <v>0</v>
      </c>
      <c r="AX9" s="82">
        <f t="shared" ref="AX9" si="10">BIN2DEC(CONCATENATE(0,0,0,0,AT9,AU9,AV9,AW9))</f>
        <v>0</v>
      </c>
      <c r="AY9" s="82"/>
      <c r="AZ9" s="82"/>
      <c r="BA9" s="87"/>
      <c r="BB9" s="82"/>
      <c r="BC9" s="82"/>
      <c r="BD9" s="82"/>
      <c r="BE9" s="82"/>
      <c r="BF9" s="82"/>
      <c r="BG9" s="82"/>
      <c r="BH9" s="82"/>
      <c r="BI9" s="88" t="str">
        <f t="shared" ref="BI9" si="11">CONCATENATE("description: """,G9,"""", ", ", "note: """,F9,"""",", ","group: """, C9, """",", ","minValue: ", U9,", ","maxValue: ", V9,", ","step: ", W9,", ","units: """, T9, """",", ","defaultValue: ", Z9,", ","eventRegistration: ", AA9,)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1" s="17" customFormat="1" ht="15.75" customHeight="1" x14ac:dyDescent="0.25">
      <c r="A10" s="81"/>
      <c r="B10" s="81"/>
      <c r="C10" s="81" t="s">
        <v>85</v>
      </c>
      <c r="D10" s="85"/>
      <c r="E10" s="91" t="s">
        <v>336</v>
      </c>
      <c r="F10" s="77" t="s">
        <v>429</v>
      </c>
      <c r="G10" s="77" t="s">
        <v>479</v>
      </c>
      <c r="H10" s="77" t="s">
        <v>430</v>
      </c>
      <c r="I10" s="117" t="s">
        <v>430</v>
      </c>
      <c r="J10" s="77"/>
      <c r="K10" s="77">
        <f t="shared" ref="K10" si="12">LEN(G10)</f>
        <v>13</v>
      </c>
      <c r="L10" s="77" t="str">
        <f t="shared" ref="L10" si="13">IF(LEN(G10)&lt;=$L$1,G10,"")</f>
        <v>Тзад_вкл_с_КС</v>
      </c>
      <c r="M10" s="81" t="s">
        <v>417</v>
      </c>
      <c r="N10" s="84" t="s">
        <v>112</v>
      </c>
      <c r="O10" s="85" t="s">
        <v>52</v>
      </c>
      <c r="P10" s="85" t="s">
        <v>52</v>
      </c>
      <c r="Q10" s="85"/>
      <c r="R10" s="87">
        <v>2</v>
      </c>
      <c r="S10" s="87" t="s">
        <v>113</v>
      </c>
      <c r="T10" s="85" t="s">
        <v>114</v>
      </c>
      <c r="U10" s="85">
        <v>1000</v>
      </c>
      <c r="V10" s="85">
        <v>60000</v>
      </c>
      <c r="W10" s="85">
        <v>10</v>
      </c>
      <c r="X10" s="85"/>
      <c r="Y10" s="85"/>
      <c r="Z10" s="85">
        <v>60000</v>
      </c>
      <c r="AA10" s="85">
        <v>0</v>
      </c>
      <c r="AB10" s="83"/>
      <c r="AC10" s="79">
        <v>0</v>
      </c>
      <c r="AD10" s="79"/>
      <c r="AE10" s="79"/>
      <c r="AF10" s="79"/>
      <c r="AG10" s="79"/>
      <c r="AH10" s="79">
        <v>0</v>
      </c>
      <c r="AI10" s="79">
        <v>0</v>
      </c>
      <c r="AJ10" s="79">
        <v>0</v>
      </c>
      <c r="AK10" s="80"/>
      <c r="AL10" s="86"/>
      <c r="AM10" s="86"/>
      <c r="AN10" s="86"/>
      <c r="AO10" s="86"/>
      <c r="AP10" s="86"/>
      <c r="AQ10" s="86"/>
      <c r="AR10" s="86"/>
      <c r="AS10" s="86"/>
      <c r="AT10" s="82">
        <v>0</v>
      </c>
      <c r="AU10" s="82">
        <v>0</v>
      </c>
      <c r="AV10" s="82">
        <v>0</v>
      </c>
      <c r="AW10" s="82">
        <v>0</v>
      </c>
      <c r="AX10" s="82">
        <f t="shared" ref="AX10" si="14">BIN2DEC(CONCATENATE(0,0,0,0,AT10,AU10,AV10,AW10))</f>
        <v>0</v>
      </c>
      <c r="AY10" s="82"/>
      <c r="AZ10" s="82"/>
      <c r="BA10" s="87"/>
      <c r="BB10" s="82"/>
      <c r="BC10" s="82"/>
      <c r="BD10" s="82"/>
      <c r="BE10" s="82"/>
      <c r="BF10" s="82"/>
      <c r="BG10" s="82"/>
      <c r="BH10" s="82"/>
      <c r="BI10" s="88" t="str">
        <f t="shared" ref="BI10" si="15">CONCATENATE("description: """,G10,"""", ", ", "note: """,F10,"""",", ","group: """, C10, """",", ","minValue: ", U10,", ","maxValue: ", V10,", ","step: ", W10,", ","units: """, T10, """",", ","defaultValue: ", Z10,", ","eventRegistration: ", AA10,)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1" s="89" customFormat="1" x14ac:dyDescent="0.25">
      <c r="A11" s="69"/>
      <c r="B11" s="69"/>
      <c r="C11" s="69" t="s">
        <v>85</v>
      </c>
      <c r="D11" s="73"/>
      <c r="E11" s="29" t="s">
        <v>337</v>
      </c>
      <c r="F11" s="68" t="s">
        <v>111</v>
      </c>
      <c r="G11" s="68" t="s">
        <v>106</v>
      </c>
      <c r="H11" s="68" t="s">
        <v>110</v>
      </c>
      <c r="I11" s="117" t="s">
        <v>110</v>
      </c>
      <c r="J11" s="68" t="s">
        <v>101</v>
      </c>
      <c r="K11" s="68">
        <f>LEN(G11)</f>
        <v>12</v>
      </c>
      <c r="L11" s="68" t="str">
        <f>IF(LEN(G11)&lt;=$L$1,G11,"")</f>
        <v>Ввод_функции</v>
      </c>
      <c r="M11" s="69" t="s">
        <v>434</v>
      </c>
      <c r="N11" s="72" t="s">
        <v>54</v>
      </c>
      <c r="O11" s="73" t="s">
        <v>52</v>
      </c>
      <c r="P11" s="73" t="s">
        <v>52</v>
      </c>
      <c r="Q11" s="73"/>
      <c r="R11" s="75">
        <v>0</v>
      </c>
      <c r="S11" s="75"/>
      <c r="T11" s="73" t="s">
        <v>53</v>
      </c>
      <c r="U11" s="73">
        <v>0</v>
      </c>
      <c r="V11" s="73">
        <v>1</v>
      </c>
      <c r="W11" s="73">
        <v>1</v>
      </c>
      <c r="X11" s="73"/>
      <c r="Y11" s="73"/>
      <c r="Z11" s="73">
        <v>0</v>
      </c>
      <c r="AA11" s="73">
        <v>0</v>
      </c>
      <c r="AB11" s="71"/>
      <c r="AC11" s="67">
        <v>0</v>
      </c>
      <c r="AD11" s="67"/>
      <c r="AE11" s="67"/>
      <c r="AF11" s="67"/>
      <c r="AG11" s="67"/>
      <c r="AH11" s="67">
        <v>0</v>
      </c>
      <c r="AI11" s="67">
        <v>0</v>
      </c>
      <c r="AJ11" s="67">
        <v>0</v>
      </c>
      <c r="AK11" s="67"/>
      <c r="AL11" s="70"/>
      <c r="AM11" s="70"/>
      <c r="AN11" s="70"/>
      <c r="AO11" s="70"/>
      <c r="AP11" s="70"/>
      <c r="AQ11" s="70"/>
      <c r="AR11" s="70"/>
      <c r="AS11" s="70"/>
      <c r="AT11" s="70">
        <v>0</v>
      </c>
      <c r="AU11" s="70">
        <v>0</v>
      </c>
      <c r="AV11" s="70">
        <v>0</v>
      </c>
      <c r="AW11" s="70">
        <v>0</v>
      </c>
      <c r="AX11" s="70">
        <f>BIN2DEC(CONCATENATE(0,0,0,0,AT11,AU11,AV11,AW11))</f>
        <v>0</v>
      </c>
      <c r="AY11" s="70" t="s">
        <v>102</v>
      </c>
      <c r="AZ11" s="70"/>
      <c r="BA11" s="75"/>
      <c r="BB11" s="70"/>
      <c r="BC11" s="70"/>
      <c r="BD11" s="70"/>
      <c r="BE11" s="70"/>
      <c r="BF11" s="70"/>
      <c r="BG11" s="70"/>
      <c r="BH11" s="70"/>
      <c r="BI11" s="74" t="str">
        <f>CONCATENATE("description: """,G11,"""", ", ", "note: """,F11,"""",", ","group: """, C11, """",", ","minValue: ", U11,", ","maxValue: ", V11,", ","step: ", W11,", ","units: """, T11, """",", ","defaultValue: ", Z11,", ","eventRegistration: ", AA11,)</f>
        <v>description: "Ввод_функции", note: "Ввод функции в работу", group: "setting", minValue: 0, maxValue: 1, step: 1, units: "null", defaultValue: 0, eventRegistration: 0</v>
      </c>
    </row>
    <row r="12" spans="1:16381" s="89" customFormat="1" x14ac:dyDescent="0.25">
      <c r="A12" s="69"/>
      <c r="B12" s="69"/>
      <c r="C12" s="69" t="s">
        <v>85</v>
      </c>
      <c r="D12" s="73"/>
      <c r="E12" s="29" t="s">
        <v>337</v>
      </c>
      <c r="F12" s="68" t="s">
        <v>437</v>
      </c>
      <c r="G12" s="68" t="s">
        <v>425</v>
      </c>
      <c r="H12" s="68" t="s">
        <v>426</v>
      </c>
      <c r="I12" s="117" t="s">
        <v>426</v>
      </c>
      <c r="J12" s="68"/>
      <c r="K12" s="68">
        <f t="shared" ref="K12:K13" si="16">LEN(G12)</f>
        <v>7</v>
      </c>
      <c r="L12" s="68" t="str">
        <f t="shared" ref="L12:L13" si="17">IF(LEN(G12)&lt;=$L$1,G12,"")</f>
        <v>Tперекл</v>
      </c>
      <c r="M12" s="69" t="s">
        <v>435</v>
      </c>
      <c r="N12" s="72" t="s">
        <v>112</v>
      </c>
      <c r="O12" s="73" t="s">
        <v>52</v>
      </c>
      <c r="P12" s="73" t="s">
        <v>52</v>
      </c>
      <c r="Q12" s="73"/>
      <c r="R12" s="75">
        <v>2</v>
      </c>
      <c r="S12" s="75" t="s">
        <v>113</v>
      </c>
      <c r="T12" s="73" t="s">
        <v>114</v>
      </c>
      <c r="U12" s="73">
        <v>50</v>
      </c>
      <c r="V12" s="73">
        <v>100000</v>
      </c>
      <c r="W12" s="73">
        <v>10</v>
      </c>
      <c r="X12" s="73"/>
      <c r="Y12" s="73"/>
      <c r="Z12" s="73">
        <v>100000</v>
      </c>
      <c r="AA12" s="73">
        <v>0</v>
      </c>
      <c r="AB12" s="71"/>
      <c r="AC12" s="67">
        <v>0</v>
      </c>
      <c r="AD12" s="67"/>
      <c r="AE12" s="67"/>
      <c r="AF12" s="67"/>
      <c r="AG12" s="67"/>
      <c r="AH12" s="67">
        <v>0</v>
      </c>
      <c r="AI12" s="67">
        <v>0</v>
      </c>
      <c r="AJ12" s="67">
        <v>0</v>
      </c>
      <c r="AK12" s="76" t="s">
        <v>378</v>
      </c>
      <c r="AL12" s="64" t="s">
        <v>466</v>
      </c>
      <c r="AM12" s="64" t="s">
        <v>461</v>
      </c>
      <c r="AN12" s="64" t="s">
        <v>118</v>
      </c>
      <c r="AO12" s="64" t="s">
        <v>112</v>
      </c>
      <c r="AP12" s="64"/>
      <c r="AQ12" s="64" t="s">
        <v>462</v>
      </c>
      <c r="AR12" s="64" t="str">
        <f>CONCATENATE(AL12, ".", AN12)</f>
        <v>WECSWI1.OpTmms.setVal</v>
      </c>
      <c r="AS12" s="64" t="s">
        <v>63</v>
      </c>
      <c r="AT12" s="70">
        <v>0</v>
      </c>
      <c r="AU12" s="70">
        <v>0</v>
      </c>
      <c r="AV12" s="70">
        <v>0</v>
      </c>
      <c r="AW12" s="70">
        <v>0</v>
      </c>
      <c r="AX12" s="70">
        <f t="shared" ref="AX12:AX13" si="18">BIN2DEC(CONCATENATE(0,0,0,0,AT12,AU12,AV12,AW12))</f>
        <v>0</v>
      </c>
      <c r="AY12" s="70"/>
      <c r="AZ12" s="70"/>
      <c r="BA12" s="75"/>
      <c r="BB12" s="70"/>
      <c r="BC12" s="70"/>
      <c r="BD12" s="70"/>
      <c r="BE12" s="70"/>
      <c r="BF12" s="70"/>
      <c r="BG12" s="70"/>
      <c r="BH12" s="70"/>
      <c r="BI12" s="74" t="str">
        <f t="shared" ref="BI12:BI13" si="19">CONCATENATE("description: """,G12,"""", ", ", "note: """,F12,"""",", ","group: """, C12, """",", ","minValue: ", U12,", ","maxValue: ", V12,", ","step: ", W12,", ","units: """, T12, """",", ","defaultValue: ", Z12,", ","eventRegistration: ", AA12,)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1" s="89" customFormat="1" ht="16.5" customHeight="1" x14ac:dyDescent="0.25">
      <c r="A13" s="69"/>
      <c r="B13" s="69"/>
      <c r="C13" s="69" t="s">
        <v>85</v>
      </c>
      <c r="D13" s="73"/>
      <c r="E13" s="29" t="s">
        <v>337</v>
      </c>
      <c r="F13" s="68" t="s">
        <v>499</v>
      </c>
      <c r="G13" s="68" t="s">
        <v>438</v>
      </c>
      <c r="H13" s="68" t="s">
        <v>428</v>
      </c>
      <c r="I13" s="117" t="s">
        <v>428</v>
      </c>
      <c r="J13" s="68"/>
      <c r="K13" s="68">
        <f t="shared" si="16"/>
        <v>4</v>
      </c>
      <c r="L13" s="68" t="str">
        <f t="shared" si="17"/>
        <v>Тблк</v>
      </c>
      <c r="M13" s="69" t="s">
        <v>436</v>
      </c>
      <c r="N13" s="72" t="s">
        <v>112</v>
      </c>
      <c r="O13" s="73" t="s">
        <v>52</v>
      </c>
      <c r="P13" s="73" t="s">
        <v>52</v>
      </c>
      <c r="Q13" s="73"/>
      <c r="R13" s="75">
        <v>2</v>
      </c>
      <c r="S13" s="75" t="s">
        <v>113</v>
      </c>
      <c r="T13" s="73" t="s">
        <v>114</v>
      </c>
      <c r="U13" s="73">
        <v>50</v>
      </c>
      <c r="V13" s="73">
        <v>100000</v>
      </c>
      <c r="W13" s="73">
        <v>10</v>
      </c>
      <c r="X13" s="73"/>
      <c r="Y13" s="73"/>
      <c r="Z13" s="73">
        <v>100000</v>
      </c>
      <c r="AA13" s="73">
        <v>0</v>
      </c>
      <c r="AB13" s="71"/>
      <c r="AC13" s="67">
        <v>0</v>
      </c>
      <c r="AD13" s="67"/>
      <c r="AE13" s="67"/>
      <c r="AF13" s="67"/>
      <c r="AG13" s="67"/>
      <c r="AH13" s="67">
        <v>0</v>
      </c>
      <c r="AI13" s="67">
        <v>0</v>
      </c>
      <c r="AJ13" s="67">
        <v>0</v>
      </c>
      <c r="AK13" s="76" t="s">
        <v>378</v>
      </c>
      <c r="AL13" s="64" t="s">
        <v>467</v>
      </c>
      <c r="AM13" s="64" t="s">
        <v>461</v>
      </c>
      <c r="AN13" s="64" t="s">
        <v>118</v>
      </c>
      <c r="AO13" s="64" t="s">
        <v>112</v>
      </c>
      <c r="AP13" s="64"/>
      <c r="AQ13" s="64" t="s">
        <v>462</v>
      </c>
      <c r="AR13" s="64" t="str">
        <f>CONCATENATE(AL13, ".", AN13)</f>
        <v>WECSWI1.BlkTmms.setVal</v>
      </c>
      <c r="AS13" s="64" t="s">
        <v>63</v>
      </c>
      <c r="AT13" s="70">
        <v>0</v>
      </c>
      <c r="AU13" s="70">
        <v>0</v>
      </c>
      <c r="AV13" s="70">
        <v>0</v>
      </c>
      <c r="AW13" s="70">
        <v>0</v>
      </c>
      <c r="AX13" s="70">
        <f t="shared" si="18"/>
        <v>0</v>
      </c>
      <c r="AY13" s="70"/>
      <c r="AZ13" s="70"/>
      <c r="BA13" s="75"/>
      <c r="BB13" s="70"/>
      <c r="BC13" s="70"/>
      <c r="BD13" s="70"/>
      <c r="BE13" s="70"/>
      <c r="BF13" s="70"/>
      <c r="BG13" s="70"/>
      <c r="BH13" s="70"/>
      <c r="BI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1" s="90" customFormat="1" x14ac:dyDescent="0.25">
      <c r="A14" s="81"/>
      <c r="B14" s="81"/>
      <c r="C14" s="81" t="s">
        <v>85</v>
      </c>
      <c r="D14" s="85"/>
      <c r="E14" s="91" t="s">
        <v>338</v>
      </c>
      <c r="F14" s="77" t="s">
        <v>111</v>
      </c>
      <c r="G14" s="77" t="s">
        <v>106</v>
      </c>
      <c r="H14" s="77" t="s">
        <v>110</v>
      </c>
      <c r="I14" s="117" t="s">
        <v>110</v>
      </c>
      <c r="J14" s="77" t="s">
        <v>101</v>
      </c>
      <c r="K14" s="77">
        <f>LEN(G14)</f>
        <v>12</v>
      </c>
      <c r="L14" s="77" t="str">
        <f>IF(LEN(G14)&lt;=$L$1,G14,"")</f>
        <v>Ввод_функции</v>
      </c>
      <c r="M14" s="81" t="s">
        <v>431</v>
      </c>
      <c r="N14" s="84" t="s">
        <v>54</v>
      </c>
      <c r="O14" s="85" t="s">
        <v>52</v>
      </c>
      <c r="P14" s="85" t="s">
        <v>52</v>
      </c>
      <c r="Q14" s="85"/>
      <c r="R14" s="87">
        <v>0</v>
      </c>
      <c r="S14" s="87"/>
      <c r="T14" s="85" t="s">
        <v>53</v>
      </c>
      <c r="U14" s="85">
        <v>0</v>
      </c>
      <c r="V14" s="85">
        <v>1</v>
      </c>
      <c r="W14" s="85">
        <v>1</v>
      </c>
      <c r="X14" s="85"/>
      <c r="Y14" s="85"/>
      <c r="Z14" s="85">
        <v>0</v>
      </c>
      <c r="AA14" s="85">
        <v>0</v>
      </c>
      <c r="AB14" s="83"/>
      <c r="AC14" s="79">
        <v>0</v>
      </c>
      <c r="AD14" s="79"/>
      <c r="AE14" s="79"/>
      <c r="AF14" s="79"/>
      <c r="AG14" s="79"/>
      <c r="AH14" s="79">
        <v>0</v>
      </c>
      <c r="AI14" s="79">
        <v>0</v>
      </c>
      <c r="AJ14" s="79">
        <v>0</v>
      </c>
      <c r="AK14" s="79"/>
      <c r="AL14" s="82"/>
      <c r="AM14" s="82"/>
      <c r="AN14" s="82"/>
      <c r="AO14" s="82"/>
      <c r="AP14" s="82"/>
      <c r="AQ14" s="82"/>
      <c r="AR14" s="82"/>
      <c r="AS14" s="82"/>
      <c r="AT14" s="82">
        <v>0</v>
      </c>
      <c r="AU14" s="82">
        <v>0</v>
      </c>
      <c r="AV14" s="82">
        <v>0</v>
      </c>
      <c r="AW14" s="82">
        <v>0</v>
      </c>
      <c r="AX14" s="82">
        <f>BIN2DEC(CONCATENATE(0,0,0,0,AT14,AU14,AV14,AW14))</f>
        <v>0</v>
      </c>
      <c r="AY14" s="82" t="s">
        <v>102</v>
      </c>
      <c r="AZ14" s="82"/>
      <c r="BA14" s="87"/>
      <c r="BB14" s="82"/>
      <c r="BC14" s="82"/>
      <c r="BD14" s="82"/>
      <c r="BE14" s="82"/>
      <c r="BF14" s="82"/>
      <c r="BG14" s="82"/>
      <c r="BH14" s="82"/>
      <c r="BI14" s="88" t="str">
        <f>CONCATENATE("description: """,G14,"""", ", ", "note: """,F14,"""",", ","group: """, C14, """",", ","minValue: ", U14,", ","maxValue: ", V14,", ","step: ", W14,", ","units: """, T14, """",", ","defaultValue: ", Z14,", ","eventRegistration: ", AA14,)</f>
        <v>description: "Ввод_функции", note: "Ввод функции в работу", group: "setting", minValue: 0, maxValue: 1, step: 1, units: "null", defaultValue: 0, eventRegistration: 0</v>
      </c>
    </row>
    <row r="15" spans="1:16381" s="90" customFormat="1" ht="31.5" x14ac:dyDescent="0.25">
      <c r="A15" s="81"/>
      <c r="B15" s="81"/>
      <c r="C15" s="81" t="s">
        <v>85</v>
      </c>
      <c r="D15" s="85"/>
      <c r="E15" s="91" t="s">
        <v>338</v>
      </c>
      <c r="F15" s="77" t="s">
        <v>437</v>
      </c>
      <c r="G15" s="77" t="s">
        <v>425</v>
      </c>
      <c r="H15" s="77" t="s">
        <v>426</v>
      </c>
      <c r="I15" s="117" t="s">
        <v>426</v>
      </c>
      <c r="J15" s="77"/>
      <c r="K15" s="77">
        <f t="shared" ref="K15:K16" si="20">LEN(G15)</f>
        <v>7</v>
      </c>
      <c r="L15" s="77" t="str">
        <f t="shared" ref="L15:L16" si="21">IF(LEN(G15)&lt;=$L$1,G15,"")</f>
        <v>Tперекл</v>
      </c>
      <c r="M15" s="81" t="s">
        <v>432</v>
      </c>
      <c r="N15" s="84" t="s">
        <v>112</v>
      </c>
      <c r="O15" s="85" t="s">
        <v>52</v>
      </c>
      <c r="P15" s="85" t="s">
        <v>52</v>
      </c>
      <c r="Q15" s="85"/>
      <c r="R15" s="87">
        <v>2</v>
      </c>
      <c r="S15" s="87" t="s">
        <v>113</v>
      </c>
      <c r="T15" s="85" t="s">
        <v>114</v>
      </c>
      <c r="U15" s="85">
        <v>50</v>
      </c>
      <c r="V15" s="85">
        <v>100000</v>
      </c>
      <c r="W15" s="85">
        <v>10</v>
      </c>
      <c r="X15" s="85"/>
      <c r="Y15" s="85"/>
      <c r="Z15" s="85">
        <v>100000</v>
      </c>
      <c r="AA15" s="85">
        <v>0</v>
      </c>
      <c r="AB15" s="83"/>
      <c r="AC15" s="79">
        <v>0</v>
      </c>
      <c r="AD15" s="79"/>
      <c r="AE15" s="79"/>
      <c r="AF15" s="79"/>
      <c r="AG15" s="79"/>
      <c r="AH15" s="79">
        <v>0</v>
      </c>
      <c r="AI15" s="79">
        <v>0</v>
      </c>
      <c r="AJ15" s="79">
        <v>0</v>
      </c>
      <c r="AK15" s="80" t="s">
        <v>378</v>
      </c>
      <c r="AL15" s="86" t="s">
        <v>464</v>
      </c>
      <c r="AM15" s="86" t="s">
        <v>461</v>
      </c>
      <c r="AN15" s="86" t="s">
        <v>118</v>
      </c>
      <c r="AO15" s="86" t="s">
        <v>112</v>
      </c>
      <c r="AP15" s="86"/>
      <c r="AQ15" s="86" t="s">
        <v>462</v>
      </c>
      <c r="AR15" s="86" t="str">
        <f>CONCATENATE(AL15, ".", AN15)</f>
        <v>ESCSWI1.OpTmms.setVal</v>
      </c>
      <c r="AS15" s="86" t="s">
        <v>63</v>
      </c>
      <c r="AT15" s="82">
        <v>0</v>
      </c>
      <c r="AU15" s="82">
        <v>0</v>
      </c>
      <c r="AV15" s="82">
        <v>0</v>
      </c>
      <c r="AW15" s="82">
        <v>0</v>
      </c>
      <c r="AX15" s="82">
        <f t="shared" ref="AX15:AX16" si="22">BIN2DEC(CONCATENATE(0,0,0,0,AT15,AU15,AV15,AW15))</f>
        <v>0</v>
      </c>
      <c r="AY15" s="82"/>
      <c r="AZ15" s="82"/>
      <c r="BA15" s="87"/>
      <c r="BB15" s="82"/>
      <c r="BC15" s="82"/>
      <c r="BD15" s="82"/>
      <c r="BE15" s="82"/>
      <c r="BF15" s="82"/>
      <c r="BG15" s="82"/>
      <c r="BH15" s="82"/>
      <c r="BI15" s="88" t="str">
        <f t="shared" ref="BI15:BI16" si="23">CONCATENATE("description: """,G15,"""", ", ", "note: """,F15,"""",", ","group: """, C15, """",", ","minValue: ", U15,", ","maxValue: ", V15,", ","step: ", W15,", ","units: """, T15, """",", ","defaultValue: ", Z15,", ","eventRegistration: ", AA15,)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1" s="90" customFormat="1" ht="16.5" customHeight="1" x14ac:dyDescent="0.25">
      <c r="A16" s="81"/>
      <c r="B16" s="81"/>
      <c r="C16" s="81" t="s">
        <v>85</v>
      </c>
      <c r="D16" s="85"/>
      <c r="E16" s="91" t="s">
        <v>338</v>
      </c>
      <c r="F16" s="77" t="s">
        <v>499</v>
      </c>
      <c r="G16" s="77" t="s">
        <v>438</v>
      </c>
      <c r="H16" s="77" t="s">
        <v>428</v>
      </c>
      <c r="I16" s="117" t="s">
        <v>428</v>
      </c>
      <c r="J16" s="77"/>
      <c r="K16" s="77">
        <f t="shared" si="20"/>
        <v>4</v>
      </c>
      <c r="L16" s="77" t="str">
        <f t="shared" si="21"/>
        <v>Тблк</v>
      </c>
      <c r="M16" s="81" t="s">
        <v>433</v>
      </c>
      <c r="N16" s="84" t="s">
        <v>112</v>
      </c>
      <c r="O16" s="85" t="s">
        <v>52</v>
      </c>
      <c r="P16" s="85" t="s">
        <v>52</v>
      </c>
      <c r="Q16" s="85"/>
      <c r="R16" s="87">
        <v>2</v>
      </c>
      <c r="S16" s="87" t="s">
        <v>113</v>
      </c>
      <c r="T16" s="85" t="s">
        <v>114</v>
      </c>
      <c r="U16" s="85">
        <v>50</v>
      </c>
      <c r="V16" s="85">
        <v>100000</v>
      </c>
      <c r="W16" s="85">
        <v>10</v>
      </c>
      <c r="X16" s="85"/>
      <c r="Y16" s="85"/>
      <c r="Z16" s="85">
        <v>100000</v>
      </c>
      <c r="AA16" s="85">
        <v>0</v>
      </c>
      <c r="AB16" s="83"/>
      <c r="AC16" s="79">
        <v>0</v>
      </c>
      <c r="AD16" s="79"/>
      <c r="AE16" s="79"/>
      <c r="AF16" s="79"/>
      <c r="AG16" s="79"/>
      <c r="AH16" s="79">
        <v>0</v>
      </c>
      <c r="AI16" s="79">
        <v>0</v>
      </c>
      <c r="AJ16" s="79">
        <v>0</v>
      </c>
      <c r="AK16" s="80" t="s">
        <v>378</v>
      </c>
      <c r="AL16" s="86" t="s">
        <v>465</v>
      </c>
      <c r="AM16" s="86" t="s">
        <v>461</v>
      </c>
      <c r="AN16" s="86" t="s">
        <v>118</v>
      </c>
      <c r="AO16" s="86" t="s">
        <v>112</v>
      </c>
      <c r="AP16" s="86"/>
      <c r="AQ16" s="86" t="s">
        <v>462</v>
      </c>
      <c r="AR16" s="86" t="str">
        <f>CONCATENATE(AL16, ".", AN16)</f>
        <v>ESCSWI1.BlkTmms.setVal</v>
      </c>
      <c r="AS16" s="86" t="s">
        <v>63</v>
      </c>
      <c r="AT16" s="82">
        <v>0</v>
      </c>
      <c r="AU16" s="82">
        <v>0</v>
      </c>
      <c r="AV16" s="82">
        <v>0</v>
      </c>
      <c r="AW16" s="82">
        <v>0</v>
      </c>
      <c r="AX16" s="82">
        <f t="shared" si="22"/>
        <v>0</v>
      </c>
      <c r="AY16" s="82"/>
      <c r="AZ16" s="82"/>
      <c r="BA16" s="87"/>
      <c r="BB16" s="82"/>
      <c r="BC16" s="82"/>
      <c r="BD16" s="82"/>
      <c r="BE16" s="82"/>
      <c r="BF16" s="82"/>
      <c r="BG16" s="82"/>
      <c r="BH16" s="82"/>
      <c r="BI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1" s="89" customFormat="1" x14ac:dyDescent="0.25">
      <c r="A17" s="69"/>
      <c r="B17" s="69"/>
      <c r="C17" s="69" t="s">
        <v>85</v>
      </c>
      <c r="D17" s="73"/>
      <c r="E17" s="29" t="s">
        <v>340</v>
      </c>
      <c r="F17" s="68" t="s">
        <v>454</v>
      </c>
      <c r="G17" s="68" t="s">
        <v>455</v>
      </c>
      <c r="H17" s="68" t="s">
        <v>110</v>
      </c>
      <c r="I17" s="117" t="s">
        <v>110</v>
      </c>
      <c r="J17" s="68" t="s">
        <v>101</v>
      </c>
      <c r="K17" s="68">
        <f t="shared" ref="K17:K20" si="24">LEN(G17)</f>
        <v>5</v>
      </c>
      <c r="L17" s="68" t="str">
        <f t="shared" ref="L17:L20" si="25">IF(LEN(G17)&lt;=$L$1,G17,"")</f>
        <v>ОБР_В</v>
      </c>
      <c r="M17" s="69" t="s">
        <v>475</v>
      </c>
      <c r="N17" s="72" t="s">
        <v>54</v>
      </c>
      <c r="O17" s="73" t="s">
        <v>52</v>
      </c>
      <c r="P17" s="73" t="s">
        <v>52</v>
      </c>
      <c r="Q17" s="73"/>
      <c r="R17" s="75">
        <v>0</v>
      </c>
      <c r="S17" s="75"/>
      <c r="T17" s="73" t="s">
        <v>53</v>
      </c>
      <c r="U17" s="73">
        <v>0</v>
      </c>
      <c r="V17" s="73">
        <v>1</v>
      </c>
      <c r="W17" s="73">
        <v>1</v>
      </c>
      <c r="X17" s="73"/>
      <c r="Y17" s="73"/>
      <c r="Z17" s="73">
        <v>0</v>
      </c>
      <c r="AA17" s="73">
        <v>0</v>
      </c>
      <c r="AB17" s="71"/>
      <c r="AC17" s="67">
        <v>0</v>
      </c>
      <c r="AD17" s="67"/>
      <c r="AE17" s="67"/>
      <c r="AF17" s="67"/>
      <c r="AG17" s="67"/>
      <c r="AH17" s="67">
        <v>0</v>
      </c>
      <c r="AI17" s="67">
        <v>0</v>
      </c>
      <c r="AJ17" s="67">
        <v>0</v>
      </c>
      <c r="AK17" s="67"/>
      <c r="AL17" s="70"/>
      <c r="AM17" s="70"/>
      <c r="AN17" s="70"/>
      <c r="AO17" s="70"/>
      <c r="AP17" s="70"/>
      <c r="AQ17" s="70"/>
      <c r="AR17" s="70"/>
      <c r="AS17" s="70"/>
      <c r="AT17" s="70">
        <v>0</v>
      </c>
      <c r="AU17" s="70">
        <v>0</v>
      </c>
      <c r="AV17" s="70">
        <v>0</v>
      </c>
      <c r="AW17" s="70">
        <v>0</v>
      </c>
      <c r="AX17" s="70">
        <f t="shared" ref="AX17:AX20" si="26">BIN2DEC(CONCATENATE(0,0,0,0,AT17,AU17,AV17,AW17))</f>
        <v>0</v>
      </c>
      <c r="AY17" s="70" t="s">
        <v>102</v>
      </c>
      <c r="AZ17" s="70"/>
      <c r="BA17" s="75"/>
      <c r="BB17" s="70"/>
      <c r="BC17" s="70"/>
      <c r="BD17" s="70"/>
      <c r="BE17" s="70"/>
      <c r="BF17" s="70"/>
      <c r="BG17" s="70"/>
      <c r="BH17" s="70"/>
      <c r="BI17" s="74" t="str">
        <f t="shared" ref="BI17:BI20" si="27">CONCATENATE("description: """,G17,"""", ", ", "note: """,F17,"""",", ","group: """, C17, """",", ","minValue: ", U17,", ","maxValue: ", V17,", ","step: ", W17,", ","units: """, T17, """",", ","defaultValue: ", Z17,", ","eventRegistration: ", AA17,)</f>
        <v>description: "ОБР_В", note: "Ввод ОБР В в работу", group: "setting", minValue: 0, maxValue: 1, step: 1, units: "null", defaultValue: 0, eventRegistration: 0</v>
      </c>
    </row>
    <row r="18" spans="1:61" s="89" customFormat="1" x14ac:dyDescent="0.25">
      <c r="A18" s="69"/>
      <c r="B18" s="69"/>
      <c r="C18" s="69" t="s">
        <v>85</v>
      </c>
      <c r="D18" s="73"/>
      <c r="E18" s="29" t="s">
        <v>340</v>
      </c>
      <c r="F18" s="68" t="s">
        <v>456</v>
      </c>
      <c r="G18" s="68" t="s">
        <v>457</v>
      </c>
      <c r="H18" s="68" t="s">
        <v>115</v>
      </c>
      <c r="I18" s="117" t="s">
        <v>115</v>
      </c>
      <c r="J18" s="68" t="s">
        <v>101</v>
      </c>
      <c r="K18" s="68">
        <f t="shared" si="24"/>
        <v>8</v>
      </c>
      <c r="L18" s="68" t="str">
        <f t="shared" si="25"/>
        <v>Контр_ЗН</v>
      </c>
      <c r="M18" s="69" t="s">
        <v>443</v>
      </c>
      <c r="N18" s="72" t="s">
        <v>54</v>
      </c>
      <c r="O18" s="73" t="s">
        <v>52</v>
      </c>
      <c r="P18" s="73" t="s">
        <v>52</v>
      </c>
      <c r="Q18" s="73"/>
      <c r="R18" s="75">
        <v>0</v>
      </c>
      <c r="S18" s="75"/>
      <c r="T18" s="73" t="s">
        <v>53</v>
      </c>
      <c r="U18" s="73">
        <v>0</v>
      </c>
      <c r="V18" s="73">
        <v>1</v>
      </c>
      <c r="W18" s="73">
        <v>1</v>
      </c>
      <c r="X18" s="73"/>
      <c r="Y18" s="73"/>
      <c r="Z18" s="73">
        <v>0</v>
      </c>
      <c r="AA18" s="73">
        <v>0</v>
      </c>
      <c r="AB18" s="71"/>
      <c r="AC18" s="67">
        <v>0</v>
      </c>
      <c r="AD18" s="67"/>
      <c r="AE18" s="67"/>
      <c r="AF18" s="67"/>
      <c r="AG18" s="67"/>
      <c r="AH18" s="67">
        <v>0</v>
      </c>
      <c r="AI18" s="67">
        <v>0</v>
      </c>
      <c r="AJ18" s="67">
        <v>0</v>
      </c>
      <c r="AK18" s="67"/>
      <c r="AL18" s="70"/>
      <c r="AM18" s="70"/>
      <c r="AN18" s="70"/>
      <c r="AO18" s="70"/>
      <c r="AP18" s="70"/>
      <c r="AQ18" s="70"/>
      <c r="AR18" s="70"/>
      <c r="AS18" s="70"/>
      <c r="AT18" s="70">
        <v>0</v>
      </c>
      <c r="AU18" s="70">
        <v>0</v>
      </c>
      <c r="AV18" s="70">
        <v>0</v>
      </c>
      <c r="AW18" s="70">
        <v>0</v>
      </c>
      <c r="AX18" s="70">
        <f t="shared" si="26"/>
        <v>0</v>
      </c>
      <c r="AY18" s="70" t="s">
        <v>102</v>
      </c>
      <c r="AZ18" s="70"/>
      <c r="BA18" s="75"/>
      <c r="BB18" s="70"/>
      <c r="BC18" s="70"/>
      <c r="BD18" s="70"/>
      <c r="BE18" s="70"/>
      <c r="BF18" s="70"/>
      <c r="BG18" s="70"/>
      <c r="BH18" s="70"/>
      <c r="BI18" s="74" t="str">
        <f t="shared" si="27"/>
        <v>description: "Контр_ЗН", note: "Контроль ЗН", group: "setting", minValue: 0, maxValue: 1, step: 1, units: "null", defaultValue: 0, eventRegistration: 0</v>
      </c>
    </row>
    <row r="19" spans="1:61" s="89" customFormat="1" x14ac:dyDescent="0.25">
      <c r="A19" s="69"/>
      <c r="B19" s="69"/>
      <c r="C19" s="69" t="s">
        <v>85</v>
      </c>
      <c r="D19" s="73"/>
      <c r="E19" s="29" t="s">
        <v>340</v>
      </c>
      <c r="F19" s="68" t="s">
        <v>450</v>
      </c>
      <c r="G19" s="68" t="s">
        <v>458</v>
      </c>
      <c r="H19" s="68" t="s">
        <v>116</v>
      </c>
      <c r="I19" s="117" t="s">
        <v>116</v>
      </c>
      <c r="J19" s="68" t="s">
        <v>101</v>
      </c>
      <c r="K19" s="68">
        <f t="shared" si="24"/>
        <v>9</v>
      </c>
      <c r="L19" s="68" t="str">
        <f t="shared" si="25"/>
        <v>Контр_KA1</v>
      </c>
      <c r="M19" s="69" t="s">
        <v>444</v>
      </c>
      <c r="N19" s="72" t="s">
        <v>54</v>
      </c>
      <c r="O19" s="73" t="s">
        <v>52</v>
      </c>
      <c r="P19" s="73" t="s">
        <v>52</v>
      </c>
      <c r="Q19" s="73"/>
      <c r="R19" s="75">
        <v>0</v>
      </c>
      <c r="S19" s="75"/>
      <c r="T19" s="73" t="s">
        <v>53</v>
      </c>
      <c r="U19" s="73">
        <v>0</v>
      </c>
      <c r="V19" s="73">
        <v>1</v>
      </c>
      <c r="W19" s="73">
        <v>1</v>
      </c>
      <c r="X19" s="73"/>
      <c r="Y19" s="73"/>
      <c r="Z19" s="73">
        <v>0</v>
      </c>
      <c r="AA19" s="73">
        <v>0</v>
      </c>
      <c r="AB19" s="71"/>
      <c r="AC19" s="67">
        <v>0</v>
      </c>
      <c r="AD19" s="67"/>
      <c r="AE19" s="67"/>
      <c r="AF19" s="67"/>
      <c r="AG19" s="67"/>
      <c r="AH19" s="67">
        <v>0</v>
      </c>
      <c r="AI19" s="67">
        <v>0</v>
      </c>
      <c r="AJ19" s="67">
        <v>0</v>
      </c>
      <c r="AK19" s="67"/>
      <c r="AL19" s="70"/>
      <c r="AM19" s="70"/>
      <c r="AN19" s="70"/>
      <c r="AO19" s="70"/>
      <c r="AP19" s="70"/>
      <c r="AQ19" s="70"/>
      <c r="AR19" s="70"/>
      <c r="AS19" s="70"/>
      <c r="AT19" s="70">
        <v>0</v>
      </c>
      <c r="AU19" s="70">
        <v>0</v>
      </c>
      <c r="AV19" s="70">
        <v>0</v>
      </c>
      <c r="AW19" s="70">
        <v>0</v>
      </c>
      <c r="AX19" s="70">
        <f t="shared" si="26"/>
        <v>0</v>
      </c>
      <c r="AY19" s="70" t="s">
        <v>102</v>
      </c>
      <c r="AZ19" s="70"/>
      <c r="BA19" s="75"/>
      <c r="BB19" s="70"/>
      <c r="BC19" s="70"/>
      <c r="BD19" s="70"/>
      <c r="BE19" s="70"/>
      <c r="BF19" s="70"/>
      <c r="BG19" s="70"/>
      <c r="BH19" s="70"/>
      <c r="BI19" s="74" t="str">
        <f t="shared" si="27"/>
        <v>description: "Контр_KA1", note: "Контроль КА1", group: "setting", minValue: 0, maxValue: 1, step: 1, units: "null", defaultValue: 0, eventRegistration: 0</v>
      </c>
    </row>
    <row r="20" spans="1:61" s="89" customFormat="1" x14ac:dyDescent="0.25">
      <c r="A20" s="69"/>
      <c r="B20" s="69"/>
      <c r="C20" s="69" t="s">
        <v>85</v>
      </c>
      <c r="D20" s="73"/>
      <c r="E20" s="29" t="s">
        <v>340</v>
      </c>
      <c r="F20" s="68" t="s">
        <v>452</v>
      </c>
      <c r="G20" s="68" t="s">
        <v>459</v>
      </c>
      <c r="H20" s="68" t="s">
        <v>117</v>
      </c>
      <c r="I20" s="117" t="s">
        <v>117</v>
      </c>
      <c r="J20" s="68" t="s">
        <v>101</v>
      </c>
      <c r="K20" s="68">
        <f t="shared" si="24"/>
        <v>9</v>
      </c>
      <c r="L20" s="68" t="str">
        <f t="shared" si="25"/>
        <v>Контр_KA2</v>
      </c>
      <c r="M20" s="69" t="s">
        <v>445</v>
      </c>
      <c r="N20" s="72" t="s">
        <v>54</v>
      </c>
      <c r="O20" s="73" t="s">
        <v>52</v>
      </c>
      <c r="P20" s="73" t="s">
        <v>52</v>
      </c>
      <c r="Q20" s="73"/>
      <c r="R20" s="75">
        <v>0</v>
      </c>
      <c r="S20" s="75"/>
      <c r="T20" s="73" t="s">
        <v>53</v>
      </c>
      <c r="U20" s="73">
        <v>0</v>
      </c>
      <c r="V20" s="73">
        <v>1</v>
      </c>
      <c r="W20" s="73">
        <v>1</v>
      </c>
      <c r="X20" s="73"/>
      <c r="Y20" s="73"/>
      <c r="Z20" s="73">
        <v>0</v>
      </c>
      <c r="AA20" s="73">
        <v>0</v>
      </c>
      <c r="AB20" s="71"/>
      <c r="AC20" s="67">
        <v>0</v>
      </c>
      <c r="AD20" s="67"/>
      <c r="AE20" s="67"/>
      <c r="AF20" s="67"/>
      <c r="AG20" s="67"/>
      <c r="AH20" s="67">
        <v>0</v>
      </c>
      <c r="AI20" s="67">
        <v>0</v>
      </c>
      <c r="AJ20" s="67">
        <v>0</v>
      </c>
      <c r="AK20" s="67"/>
      <c r="AL20" s="70"/>
      <c r="AM20" s="70"/>
      <c r="AN20" s="70"/>
      <c r="AO20" s="70"/>
      <c r="AP20" s="70"/>
      <c r="AQ20" s="70"/>
      <c r="AR20" s="70"/>
      <c r="AS20" s="70"/>
      <c r="AT20" s="70">
        <v>0</v>
      </c>
      <c r="AU20" s="70">
        <v>0</v>
      </c>
      <c r="AV20" s="70">
        <v>0</v>
      </c>
      <c r="AW20" s="70">
        <v>0</v>
      </c>
      <c r="AX20" s="70">
        <f t="shared" si="26"/>
        <v>0</v>
      </c>
      <c r="AY20" s="70" t="s">
        <v>102</v>
      </c>
      <c r="AZ20" s="70"/>
      <c r="BA20" s="75"/>
      <c r="BB20" s="70"/>
      <c r="BC20" s="70"/>
      <c r="BD20" s="70"/>
      <c r="BE20" s="70"/>
      <c r="BF20" s="70"/>
      <c r="BG20" s="70"/>
      <c r="BH20" s="70"/>
      <c r="BI20" s="74" t="str">
        <f t="shared" si="27"/>
        <v>description: "Контр_KA2", note: "Контроль КА2", group: "setting", minValue: 0, maxValue: 1, step: 1, units: "null", defaultValue: 0, eventRegistration: 0</v>
      </c>
    </row>
    <row r="21" spans="1:61" s="90" customFormat="1" x14ac:dyDescent="0.25">
      <c r="A21" s="81"/>
      <c r="B21" s="81"/>
      <c r="C21" s="81" t="s">
        <v>85</v>
      </c>
      <c r="D21" s="85"/>
      <c r="E21" s="91" t="s">
        <v>339</v>
      </c>
      <c r="F21" s="77" t="s">
        <v>450</v>
      </c>
      <c r="G21" s="77" t="s">
        <v>451</v>
      </c>
      <c r="H21" s="77" t="s">
        <v>110</v>
      </c>
      <c r="I21" s="117" t="s">
        <v>110</v>
      </c>
      <c r="J21" s="77" t="s">
        <v>101</v>
      </c>
      <c r="K21" s="77">
        <f>LEN(G21)</f>
        <v>9</v>
      </c>
      <c r="L21" s="77" t="str">
        <f>IF(LEN(G21)&lt;=$L$1,G21,"")</f>
        <v>Контр_КА1</v>
      </c>
      <c r="M21" s="81" t="s">
        <v>441</v>
      </c>
      <c r="N21" s="84" t="s">
        <v>54</v>
      </c>
      <c r="O21" s="85" t="s">
        <v>52</v>
      </c>
      <c r="P21" s="85" t="s">
        <v>52</v>
      </c>
      <c r="Q21" s="85"/>
      <c r="R21" s="87">
        <v>0</v>
      </c>
      <c r="S21" s="87"/>
      <c r="T21" s="85" t="s">
        <v>53</v>
      </c>
      <c r="U21" s="85">
        <v>0</v>
      </c>
      <c r="V21" s="85">
        <v>1</v>
      </c>
      <c r="W21" s="85">
        <v>1</v>
      </c>
      <c r="X21" s="85"/>
      <c r="Y21" s="85"/>
      <c r="Z21" s="85">
        <v>0</v>
      </c>
      <c r="AA21" s="85">
        <v>0</v>
      </c>
      <c r="AB21" s="83"/>
      <c r="AC21" s="79">
        <v>0</v>
      </c>
      <c r="AD21" s="79"/>
      <c r="AE21" s="79"/>
      <c r="AF21" s="79"/>
      <c r="AG21" s="79"/>
      <c r="AH21" s="79">
        <v>0</v>
      </c>
      <c r="AI21" s="79">
        <v>0</v>
      </c>
      <c r="AJ21" s="79">
        <v>0</v>
      </c>
      <c r="AK21" s="79"/>
      <c r="AL21" s="82"/>
      <c r="AM21" s="82"/>
      <c r="AN21" s="82"/>
      <c r="AO21" s="82"/>
      <c r="AP21" s="82"/>
      <c r="AQ21" s="82"/>
      <c r="AR21" s="82"/>
      <c r="AS21" s="82"/>
      <c r="AT21" s="82">
        <v>0</v>
      </c>
      <c r="AU21" s="82">
        <v>0</v>
      </c>
      <c r="AV21" s="82">
        <v>0</v>
      </c>
      <c r="AW21" s="82">
        <v>0</v>
      </c>
      <c r="AX21" s="82">
        <f>BIN2DEC(CONCATENATE(0,0,0,0,AT21,AU21,AV21,AW21))</f>
        <v>0</v>
      </c>
      <c r="AY21" s="82" t="s">
        <v>102</v>
      </c>
      <c r="AZ21" s="82"/>
      <c r="BA21" s="87"/>
      <c r="BB21" s="82"/>
      <c r="BC21" s="82"/>
      <c r="BD21" s="82"/>
      <c r="BE21" s="82"/>
      <c r="BF21" s="82"/>
      <c r="BG21" s="82"/>
      <c r="BH21" s="82"/>
      <c r="BI21" s="88" t="str">
        <f>CONCATENATE("description: """,G21,"""", ", ", "note: """,F21,"""",", ","group: """, C21, """",", ","minValue: ", U21,", ","maxValue: ", V21,", ","step: ", W21,", ","units: """, T21, """",", ","defaultValue: ", Z21,", ","eventRegistration: ", AA21,)</f>
        <v>description: "Контр_КА1", note: "Контроль КА1", group: "setting", minValue: 0, maxValue: 1, step: 1, units: "null", defaultValue: 0, eventRegistration: 0</v>
      </c>
    </row>
    <row r="22" spans="1:61" s="90" customFormat="1" x14ac:dyDescent="0.25">
      <c r="A22" s="81"/>
      <c r="B22" s="81"/>
      <c r="C22" s="81" t="s">
        <v>85</v>
      </c>
      <c r="D22" s="85"/>
      <c r="E22" s="91" t="s">
        <v>339</v>
      </c>
      <c r="F22" s="77" t="s">
        <v>452</v>
      </c>
      <c r="G22" s="77" t="s">
        <v>453</v>
      </c>
      <c r="H22" s="77" t="s">
        <v>115</v>
      </c>
      <c r="I22" s="117" t="s">
        <v>115</v>
      </c>
      <c r="J22" s="77" t="s">
        <v>101</v>
      </c>
      <c r="K22" s="77">
        <f>LEN(G22)</f>
        <v>9</v>
      </c>
      <c r="L22" s="77" t="str">
        <f>IF(LEN(G22)&lt;=$L$1,G22,"")</f>
        <v>Контр_КА2</v>
      </c>
      <c r="M22" s="81" t="s">
        <v>442</v>
      </c>
      <c r="N22" s="84" t="s">
        <v>54</v>
      </c>
      <c r="O22" s="85" t="s">
        <v>52</v>
      </c>
      <c r="P22" s="85" t="s">
        <v>52</v>
      </c>
      <c r="Q22" s="85"/>
      <c r="R22" s="87">
        <v>0</v>
      </c>
      <c r="S22" s="87"/>
      <c r="T22" s="85" t="s">
        <v>53</v>
      </c>
      <c r="U22" s="85">
        <v>0</v>
      </c>
      <c r="V22" s="85">
        <v>1</v>
      </c>
      <c r="W22" s="85">
        <v>1</v>
      </c>
      <c r="X22" s="85"/>
      <c r="Y22" s="85"/>
      <c r="Z22" s="85">
        <v>0</v>
      </c>
      <c r="AA22" s="85">
        <v>0</v>
      </c>
      <c r="AB22" s="83"/>
      <c r="AC22" s="79">
        <v>0</v>
      </c>
      <c r="AD22" s="79"/>
      <c r="AE22" s="79"/>
      <c r="AF22" s="79"/>
      <c r="AG22" s="79"/>
      <c r="AH22" s="79">
        <v>0</v>
      </c>
      <c r="AI22" s="79">
        <v>0</v>
      </c>
      <c r="AJ22" s="79">
        <v>0</v>
      </c>
      <c r="AK22" s="79"/>
      <c r="AL22" s="82"/>
      <c r="AM22" s="82"/>
      <c r="AN22" s="82"/>
      <c r="AO22" s="82"/>
      <c r="AP22" s="82"/>
      <c r="AQ22" s="82"/>
      <c r="AR22" s="82"/>
      <c r="AS22" s="82"/>
      <c r="AT22" s="82">
        <v>0</v>
      </c>
      <c r="AU22" s="82">
        <v>0</v>
      </c>
      <c r="AV22" s="82">
        <v>0</v>
      </c>
      <c r="AW22" s="82">
        <v>0</v>
      </c>
      <c r="AX22" s="82">
        <f>BIN2DEC(CONCATENATE(0,0,0,0,AT22,AU22,AV22,AW22))</f>
        <v>0</v>
      </c>
      <c r="AY22" s="82" t="s">
        <v>102</v>
      </c>
      <c r="AZ22" s="82"/>
      <c r="BA22" s="87"/>
      <c r="BB22" s="82"/>
      <c r="BC22" s="82"/>
      <c r="BD22" s="82"/>
      <c r="BE22" s="82"/>
      <c r="BF22" s="82"/>
      <c r="BG22" s="82"/>
      <c r="BH22" s="82"/>
      <c r="BI22" s="88" t="str">
        <f>CONCATENATE("description: """,G22,"""", ", ", "note: """,F22,"""",", ","group: """, C22, """",", ","minValue: ", U22,", ","maxValue: ", V22,", ","step: ", W22,", ","units: """, T22, """",", ","defaultValue: ", Z22,", ","eventRegistration: ", AA22,)</f>
        <v>description: "Контр_КА2", note: "Контроль КА2", group: "setting", minValue: 0, maxValue: 1, step: 1, units: "null", defaultValue: 0, eventRegistration: 0</v>
      </c>
    </row>
    <row r="23" spans="1:61" s="89" customFormat="1" x14ac:dyDescent="0.25">
      <c r="A23" s="69"/>
      <c r="B23" s="69"/>
      <c r="C23" s="69" t="s">
        <v>85</v>
      </c>
      <c r="D23" s="73"/>
      <c r="E23" s="29" t="s">
        <v>341</v>
      </c>
      <c r="F23" s="68" t="s">
        <v>446</v>
      </c>
      <c r="G23" s="68" t="s">
        <v>447</v>
      </c>
      <c r="H23" s="68" t="s">
        <v>110</v>
      </c>
      <c r="I23" s="117" t="s">
        <v>110</v>
      </c>
      <c r="J23" s="68" t="s">
        <v>101</v>
      </c>
      <c r="K23" s="68">
        <f>LEN(G23)</f>
        <v>9</v>
      </c>
      <c r="L23" s="68" t="str">
        <f>IF(LEN(G23)&lt;=$L$1,G23,"")</f>
        <v>Контр_KA3</v>
      </c>
      <c r="M23" s="69" t="s">
        <v>439</v>
      </c>
      <c r="N23" s="72" t="s">
        <v>54</v>
      </c>
      <c r="O23" s="73" t="s">
        <v>52</v>
      </c>
      <c r="P23" s="73" t="s">
        <v>52</v>
      </c>
      <c r="Q23" s="73"/>
      <c r="R23" s="75">
        <v>0</v>
      </c>
      <c r="S23" s="75"/>
      <c r="T23" s="73" t="s">
        <v>53</v>
      </c>
      <c r="U23" s="73">
        <v>0</v>
      </c>
      <c r="V23" s="73">
        <v>1</v>
      </c>
      <c r="W23" s="73">
        <v>1</v>
      </c>
      <c r="X23" s="73"/>
      <c r="Y23" s="73"/>
      <c r="Z23" s="73">
        <v>0</v>
      </c>
      <c r="AA23" s="73">
        <v>0</v>
      </c>
      <c r="AB23" s="71"/>
      <c r="AC23" s="67">
        <v>0</v>
      </c>
      <c r="AD23" s="67"/>
      <c r="AE23" s="67"/>
      <c r="AF23" s="67"/>
      <c r="AG23" s="67"/>
      <c r="AH23" s="67">
        <v>0</v>
      </c>
      <c r="AI23" s="67">
        <v>0</v>
      </c>
      <c r="AJ23" s="67">
        <v>0</v>
      </c>
      <c r="AK23" s="67"/>
      <c r="AL23" s="70"/>
      <c r="AM23" s="70"/>
      <c r="AN23" s="70"/>
      <c r="AO23" s="70"/>
      <c r="AP23" s="70"/>
      <c r="AQ23" s="70"/>
      <c r="AR23" s="70"/>
      <c r="AS23" s="70"/>
      <c r="AT23" s="70">
        <v>0</v>
      </c>
      <c r="AU23" s="70">
        <v>0</v>
      </c>
      <c r="AV23" s="70">
        <v>0</v>
      </c>
      <c r="AW23" s="70">
        <v>0</v>
      </c>
      <c r="AX23" s="70">
        <f>BIN2DEC(CONCATENATE(0,0,0,0,AT23,AU23,AV23,AW23))</f>
        <v>0</v>
      </c>
      <c r="AY23" s="70" t="s">
        <v>102</v>
      </c>
      <c r="AZ23" s="70"/>
      <c r="BA23" s="75"/>
      <c r="BB23" s="70"/>
      <c r="BC23" s="70"/>
      <c r="BD23" s="70"/>
      <c r="BE23" s="70"/>
      <c r="BF23" s="70"/>
      <c r="BG23" s="70"/>
      <c r="BH23" s="70"/>
      <c r="BI23" s="74" t="str">
        <f>CONCATENATE("description: """,G23,"""", ", ", "note: """,F23,"""",", ","group: """, C23, """",", ","minValue: ", U23,", ","maxValue: ", V23,", ","step: ", W23,", ","units: """, T23, """",", ","defaultValue: ", Z23,", ","eventRegistration: ", AA23,)</f>
        <v>description: "Контр_KA3", note: "Контроль KA3", group: "setting", minValue: 0, maxValue: 1, step: 1, units: "null", defaultValue: 0, eventRegistration: 0</v>
      </c>
    </row>
    <row r="24" spans="1:61" s="89" customFormat="1" x14ac:dyDescent="0.25">
      <c r="A24" s="69"/>
      <c r="B24" s="69"/>
      <c r="C24" s="69" t="s">
        <v>85</v>
      </c>
      <c r="D24" s="73"/>
      <c r="E24" s="29" t="s">
        <v>341</v>
      </c>
      <c r="F24" s="68" t="s">
        <v>448</v>
      </c>
      <c r="G24" s="68" t="s">
        <v>449</v>
      </c>
      <c r="H24" s="68" t="s">
        <v>115</v>
      </c>
      <c r="I24" s="117" t="s">
        <v>115</v>
      </c>
      <c r="J24" s="68" t="s">
        <v>101</v>
      </c>
      <c r="K24" s="68">
        <f>LEN(G24)</f>
        <v>9</v>
      </c>
      <c r="L24" s="68" t="str">
        <f>IF(LEN(G24)&lt;=$L$1,G24,"")</f>
        <v>Контр_KA4</v>
      </c>
      <c r="M24" s="69" t="s">
        <v>440</v>
      </c>
      <c r="N24" s="72" t="s">
        <v>54</v>
      </c>
      <c r="O24" s="73" t="s">
        <v>52</v>
      </c>
      <c r="P24" s="73" t="s">
        <v>52</v>
      </c>
      <c r="Q24" s="73"/>
      <c r="R24" s="75">
        <v>0</v>
      </c>
      <c r="S24" s="75"/>
      <c r="T24" s="73" t="s">
        <v>53</v>
      </c>
      <c r="U24" s="73">
        <v>0</v>
      </c>
      <c r="V24" s="73">
        <v>1</v>
      </c>
      <c r="W24" s="73">
        <v>1</v>
      </c>
      <c r="X24" s="73"/>
      <c r="Y24" s="73"/>
      <c r="Z24" s="73">
        <v>0</v>
      </c>
      <c r="AA24" s="73">
        <v>0</v>
      </c>
      <c r="AB24" s="71"/>
      <c r="AC24" s="67">
        <v>0</v>
      </c>
      <c r="AD24" s="67"/>
      <c r="AE24" s="67"/>
      <c r="AF24" s="67"/>
      <c r="AG24" s="67"/>
      <c r="AH24" s="67">
        <v>0</v>
      </c>
      <c r="AI24" s="67">
        <v>0</v>
      </c>
      <c r="AJ24" s="67">
        <v>0</v>
      </c>
      <c r="AK24" s="67"/>
      <c r="AL24" s="70"/>
      <c r="AM24" s="70"/>
      <c r="AN24" s="70"/>
      <c r="AO24" s="70"/>
      <c r="AP24" s="70"/>
      <c r="AQ24" s="70"/>
      <c r="AR24" s="70"/>
      <c r="AS24" s="70"/>
      <c r="AT24" s="70">
        <v>0</v>
      </c>
      <c r="AU24" s="70">
        <v>0</v>
      </c>
      <c r="AV24" s="70">
        <v>0</v>
      </c>
      <c r="AW24" s="70">
        <v>0</v>
      </c>
      <c r="AX24" s="70">
        <f>BIN2DEC(CONCATENATE(0,0,0,0,AT24,AU24,AV24,AW24))</f>
        <v>0</v>
      </c>
      <c r="AY24" s="70" t="s">
        <v>102</v>
      </c>
      <c r="AZ24" s="70"/>
      <c r="BA24" s="75"/>
      <c r="BB24" s="70"/>
      <c r="BC24" s="70"/>
      <c r="BD24" s="70"/>
      <c r="BE24" s="70"/>
      <c r="BF24" s="70"/>
      <c r="BG24" s="70"/>
      <c r="BH24" s="70"/>
      <c r="BI24" s="74" t="str">
        <f>CONCATENATE("description: """,G24,"""", ", ", "note: """,F24,"""",", ","group: """, C24, """",", ","minValue: ", U24,", ","maxValue: ", V24,", ","step: ", W24,", ","units: """, T24, """",", ","defaultValue: ", Z24,", ","eventRegistration: ", AA24,)</f>
        <v>description: "Контр_KA4", note: "Контроль KA4", group: "setting", minValue: 0, maxValue: 1, step: 1, units: "null", defaultValue: 0, eventRegistration: 0</v>
      </c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F12" sqref="F12"/>
    </sheetView>
  </sheetViews>
  <sheetFormatPr defaultRowHeight="15.75" x14ac:dyDescent="0.25"/>
  <cols>
    <col min="1" max="1" width="22.42578125" style="92" customWidth="1"/>
    <col min="2" max="2" width="64.140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242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468</v>
      </c>
    </row>
    <row r="7" spans="1:2" x14ac:dyDescent="0.25">
      <c r="A7" s="53" t="s">
        <v>469</v>
      </c>
      <c r="B7" s="52">
        <v>2</v>
      </c>
    </row>
    <row r="8" spans="1:2" x14ac:dyDescent="0.25">
      <c r="A8" s="114" t="s">
        <v>480</v>
      </c>
      <c r="B8" t="s">
        <v>481</v>
      </c>
    </row>
    <row r="9" spans="1:2" x14ac:dyDescent="0.25">
      <c r="A9" s="114" t="s">
        <v>482</v>
      </c>
      <c r="B9" s="114"/>
    </row>
    <row r="10" spans="1:2" x14ac:dyDescent="0.25">
      <c r="A10" s="57" t="s">
        <v>242</v>
      </c>
      <c r="B10" t="s">
        <v>481</v>
      </c>
    </row>
    <row r="11" spans="1:2" x14ac:dyDescent="0.25">
      <c r="A11" s="29" t="s">
        <v>336</v>
      </c>
      <c r="B11" t="s">
        <v>483</v>
      </c>
    </row>
    <row r="12" spans="1:2" x14ac:dyDescent="0.25">
      <c r="A12" s="115" t="s">
        <v>337</v>
      </c>
      <c r="B12" t="s">
        <v>484</v>
      </c>
    </row>
    <row r="13" spans="1:2" x14ac:dyDescent="0.25">
      <c r="A13" s="115" t="s">
        <v>338</v>
      </c>
      <c r="B13" t="s">
        <v>485</v>
      </c>
    </row>
    <row r="14" spans="1:2" x14ac:dyDescent="0.25">
      <c r="A14" s="115" t="s">
        <v>340</v>
      </c>
      <c r="B14" t="s">
        <v>486</v>
      </c>
    </row>
    <row r="15" spans="1:2" x14ac:dyDescent="0.25">
      <c r="A15" s="115" t="s">
        <v>339</v>
      </c>
      <c r="B15" t="s">
        <v>487</v>
      </c>
    </row>
    <row r="16" spans="1:2" x14ac:dyDescent="0.25">
      <c r="A16" s="115" t="s">
        <v>341</v>
      </c>
      <c r="B16" t="s">
        <v>488</v>
      </c>
    </row>
    <row r="17" spans="1:2" x14ac:dyDescent="0.25">
      <c r="A17" s="114" t="s">
        <v>482</v>
      </c>
      <c r="B17" s="11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2025-10-22T10:03:14Z</dcterms:modified>
</cp:coreProperties>
</file>