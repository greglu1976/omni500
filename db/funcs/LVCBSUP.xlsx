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Y32" i="2" l="1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10" i="2"/>
  <c r="AY9" i="2"/>
  <c r="AY8" i="2"/>
  <c r="AY7" i="2"/>
  <c r="AY6" i="2"/>
  <c r="AY5" i="2"/>
  <c r="BH20" i="2" l="1"/>
  <c r="AW20" i="2"/>
  <c r="K20" i="2"/>
  <c r="J20" i="2"/>
  <c r="BH10" i="2"/>
  <c r="AW10" i="2"/>
  <c r="K10" i="2"/>
  <c r="J10" i="2"/>
  <c r="BH9" i="2"/>
  <c r="AW9" i="2"/>
  <c r="K9" i="2"/>
  <c r="J9" i="2"/>
  <c r="BH4" i="4" l="1"/>
  <c r="BH5" i="4"/>
  <c r="BH6" i="4"/>
  <c r="BH7" i="4"/>
  <c r="BH8" i="4"/>
  <c r="BH9" i="4"/>
  <c r="BH10" i="4"/>
  <c r="BH11" i="4"/>
  <c r="BH12" i="4"/>
  <c r="BH13" i="4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H4" i="2"/>
  <c r="BH5" i="2"/>
  <c r="BH6" i="2"/>
  <c r="BH7" i="2"/>
  <c r="BH8" i="2"/>
  <c r="BH11" i="2"/>
  <c r="BH12" i="2"/>
  <c r="BH13" i="2"/>
  <c r="BH14" i="2"/>
  <c r="BH15" i="2"/>
  <c r="BH16" i="2"/>
  <c r="BH17" i="2"/>
  <c r="BH18" i="2"/>
  <c r="BH19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AW8" i="2"/>
  <c r="K8" i="2"/>
  <c r="J8" i="2"/>
  <c r="K13" i="4" l="1"/>
  <c r="J13" i="4"/>
  <c r="K12" i="4"/>
  <c r="J12" i="4"/>
  <c r="AQ11" i="4"/>
  <c r="K11" i="4"/>
  <c r="J11" i="4"/>
  <c r="AW10" i="4"/>
  <c r="K10" i="4"/>
  <c r="J10" i="4"/>
  <c r="AW9" i="4"/>
  <c r="K9" i="4"/>
  <c r="J9" i="4"/>
  <c r="AW8" i="4"/>
  <c r="K8" i="4"/>
  <c r="J8" i="4"/>
  <c r="AW7" i="4"/>
  <c r="K7" i="4"/>
  <c r="J7" i="4"/>
  <c r="AW6" i="4"/>
  <c r="K6" i="4"/>
  <c r="J6" i="4"/>
  <c r="AW5" i="4"/>
  <c r="K5" i="4"/>
  <c r="J5" i="4"/>
  <c r="AW4" i="4"/>
  <c r="K4" i="4"/>
  <c r="J4" i="4"/>
  <c r="BH3" i="4"/>
  <c r="AW3" i="4"/>
  <c r="K3" i="4"/>
  <c r="J3" i="4"/>
  <c r="AI1" i="4"/>
  <c r="AV18" i="3"/>
  <c r="AP18" i="3"/>
  <c r="J18" i="3"/>
  <c r="I18" i="3"/>
  <c r="AV17" i="3"/>
  <c r="AP17" i="3"/>
  <c r="J17" i="3"/>
  <c r="I17" i="3"/>
  <c r="AV16" i="3"/>
  <c r="AP16" i="3"/>
  <c r="J16" i="3"/>
  <c r="I16" i="3"/>
  <c r="AV15" i="3"/>
  <c r="AP15" i="3"/>
  <c r="J15" i="3"/>
  <c r="I15" i="3"/>
  <c r="J14" i="3"/>
  <c r="I14" i="3"/>
  <c r="J13" i="3"/>
  <c r="I13" i="3"/>
  <c r="J12" i="3"/>
  <c r="I12" i="3"/>
  <c r="J11" i="3"/>
  <c r="I11" i="3"/>
  <c r="AP10" i="3"/>
  <c r="J10" i="3"/>
  <c r="I10" i="3"/>
  <c r="AP9" i="3"/>
  <c r="J9" i="3"/>
  <c r="I9" i="3"/>
  <c r="J8" i="3"/>
  <c r="I8" i="3"/>
  <c r="AP7" i="3"/>
  <c r="J7" i="3"/>
  <c r="I7" i="3"/>
  <c r="AP6" i="3"/>
  <c r="J6" i="3"/>
  <c r="I6" i="3"/>
  <c r="J5" i="3"/>
  <c r="I5" i="3"/>
  <c r="J4" i="3"/>
  <c r="I4" i="3"/>
  <c r="BG3" i="3"/>
  <c r="J3" i="3"/>
  <c r="I3" i="3"/>
  <c r="AH1" i="3"/>
  <c r="AW32" i="2"/>
  <c r="K32" i="2"/>
  <c r="J32" i="2"/>
  <c r="AW31" i="2"/>
  <c r="K31" i="2"/>
  <c r="J31" i="2"/>
  <c r="AW30" i="2"/>
  <c r="AQ30" i="2"/>
  <c r="K30" i="2"/>
  <c r="J30" i="2"/>
  <c r="AW29" i="2"/>
  <c r="K29" i="2"/>
  <c r="J29" i="2"/>
  <c r="AW28" i="2"/>
  <c r="K28" i="2"/>
  <c r="J28" i="2"/>
  <c r="AW27" i="2"/>
  <c r="K27" i="2"/>
  <c r="J27" i="2"/>
  <c r="AW26" i="2"/>
  <c r="K26" i="2"/>
  <c r="J26" i="2"/>
  <c r="AW25" i="2"/>
  <c r="K25" i="2"/>
  <c r="J25" i="2"/>
  <c r="AW24" i="2"/>
  <c r="K24" i="2"/>
  <c r="J24" i="2"/>
  <c r="AW23" i="2"/>
  <c r="K23" i="2"/>
  <c r="J23" i="2"/>
  <c r="AW22" i="2"/>
  <c r="K22" i="2"/>
  <c r="J22" i="2"/>
  <c r="AW21" i="2"/>
  <c r="K21" i="2"/>
  <c r="J21" i="2"/>
  <c r="AW19" i="2"/>
  <c r="K19" i="2"/>
  <c r="J19" i="2"/>
  <c r="AW18" i="2"/>
  <c r="K18" i="2"/>
  <c r="J18" i="2"/>
  <c r="K17" i="2"/>
  <c r="J17" i="2"/>
  <c r="AW16" i="2"/>
  <c r="K16" i="2"/>
  <c r="J16" i="2"/>
  <c r="AW15" i="2"/>
  <c r="K15" i="2"/>
  <c r="J15" i="2"/>
  <c r="AW14" i="2"/>
  <c r="K14" i="2"/>
  <c r="J14" i="2"/>
  <c r="AW13" i="2"/>
  <c r="K13" i="2"/>
  <c r="J13" i="2"/>
  <c r="AW12" i="2"/>
  <c r="K12" i="2"/>
  <c r="J12" i="2"/>
  <c r="AW11" i="2"/>
  <c r="K11" i="2"/>
  <c r="J11" i="2"/>
  <c r="AW7" i="2"/>
  <c r="K7" i="2"/>
  <c r="J7" i="2"/>
  <c r="AW6" i="2"/>
  <c r="K6" i="2"/>
  <c r="J6" i="2"/>
  <c r="AW5" i="2"/>
  <c r="K5" i="2"/>
  <c r="J5" i="2"/>
  <c r="K4" i="2"/>
  <c r="J4" i="2"/>
  <c r="BH3" i="2"/>
  <c r="K3" i="2"/>
  <c r="J3" i="2"/>
  <c r="AI1" i="2"/>
</calcChain>
</file>

<file path=xl/sharedStrings.xml><?xml version="1.0" encoding="utf-8"?>
<sst xmlns="http://schemas.openxmlformats.org/spreadsheetml/2006/main" count="1023" uniqueCount="292">
  <si>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</si>
  <si>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</si>
  <si>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</si>
  <si>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</si>
  <si>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</si>
  <si>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</si>
  <si>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</si>
  <si>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</si>
  <si>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</si>
  <si>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</si>
  <si>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</si>
  <si>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</si>
  <si>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</si>
  <si>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</si>
  <si>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</si>
  <si>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</si>
  <si>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</si>
  <si>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</si>
  <si>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</si>
  <si>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</si>
  <si>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</si>
  <si>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</si>
  <si>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</si>
  <si>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</si>
  <si>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</si>
  <si>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</si>
  <si>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</si>
  <si>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</si>
  <si>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</si>
  <si>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</si>
  <si>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</si>
  <si>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</si>
  <si>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</si>
  <si>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</si>
  <si>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</si>
  <si>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</si>
  <si>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</si>
  <si>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</si>
  <si>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</si>
  <si>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</si>
  <si>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</si>
  <si>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</si>
  <si>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</si>
  <si>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</si>
  <si>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</si>
  <si>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</si>
  <si>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</si>
  <si>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</si>
  <si>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</si>
  <si>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</si>
  <si>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</si>
  <si>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</si>
  <si>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</si>
  <si>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</si>
  <si>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</si>
  <si>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</si>
  <si>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</si>
  <si>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</si>
  <si>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</si>
  <si>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</si>
  <si>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</si>
  <si>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</si>
  <si>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</si>
  <si>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</si>
  <si>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</si>
  <si>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</si>
  <si>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КСВ</t>
  </si>
  <si>
    <t>Оперативный вывод функции КСВ</t>
  </si>
  <si>
    <t>ОВ КСВ</t>
  </si>
  <si>
    <t>LVCBSUP_operOutFunction</t>
  </si>
  <si>
    <t xml:space="preserve">Контроль оперативного тока ЭМО1, ЭМВ </t>
  </si>
  <si>
    <t>CBCS_CBOS1_OCControl</t>
  </si>
  <si>
    <t>Контроль оперативного тока ЭМО2</t>
  </si>
  <si>
    <t>ОТ цепей ЭМО2</t>
  </si>
  <si>
    <t>CBOS2_OCControl</t>
  </si>
  <si>
    <t>Аварийный уровень изоляции В</t>
  </si>
  <si>
    <t>Авар.уров.изоляц. В</t>
  </si>
  <si>
    <t>InsTr</t>
  </si>
  <si>
    <t>Низкий уровень изоляции В</t>
  </si>
  <si>
    <t>Низ.уров.изоляц. В</t>
  </si>
  <si>
    <t>LowIns</t>
  </si>
  <si>
    <t>Пружина не заведена</t>
  </si>
  <si>
    <t>EnBlk</t>
  </si>
  <si>
    <t>Неисправное положение В</t>
  </si>
  <si>
    <t>Неиспр. положение В</t>
  </si>
  <si>
    <t>CBFaultPos</t>
  </si>
  <si>
    <t>В Отключен</t>
  </si>
  <si>
    <t>CBPosOpn</t>
  </si>
  <si>
    <t>В Включен</t>
  </si>
  <si>
    <t>CBPosCls</t>
  </si>
  <si>
    <t>Сброс</t>
  </si>
  <si>
    <t>Reset</t>
  </si>
  <si>
    <t>Отключить от УВ</t>
  </si>
  <si>
    <t>OpOpnCBCSWI</t>
  </si>
  <si>
    <t>Отключение от кнопки</t>
  </si>
  <si>
    <t>Откл. от кнопки</t>
  </si>
  <si>
    <t>Превышен ресурс В</t>
  </si>
  <si>
    <t xml:space="preserve">Превышен ресурс В </t>
  </si>
  <si>
    <t>ClsResourceExcess</t>
  </si>
  <si>
    <t>Блокировка включения от функции ОБР В</t>
  </si>
  <si>
    <t>Блок.вкл. от ОБР В</t>
  </si>
  <si>
    <t>BlkToClsCBCILO</t>
  </si>
  <si>
    <t>Внешняя блокировка управления В</t>
  </si>
  <si>
    <t>ExternalBlkCB</t>
  </si>
  <si>
    <t>Контроль цепи ЭМВ</t>
  </si>
  <si>
    <t>CBCSCtrl</t>
  </si>
  <si>
    <t>Контроль цепи ЭМО1</t>
  </si>
  <si>
    <t>CBOS1Ctrl</t>
  </si>
  <si>
    <t>Контроль цепи ЭМО2</t>
  </si>
  <si>
    <t>CBOS2Ctrl</t>
  </si>
  <si>
    <t>Работа ЭМВ</t>
  </si>
  <si>
    <t>CBCSWorking</t>
  </si>
  <si>
    <t>Работа ЭМО1</t>
  </si>
  <si>
    <t>CBOS1Working</t>
  </si>
  <si>
    <t>Работа ЭМО2</t>
  </si>
  <si>
    <t>CBOS2Working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</si>
  <si>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</si>
  <si>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</si>
  <si>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</si>
  <si>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</si>
  <si>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</si>
  <si>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</si>
  <si>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</si>
  <si>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</si>
  <si>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</si>
  <si>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</si>
  <si>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</si>
  <si>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</si>
  <si>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</si>
  <si>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</si>
  <si>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</si>
  <si>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</si>
  <si>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</si>
  <si>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</si>
  <si>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</si>
  <si>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RCBF1_FuncEnabled</t>
  </si>
  <si>
    <t>Функция оперативно выведена из работы</t>
  </si>
  <si>
    <t>Оперативный вывод</t>
  </si>
  <si>
    <t>RCBF1_FuncOperDisabled</t>
  </si>
  <si>
    <t>В самопроизвольно отключен</t>
  </si>
  <si>
    <t>В самопр. отключен</t>
  </si>
  <si>
    <t>RCBF1_UnpromptedCBopening</t>
  </si>
  <si>
    <t>Неисправность В</t>
  </si>
  <si>
    <t>RCBF1_FailureCB</t>
  </si>
  <si>
    <t>LVTRRCBF</t>
  </si>
  <si>
    <t>RCBF1.Alm</t>
  </si>
  <si>
    <t xml:space="preserve">SPS </t>
  </si>
  <si>
    <t>stVal</t>
  </si>
  <si>
    <t>BOOLEAN</t>
  </si>
  <si>
    <t>ST</t>
  </si>
  <si>
    <t>В аварийно отключен</t>
  </si>
  <si>
    <t>RCBF1_CBFailureTrip</t>
  </si>
  <si>
    <t>RCBF1.TrAlm</t>
  </si>
  <si>
    <t>Реле фиксации команды</t>
  </si>
  <si>
    <t>РФК</t>
  </si>
  <si>
    <t>RCBF1_FixingContacts</t>
  </si>
  <si>
    <t>Блокировка включения В</t>
  </si>
  <si>
    <t>Блокировка вкл</t>
  </si>
  <si>
    <t>RCBF1_BlkToCls</t>
  </si>
  <si>
    <t>RCBF1.BlkCls</t>
  </si>
  <si>
    <t>Блокировка отключения В</t>
  </si>
  <si>
    <t>Блокировка откл</t>
  </si>
  <si>
    <t>RCBF1_BlkToOpn</t>
  </si>
  <si>
    <t>RCBF1.BlkOpn</t>
  </si>
  <si>
    <t>Неисправность цепей ЭМУ</t>
  </si>
  <si>
    <t>Неиспр. цепей ЭМУ</t>
  </si>
  <si>
    <t>RCBF1_ElmgLaunchFault</t>
  </si>
  <si>
    <t>Защита ЭМВ</t>
  </si>
  <si>
    <t>RCBF1_ProtectCBCS</t>
  </si>
  <si>
    <t>Защита ЭМО1</t>
  </si>
  <si>
    <t>RCBF1_ProtectCBOS1</t>
  </si>
  <si>
    <t>Защита ЭМО2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</si>
  <si>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</si>
  <si>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</si>
  <si>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</si>
  <si>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</si>
  <si>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</si>
  <si>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</si>
  <si>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</si>
  <si>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</si>
  <si>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</si>
  <si>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</si>
  <si>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</si>
  <si>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</si>
  <si>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КСВ</t>
  </si>
  <si>
    <t>Поведение</t>
  </si>
  <si>
    <t>RCBF1_Beh</t>
  </si>
  <si>
    <t>RCBF1.Beh</t>
  </si>
  <si>
    <t>Индикация исправности логического узла КСВ</t>
  </si>
  <si>
    <t>Исправность</t>
  </si>
  <si>
    <t>RCBF1_Health</t>
  </si>
  <si>
    <t>RCBF1.Health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</si>
  <si>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</si>
  <si>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</si>
  <si>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</si>
  <si>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</si>
  <si>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</si>
  <si>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RCBF1_EnaDis</t>
  </si>
  <si>
    <t>NotProvided_Provided</t>
  </si>
  <si>
    <t>Контроль ОТ цепей ЭМВ, ЭМО1 и ЭМО2</t>
  </si>
  <si>
    <t xml:space="preserve">Контроль_ОТ_ЭМ </t>
  </si>
  <si>
    <t>SGF5</t>
  </si>
  <si>
    <t>RCBF1_OCcircuitFailureCtrl</t>
  </si>
  <si>
    <t>INT8</t>
  </si>
  <si>
    <t>CtrlElectromagnetOnOff</t>
  </si>
  <si>
    <t>SGF7</t>
  </si>
  <si>
    <t>SGF2</t>
  </si>
  <si>
    <t>RCBF1_BlkToClsFrmLowIsol</t>
  </si>
  <si>
    <t>SGF3</t>
  </si>
  <si>
    <t>RCBF1_BlkFrmCBPosFault</t>
  </si>
  <si>
    <t>SGF4</t>
  </si>
  <si>
    <t>RCBF1_RstFrmCLS</t>
  </si>
  <si>
    <t>Контроль ЭМВ, ЭМО1 и ЭМО2 при формировании неисправности цепей ЭМУ</t>
  </si>
  <si>
    <t>Контроль_ЭМ</t>
  </si>
  <si>
    <t>SGF6</t>
  </si>
  <si>
    <t>RCBF1_ConditionForElmgLaunchFault</t>
  </si>
  <si>
    <t>Контроль_кнопки</t>
  </si>
  <si>
    <t>SGF8</t>
  </si>
  <si>
    <t>RCBF1_KnobCtrl</t>
  </si>
  <si>
    <t>Выдержка времени ожидания готовности привода выключателя</t>
  </si>
  <si>
    <t>Tгот_в</t>
  </si>
  <si>
    <t>T1</t>
  </si>
  <si>
    <t>RCBF1_T_EnBlk</t>
  </si>
  <si>
    <t>INT32</t>
  </si>
  <si>
    <t>TimeSettingScaleCoefficient</t>
  </si>
  <si>
    <t>мс</t>
  </si>
  <si>
    <t>RCBF1.RdyTmms</t>
  </si>
  <si>
    <t>ING</t>
  </si>
  <si>
    <t>Выдержка времени срабатывания неисправности цепей ЭМУ</t>
  </si>
  <si>
    <t>Tдлит_неисп_ЭМУ</t>
  </si>
  <si>
    <t>T2</t>
  </si>
  <si>
    <t>RCBF1_T_FailureCtrlElmg</t>
  </si>
  <si>
    <t>Выдержка времени срабатывания защит электромагнитов</t>
  </si>
  <si>
    <t>Tдлит_ЭМ</t>
  </si>
  <si>
    <t>T3</t>
  </si>
  <si>
    <t>Parameter</t>
  </si>
  <si>
    <t>Value</t>
  </si>
  <si>
    <t>RussianName</t>
  </si>
  <si>
    <t>WeightCoefficient</t>
  </si>
  <si>
    <t>IsCoded</t>
  </si>
  <si>
    <t>IEC61850Name</t>
  </si>
  <si>
    <t>LVCBSUP</t>
  </si>
  <si>
    <t>Сигнал отключения от функции ЛО РЗ</t>
  </si>
  <si>
    <t>Отключение от ЛО РЗ</t>
  </si>
  <si>
    <t>OpOFFPTRC</t>
  </si>
  <si>
    <t>Сигнал отключения от функции ЛО ПА</t>
  </si>
  <si>
    <t>Отключение от ЛО ПА</t>
  </si>
  <si>
    <t>OpECAPTRC</t>
  </si>
  <si>
    <t>RCBF1_T_ElmgWorking</t>
  </si>
  <si>
    <t>setVal</t>
  </si>
  <si>
    <t>OpnCBFrmKnob</t>
  </si>
  <si>
    <t>SG</t>
  </si>
  <si>
    <t>FbVersion</t>
  </si>
  <si>
    <t>RCBF1_ProtectCBOS2</t>
  </si>
  <si>
    <t>ToTripCBFrmPTUF</t>
  </si>
  <si>
    <t>OpInRBRF</t>
  </si>
  <si>
    <t>Отключение от АЧР</t>
  </si>
  <si>
    <t>OperOpnCB</t>
  </si>
  <si>
    <t>Оперативно отключить В</t>
  </si>
  <si>
    <t>Опер. отключить В</t>
  </si>
  <si>
    <t>Внеш. блок. упр. В</t>
  </si>
  <si>
    <t>RCBF1_BlkCtrlFrmInsAlm</t>
  </si>
  <si>
    <t>Блокировка управления при снижении уровня изоляции В</t>
  </si>
  <si>
    <t>Блок_упр_КИ_В</t>
  </si>
  <si>
    <t>Блокировка включения при низком уровне изоляции В</t>
  </si>
  <si>
    <t>Блок_вкл_низ_изол_В</t>
  </si>
  <si>
    <t>Блокировка включения при неисправности положения В</t>
  </si>
  <si>
    <t>Блок_вкл_полож_В</t>
  </si>
  <si>
    <t>Блок_вкл_ресурса_В</t>
  </si>
  <si>
    <t>0 - Не предусмотрено, 1 - ЭМВ и ЭМО1, 2 - ЭМВ, ЭМО1 и ЭМО2</t>
  </si>
  <si>
    <t>0 - Не предусмотрено, 1 - От аварийного, 2 - От аварийного и низкого</t>
  </si>
  <si>
    <t>NotProvided_InsAlm_InsAlmLow</t>
  </si>
  <si>
    <t>ОТ цепей ЭМО1,ЭМВ</t>
  </si>
  <si>
    <t>Блокировка включения при превышении ресурса В</t>
  </si>
  <si>
    <t>DescriptionFB</t>
  </si>
  <si>
    <t>Контроль силового выключателя</t>
  </si>
  <si>
    <t>DescriptionFuncList</t>
  </si>
  <si>
    <t>alias</t>
  </si>
  <si>
    <t>status</t>
  </si>
  <si>
    <t>Logger</t>
  </si>
  <si>
    <t>Disturber</t>
  </si>
  <si>
    <t>StartDisturber</t>
  </si>
  <si>
    <t>control</t>
  </si>
  <si>
    <t>input</t>
  </si>
  <si>
    <t>reserved1</t>
  </si>
  <si>
    <t>button</t>
  </si>
  <si>
    <t>Разрешение сброса «РФК» от кнопки</t>
  </si>
  <si>
    <t>Срабатывание УРОВ «на себя»</t>
  </si>
  <si>
    <t>Сраб УРОВ «на себя»</t>
  </si>
  <si>
    <t>Выключатель «Отключен»</t>
  </si>
  <si>
    <t>Выключатель «Включен»</t>
  </si>
  <si>
    <t>Сигнал «Отключить» от функции УВ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</si>
</sst>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9" fillId="0" borderId="2" xfId="1" applyFont="1" applyFill="1" applyBorder="1"/>
    <xf numFmtId="0" fontId="2" fillId="0" borderId="0" xfId="1" applyFont="1"/>
    <xf numFmtId="0" fontId="2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0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9" fillId="5" borderId="2" xfId="1" applyFont="1" applyFill="1" applyBorder="1"/>
    <xf numFmtId="0" fontId="2" fillId="6" borderId="0" xfId="0" applyFont="1" applyFill="1"/>
    <xf numFmtId="0" fontId="2" fillId="0" borderId="0" xfId="0" applyFont="1"/>
    <xf numFmtId="0" fontId="3" fillId="7" borderId="1" xfId="1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1" applyFont="1" applyFill="1"/>
    <xf numFmtId="0" fontId="9" fillId="9" borderId="2" xfId="1" applyFont="1" applyFill="1" applyBorder="1"/>
    <xf numFmtId="0" fontId="3" fillId="10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8"/>
  <sheetViews>
    <sheetView topLeftCell="E10" zoomScale="130" zoomScaleNormal="130" workbookViewId="0">
      <selection activeCell="F12" sqref="F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3.8554687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66" style="2" customWidth="1"/>
    <col min="7" max="8" width="22" style="2" bestFit="1" customWidth="1" outlineLevel="1"/>
    <col min="9" max="9" width="33.140625" style="2" bestFit="1" customWidth="1" outlineLevel="1"/>
    <col min="10" max="10" width="10" style="2" customWidth="1"/>
    <col min="11" max="11" width="35.140625" style="2" bestFit="1" customWidth="1"/>
    <col min="12" max="12" width="28.425781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8" width="19" style="2" customWidth="1" outlineLevel="1"/>
    <col min="19" max="19" width="8" style="3" customWidth="1" outlineLevel="1"/>
    <col min="20" max="20" width="9.5703125" style="4" customWidth="1" outlineLevel="1"/>
    <col min="21" max="21" width="12" style="4" customWidth="1" outlineLevel="1"/>
    <col min="22" max="22" width="7.140625" style="4" customWidth="1" outlineLevel="1"/>
    <col min="23" max="24" width="13.5703125" style="4" customWidth="1" outlineLevel="1"/>
    <col min="25" max="25" width="14.4257812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2" customWidth="1"/>
    <col min="38" max="38" width="26" style="2" customWidth="1"/>
    <col min="39" max="39" width="21.28515625" style="2" customWidth="1"/>
    <col min="40" max="41" width="21.85546875" style="2" customWidth="1"/>
    <col min="42" max="42" width="11.28515625" style="2" customWidth="1"/>
    <col min="43" max="43" width="20.28515625" style="2" customWidth="1"/>
    <col min="44" max="44" width="17.28515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4" hidden="1" customWidth="1" outlineLevel="1"/>
    <col min="56" max="56" width="13.28515625" style="4" hidden="1" customWidth="1" outlineLevel="1"/>
    <col min="57" max="57" width="13" style="3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F1" s="1"/>
      <c r="K1" s="2">
        <v>19</v>
      </c>
      <c r="AB1" s="5"/>
      <c r="AC1" s="5"/>
      <c r="AD1" s="5"/>
      <c r="AE1" s="5"/>
      <c r="AF1" s="5"/>
      <c r="AG1" s="6"/>
      <c r="AH1" s="6"/>
      <c r="AI1" s="5">
        <f>SUM(AB11:AB55)</f>
        <v>0</v>
      </c>
      <c r="AJ1" s="6"/>
      <c r="AK1" s="7"/>
      <c r="AL1" s="7"/>
      <c r="AM1" s="7"/>
      <c r="AN1" s="7"/>
      <c r="AO1" s="7"/>
      <c r="AP1" s="7"/>
      <c r="AQ1" s="7"/>
      <c r="AR1" s="7"/>
      <c r="AS1" s="6"/>
      <c r="AT1" s="6"/>
      <c r="AU1" s="6"/>
      <c r="AV1" s="6"/>
      <c r="AW1" s="6"/>
      <c r="AX1" s="6"/>
      <c r="AY1" s="6"/>
      <c r="AZ1" s="8"/>
      <c r="BA1" s="85" t="s">
        <v>0</v>
      </c>
      <c r="BB1" s="86"/>
      <c r="BC1" s="86"/>
      <c r="BD1" s="86"/>
      <c r="BE1" s="86"/>
      <c r="BF1" s="86"/>
      <c r="BG1" s="86"/>
    </row>
    <row r="2" spans="1:16380" s="17" customFormat="1" ht="54" customHeight="1" x14ac:dyDescent="0.25">
      <c r="A2" s="9" t="s">
        <v>1</v>
      </c>
      <c r="B2" s="67" t="s">
        <v>284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63" t="s">
        <v>279</v>
      </c>
      <c r="AX2" s="63" t="s">
        <v>280</v>
      </c>
      <c r="AY2" s="63" t="s">
        <v>281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82" customFormat="1" ht="15.75" x14ac:dyDescent="0.25">
      <c r="A3" s="68"/>
      <c r="B3" s="68"/>
      <c r="C3" s="68" t="s">
        <v>282</v>
      </c>
      <c r="D3" s="69"/>
      <c r="E3" s="70"/>
      <c r="F3" s="71" t="s">
        <v>60</v>
      </c>
      <c r="G3" s="71" t="s">
        <v>60</v>
      </c>
      <c r="H3" s="71" t="s">
        <v>60</v>
      </c>
      <c r="I3" s="71"/>
      <c r="J3" s="71">
        <f t="shared" ref="J3:J29" si="0">LEN(G3)</f>
        <v>15</v>
      </c>
      <c r="K3" s="71" t="str">
        <f>IF(LEN(G3)&lt;=$K$1,G3,"")</f>
        <v>Вывод терминала</v>
      </c>
      <c r="L3" s="68" t="s">
        <v>61</v>
      </c>
      <c r="M3" s="72" t="s">
        <v>62</v>
      </c>
      <c r="N3" s="69" t="s">
        <v>63</v>
      </c>
      <c r="O3" s="69" t="s">
        <v>64</v>
      </c>
      <c r="P3" s="69"/>
      <c r="Q3" s="73"/>
      <c r="R3" s="73"/>
      <c r="S3" s="69" t="s">
        <v>65</v>
      </c>
      <c r="T3" s="69" t="s">
        <v>65</v>
      </c>
      <c r="U3" s="69" t="s">
        <v>65</v>
      </c>
      <c r="V3" s="69" t="s">
        <v>65</v>
      </c>
      <c r="W3" s="69"/>
      <c r="X3" s="69"/>
      <c r="Y3" s="69" t="s">
        <v>65</v>
      </c>
      <c r="Z3" s="69">
        <v>0</v>
      </c>
      <c r="AA3" s="74"/>
      <c r="AB3" s="75">
        <v>0</v>
      </c>
      <c r="AC3" s="75"/>
      <c r="AD3" s="75"/>
      <c r="AE3" s="75"/>
      <c r="AF3" s="75"/>
      <c r="AG3" s="75">
        <v>0</v>
      </c>
      <c r="AH3" s="75">
        <v>0</v>
      </c>
      <c r="AI3" s="75">
        <v>0</v>
      </c>
      <c r="AJ3" s="76"/>
      <c r="AK3" s="77"/>
      <c r="AL3" s="77"/>
      <c r="AM3" s="77"/>
      <c r="AN3" s="77"/>
      <c r="AO3" s="77"/>
      <c r="AP3" s="77"/>
      <c r="AQ3" s="77"/>
      <c r="AR3" s="77"/>
      <c r="AS3" s="75">
        <v>0</v>
      </c>
      <c r="AT3" s="75">
        <v>0</v>
      </c>
      <c r="AU3" s="84">
        <v>1</v>
      </c>
      <c r="AV3" s="25">
        <v>0</v>
      </c>
      <c r="AW3" s="84">
        <v>1</v>
      </c>
      <c r="AX3" s="84">
        <v>1</v>
      </c>
      <c r="AY3" s="84">
        <v>1</v>
      </c>
      <c r="AZ3" s="75"/>
      <c r="BA3" s="73"/>
      <c r="BB3" s="75"/>
      <c r="BC3" s="75"/>
      <c r="BD3" s="78"/>
      <c r="BE3" s="75"/>
      <c r="BF3" s="79"/>
      <c r="BG3" s="75"/>
      <c r="BH3" s="80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81"/>
    </row>
    <row r="4" spans="1:16380" s="82" customFormat="1" ht="15.75" x14ac:dyDescent="0.25">
      <c r="A4" s="68"/>
      <c r="B4" s="68"/>
      <c r="C4" s="68" t="s">
        <v>282</v>
      </c>
      <c r="D4" s="69"/>
      <c r="E4" s="83" t="s">
        <v>66</v>
      </c>
      <c r="F4" s="71" t="s">
        <v>67</v>
      </c>
      <c r="G4" s="71" t="s">
        <v>68</v>
      </c>
      <c r="H4" s="71" t="s">
        <v>68</v>
      </c>
      <c r="I4" s="71"/>
      <c r="J4" s="71">
        <f t="shared" si="0"/>
        <v>6</v>
      </c>
      <c r="K4" s="71" t="str">
        <f>IF(LEN(G4)&lt;=$K$1,G4,"")</f>
        <v>ОВ КСВ</v>
      </c>
      <c r="L4" s="68" t="s">
        <v>69</v>
      </c>
      <c r="M4" s="72" t="s">
        <v>62</v>
      </c>
      <c r="N4" s="69" t="s">
        <v>63</v>
      </c>
      <c r="O4" s="69" t="s">
        <v>64</v>
      </c>
      <c r="P4" s="69"/>
      <c r="Q4" s="73"/>
      <c r="R4" s="73"/>
      <c r="S4" s="69" t="s">
        <v>65</v>
      </c>
      <c r="T4" s="69" t="s">
        <v>65</v>
      </c>
      <c r="U4" s="69" t="s">
        <v>65</v>
      </c>
      <c r="V4" s="69" t="s">
        <v>65</v>
      </c>
      <c r="W4" s="69"/>
      <c r="X4" s="69"/>
      <c r="Y4" s="69" t="s">
        <v>65</v>
      </c>
      <c r="Z4" s="69">
        <v>0</v>
      </c>
      <c r="AA4" s="74"/>
      <c r="AB4" s="75">
        <v>0</v>
      </c>
      <c r="AC4" s="75"/>
      <c r="AD4" s="75"/>
      <c r="AE4" s="75"/>
      <c r="AF4" s="75"/>
      <c r="AG4" s="75">
        <v>0</v>
      </c>
      <c r="AH4" s="75">
        <v>0</v>
      </c>
      <c r="AI4" s="75">
        <v>0</v>
      </c>
      <c r="AJ4" s="76"/>
      <c r="AK4" s="77"/>
      <c r="AL4" s="77"/>
      <c r="AM4" s="77"/>
      <c r="AN4" s="77"/>
      <c r="AO4" s="77"/>
      <c r="AP4" s="77"/>
      <c r="AQ4" s="77"/>
      <c r="AR4" s="77"/>
      <c r="AS4" s="75">
        <v>0</v>
      </c>
      <c r="AT4" s="75">
        <v>0</v>
      </c>
      <c r="AU4" s="84">
        <v>1</v>
      </c>
      <c r="AV4" s="25">
        <v>0</v>
      </c>
      <c r="AW4" s="84">
        <v>1</v>
      </c>
      <c r="AX4" s="84">
        <v>1</v>
      </c>
      <c r="AY4" s="84">
        <v>1</v>
      </c>
      <c r="AZ4" s="75"/>
      <c r="BA4" s="73"/>
      <c r="BB4" s="75"/>
      <c r="BC4" s="75"/>
      <c r="BD4" s="78"/>
      <c r="BE4" s="75"/>
      <c r="BF4" s="79"/>
      <c r="BG4" s="75"/>
      <c r="BH4" s="80" t="str">
        <f t="shared" ref="BH4:BH32" si="1">CONCATENATE("description: """,G4,"""", ", ", "note: """,F4,"""",", ","group: """, C4, """",", ","minValue: ", T4,", ","maxValue: ", U4,", ","step: ", V4,", ","units: """, S4, """",", ","defaultValue: ", Y4,", ","eventRegistration: ", Z4,)</f>
        <v>description: "ОВ КСВ", note: "Оперативный вывод функции КСВ", group: "control", minValue: null, maxValue: null, step: null, units: "null", defaultValue: null, eventRegistration: 0</v>
      </c>
      <c r="BI4" s="81"/>
    </row>
    <row r="5" spans="1:16380" s="31" customFormat="1" ht="15.75" x14ac:dyDescent="0.25">
      <c r="A5" s="18"/>
      <c r="B5" s="18"/>
      <c r="C5" s="65" t="s">
        <v>283</v>
      </c>
      <c r="D5" s="19"/>
      <c r="E5" s="37"/>
      <c r="F5" s="21" t="s">
        <v>70</v>
      </c>
      <c r="G5" s="21" t="s">
        <v>272</v>
      </c>
      <c r="H5" s="21" t="s">
        <v>272</v>
      </c>
      <c r="I5" s="21"/>
      <c r="J5" s="21">
        <f t="shared" si="0"/>
        <v>17</v>
      </c>
      <c r="K5" s="21" t="str">
        <f>IF(LEN(G5)&lt;=$K$1,G5,"")</f>
        <v>ОТ цепей ЭМО1,ЭМВ</v>
      </c>
      <c r="L5" s="18" t="s">
        <v>71</v>
      </c>
      <c r="M5" s="22" t="s">
        <v>62</v>
      </c>
      <c r="N5" s="19" t="s">
        <v>63</v>
      </c>
      <c r="O5" s="19" t="s">
        <v>64</v>
      </c>
      <c r="P5" s="19"/>
      <c r="Q5" s="23"/>
      <c r="R5" s="23"/>
      <c r="S5" s="19" t="s">
        <v>65</v>
      </c>
      <c r="T5" s="19" t="s">
        <v>65</v>
      </c>
      <c r="U5" s="19" t="s">
        <v>65</v>
      </c>
      <c r="V5" s="19" t="s">
        <v>65</v>
      </c>
      <c r="W5" s="19"/>
      <c r="X5" s="19"/>
      <c r="Y5" s="19" t="s">
        <v>65</v>
      </c>
      <c r="Z5" s="19">
        <v>0</v>
      </c>
      <c r="AA5" s="24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8"/>
      <c r="AK5" s="26"/>
      <c r="AL5" s="26"/>
      <c r="AM5" s="26"/>
      <c r="AN5" s="26"/>
      <c r="AO5" s="26"/>
      <c r="AP5" s="26"/>
      <c r="AQ5" s="26"/>
      <c r="AR5" s="26"/>
      <c r="AS5" s="25">
        <v>0</v>
      </c>
      <c r="AT5" s="25">
        <v>0</v>
      </c>
      <c r="AU5" s="25">
        <v>0</v>
      </c>
      <c r="AV5" s="25">
        <v>0</v>
      </c>
      <c r="AW5" s="25">
        <f>BIN2DEC(CONCATENATE(0,0,0,0,AS5,AT5,AU5,AV5))</f>
        <v>0</v>
      </c>
      <c r="AX5" s="25">
        <v>0</v>
      </c>
      <c r="AY5" s="25">
        <f>BIN2DEC(CONCATENATE(0,0,0,0,AU5,AV5,AW5,AX5))</f>
        <v>0</v>
      </c>
      <c r="AZ5" s="25"/>
      <c r="BA5" s="23"/>
      <c r="BB5" s="25"/>
      <c r="BC5" s="25"/>
      <c r="BD5" s="27"/>
      <c r="BE5" s="25"/>
      <c r="BF5" s="28"/>
      <c r="BG5" s="25"/>
      <c r="BH5" s="29" t="str">
        <f t="shared" si="1"/>
        <v>description: "ОТ цепей ЭМО1,ЭМВ", note: "Контроль оперативного тока ЭМО1, ЭМВ ", group: "input", minValue: null, maxValue: null, step: null, units: "null", defaultValue: null, eventRegistration: 0</v>
      </c>
      <c r="BI5" s="30"/>
    </row>
    <row r="6" spans="1:16380" s="31" customFormat="1" ht="15.75" x14ac:dyDescent="0.25">
      <c r="A6" s="18"/>
      <c r="B6" s="18"/>
      <c r="C6" s="65" t="s">
        <v>283</v>
      </c>
      <c r="D6" s="19"/>
      <c r="E6" s="37"/>
      <c r="F6" s="21" t="s">
        <v>72</v>
      </c>
      <c r="G6" s="21" t="s">
        <v>73</v>
      </c>
      <c r="H6" s="21" t="s">
        <v>73</v>
      </c>
      <c r="I6" s="21"/>
      <c r="J6" s="21">
        <f t="shared" si="0"/>
        <v>13</v>
      </c>
      <c r="K6" s="21" t="str">
        <f t="shared" ref="K6:K32" si="2">IF(LEN(G6)&lt;=$K$1,G6,"")</f>
        <v>ОТ цепей ЭМО2</v>
      </c>
      <c r="L6" s="18" t="s">
        <v>74</v>
      </c>
      <c r="M6" s="22" t="s">
        <v>62</v>
      </c>
      <c r="N6" s="19" t="s">
        <v>63</v>
      </c>
      <c r="O6" s="19" t="s">
        <v>64</v>
      </c>
      <c r="P6" s="19"/>
      <c r="Q6" s="23"/>
      <c r="R6" s="23"/>
      <c r="S6" s="19" t="s">
        <v>65</v>
      </c>
      <c r="T6" s="19" t="s">
        <v>65</v>
      </c>
      <c r="U6" s="19" t="s">
        <v>65</v>
      </c>
      <c r="V6" s="19" t="s">
        <v>65</v>
      </c>
      <c r="W6" s="19"/>
      <c r="X6" s="19"/>
      <c r="Y6" s="19" t="s">
        <v>65</v>
      </c>
      <c r="Z6" s="19">
        <v>0</v>
      </c>
      <c r="AA6" s="24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8"/>
      <c r="AK6" s="26"/>
      <c r="AL6" s="26"/>
      <c r="AM6" s="26"/>
      <c r="AN6" s="26"/>
      <c r="AO6" s="26"/>
      <c r="AP6" s="26"/>
      <c r="AQ6" s="26"/>
      <c r="AR6" s="26"/>
      <c r="AS6" s="25">
        <v>0</v>
      </c>
      <c r="AT6" s="25">
        <v>0</v>
      </c>
      <c r="AU6" s="25">
        <v>0</v>
      </c>
      <c r="AV6" s="25">
        <v>0</v>
      </c>
      <c r="AW6" s="25">
        <f t="shared" ref="AW6:AW32" si="3">BIN2DEC(CONCATENATE(0,0,0,0,AS6,AT6,AU6,AV6))</f>
        <v>0</v>
      </c>
      <c r="AX6" s="25">
        <v>0</v>
      </c>
      <c r="AY6" s="25">
        <f t="shared" ref="AY6:AY32" si="4">BIN2DEC(CONCATENATE(0,0,0,0,AU6,AV6,AW6,AX6))</f>
        <v>0</v>
      </c>
      <c r="AZ6" s="25"/>
      <c r="BA6" s="23"/>
      <c r="BB6" s="25"/>
      <c r="BC6" s="25"/>
      <c r="BD6" s="27"/>
      <c r="BE6" s="25"/>
      <c r="BF6" s="28"/>
      <c r="BG6" s="25"/>
      <c r="BH6" s="29" t="str">
        <f t="shared" si="1"/>
        <v>description: "ОТ цепей ЭМО2", note: "Контроль оперативного тока ЭМО2", group: "input", minValue: null, maxValue: null, step: null, units: "null", defaultValue: null, eventRegistration: 0</v>
      </c>
      <c r="BI6" s="30"/>
    </row>
    <row r="7" spans="1:16380" s="31" customFormat="1" ht="15.75" x14ac:dyDescent="0.25">
      <c r="A7" s="18"/>
      <c r="B7" s="18"/>
      <c r="C7" s="18" t="s">
        <v>59</v>
      </c>
      <c r="D7" s="19"/>
      <c r="E7" s="37"/>
      <c r="F7" s="21" t="s">
        <v>242</v>
      </c>
      <c r="G7" s="21" t="s">
        <v>243</v>
      </c>
      <c r="H7" s="21" t="s">
        <v>243</v>
      </c>
      <c r="I7" s="21"/>
      <c r="J7" s="21">
        <f t="shared" si="0"/>
        <v>19</v>
      </c>
      <c r="K7" s="21" t="str">
        <f t="shared" si="2"/>
        <v>Отключение от ЛО РЗ</v>
      </c>
      <c r="L7" s="18" t="s">
        <v>244</v>
      </c>
      <c r="M7" s="22" t="s">
        <v>62</v>
      </c>
      <c r="N7" s="19" t="s">
        <v>63</v>
      </c>
      <c r="O7" s="19" t="s">
        <v>64</v>
      </c>
      <c r="P7" s="19"/>
      <c r="Q7" s="23"/>
      <c r="R7" s="23"/>
      <c r="S7" s="19" t="s">
        <v>65</v>
      </c>
      <c r="T7" s="19" t="s">
        <v>65</v>
      </c>
      <c r="U7" s="19" t="s">
        <v>65</v>
      </c>
      <c r="V7" s="19" t="s">
        <v>65</v>
      </c>
      <c r="W7" s="19"/>
      <c r="X7" s="19"/>
      <c r="Y7" s="19" t="s">
        <v>65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8"/>
      <c r="AK7" s="26"/>
      <c r="AL7" s="26"/>
      <c r="AM7" s="26"/>
      <c r="AN7" s="26"/>
      <c r="AO7" s="26"/>
      <c r="AP7" s="26"/>
      <c r="AQ7" s="26"/>
      <c r="AR7" s="26"/>
      <c r="AS7" s="25">
        <v>0</v>
      </c>
      <c r="AT7" s="25">
        <v>0</v>
      </c>
      <c r="AU7" s="25">
        <v>0</v>
      </c>
      <c r="AV7" s="25">
        <v>0</v>
      </c>
      <c r="AW7" s="25">
        <f t="shared" si="3"/>
        <v>0</v>
      </c>
      <c r="AX7" s="25">
        <v>0</v>
      </c>
      <c r="AY7" s="25">
        <f t="shared" si="4"/>
        <v>0</v>
      </c>
      <c r="AZ7" s="25"/>
      <c r="BA7" s="23"/>
      <c r="BB7" s="25"/>
      <c r="BC7" s="25"/>
      <c r="BD7" s="27"/>
      <c r="BE7" s="25"/>
      <c r="BF7" s="28"/>
      <c r="BG7" s="25"/>
      <c r="BH7" s="29" t="str">
        <f t="shared" si="1"/>
        <v>description: "Отключение от ЛО РЗ", note: "Сигнал отключения от функции ЛО РЗ", group: "measurement", minValue: null, maxValue: null, step: null, units: "null", defaultValue: null, eventRegistration: 0</v>
      </c>
      <c r="BI7" s="30"/>
    </row>
    <row r="8" spans="1:16380" s="31" customFormat="1" ht="15.75" x14ac:dyDescent="0.25">
      <c r="A8" s="18"/>
      <c r="B8" s="18"/>
      <c r="C8" s="18" t="s">
        <v>59</v>
      </c>
      <c r="D8" s="19"/>
      <c r="E8" s="37"/>
      <c r="F8" s="21" t="s">
        <v>245</v>
      </c>
      <c r="G8" s="21" t="s">
        <v>246</v>
      </c>
      <c r="H8" s="21" t="s">
        <v>246</v>
      </c>
      <c r="I8" s="21"/>
      <c r="J8" s="21">
        <f t="shared" ref="J8" si="5">LEN(G8)</f>
        <v>19</v>
      </c>
      <c r="K8" s="21" t="str">
        <f t="shared" ref="K8" si="6">IF(LEN(G8)&lt;=$K$1,G8,"")</f>
        <v>Отключение от ЛО ПА</v>
      </c>
      <c r="L8" s="18" t="s">
        <v>247</v>
      </c>
      <c r="M8" s="22" t="s">
        <v>62</v>
      </c>
      <c r="N8" s="19" t="s">
        <v>63</v>
      </c>
      <c r="O8" s="19" t="s">
        <v>64</v>
      </c>
      <c r="P8" s="19"/>
      <c r="Q8" s="23"/>
      <c r="R8" s="23"/>
      <c r="S8" s="19" t="s">
        <v>65</v>
      </c>
      <c r="T8" s="19" t="s">
        <v>65</v>
      </c>
      <c r="U8" s="19" t="s">
        <v>65</v>
      </c>
      <c r="V8" s="19" t="s">
        <v>65</v>
      </c>
      <c r="W8" s="19"/>
      <c r="X8" s="19"/>
      <c r="Y8" s="19" t="s">
        <v>65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8"/>
      <c r="AK8" s="26"/>
      <c r="AL8" s="26"/>
      <c r="AM8" s="26"/>
      <c r="AN8" s="26"/>
      <c r="AO8" s="26"/>
      <c r="AP8" s="26"/>
      <c r="AQ8" s="26"/>
      <c r="AR8" s="26"/>
      <c r="AS8" s="25">
        <v>0</v>
      </c>
      <c r="AT8" s="25">
        <v>0</v>
      </c>
      <c r="AU8" s="25">
        <v>0</v>
      </c>
      <c r="AV8" s="25">
        <v>0</v>
      </c>
      <c r="AW8" s="25">
        <f t="shared" ref="AW8" si="7">BIN2DEC(CONCATENATE(0,0,0,0,AS8,AT8,AU8,AV8))</f>
        <v>0</v>
      </c>
      <c r="AX8" s="25">
        <v>0</v>
      </c>
      <c r="AY8" s="25">
        <f t="shared" si="4"/>
        <v>0</v>
      </c>
      <c r="AZ8" s="25"/>
      <c r="BA8" s="23"/>
      <c r="BB8" s="25"/>
      <c r="BC8" s="25"/>
      <c r="BD8" s="27"/>
      <c r="BE8" s="25"/>
      <c r="BF8" s="28"/>
      <c r="BG8" s="25"/>
      <c r="BH8" s="29" t="str">
        <f t="shared" si="1"/>
        <v>description: "Отключение от ЛО ПА", note: "Сигнал отключения от функции ЛО ПА", group: "measurement", minValue: null, maxValue: null, step: null, units: "null", defaultValue: null, eventRegistration: 0</v>
      </c>
      <c r="BI8" s="30"/>
    </row>
    <row r="9" spans="1:16380" s="31" customFormat="1" ht="15.75" x14ac:dyDescent="0.25">
      <c r="A9" s="18"/>
      <c r="B9" s="18"/>
      <c r="C9" s="18" t="s">
        <v>59</v>
      </c>
      <c r="D9" s="19"/>
      <c r="E9" s="37"/>
      <c r="F9" s="21" t="s">
        <v>256</v>
      </c>
      <c r="G9" s="21" t="s">
        <v>256</v>
      </c>
      <c r="H9" s="21" t="s">
        <v>256</v>
      </c>
      <c r="I9" s="21"/>
      <c r="J9" s="21">
        <f t="shared" ref="J9:J10" si="8">LEN(G9)</f>
        <v>17</v>
      </c>
      <c r="K9" s="21" t="str">
        <f t="shared" ref="K9:K10" si="9">IF(LEN(G9)&lt;=$K$1,G9,"")</f>
        <v>Отключение от АЧР</v>
      </c>
      <c r="L9" s="18" t="s">
        <v>254</v>
      </c>
      <c r="M9" s="22" t="s">
        <v>62</v>
      </c>
      <c r="N9" s="19" t="s">
        <v>63</v>
      </c>
      <c r="O9" s="19" t="s">
        <v>64</v>
      </c>
      <c r="P9" s="19"/>
      <c r="Q9" s="23"/>
      <c r="R9" s="23"/>
      <c r="S9" s="19" t="s">
        <v>65</v>
      </c>
      <c r="T9" s="19" t="s">
        <v>65</v>
      </c>
      <c r="U9" s="19" t="s">
        <v>65</v>
      </c>
      <c r="V9" s="19" t="s">
        <v>65</v>
      </c>
      <c r="W9" s="19"/>
      <c r="X9" s="19"/>
      <c r="Y9" s="19" t="s">
        <v>65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8"/>
      <c r="AK9" s="26"/>
      <c r="AL9" s="26"/>
      <c r="AM9" s="26"/>
      <c r="AN9" s="26"/>
      <c r="AO9" s="26"/>
      <c r="AP9" s="26"/>
      <c r="AQ9" s="26"/>
      <c r="AR9" s="26"/>
      <c r="AS9" s="25">
        <v>0</v>
      </c>
      <c r="AT9" s="25">
        <v>0</v>
      </c>
      <c r="AU9" s="25">
        <v>0</v>
      </c>
      <c r="AV9" s="25">
        <v>0</v>
      </c>
      <c r="AW9" s="25">
        <f t="shared" ref="AW9:AW10" si="10">BIN2DEC(CONCATENATE(0,0,0,0,AS9,AT9,AU9,AV9))</f>
        <v>0</v>
      </c>
      <c r="AX9" s="25">
        <v>0</v>
      </c>
      <c r="AY9" s="25">
        <f t="shared" si="4"/>
        <v>0</v>
      </c>
      <c r="AZ9" s="25"/>
      <c r="BA9" s="23"/>
      <c r="BB9" s="25"/>
      <c r="BC9" s="25"/>
      <c r="BD9" s="27"/>
      <c r="BE9" s="25"/>
      <c r="BF9" s="28"/>
      <c r="BG9" s="25"/>
      <c r="BH9" s="29" t="str">
        <f t="shared" ref="BH9:BH10" si="11">CONCATENATE("description: """,G9,"""", ", ", "note: """,F9,"""",", ","group: """, C9, """",", ","minValue: ", T9,", ","maxValue: ", U9,", ","step: ", V9,", ","units: """, S9, """",", ","defaultValue: ", Y9,", ","eventRegistration: ", Z9,)</f>
        <v>description: "Отключение от АЧР", note: "Отключение от АЧР", group: "measurement", minValue: null, maxValue: null, step: null, units: "null", defaultValue: null, eventRegistration: 0</v>
      </c>
      <c r="BI9" s="30"/>
    </row>
    <row r="10" spans="1:16380" s="31" customFormat="1" ht="15.75" x14ac:dyDescent="0.25">
      <c r="A10" s="18"/>
      <c r="B10" s="18"/>
      <c r="C10" s="18" t="s">
        <v>59</v>
      </c>
      <c r="D10" s="19"/>
      <c r="E10" s="37"/>
      <c r="F10" s="59" t="s">
        <v>287</v>
      </c>
      <c r="G10" s="66" t="s">
        <v>288</v>
      </c>
      <c r="H10" s="66" t="s">
        <v>288</v>
      </c>
      <c r="I10" s="21"/>
      <c r="J10" s="21">
        <f t="shared" si="8"/>
        <v>19</v>
      </c>
      <c r="K10" s="21" t="str">
        <f t="shared" si="9"/>
        <v>Сраб УРОВ «на себя»</v>
      </c>
      <c r="L10" s="18" t="s">
        <v>255</v>
      </c>
      <c r="M10" s="22" t="s">
        <v>62</v>
      </c>
      <c r="N10" s="19" t="s">
        <v>63</v>
      </c>
      <c r="O10" s="19" t="s">
        <v>64</v>
      </c>
      <c r="P10" s="19"/>
      <c r="Q10" s="23"/>
      <c r="R10" s="23"/>
      <c r="S10" s="19" t="s">
        <v>65</v>
      </c>
      <c r="T10" s="19" t="s">
        <v>65</v>
      </c>
      <c r="U10" s="19" t="s">
        <v>65</v>
      </c>
      <c r="V10" s="19" t="s">
        <v>65</v>
      </c>
      <c r="W10" s="19"/>
      <c r="X10" s="19"/>
      <c r="Y10" s="19" t="s">
        <v>65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8"/>
      <c r="AK10" s="26"/>
      <c r="AL10" s="26"/>
      <c r="AM10" s="26"/>
      <c r="AN10" s="26"/>
      <c r="AO10" s="26"/>
      <c r="AP10" s="26"/>
      <c r="AQ10" s="26"/>
      <c r="AR10" s="26"/>
      <c r="AS10" s="25">
        <v>0</v>
      </c>
      <c r="AT10" s="25">
        <v>0</v>
      </c>
      <c r="AU10" s="25">
        <v>0</v>
      </c>
      <c r="AV10" s="25">
        <v>0</v>
      </c>
      <c r="AW10" s="25">
        <f t="shared" si="10"/>
        <v>0</v>
      </c>
      <c r="AX10" s="25">
        <v>0</v>
      </c>
      <c r="AY10" s="25">
        <f t="shared" si="4"/>
        <v>0</v>
      </c>
      <c r="AZ10" s="25"/>
      <c r="BA10" s="23"/>
      <c r="BB10" s="25"/>
      <c r="BC10" s="25"/>
      <c r="BD10" s="27"/>
      <c r="BE10" s="25"/>
      <c r="BF10" s="28"/>
      <c r="BG10" s="25"/>
      <c r="BH10" s="29" t="str">
        <f t="shared" si="11"/>
        <v>description: "Сраб УРОВ «на себя»", note: "Срабатывание УРОВ «на себя»", group: "measurement", minValue: null, maxValue: null, step: null, units: "null", defaultValue: null, eventRegistration: 0</v>
      </c>
      <c r="BI10" s="30"/>
    </row>
    <row r="11" spans="1:16380" s="31" customFormat="1" ht="15.75" x14ac:dyDescent="0.25">
      <c r="A11" s="18"/>
      <c r="B11" s="18"/>
      <c r="C11" s="65" t="s">
        <v>283</v>
      </c>
      <c r="D11" s="19"/>
      <c r="E11" s="37"/>
      <c r="F11" s="21" t="s">
        <v>75</v>
      </c>
      <c r="G11" s="21" t="s">
        <v>76</v>
      </c>
      <c r="H11" s="21" t="s">
        <v>76</v>
      </c>
      <c r="I11" s="21"/>
      <c r="J11" s="21">
        <f t="shared" si="0"/>
        <v>19</v>
      </c>
      <c r="K11" s="21" t="str">
        <f t="shared" si="2"/>
        <v>Авар.уров.изоляц. В</v>
      </c>
      <c r="L11" s="18" t="s">
        <v>77</v>
      </c>
      <c r="M11" s="22" t="s">
        <v>62</v>
      </c>
      <c r="N11" s="19" t="s">
        <v>63</v>
      </c>
      <c r="O11" s="19" t="s">
        <v>64</v>
      </c>
      <c r="P11" s="19"/>
      <c r="Q11" s="23"/>
      <c r="R11" s="23"/>
      <c r="S11" s="19" t="s">
        <v>65</v>
      </c>
      <c r="T11" s="19" t="s">
        <v>65</v>
      </c>
      <c r="U11" s="19" t="s">
        <v>65</v>
      </c>
      <c r="V11" s="19" t="s">
        <v>65</v>
      </c>
      <c r="W11" s="19"/>
      <c r="X11" s="19"/>
      <c r="Y11" s="19" t="s">
        <v>65</v>
      </c>
      <c r="Z11" s="19">
        <v>0</v>
      </c>
      <c r="AA11" s="24"/>
      <c r="AB11" s="25">
        <v>0</v>
      </c>
      <c r="AC11" s="25"/>
      <c r="AD11" s="25"/>
      <c r="AE11" s="25"/>
      <c r="AF11" s="25"/>
      <c r="AG11" s="25">
        <v>0</v>
      </c>
      <c r="AH11" s="25">
        <v>0</v>
      </c>
      <c r="AI11" s="25">
        <v>0</v>
      </c>
      <c r="AJ11" s="8"/>
      <c r="AK11" s="26"/>
      <c r="AL11" s="26"/>
      <c r="AM11" s="26"/>
      <c r="AN11" s="26"/>
      <c r="AO11" s="26"/>
      <c r="AP11" s="26"/>
      <c r="AQ11" s="26"/>
      <c r="AR11" s="26"/>
      <c r="AS11" s="25">
        <v>0</v>
      </c>
      <c r="AT11" s="25">
        <v>0</v>
      </c>
      <c r="AU11" s="25">
        <v>0</v>
      </c>
      <c r="AV11" s="25">
        <v>0</v>
      </c>
      <c r="AW11" s="25">
        <f t="shared" si="3"/>
        <v>0</v>
      </c>
      <c r="AX11" s="25">
        <v>0</v>
      </c>
      <c r="AY11" s="25">
        <f t="shared" si="4"/>
        <v>0</v>
      </c>
      <c r="AZ11" s="25"/>
      <c r="BA11" s="23"/>
      <c r="BB11" s="25"/>
      <c r="BC11" s="25"/>
      <c r="BD11" s="27"/>
      <c r="BE11" s="25"/>
      <c r="BF11" s="28"/>
      <c r="BG11" s="25"/>
      <c r="BH11" s="29" t="str">
        <f t="shared" si="1"/>
        <v>description: "Авар.уров.изоляц. В", note: "Аварийный уровень изоляции В", group: "input", minValue: null, maxValue: null, step: null, units: "null", defaultValue: null, eventRegistration: 0</v>
      </c>
      <c r="BI11" s="30"/>
    </row>
    <row r="12" spans="1:16380" s="31" customFormat="1" ht="15.75" x14ac:dyDescent="0.25">
      <c r="A12" s="18"/>
      <c r="B12" s="18"/>
      <c r="C12" s="65" t="s">
        <v>283</v>
      </c>
      <c r="D12" s="19"/>
      <c r="E12" s="37"/>
      <c r="F12" s="21" t="s">
        <v>78</v>
      </c>
      <c r="G12" s="21" t="s">
        <v>79</v>
      </c>
      <c r="H12" s="21" t="s">
        <v>79</v>
      </c>
      <c r="I12" s="21"/>
      <c r="J12" s="21">
        <f t="shared" si="0"/>
        <v>18</v>
      </c>
      <c r="K12" s="21" t="str">
        <f t="shared" si="2"/>
        <v>Низ.уров.изоляц. В</v>
      </c>
      <c r="L12" s="18" t="s">
        <v>80</v>
      </c>
      <c r="M12" s="22" t="s">
        <v>62</v>
      </c>
      <c r="N12" s="19" t="s">
        <v>63</v>
      </c>
      <c r="O12" s="19" t="s">
        <v>64</v>
      </c>
      <c r="P12" s="19"/>
      <c r="Q12" s="23"/>
      <c r="R12" s="23"/>
      <c r="S12" s="19" t="s">
        <v>65</v>
      </c>
      <c r="T12" s="19" t="s">
        <v>65</v>
      </c>
      <c r="U12" s="19" t="s">
        <v>65</v>
      </c>
      <c r="V12" s="19" t="s">
        <v>65</v>
      </c>
      <c r="W12" s="19"/>
      <c r="X12" s="19"/>
      <c r="Y12" s="19" t="s">
        <v>65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8"/>
      <c r="AK12" s="26"/>
      <c r="AL12" s="26"/>
      <c r="AM12" s="26"/>
      <c r="AN12" s="26"/>
      <c r="AO12" s="26"/>
      <c r="AP12" s="26"/>
      <c r="AQ12" s="26"/>
      <c r="AR12" s="26"/>
      <c r="AS12" s="25">
        <v>0</v>
      </c>
      <c r="AT12" s="25">
        <v>0</v>
      </c>
      <c r="AU12" s="25">
        <v>0</v>
      </c>
      <c r="AV12" s="25">
        <v>0</v>
      </c>
      <c r="AW12" s="25">
        <f t="shared" si="3"/>
        <v>0</v>
      </c>
      <c r="AX12" s="25">
        <v>0</v>
      </c>
      <c r="AY12" s="25">
        <f t="shared" si="4"/>
        <v>0</v>
      </c>
      <c r="AZ12" s="25"/>
      <c r="BA12" s="23"/>
      <c r="BB12" s="25"/>
      <c r="BC12" s="25"/>
      <c r="BD12" s="27"/>
      <c r="BE12" s="25"/>
      <c r="BF12" s="28"/>
      <c r="BG12" s="25"/>
      <c r="BH12" s="29" t="str">
        <f t="shared" si="1"/>
        <v>description: "Низ.уров.изоляц. В", note: "Низкий уровень изоляции В", group: "input", minValue: null, maxValue: null, step: null, units: "null", defaultValue: null, eventRegistration: 0</v>
      </c>
      <c r="BI12" s="30"/>
    </row>
    <row r="13" spans="1:16380" s="31" customFormat="1" ht="15.75" x14ac:dyDescent="0.25">
      <c r="A13" s="18"/>
      <c r="B13" s="18"/>
      <c r="C13" s="65" t="s">
        <v>283</v>
      </c>
      <c r="D13" s="19"/>
      <c r="E13" s="37"/>
      <c r="F13" s="21" t="s">
        <v>81</v>
      </c>
      <c r="G13" s="21" t="s">
        <v>81</v>
      </c>
      <c r="H13" s="21" t="s">
        <v>81</v>
      </c>
      <c r="I13" s="21"/>
      <c r="J13" s="21">
        <f t="shared" si="0"/>
        <v>19</v>
      </c>
      <c r="K13" s="21" t="str">
        <f t="shared" si="2"/>
        <v>Пружина не заведена</v>
      </c>
      <c r="L13" s="18" t="s">
        <v>82</v>
      </c>
      <c r="M13" s="22" t="s">
        <v>62</v>
      </c>
      <c r="N13" s="19" t="s">
        <v>63</v>
      </c>
      <c r="O13" s="19" t="s">
        <v>64</v>
      </c>
      <c r="P13" s="19"/>
      <c r="Q13" s="23"/>
      <c r="R13" s="23"/>
      <c r="S13" s="19" t="s">
        <v>65</v>
      </c>
      <c r="T13" s="19" t="s">
        <v>65</v>
      </c>
      <c r="U13" s="19" t="s">
        <v>65</v>
      </c>
      <c r="V13" s="19" t="s">
        <v>65</v>
      </c>
      <c r="W13" s="19"/>
      <c r="X13" s="19"/>
      <c r="Y13" s="19" t="s">
        <v>65</v>
      </c>
      <c r="Z13" s="19">
        <v>0</v>
      </c>
      <c r="AA13" s="24"/>
      <c r="AB13" s="25">
        <v>0</v>
      </c>
      <c r="AC13" s="25"/>
      <c r="AD13" s="25"/>
      <c r="AE13" s="25"/>
      <c r="AF13" s="25"/>
      <c r="AG13" s="25">
        <v>0</v>
      </c>
      <c r="AH13" s="25">
        <v>0</v>
      </c>
      <c r="AI13" s="25">
        <v>0</v>
      </c>
      <c r="AJ13" s="8"/>
      <c r="AK13" s="26"/>
      <c r="AL13" s="26"/>
      <c r="AM13" s="26"/>
      <c r="AN13" s="26"/>
      <c r="AO13" s="26"/>
      <c r="AP13" s="26"/>
      <c r="AQ13" s="26"/>
      <c r="AR13" s="26"/>
      <c r="AS13" s="25">
        <v>0</v>
      </c>
      <c r="AT13" s="25">
        <v>0</v>
      </c>
      <c r="AU13" s="25">
        <v>0</v>
      </c>
      <c r="AV13" s="25">
        <v>0</v>
      </c>
      <c r="AW13" s="25">
        <f t="shared" si="3"/>
        <v>0</v>
      </c>
      <c r="AX13" s="25">
        <v>0</v>
      </c>
      <c r="AY13" s="25">
        <f t="shared" si="4"/>
        <v>0</v>
      </c>
      <c r="AZ13" s="25"/>
      <c r="BA13" s="23"/>
      <c r="BB13" s="25"/>
      <c r="BC13" s="25"/>
      <c r="BD13" s="27"/>
      <c r="BE13" s="25"/>
      <c r="BF13" s="28"/>
      <c r="BG13" s="25"/>
      <c r="BH13" s="29" t="str">
        <f t="shared" si="1"/>
        <v>description: "Пружина не заведена", note: "Пружина не заведена", group: "input", minValue: null, maxValue: null, step: null, units: "null", defaultValue: null, eventRegistration: 0</v>
      </c>
      <c r="BI13" s="30"/>
    </row>
    <row r="14" spans="1:16380" s="31" customFormat="1" ht="15.75" x14ac:dyDescent="0.25">
      <c r="A14" s="18"/>
      <c r="B14" s="18"/>
      <c r="C14" s="18" t="s">
        <v>59</v>
      </c>
      <c r="D14" s="19"/>
      <c r="E14" s="37"/>
      <c r="F14" s="21" t="s">
        <v>83</v>
      </c>
      <c r="G14" s="21" t="s">
        <v>84</v>
      </c>
      <c r="H14" s="21" t="s">
        <v>84</v>
      </c>
      <c r="I14" s="21"/>
      <c r="J14" s="21">
        <f t="shared" si="0"/>
        <v>19</v>
      </c>
      <c r="K14" s="21" t="str">
        <f t="shared" si="2"/>
        <v>Неиспр. положение В</v>
      </c>
      <c r="L14" s="18" t="s">
        <v>85</v>
      </c>
      <c r="M14" s="22" t="s">
        <v>62</v>
      </c>
      <c r="N14" s="19" t="s">
        <v>63</v>
      </c>
      <c r="O14" s="19" t="s">
        <v>64</v>
      </c>
      <c r="P14" s="19"/>
      <c r="Q14" s="23"/>
      <c r="R14" s="23"/>
      <c r="S14" s="19" t="s">
        <v>65</v>
      </c>
      <c r="T14" s="19" t="s">
        <v>65</v>
      </c>
      <c r="U14" s="19" t="s">
        <v>65</v>
      </c>
      <c r="V14" s="19" t="s">
        <v>65</v>
      </c>
      <c r="W14" s="19"/>
      <c r="X14" s="19"/>
      <c r="Y14" s="19" t="s">
        <v>65</v>
      </c>
      <c r="Z14" s="19">
        <v>0</v>
      </c>
      <c r="AA14" s="24"/>
      <c r="AB14" s="25">
        <v>0</v>
      </c>
      <c r="AC14" s="25"/>
      <c r="AD14" s="25"/>
      <c r="AE14" s="25"/>
      <c r="AF14" s="25"/>
      <c r="AG14" s="25">
        <v>0</v>
      </c>
      <c r="AH14" s="25">
        <v>0</v>
      </c>
      <c r="AI14" s="25">
        <v>0</v>
      </c>
      <c r="AJ14" s="8"/>
      <c r="AK14" s="26"/>
      <c r="AL14" s="26"/>
      <c r="AM14" s="26"/>
      <c r="AN14" s="26"/>
      <c r="AO14" s="26"/>
      <c r="AP14" s="26"/>
      <c r="AQ14" s="26"/>
      <c r="AR14" s="26"/>
      <c r="AS14" s="25">
        <v>0</v>
      </c>
      <c r="AT14" s="25">
        <v>0</v>
      </c>
      <c r="AU14" s="25">
        <v>0</v>
      </c>
      <c r="AV14" s="25">
        <v>0</v>
      </c>
      <c r="AW14" s="25">
        <f t="shared" si="3"/>
        <v>0</v>
      </c>
      <c r="AX14" s="25">
        <v>0</v>
      </c>
      <c r="AY14" s="25">
        <f t="shared" si="4"/>
        <v>0</v>
      </c>
      <c r="AZ14" s="25"/>
      <c r="BA14" s="23"/>
      <c r="BB14" s="25"/>
      <c r="BC14" s="25"/>
      <c r="BD14" s="27"/>
      <c r="BE14" s="25"/>
      <c r="BF14" s="28"/>
      <c r="BG14" s="25"/>
      <c r="BH14" s="29" t="str">
        <f t="shared" si="1"/>
        <v>description: "Неиспр. положение В", note: "Неисправное положение В", group: "measurement", minValue: null, maxValue: null, step: null, units: "null", defaultValue: null, eventRegistration: 0</v>
      </c>
      <c r="BI14" s="30"/>
    </row>
    <row r="15" spans="1:16380" s="31" customFormat="1" ht="15.75" x14ac:dyDescent="0.25">
      <c r="A15" s="18"/>
      <c r="B15" s="18"/>
      <c r="C15" s="18" t="s">
        <v>59</v>
      </c>
      <c r="D15" s="19"/>
      <c r="E15" s="37"/>
      <c r="F15" s="59" t="s">
        <v>289</v>
      </c>
      <c r="G15" s="21" t="s">
        <v>86</v>
      </c>
      <c r="H15" s="21" t="s">
        <v>86</v>
      </c>
      <c r="I15" s="21"/>
      <c r="J15" s="21">
        <f t="shared" si="0"/>
        <v>10</v>
      </c>
      <c r="K15" s="21" t="str">
        <f t="shared" si="2"/>
        <v>В Отключен</v>
      </c>
      <c r="L15" s="18" t="s">
        <v>87</v>
      </c>
      <c r="M15" s="22" t="s">
        <v>62</v>
      </c>
      <c r="N15" s="19" t="s">
        <v>63</v>
      </c>
      <c r="O15" s="19" t="s">
        <v>64</v>
      </c>
      <c r="P15" s="19"/>
      <c r="Q15" s="23"/>
      <c r="R15" s="23"/>
      <c r="S15" s="19" t="s">
        <v>65</v>
      </c>
      <c r="T15" s="19" t="s">
        <v>65</v>
      </c>
      <c r="U15" s="19" t="s">
        <v>65</v>
      </c>
      <c r="V15" s="19" t="s">
        <v>65</v>
      </c>
      <c r="W15" s="19"/>
      <c r="X15" s="19"/>
      <c r="Y15" s="19" t="s">
        <v>65</v>
      </c>
      <c r="Z15" s="19">
        <v>0</v>
      </c>
      <c r="AA15" s="24"/>
      <c r="AB15" s="25">
        <v>0</v>
      </c>
      <c r="AC15" s="25"/>
      <c r="AD15" s="25"/>
      <c r="AE15" s="25"/>
      <c r="AF15" s="25"/>
      <c r="AG15" s="25">
        <v>0</v>
      </c>
      <c r="AH15" s="25">
        <v>0</v>
      </c>
      <c r="AI15" s="25">
        <v>0</v>
      </c>
      <c r="AJ15" s="8"/>
      <c r="AK15" s="26"/>
      <c r="AL15" s="26"/>
      <c r="AM15" s="26"/>
      <c r="AN15" s="26"/>
      <c r="AO15" s="26"/>
      <c r="AP15" s="26"/>
      <c r="AQ15" s="26"/>
      <c r="AR15" s="26"/>
      <c r="AS15" s="25">
        <v>0</v>
      </c>
      <c r="AT15" s="25">
        <v>0</v>
      </c>
      <c r="AU15" s="25">
        <v>0</v>
      </c>
      <c r="AV15" s="25">
        <v>0</v>
      </c>
      <c r="AW15" s="25">
        <f t="shared" si="3"/>
        <v>0</v>
      </c>
      <c r="AX15" s="25">
        <v>0</v>
      </c>
      <c r="AY15" s="25">
        <f t="shared" si="4"/>
        <v>0</v>
      </c>
      <c r="AZ15" s="25"/>
      <c r="BA15" s="23"/>
      <c r="BB15" s="25"/>
      <c r="BC15" s="25"/>
      <c r="BD15" s="27"/>
      <c r="BE15" s="25"/>
      <c r="BF15" s="28"/>
      <c r="BG15" s="25"/>
      <c r="BH15" s="29" t="str">
        <f t="shared" si="1"/>
        <v>description: "В Отключен", note: "Выключатель «Отключен»", group: "measurement", minValue: null, maxValue: null, step: null, units: "null", defaultValue: null, eventRegistration: 0</v>
      </c>
      <c r="BI15" s="30"/>
    </row>
    <row r="16" spans="1:16380" s="31" customFormat="1" ht="15.75" x14ac:dyDescent="0.25">
      <c r="A16" s="18"/>
      <c r="B16" s="18"/>
      <c r="C16" s="18" t="s">
        <v>59</v>
      </c>
      <c r="D16" s="19"/>
      <c r="E16" s="37"/>
      <c r="F16" s="59" t="s">
        <v>290</v>
      </c>
      <c r="G16" s="21" t="s">
        <v>88</v>
      </c>
      <c r="H16" s="21" t="s">
        <v>88</v>
      </c>
      <c r="I16" s="21"/>
      <c r="J16" s="21">
        <f t="shared" si="0"/>
        <v>9</v>
      </c>
      <c r="K16" s="21" t="str">
        <f t="shared" si="2"/>
        <v>В Включен</v>
      </c>
      <c r="L16" s="18" t="s">
        <v>89</v>
      </c>
      <c r="M16" s="22" t="s">
        <v>62</v>
      </c>
      <c r="N16" s="19" t="s">
        <v>63</v>
      </c>
      <c r="O16" s="19" t="s">
        <v>64</v>
      </c>
      <c r="P16" s="19"/>
      <c r="Q16" s="23"/>
      <c r="R16" s="23"/>
      <c r="S16" s="19" t="s">
        <v>65</v>
      </c>
      <c r="T16" s="19" t="s">
        <v>65</v>
      </c>
      <c r="U16" s="19" t="s">
        <v>65</v>
      </c>
      <c r="V16" s="19" t="s">
        <v>65</v>
      </c>
      <c r="W16" s="19"/>
      <c r="X16" s="19"/>
      <c r="Y16" s="19" t="s">
        <v>65</v>
      </c>
      <c r="Z16" s="19">
        <v>0</v>
      </c>
      <c r="AA16" s="24"/>
      <c r="AB16" s="25">
        <v>0</v>
      </c>
      <c r="AC16" s="25"/>
      <c r="AD16" s="25"/>
      <c r="AE16" s="25"/>
      <c r="AF16" s="25"/>
      <c r="AG16" s="25">
        <v>0</v>
      </c>
      <c r="AH16" s="25">
        <v>0</v>
      </c>
      <c r="AI16" s="25">
        <v>0</v>
      </c>
      <c r="AJ16" s="8"/>
      <c r="AK16" s="26"/>
      <c r="AL16" s="26"/>
      <c r="AM16" s="26"/>
      <c r="AN16" s="26"/>
      <c r="AO16" s="26"/>
      <c r="AP16" s="26"/>
      <c r="AQ16" s="26"/>
      <c r="AR16" s="26"/>
      <c r="AS16" s="25">
        <v>0</v>
      </c>
      <c r="AT16" s="25">
        <v>0</v>
      </c>
      <c r="AU16" s="25">
        <v>0</v>
      </c>
      <c r="AV16" s="25">
        <v>0</v>
      </c>
      <c r="AW16" s="25">
        <f t="shared" si="3"/>
        <v>0</v>
      </c>
      <c r="AX16" s="25">
        <v>0</v>
      </c>
      <c r="AY16" s="25">
        <f t="shared" si="4"/>
        <v>0</v>
      </c>
      <c r="AZ16" s="25"/>
      <c r="BA16" s="23"/>
      <c r="BB16" s="25"/>
      <c r="BC16" s="25"/>
      <c r="BD16" s="27"/>
      <c r="BE16" s="25"/>
      <c r="BF16" s="28"/>
      <c r="BG16" s="25"/>
      <c r="BH16" s="29" t="str">
        <f t="shared" si="1"/>
        <v>description: "В Включен", note: "Выключатель «Включен»", group: "measurement", minValue: null, maxValue: null, step: null, units: "null", defaultValue: null, eventRegistration: 0</v>
      </c>
      <c r="BI16" s="30"/>
    </row>
    <row r="17" spans="1:61" s="82" customFormat="1" ht="15.75" x14ac:dyDescent="0.25">
      <c r="A17" s="68"/>
      <c r="B17" s="81" t="s">
        <v>285</v>
      </c>
      <c r="C17" s="68" t="s">
        <v>282</v>
      </c>
      <c r="D17" s="69"/>
      <c r="E17" s="83"/>
      <c r="F17" s="71" t="s">
        <v>90</v>
      </c>
      <c r="G17" s="71" t="s">
        <v>90</v>
      </c>
      <c r="H17" s="71" t="s">
        <v>90</v>
      </c>
      <c r="I17" s="71"/>
      <c r="J17" s="71">
        <f t="shared" si="0"/>
        <v>5</v>
      </c>
      <c r="K17" s="71" t="str">
        <f t="shared" si="2"/>
        <v>Сброс</v>
      </c>
      <c r="L17" s="68" t="s">
        <v>91</v>
      </c>
      <c r="M17" s="72" t="s">
        <v>62</v>
      </c>
      <c r="N17" s="69" t="s">
        <v>63</v>
      </c>
      <c r="O17" s="69" t="s">
        <v>64</v>
      </c>
      <c r="P17" s="69"/>
      <c r="Q17" s="73"/>
      <c r="R17" s="73"/>
      <c r="S17" s="69" t="s">
        <v>65</v>
      </c>
      <c r="T17" s="69" t="s">
        <v>65</v>
      </c>
      <c r="U17" s="69" t="s">
        <v>65</v>
      </c>
      <c r="V17" s="69" t="s">
        <v>65</v>
      </c>
      <c r="W17" s="69"/>
      <c r="X17" s="69"/>
      <c r="Y17" s="69" t="s">
        <v>65</v>
      </c>
      <c r="Z17" s="69">
        <v>0</v>
      </c>
      <c r="AA17" s="74"/>
      <c r="AB17" s="75">
        <v>0</v>
      </c>
      <c r="AC17" s="75"/>
      <c r="AD17" s="75"/>
      <c r="AE17" s="75"/>
      <c r="AF17" s="75"/>
      <c r="AG17" s="75">
        <v>0</v>
      </c>
      <c r="AH17" s="75">
        <v>0</v>
      </c>
      <c r="AI17" s="75">
        <v>0</v>
      </c>
      <c r="AJ17" s="76"/>
      <c r="AK17" s="77"/>
      <c r="AL17" s="77"/>
      <c r="AM17" s="77"/>
      <c r="AN17" s="77"/>
      <c r="AO17" s="77"/>
      <c r="AP17" s="77"/>
      <c r="AQ17" s="77"/>
      <c r="AR17" s="77"/>
      <c r="AS17" s="75">
        <v>0</v>
      </c>
      <c r="AT17" s="75">
        <v>0</v>
      </c>
      <c r="AU17" s="84">
        <v>1</v>
      </c>
      <c r="AV17" s="25">
        <v>0</v>
      </c>
      <c r="AW17" s="84">
        <v>1</v>
      </c>
      <c r="AX17" s="84">
        <v>1</v>
      </c>
      <c r="AY17" s="84">
        <v>1</v>
      </c>
      <c r="AZ17" s="75"/>
      <c r="BA17" s="73"/>
      <c r="BB17" s="75"/>
      <c r="BC17" s="75"/>
      <c r="BD17" s="78"/>
      <c r="BE17" s="75"/>
      <c r="BF17" s="79"/>
      <c r="BG17" s="75"/>
      <c r="BH17" s="80" t="str">
        <f t="shared" si="1"/>
        <v>description: "Сброс", note: "Сброс", group: "control", minValue: null, maxValue: null, step: null, units: "null", defaultValue: null, eventRegistration: 0</v>
      </c>
      <c r="BI17" s="81"/>
    </row>
    <row r="18" spans="1:61" s="31" customFormat="1" ht="15.75" x14ac:dyDescent="0.25">
      <c r="A18" s="18"/>
      <c r="B18" s="18"/>
      <c r="C18" s="18" t="s">
        <v>59</v>
      </c>
      <c r="D18" s="19"/>
      <c r="E18" s="37"/>
      <c r="F18" s="59" t="s">
        <v>291</v>
      </c>
      <c r="G18" s="21" t="s">
        <v>92</v>
      </c>
      <c r="H18" s="21" t="s">
        <v>92</v>
      </c>
      <c r="I18" s="21"/>
      <c r="J18" s="21">
        <f t="shared" si="0"/>
        <v>15</v>
      </c>
      <c r="K18" s="21" t="str">
        <f t="shared" si="2"/>
        <v>Отключить от УВ</v>
      </c>
      <c r="L18" s="18" t="s">
        <v>93</v>
      </c>
      <c r="M18" s="22" t="s">
        <v>62</v>
      </c>
      <c r="N18" s="19" t="s">
        <v>63</v>
      </c>
      <c r="O18" s="19" t="s">
        <v>64</v>
      </c>
      <c r="P18" s="19"/>
      <c r="Q18" s="23"/>
      <c r="R18" s="23"/>
      <c r="S18" s="19" t="s">
        <v>65</v>
      </c>
      <c r="T18" s="19" t="s">
        <v>65</v>
      </c>
      <c r="U18" s="19" t="s">
        <v>65</v>
      </c>
      <c r="V18" s="19" t="s">
        <v>65</v>
      </c>
      <c r="W18" s="19"/>
      <c r="X18" s="19"/>
      <c r="Y18" s="19" t="s">
        <v>65</v>
      </c>
      <c r="Z18" s="19">
        <v>0</v>
      </c>
      <c r="AA18" s="24"/>
      <c r="AB18" s="25">
        <v>0</v>
      </c>
      <c r="AC18" s="25"/>
      <c r="AD18" s="25"/>
      <c r="AE18" s="25"/>
      <c r="AF18" s="25"/>
      <c r="AG18" s="25">
        <v>0</v>
      </c>
      <c r="AH18" s="25">
        <v>0</v>
      </c>
      <c r="AI18" s="25">
        <v>0</v>
      </c>
      <c r="AJ18" s="8"/>
      <c r="AK18" s="26"/>
      <c r="AL18" s="26"/>
      <c r="AM18" s="26"/>
      <c r="AN18" s="26"/>
      <c r="AO18" s="26"/>
      <c r="AP18" s="26"/>
      <c r="AQ18" s="26"/>
      <c r="AR18" s="26"/>
      <c r="AS18" s="25">
        <v>0</v>
      </c>
      <c r="AT18" s="25">
        <v>0</v>
      </c>
      <c r="AU18" s="25">
        <v>0</v>
      </c>
      <c r="AV18" s="25">
        <v>0</v>
      </c>
      <c r="AW18" s="25">
        <f t="shared" si="3"/>
        <v>0</v>
      </c>
      <c r="AX18" s="25">
        <v>0</v>
      </c>
      <c r="AY18" s="25">
        <f t="shared" si="4"/>
        <v>0</v>
      </c>
      <c r="AZ18" s="25"/>
      <c r="BA18" s="23"/>
      <c r="BB18" s="25"/>
      <c r="BC18" s="25"/>
      <c r="BD18" s="27"/>
      <c r="BE18" s="25"/>
      <c r="BF18" s="28"/>
      <c r="BG18" s="25"/>
      <c r="BH18" s="29" t="str">
        <f t="shared" si="1"/>
        <v>description: "Отключить от УВ", note: "Сигнал «Отключить» от функции УВ", group: "measurement", minValue: null, maxValue: null, step: null, units: "null", defaultValue: null, eventRegistration: 0</v>
      </c>
      <c r="BI18" s="30"/>
    </row>
    <row r="19" spans="1:61" s="31" customFormat="1" ht="15.75" x14ac:dyDescent="0.25">
      <c r="A19" s="18"/>
      <c r="B19" s="18"/>
      <c r="C19" s="65" t="s">
        <v>283</v>
      </c>
      <c r="D19" s="19"/>
      <c r="E19" s="37"/>
      <c r="F19" s="21" t="s">
        <v>94</v>
      </c>
      <c r="G19" s="21" t="s">
        <v>95</v>
      </c>
      <c r="H19" s="21" t="s">
        <v>95</v>
      </c>
      <c r="I19" s="21"/>
      <c r="J19" s="21">
        <f t="shared" si="0"/>
        <v>15</v>
      </c>
      <c r="K19" s="21" t="str">
        <f t="shared" si="2"/>
        <v>Откл. от кнопки</v>
      </c>
      <c r="L19" s="18" t="s">
        <v>250</v>
      </c>
      <c r="M19" s="22" t="s">
        <v>62</v>
      </c>
      <c r="N19" s="19" t="s">
        <v>63</v>
      </c>
      <c r="O19" s="19" t="s">
        <v>64</v>
      </c>
      <c r="P19" s="19"/>
      <c r="Q19" s="23"/>
      <c r="R19" s="23"/>
      <c r="S19" s="19" t="s">
        <v>65</v>
      </c>
      <c r="T19" s="19" t="s">
        <v>65</v>
      </c>
      <c r="U19" s="19" t="s">
        <v>65</v>
      </c>
      <c r="V19" s="19" t="s">
        <v>65</v>
      </c>
      <c r="W19" s="19"/>
      <c r="X19" s="19"/>
      <c r="Y19" s="19" t="s">
        <v>65</v>
      </c>
      <c r="Z19" s="19">
        <v>0</v>
      </c>
      <c r="AA19" s="24"/>
      <c r="AB19" s="25">
        <v>0</v>
      </c>
      <c r="AC19" s="25"/>
      <c r="AD19" s="25"/>
      <c r="AE19" s="25"/>
      <c r="AF19" s="25"/>
      <c r="AG19" s="25">
        <v>0</v>
      </c>
      <c r="AH19" s="25">
        <v>0</v>
      </c>
      <c r="AI19" s="25">
        <v>0</v>
      </c>
      <c r="AJ19" s="8"/>
      <c r="AK19" s="26"/>
      <c r="AL19" s="26"/>
      <c r="AM19" s="26"/>
      <c r="AN19" s="26"/>
      <c r="AO19" s="26"/>
      <c r="AP19" s="26"/>
      <c r="AQ19" s="26"/>
      <c r="AR19" s="26"/>
      <c r="AS19" s="25">
        <v>0</v>
      </c>
      <c r="AT19" s="25">
        <v>0</v>
      </c>
      <c r="AU19" s="25">
        <v>0</v>
      </c>
      <c r="AV19" s="25">
        <v>0</v>
      </c>
      <c r="AW19" s="25">
        <f t="shared" si="3"/>
        <v>0</v>
      </c>
      <c r="AX19" s="25">
        <v>0</v>
      </c>
      <c r="AY19" s="25">
        <f t="shared" si="4"/>
        <v>0</v>
      </c>
      <c r="AZ19" s="25"/>
      <c r="BA19" s="23"/>
      <c r="BB19" s="25"/>
      <c r="BC19" s="25"/>
      <c r="BD19" s="27"/>
      <c r="BE19" s="25"/>
      <c r="BF19" s="28"/>
      <c r="BG19" s="25"/>
      <c r="BH19" s="29" t="str">
        <f t="shared" si="1"/>
        <v>description: "Откл. от кнопки", note: "Отключение от кнопки", group: "input", minValue: null, maxValue: null, step: null, units: "null", defaultValue: null, eventRegistration: 0</v>
      </c>
      <c r="BI19" s="30"/>
    </row>
    <row r="20" spans="1:61" s="31" customFormat="1" ht="15.75" x14ac:dyDescent="0.25">
      <c r="A20" s="18"/>
      <c r="B20" s="18"/>
      <c r="C20" s="65" t="s">
        <v>283</v>
      </c>
      <c r="D20" s="19"/>
      <c r="E20" s="37"/>
      <c r="F20" s="21" t="s">
        <v>258</v>
      </c>
      <c r="G20" s="21" t="s">
        <v>259</v>
      </c>
      <c r="H20" s="21" t="s">
        <v>259</v>
      </c>
      <c r="I20" s="21"/>
      <c r="J20" s="21">
        <f t="shared" ref="J20" si="12">LEN(G20)</f>
        <v>17</v>
      </c>
      <c r="K20" s="21" t="str">
        <f t="shared" ref="K20" si="13">IF(LEN(G20)&lt;=$K$1,G20,"")</f>
        <v>Опер. отключить В</v>
      </c>
      <c r="L20" s="18" t="s">
        <v>257</v>
      </c>
      <c r="M20" s="22" t="s">
        <v>62</v>
      </c>
      <c r="N20" s="19" t="s">
        <v>63</v>
      </c>
      <c r="O20" s="19" t="s">
        <v>64</v>
      </c>
      <c r="P20" s="19"/>
      <c r="Q20" s="23"/>
      <c r="R20" s="23"/>
      <c r="S20" s="19" t="s">
        <v>65</v>
      </c>
      <c r="T20" s="19" t="s">
        <v>65</v>
      </c>
      <c r="U20" s="19" t="s">
        <v>65</v>
      </c>
      <c r="V20" s="19" t="s">
        <v>65</v>
      </c>
      <c r="W20" s="19"/>
      <c r="X20" s="19"/>
      <c r="Y20" s="19" t="s">
        <v>65</v>
      </c>
      <c r="Z20" s="19">
        <v>0</v>
      </c>
      <c r="AA20" s="24"/>
      <c r="AB20" s="25">
        <v>0</v>
      </c>
      <c r="AC20" s="25"/>
      <c r="AD20" s="25"/>
      <c r="AE20" s="25"/>
      <c r="AF20" s="25"/>
      <c r="AG20" s="25">
        <v>0</v>
      </c>
      <c r="AH20" s="25">
        <v>0</v>
      </c>
      <c r="AI20" s="25">
        <v>0</v>
      </c>
      <c r="AJ20" s="8"/>
      <c r="AK20" s="26"/>
      <c r="AL20" s="26"/>
      <c r="AM20" s="26"/>
      <c r="AN20" s="26"/>
      <c r="AO20" s="26"/>
      <c r="AP20" s="26"/>
      <c r="AQ20" s="26"/>
      <c r="AR20" s="26"/>
      <c r="AS20" s="25">
        <v>0</v>
      </c>
      <c r="AT20" s="25">
        <v>0</v>
      </c>
      <c r="AU20" s="25">
        <v>0</v>
      </c>
      <c r="AV20" s="25">
        <v>0</v>
      </c>
      <c r="AW20" s="25">
        <f t="shared" ref="AW20" si="14">BIN2DEC(CONCATENATE(0,0,0,0,AS20,AT20,AU20,AV20))</f>
        <v>0</v>
      </c>
      <c r="AX20" s="25">
        <v>0</v>
      </c>
      <c r="AY20" s="25">
        <f t="shared" si="4"/>
        <v>0</v>
      </c>
      <c r="AZ20" s="25"/>
      <c r="BA20" s="23"/>
      <c r="BB20" s="25"/>
      <c r="BC20" s="25"/>
      <c r="BD20" s="27"/>
      <c r="BE20" s="25"/>
      <c r="BF20" s="28"/>
      <c r="BG20" s="25"/>
      <c r="BH20" s="29" t="str">
        <f t="shared" ref="BH20" si="15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"Опер. отключить В", note: "Оперативно отключить В", group: "input", minValue: null, maxValue: null, step: null, units: "null", defaultValue: null, eventRegistration: 0</v>
      </c>
      <c r="BI20" s="30"/>
    </row>
    <row r="21" spans="1:61" s="31" customFormat="1" ht="15.75" x14ac:dyDescent="0.25">
      <c r="A21" s="18"/>
      <c r="B21" s="18"/>
      <c r="C21" s="18" t="s">
        <v>59</v>
      </c>
      <c r="D21" s="19"/>
      <c r="E21" s="37"/>
      <c r="F21" s="21" t="s">
        <v>96</v>
      </c>
      <c r="G21" s="21" t="s">
        <v>97</v>
      </c>
      <c r="H21" s="21" t="s">
        <v>97</v>
      </c>
      <c r="I21" s="21"/>
      <c r="J21" s="21">
        <f t="shared" si="0"/>
        <v>18</v>
      </c>
      <c r="K21" s="21" t="str">
        <f t="shared" si="2"/>
        <v xml:space="preserve">Превышен ресурс В </v>
      </c>
      <c r="L21" s="18" t="s">
        <v>98</v>
      </c>
      <c r="M21" s="22" t="s">
        <v>62</v>
      </c>
      <c r="N21" s="19" t="s">
        <v>63</v>
      </c>
      <c r="O21" s="19" t="s">
        <v>64</v>
      </c>
      <c r="P21" s="19"/>
      <c r="Q21" s="23"/>
      <c r="R21" s="23"/>
      <c r="S21" s="19" t="s">
        <v>65</v>
      </c>
      <c r="T21" s="19" t="s">
        <v>65</v>
      </c>
      <c r="U21" s="19" t="s">
        <v>65</v>
      </c>
      <c r="V21" s="19" t="s">
        <v>65</v>
      </c>
      <c r="W21" s="19"/>
      <c r="X21" s="19"/>
      <c r="Y21" s="19" t="s">
        <v>65</v>
      </c>
      <c r="Z21" s="19">
        <v>0</v>
      </c>
      <c r="AA21" s="24"/>
      <c r="AB21" s="25">
        <v>0</v>
      </c>
      <c r="AC21" s="25"/>
      <c r="AD21" s="25"/>
      <c r="AE21" s="25"/>
      <c r="AF21" s="25"/>
      <c r="AG21" s="25">
        <v>0</v>
      </c>
      <c r="AH21" s="25">
        <v>0</v>
      </c>
      <c r="AI21" s="25">
        <v>0</v>
      </c>
      <c r="AJ21" s="8"/>
      <c r="AK21" s="26"/>
      <c r="AL21" s="26"/>
      <c r="AM21" s="26"/>
      <c r="AN21" s="26"/>
      <c r="AO21" s="26"/>
      <c r="AP21" s="26"/>
      <c r="AQ21" s="26"/>
      <c r="AR21" s="26"/>
      <c r="AS21" s="25">
        <v>0</v>
      </c>
      <c r="AT21" s="25">
        <v>0</v>
      </c>
      <c r="AU21" s="25">
        <v>0</v>
      </c>
      <c r="AV21" s="25">
        <v>0</v>
      </c>
      <c r="AW21" s="25">
        <f t="shared" si="3"/>
        <v>0</v>
      </c>
      <c r="AX21" s="25">
        <v>0</v>
      </c>
      <c r="AY21" s="25">
        <f t="shared" si="4"/>
        <v>0</v>
      </c>
      <c r="AZ21" s="25"/>
      <c r="BA21" s="23"/>
      <c r="BB21" s="25"/>
      <c r="BC21" s="25"/>
      <c r="BD21" s="27"/>
      <c r="BE21" s="25"/>
      <c r="BF21" s="28"/>
      <c r="BG21" s="25"/>
      <c r="BH21" s="29" t="str">
        <f t="shared" si="1"/>
        <v>description: "Превышен ресурс В ", note: "Превышен ресурс В", group: "measurement", minValue: null, maxValue: null, step: null, units: "null", defaultValue: null, eventRegistration: 0</v>
      </c>
      <c r="BI21" s="30"/>
    </row>
    <row r="22" spans="1:61" s="31" customFormat="1" ht="15.75" x14ac:dyDescent="0.25">
      <c r="A22" s="18"/>
      <c r="B22" s="18"/>
      <c r="C22" s="18" t="s">
        <v>59</v>
      </c>
      <c r="D22" s="19"/>
      <c r="E22" s="37"/>
      <c r="F22" s="21" t="s">
        <v>99</v>
      </c>
      <c r="G22" s="21" t="s">
        <v>100</v>
      </c>
      <c r="H22" s="21" t="s">
        <v>100</v>
      </c>
      <c r="I22" s="21"/>
      <c r="J22" s="21">
        <f t="shared" si="0"/>
        <v>18</v>
      </c>
      <c r="K22" s="21" t="str">
        <f t="shared" si="2"/>
        <v>Блок.вкл. от ОБР В</v>
      </c>
      <c r="L22" s="18" t="s">
        <v>101</v>
      </c>
      <c r="M22" s="22" t="s">
        <v>62</v>
      </c>
      <c r="N22" s="19" t="s">
        <v>63</v>
      </c>
      <c r="O22" s="19" t="s">
        <v>64</v>
      </c>
      <c r="P22" s="19"/>
      <c r="Q22" s="23"/>
      <c r="R22" s="23"/>
      <c r="S22" s="19" t="s">
        <v>65</v>
      </c>
      <c r="T22" s="19" t="s">
        <v>65</v>
      </c>
      <c r="U22" s="19" t="s">
        <v>65</v>
      </c>
      <c r="V22" s="19" t="s">
        <v>65</v>
      </c>
      <c r="W22" s="19"/>
      <c r="X22" s="19"/>
      <c r="Y22" s="19" t="s">
        <v>65</v>
      </c>
      <c r="Z22" s="19">
        <v>0</v>
      </c>
      <c r="AA22" s="24"/>
      <c r="AB22" s="25">
        <v>0</v>
      </c>
      <c r="AC22" s="25"/>
      <c r="AD22" s="25"/>
      <c r="AE22" s="25"/>
      <c r="AF22" s="25"/>
      <c r="AG22" s="25">
        <v>0</v>
      </c>
      <c r="AH22" s="25">
        <v>0</v>
      </c>
      <c r="AI22" s="25">
        <v>0</v>
      </c>
      <c r="AJ22" s="8"/>
      <c r="AK22" s="26"/>
      <c r="AL22" s="26"/>
      <c r="AM22" s="26"/>
      <c r="AN22" s="26"/>
      <c r="AO22" s="26"/>
      <c r="AP22" s="26"/>
      <c r="AQ22" s="26"/>
      <c r="AR22" s="26"/>
      <c r="AS22" s="25">
        <v>0</v>
      </c>
      <c r="AT22" s="25">
        <v>0</v>
      </c>
      <c r="AU22" s="25">
        <v>0</v>
      </c>
      <c r="AV22" s="25">
        <v>0</v>
      </c>
      <c r="AW22" s="25">
        <f t="shared" si="3"/>
        <v>0</v>
      </c>
      <c r="AX22" s="25">
        <v>0</v>
      </c>
      <c r="AY22" s="25">
        <f t="shared" si="4"/>
        <v>0</v>
      </c>
      <c r="AZ22" s="25"/>
      <c r="BA22" s="23"/>
      <c r="BB22" s="25"/>
      <c r="BC22" s="25"/>
      <c r="BD22" s="27"/>
      <c r="BE22" s="25"/>
      <c r="BF22" s="28"/>
      <c r="BG22" s="25"/>
      <c r="BH22" s="29" t="str">
        <f t="shared" si="1"/>
        <v>description: "Блок.вкл. от ОБР В", note: "Блокировка включения от функции ОБР В", group: "measurement", minValue: null, maxValue: null, step: null, units: "null", defaultValue: null, eventRegistration: 0</v>
      </c>
      <c r="BI22" s="30"/>
    </row>
    <row r="23" spans="1:61" s="31" customFormat="1" ht="15.75" x14ac:dyDescent="0.25">
      <c r="A23" s="18"/>
      <c r="B23" s="18"/>
      <c r="C23" s="65" t="s">
        <v>283</v>
      </c>
      <c r="D23" s="19"/>
      <c r="E23" s="37"/>
      <c r="F23" s="21" t="s">
        <v>102</v>
      </c>
      <c r="G23" s="21" t="s">
        <v>260</v>
      </c>
      <c r="H23" s="21" t="s">
        <v>260</v>
      </c>
      <c r="I23" s="21"/>
      <c r="J23" s="21">
        <f t="shared" si="0"/>
        <v>18</v>
      </c>
      <c r="K23" s="21" t="str">
        <f t="shared" si="2"/>
        <v>Внеш. блок. упр. В</v>
      </c>
      <c r="L23" s="18" t="s">
        <v>103</v>
      </c>
      <c r="M23" s="22" t="s">
        <v>62</v>
      </c>
      <c r="N23" s="19" t="s">
        <v>63</v>
      </c>
      <c r="O23" s="19" t="s">
        <v>64</v>
      </c>
      <c r="P23" s="19"/>
      <c r="Q23" s="23"/>
      <c r="R23" s="23"/>
      <c r="S23" s="19" t="s">
        <v>65</v>
      </c>
      <c r="T23" s="19" t="s">
        <v>65</v>
      </c>
      <c r="U23" s="19" t="s">
        <v>65</v>
      </c>
      <c r="V23" s="19" t="s">
        <v>65</v>
      </c>
      <c r="W23" s="19"/>
      <c r="X23" s="19"/>
      <c r="Y23" s="19" t="s">
        <v>65</v>
      </c>
      <c r="Z23" s="19">
        <v>0</v>
      </c>
      <c r="AA23" s="24"/>
      <c r="AB23" s="25">
        <v>0</v>
      </c>
      <c r="AC23" s="25"/>
      <c r="AD23" s="25"/>
      <c r="AE23" s="25"/>
      <c r="AF23" s="25"/>
      <c r="AG23" s="25">
        <v>0</v>
      </c>
      <c r="AH23" s="25">
        <v>0</v>
      </c>
      <c r="AI23" s="25">
        <v>0</v>
      </c>
      <c r="AJ23" s="8"/>
      <c r="AK23" s="26"/>
      <c r="AL23" s="26"/>
      <c r="AM23" s="26"/>
      <c r="AN23" s="26"/>
      <c r="AO23" s="26"/>
      <c r="AP23" s="26"/>
      <c r="AQ23" s="26"/>
      <c r="AR23" s="26"/>
      <c r="AS23" s="25">
        <v>0</v>
      </c>
      <c r="AT23" s="25">
        <v>0</v>
      </c>
      <c r="AU23" s="25">
        <v>0</v>
      </c>
      <c r="AV23" s="25">
        <v>0</v>
      </c>
      <c r="AW23" s="25">
        <f t="shared" si="3"/>
        <v>0</v>
      </c>
      <c r="AX23" s="25">
        <v>0</v>
      </c>
      <c r="AY23" s="25">
        <f t="shared" si="4"/>
        <v>0</v>
      </c>
      <c r="AZ23" s="25"/>
      <c r="BA23" s="23"/>
      <c r="BB23" s="25"/>
      <c r="BC23" s="25"/>
      <c r="BD23" s="27"/>
      <c r="BE23" s="25"/>
      <c r="BF23" s="28"/>
      <c r="BG23" s="25"/>
      <c r="BH23" s="29" t="str">
        <f t="shared" si="1"/>
        <v>description: "Внеш. блок. упр. В", note: "Внешняя блокировка управления В", group: "input", minValue: null, maxValue: null, step: null, units: "null", defaultValue: null, eventRegistration: 0</v>
      </c>
      <c r="BI23" s="30"/>
    </row>
    <row r="24" spans="1:61" s="31" customFormat="1" ht="15.75" x14ac:dyDescent="0.25">
      <c r="A24" s="18"/>
      <c r="B24" s="18"/>
      <c r="C24" s="65" t="s">
        <v>283</v>
      </c>
      <c r="D24" s="19"/>
      <c r="E24" s="37"/>
      <c r="F24" s="21" t="s">
        <v>104</v>
      </c>
      <c r="G24" s="21" t="s">
        <v>104</v>
      </c>
      <c r="H24" s="21" t="s">
        <v>104</v>
      </c>
      <c r="I24" s="21"/>
      <c r="J24" s="21">
        <f t="shared" si="0"/>
        <v>17</v>
      </c>
      <c r="K24" s="21" t="str">
        <f t="shared" si="2"/>
        <v>Контроль цепи ЭМВ</v>
      </c>
      <c r="L24" s="18" t="s">
        <v>105</v>
      </c>
      <c r="M24" s="22" t="s">
        <v>62</v>
      </c>
      <c r="N24" s="19" t="s">
        <v>63</v>
      </c>
      <c r="O24" s="19" t="s">
        <v>64</v>
      </c>
      <c r="P24" s="19"/>
      <c r="Q24" s="23"/>
      <c r="R24" s="23"/>
      <c r="S24" s="19" t="s">
        <v>65</v>
      </c>
      <c r="T24" s="19" t="s">
        <v>65</v>
      </c>
      <c r="U24" s="19" t="s">
        <v>65</v>
      </c>
      <c r="V24" s="19" t="s">
        <v>65</v>
      </c>
      <c r="W24" s="19"/>
      <c r="X24" s="19"/>
      <c r="Y24" s="19" t="s">
        <v>65</v>
      </c>
      <c r="Z24" s="19">
        <v>0</v>
      </c>
      <c r="AA24" s="24"/>
      <c r="AB24" s="25">
        <v>0</v>
      </c>
      <c r="AC24" s="25"/>
      <c r="AD24" s="25"/>
      <c r="AE24" s="25"/>
      <c r="AF24" s="25"/>
      <c r="AG24" s="25">
        <v>0</v>
      </c>
      <c r="AH24" s="25">
        <v>0</v>
      </c>
      <c r="AI24" s="25">
        <v>0</v>
      </c>
      <c r="AJ24" s="8"/>
      <c r="AK24" s="26"/>
      <c r="AL24" s="26"/>
      <c r="AM24" s="26"/>
      <c r="AN24" s="26"/>
      <c r="AO24" s="26"/>
      <c r="AP24" s="26"/>
      <c r="AQ24" s="26"/>
      <c r="AR24" s="26"/>
      <c r="AS24" s="25">
        <v>0</v>
      </c>
      <c r="AT24" s="25">
        <v>0</v>
      </c>
      <c r="AU24" s="25">
        <v>0</v>
      </c>
      <c r="AV24" s="25">
        <v>0</v>
      </c>
      <c r="AW24" s="25">
        <f t="shared" si="3"/>
        <v>0</v>
      </c>
      <c r="AX24" s="25">
        <v>0</v>
      </c>
      <c r="AY24" s="25">
        <f t="shared" si="4"/>
        <v>0</v>
      </c>
      <c r="AZ24" s="25"/>
      <c r="BA24" s="23"/>
      <c r="BB24" s="25"/>
      <c r="BC24" s="25"/>
      <c r="BD24" s="27"/>
      <c r="BE24" s="25"/>
      <c r="BF24" s="28"/>
      <c r="BG24" s="25"/>
      <c r="BH24" s="29" t="str">
        <f t="shared" si="1"/>
        <v>description: "Контроль цепи ЭМВ", note: "Контроль цепи ЭМВ", group: "input", minValue: null, maxValue: null, step: null, units: "null", defaultValue: null, eventRegistration: 0</v>
      </c>
      <c r="BI24" s="30"/>
    </row>
    <row r="25" spans="1:61" s="31" customFormat="1" ht="15.75" x14ac:dyDescent="0.25">
      <c r="A25" s="18"/>
      <c r="B25" s="18"/>
      <c r="C25" s="65" t="s">
        <v>283</v>
      </c>
      <c r="D25" s="19"/>
      <c r="E25" s="37"/>
      <c r="F25" s="21" t="s">
        <v>106</v>
      </c>
      <c r="G25" s="21" t="s">
        <v>106</v>
      </c>
      <c r="H25" s="21" t="s">
        <v>106</v>
      </c>
      <c r="I25" s="21"/>
      <c r="J25" s="21">
        <f t="shared" si="0"/>
        <v>18</v>
      </c>
      <c r="K25" s="21" t="str">
        <f t="shared" si="2"/>
        <v>Контроль цепи ЭМО1</v>
      </c>
      <c r="L25" s="18" t="s">
        <v>107</v>
      </c>
      <c r="M25" s="22" t="s">
        <v>62</v>
      </c>
      <c r="N25" s="19" t="s">
        <v>63</v>
      </c>
      <c r="O25" s="19" t="s">
        <v>64</v>
      </c>
      <c r="P25" s="19"/>
      <c r="Q25" s="23"/>
      <c r="R25" s="23"/>
      <c r="S25" s="19" t="s">
        <v>65</v>
      </c>
      <c r="T25" s="19" t="s">
        <v>65</v>
      </c>
      <c r="U25" s="19" t="s">
        <v>65</v>
      </c>
      <c r="V25" s="19" t="s">
        <v>65</v>
      </c>
      <c r="W25" s="19"/>
      <c r="X25" s="19"/>
      <c r="Y25" s="19" t="s">
        <v>65</v>
      </c>
      <c r="Z25" s="19">
        <v>0</v>
      </c>
      <c r="AA25" s="24"/>
      <c r="AB25" s="25">
        <v>0</v>
      </c>
      <c r="AC25" s="25"/>
      <c r="AD25" s="25"/>
      <c r="AE25" s="25"/>
      <c r="AF25" s="25"/>
      <c r="AG25" s="25">
        <v>0</v>
      </c>
      <c r="AH25" s="25">
        <v>0</v>
      </c>
      <c r="AI25" s="25">
        <v>0</v>
      </c>
      <c r="AJ25" s="8"/>
      <c r="AK25" s="26"/>
      <c r="AL25" s="26"/>
      <c r="AM25" s="26"/>
      <c r="AN25" s="26"/>
      <c r="AO25" s="26"/>
      <c r="AP25" s="26"/>
      <c r="AQ25" s="26"/>
      <c r="AR25" s="26"/>
      <c r="AS25" s="25">
        <v>0</v>
      </c>
      <c r="AT25" s="25">
        <v>0</v>
      </c>
      <c r="AU25" s="25">
        <v>0</v>
      </c>
      <c r="AV25" s="25">
        <v>0</v>
      </c>
      <c r="AW25" s="25">
        <f t="shared" si="3"/>
        <v>0</v>
      </c>
      <c r="AX25" s="25">
        <v>0</v>
      </c>
      <c r="AY25" s="25">
        <f t="shared" si="4"/>
        <v>0</v>
      </c>
      <c r="AZ25" s="25"/>
      <c r="BA25" s="23"/>
      <c r="BB25" s="25"/>
      <c r="BC25" s="25"/>
      <c r="BD25" s="27"/>
      <c r="BE25" s="25"/>
      <c r="BF25" s="28"/>
      <c r="BG25" s="25"/>
      <c r="BH25" s="29" t="str">
        <f t="shared" si="1"/>
        <v>description: "Контроль цепи ЭМО1", note: "Контроль цепи ЭМО1", group: "input", minValue: null, maxValue: null, step: null, units: "null", defaultValue: null, eventRegistration: 0</v>
      </c>
      <c r="BI25" s="30"/>
    </row>
    <row r="26" spans="1:61" s="31" customFormat="1" ht="15.75" x14ac:dyDescent="0.25">
      <c r="A26" s="18"/>
      <c r="B26" s="18"/>
      <c r="C26" s="65" t="s">
        <v>283</v>
      </c>
      <c r="D26" s="19"/>
      <c r="E26" s="37"/>
      <c r="F26" s="21" t="s">
        <v>108</v>
      </c>
      <c r="G26" s="21" t="s">
        <v>108</v>
      </c>
      <c r="H26" s="21" t="s">
        <v>108</v>
      </c>
      <c r="I26" s="21"/>
      <c r="J26" s="21">
        <f t="shared" si="0"/>
        <v>18</v>
      </c>
      <c r="K26" s="21" t="str">
        <f t="shared" si="2"/>
        <v>Контроль цепи ЭМО2</v>
      </c>
      <c r="L26" s="18" t="s">
        <v>109</v>
      </c>
      <c r="M26" s="22" t="s">
        <v>62</v>
      </c>
      <c r="N26" s="19" t="s">
        <v>63</v>
      </c>
      <c r="O26" s="19" t="s">
        <v>64</v>
      </c>
      <c r="P26" s="19"/>
      <c r="Q26" s="23"/>
      <c r="R26" s="23"/>
      <c r="S26" s="19" t="s">
        <v>65</v>
      </c>
      <c r="T26" s="19" t="s">
        <v>65</v>
      </c>
      <c r="U26" s="19" t="s">
        <v>65</v>
      </c>
      <c r="V26" s="19" t="s">
        <v>65</v>
      </c>
      <c r="W26" s="19"/>
      <c r="X26" s="19"/>
      <c r="Y26" s="19" t="s">
        <v>65</v>
      </c>
      <c r="Z26" s="19">
        <v>0</v>
      </c>
      <c r="AA26" s="24"/>
      <c r="AB26" s="25">
        <v>0</v>
      </c>
      <c r="AC26" s="25"/>
      <c r="AD26" s="25"/>
      <c r="AE26" s="25"/>
      <c r="AF26" s="25"/>
      <c r="AG26" s="25">
        <v>0</v>
      </c>
      <c r="AH26" s="25">
        <v>0</v>
      </c>
      <c r="AI26" s="25">
        <v>0</v>
      </c>
      <c r="AJ26" s="8"/>
      <c r="AK26" s="26"/>
      <c r="AL26" s="26"/>
      <c r="AM26" s="26"/>
      <c r="AN26" s="26"/>
      <c r="AO26" s="26"/>
      <c r="AP26" s="26"/>
      <c r="AQ26" s="26"/>
      <c r="AR26" s="26"/>
      <c r="AS26" s="25">
        <v>0</v>
      </c>
      <c r="AT26" s="25">
        <v>0</v>
      </c>
      <c r="AU26" s="25">
        <v>0</v>
      </c>
      <c r="AV26" s="25">
        <v>0</v>
      </c>
      <c r="AW26" s="25">
        <f t="shared" si="3"/>
        <v>0</v>
      </c>
      <c r="AX26" s="25">
        <v>0</v>
      </c>
      <c r="AY26" s="25">
        <f t="shared" si="4"/>
        <v>0</v>
      </c>
      <c r="AZ26" s="25"/>
      <c r="BA26" s="23"/>
      <c r="BB26" s="25"/>
      <c r="BC26" s="25"/>
      <c r="BD26" s="27"/>
      <c r="BE26" s="25"/>
      <c r="BF26" s="28"/>
      <c r="BG26" s="25"/>
      <c r="BH26" s="29" t="str">
        <f t="shared" si="1"/>
        <v>description: "Контроль цепи ЭМО2", note: "Контроль цепи ЭМО2", group: "input", minValue: null, maxValue: null, step: null, units: "null", defaultValue: null, eventRegistration: 0</v>
      </c>
      <c r="BI26" s="30"/>
    </row>
    <row r="27" spans="1:61" s="31" customFormat="1" ht="15.75" x14ac:dyDescent="0.25">
      <c r="A27" s="18"/>
      <c r="B27" s="18"/>
      <c r="C27" s="65" t="s">
        <v>283</v>
      </c>
      <c r="D27" s="19"/>
      <c r="E27" s="37"/>
      <c r="F27" s="21" t="s">
        <v>110</v>
      </c>
      <c r="G27" s="21" t="s">
        <v>110</v>
      </c>
      <c r="H27" s="21" t="s">
        <v>110</v>
      </c>
      <c r="I27" s="21"/>
      <c r="J27" s="21">
        <f t="shared" si="0"/>
        <v>10</v>
      </c>
      <c r="K27" s="21" t="str">
        <f t="shared" si="2"/>
        <v>Работа ЭМВ</v>
      </c>
      <c r="L27" s="18" t="s">
        <v>111</v>
      </c>
      <c r="M27" s="22" t="s">
        <v>62</v>
      </c>
      <c r="N27" s="19" t="s">
        <v>63</v>
      </c>
      <c r="O27" s="19" t="s">
        <v>64</v>
      </c>
      <c r="P27" s="19"/>
      <c r="Q27" s="23"/>
      <c r="R27" s="23"/>
      <c r="S27" s="19" t="s">
        <v>65</v>
      </c>
      <c r="T27" s="19" t="s">
        <v>65</v>
      </c>
      <c r="U27" s="19" t="s">
        <v>65</v>
      </c>
      <c r="V27" s="19" t="s">
        <v>65</v>
      </c>
      <c r="W27" s="19"/>
      <c r="X27" s="19"/>
      <c r="Y27" s="19" t="s">
        <v>65</v>
      </c>
      <c r="Z27" s="19">
        <v>0</v>
      </c>
      <c r="AA27" s="24"/>
      <c r="AB27" s="25">
        <v>0</v>
      </c>
      <c r="AC27" s="25"/>
      <c r="AD27" s="25"/>
      <c r="AE27" s="25"/>
      <c r="AF27" s="25"/>
      <c r="AG27" s="25">
        <v>0</v>
      </c>
      <c r="AH27" s="25">
        <v>0</v>
      </c>
      <c r="AI27" s="25">
        <v>0</v>
      </c>
      <c r="AJ27" s="8"/>
      <c r="AK27" s="26"/>
      <c r="AL27" s="26"/>
      <c r="AM27" s="26"/>
      <c r="AN27" s="26"/>
      <c r="AO27" s="26"/>
      <c r="AP27" s="26"/>
      <c r="AQ27" s="26"/>
      <c r="AR27" s="26"/>
      <c r="AS27" s="25">
        <v>0</v>
      </c>
      <c r="AT27" s="25">
        <v>0</v>
      </c>
      <c r="AU27" s="25">
        <v>0</v>
      </c>
      <c r="AV27" s="25">
        <v>0</v>
      </c>
      <c r="AW27" s="25">
        <f t="shared" si="3"/>
        <v>0</v>
      </c>
      <c r="AX27" s="25">
        <v>0</v>
      </c>
      <c r="AY27" s="25">
        <f t="shared" si="4"/>
        <v>0</v>
      </c>
      <c r="AZ27" s="25"/>
      <c r="BA27" s="23"/>
      <c r="BB27" s="25"/>
      <c r="BC27" s="25"/>
      <c r="BD27" s="27"/>
      <c r="BE27" s="25"/>
      <c r="BF27" s="28"/>
      <c r="BG27" s="25"/>
      <c r="BH27" s="29" t="str">
        <f t="shared" si="1"/>
        <v>description: "Работа ЭМВ", note: "Работа ЭМВ", group: "input", minValue: null, maxValue: null, step: null, units: "null", defaultValue: null, eventRegistration: 0</v>
      </c>
      <c r="BI27" s="30"/>
    </row>
    <row r="28" spans="1:61" s="31" customFormat="1" ht="15.75" x14ac:dyDescent="0.25">
      <c r="A28" s="18"/>
      <c r="B28" s="18"/>
      <c r="C28" s="65" t="s">
        <v>283</v>
      </c>
      <c r="D28" s="19"/>
      <c r="E28" s="37"/>
      <c r="F28" s="21" t="s">
        <v>112</v>
      </c>
      <c r="G28" s="21" t="s">
        <v>112</v>
      </c>
      <c r="H28" s="21" t="s">
        <v>112</v>
      </c>
      <c r="I28" s="21"/>
      <c r="J28" s="21">
        <f t="shared" si="0"/>
        <v>11</v>
      </c>
      <c r="K28" s="21" t="str">
        <f t="shared" si="2"/>
        <v>Работа ЭМО1</v>
      </c>
      <c r="L28" s="18" t="s">
        <v>113</v>
      </c>
      <c r="M28" s="22" t="s">
        <v>62</v>
      </c>
      <c r="N28" s="19" t="s">
        <v>63</v>
      </c>
      <c r="O28" s="19" t="s">
        <v>64</v>
      </c>
      <c r="P28" s="19"/>
      <c r="Q28" s="23"/>
      <c r="R28" s="23"/>
      <c r="S28" s="19" t="s">
        <v>65</v>
      </c>
      <c r="T28" s="19" t="s">
        <v>65</v>
      </c>
      <c r="U28" s="19" t="s">
        <v>65</v>
      </c>
      <c r="V28" s="19" t="s">
        <v>65</v>
      </c>
      <c r="W28" s="19"/>
      <c r="X28" s="19"/>
      <c r="Y28" s="19" t="s">
        <v>65</v>
      </c>
      <c r="Z28" s="19">
        <v>0</v>
      </c>
      <c r="AA28" s="24"/>
      <c r="AB28" s="25">
        <v>0</v>
      </c>
      <c r="AC28" s="25"/>
      <c r="AD28" s="25"/>
      <c r="AE28" s="25"/>
      <c r="AF28" s="25"/>
      <c r="AG28" s="25">
        <v>0</v>
      </c>
      <c r="AH28" s="25">
        <v>0</v>
      </c>
      <c r="AI28" s="25">
        <v>0</v>
      </c>
      <c r="AJ28" s="8"/>
      <c r="AK28" s="26"/>
      <c r="AL28" s="26"/>
      <c r="AM28" s="26"/>
      <c r="AN28" s="26"/>
      <c r="AO28" s="26"/>
      <c r="AP28" s="26"/>
      <c r="AQ28" s="26"/>
      <c r="AR28" s="26"/>
      <c r="AS28" s="25">
        <v>0</v>
      </c>
      <c r="AT28" s="25">
        <v>0</v>
      </c>
      <c r="AU28" s="25">
        <v>0</v>
      </c>
      <c r="AV28" s="25">
        <v>0</v>
      </c>
      <c r="AW28" s="25">
        <f t="shared" si="3"/>
        <v>0</v>
      </c>
      <c r="AX28" s="25">
        <v>0</v>
      </c>
      <c r="AY28" s="25">
        <f t="shared" si="4"/>
        <v>0</v>
      </c>
      <c r="AZ28" s="25"/>
      <c r="BA28" s="23"/>
      <c r="BB28" s="25"/>
      <c r="BC28" s="25"/>
      <c r="BD28" s="27"/>
      <c r="BE28" s="25"/>
      <c r="BF28" s="28"/>
      <c r="BG28" s="25"/>
      <c r="BH28" s="29" t="str">
        <f t="shared" si="1"/>
        <v>description: "Работа ЭМО1", note: "Работа ЭМО1", group: "input", minValue: null, maxValue: null, step: null, units: "null", defaultValue: null, eventRegistration: 0</v>
      </c>
      <c r="BI28" s="30"/>
    </row>
    <row r="29" spans="1:61" s="31" customFormat="1" ht="15.75" x14ac:dyDescent="0.25">
      <c r="A29" s="18"/>
      <c r="B29" s="18"/>
      <c r="C29" s="65" t="s">
        <v>283</v>
      </c>
      <c r="D29" s="19"/>
      <c r="E29" s="37"/>
      <c r="F29" s="21" t="s">
        <v>114</v>
      </c>
      <c r="G29" s="21" t="s">
        <v>114</v>
      </c>
      <c r="H29" s="21" t="s">
        <v>114</v>
      </c>
      <c r="I29" s="21"/>
      <c r="J29" s="21">
        <f t="shared" si="0"/>
        <v>11</v>
      </c>
      <c r="K29" s="21" t="str">
        <f t="shared" si="2"/>
        <v>Работа ЭМО2</v>
      </c>
      <c r="L29" s="18" t="s">
        <v>115</v>
      </c>
      <c r="M29" s="22" t="s">
        <v>62</v>
      </c>
      <c r="N29" s="19" t="s">
        <v>63</v>
      </c>
      <c r="O29" s="19" t="s">
        <v>64</v>
      </c>
      <c r="P29" s="19"/>
      <c r="Q29" s="23"/>
      <c r="R29" s="23"/>
      <c r="S29" s="19" t="s">
        <v>65</v>
      </c>
      <c r="T29" s="19" t="s">
        <v>65</v>
      </c>
      <c r="U29" s="19" t="s">
        <v>65</v>
      </c>
      <c r="V29" s="19" t="s">
        <v>65</v>
      </c>
      <c r="W29" s="19"/>
      <c r="X29" s="19"/>
      <c r="Y29" s="19" t="s">
        <v>65</v>
      </c>
      <c r="Z29" s="19">
        <v>0</v>
      </c>
      <c r="AA29" s="24"/>
      <c r="AB29" s="25">
        <v>0</v>
      </c>
      <c r="AC29" s="25"/>
      <c r="AD29" s="25"/>
      <c r="AE29" s="25"/>
      <c r="AF29" s="25"/>
      <c r="AG29" s="25">
        <v>0</v>
      </c>
      <c r="AH29" s="25">
        <v>0</v>
      </c>
      <c r="AI29" s="25">
        <v>0</v>
      </c>
      <c r="AJ29" s="8"/>
      <c r="AK29" s="26"/>
      <c r="AL29" s="26"/>
      <c r="AM29" s="26"/>
      <c r="AN29" s="26"/>
      <c r="AO29" s="26"/>
      <c r="AP29" s="26"/>
      <c r="AQ29" s="26"/>
      <c r="AR29" s="26"/>
      <c r="AS29" s="25">
        <v>0</v>
      </c>
      <c r="AT29" s="25">
        <v>0</v>
      </c>
      <c r="AU29" s="25">
        <v>0</v>
      </c>
      <c r="AV29" s="25">
        <v>0</v>
      </c>
      <c r="AW29" s="25">
        <f t="shared" si="3"/>
        <v>0</v>
      </c>
      <c r="AX29" s="25">
        <v>0</v>
      </c>
      <c r="AY29" s="25">
        <f t="shared" si="4"/>
        <v>0</v>
      </c>
      <c r="AZ29" s="25"/>
      <c r="BA29" s="23"/>
      <c r="BB29" s="25"/>
      <c r="BC29" s="25"/>
      <c r="BD29" s="27"/>
      <c r="BE29" s="25"/>
      <c r="BF29" s="28"/>
      <c r="BG29" s="25"/>
      <c r="BH29" s="29" t="str">
        <f t="shared" si="1"/>
        <v>description: "Работа ЭМО2", note: "Работа ЭМО2", group: "input", minValue: null, maxValue: null, step: null, units: "null", defaultValue: null, eventRegistration: 0</v>
      </c>
      <c r="BI29" s="30"/>
    </row>
    <row r="30" spans="1:61" s="55" customFormat="1" ht="15.75" x14ac:dyDescent="0.25">
      <c r="A30" s="45"/>
      <c r="B30" s="45"/>
      <c r="C30" s="45" t="s">
        <v>59</v>
      </c>
      <c r="D30" s="46"/>
      <c r="E30" s="47"/>
      <c r="F30" s="48" t="s">
        <v>116</v>
      </c>
      <c r="G30" s="48" t="s">
        <v>117</v>
      </c>
      <c r="H30" s="48" t="s">
        <v>117</v>
      </c>
      <c r="I30" s="47"/>
      <c r="J30" s="48">
        <f>LEN(G30)</f>
        <v>10</v>
      </c>
      <c r="K30" s="48" t="str">
        <f t="shared" si="2"/>
        <v>Насл.режим</v>
      </c>
      <c r="L30" s="49" t="s">
        <v>118</v>
      </c>
      <c r="M30" s="50" t="s">
        <v>119</v>
      </c>
      <c r="N30" s="51" t="s">
        <v>63</v>
      </c>
      <c r="O30" s="51" t="s">
        <v>64</v>
      </c>
      <c r="P30" s="51"/>
      <c r="Q30" s="46"/>
      <c r="R30" s="46"/>
      <c r="S30" s="51" t="s">
        <v>65</v>
      </c>
      <c r="T30" s="51" t="s">
        <v>65</v>
      </c>
      <c r="U30" s="51" t="s">
        <v>65</v>
      </c>
      <c r="V30" s="51" t="s">
        <v>65</v>
      </c>
      <c r="W30" s="46"/>
      <c r="X30" s="46"/>
      <c r="Y30" s="51" t="s">
        <v>65</v>
      </c>
      <c r="Z30" s="51">
        <v>0</v>
      </c>
      <c r="AA30" s="46"/>
      <c r="AB30" s="46">
        <v>0</v>
      </c>
      <c r="AC30" s="46"/>
      <c r="AD30" s="46"/>
      <c r="AE30" s="46"/>
      <c r="AF30" s="46"/>
      <c r="AG30" s="46">
        <v>0</v>
      </c>
      <c r="AH30" s="46">
        <v>0</v>
      </c>
      <c r="AI30" s="46">
        <v>0</v>
      </c>
      <c r="AJ30" s="47" t="s">
        <v>120</v>
      </c>
      <c r="AK30" s="52" t="s">
        <v>121</v>
      </c>
      <c r="AL30" s="52" t="s">
        <v>122</v>
      </c>
      <c r="AM30" s="52" t="s">
        <v>123</v>
      </c>
      <c r="AN30" s="52" t="s">
        <v>124</v>
      </c>
      <c r="AO30" s="52"/>
      <c r="AP30" s="52" t="s">
        <v>125</v>
      </c>
      <c r="AQ30" s="52" t="str">
        <f>CONCATENATE(AK30, ".", AM30)</f>
        <v>LLN0.GrRef.setSrcRef</v>
      </c>
      <c r="AR30" s="52" t="s">
        <v>126</v>
      </c>
      <c r="AS30" s="46">
        <v>0</v>
      </c>
      <c r="AT30" s="46">
        <v>0</v>
      </c>
      <c r="AU30" s="46">
        <v>0</v>
      </c>
      <c r="AV30" s="46">
        <v>0</v>
      </c>
      <c r="AW30" s="46">
        <f t="shared" si="3"/>
        <v>0</v>
      </c>
      <c r="AX30" s="46">
        <v>0</v>
      </c>
      <c r="AY30" s="46">
        <f t="shared" si="4"/>
        <v>0</v>
      </c>
      <c r="AZ30" s="53"/>
      <c r="BA30" s="46"/>
      <c r="BB30" s="46"/>
      <c r="BC30" s="46"/>
      <c r="BD30" s="46"/>
      <c r="BE30" s="46"/>
      <c r="BF30" s="46"/>
      <c r="BG30" s="46"/>
      <c r="BH30" s="54" t="str">
        <f t="shared" si="1"/>
        <v>description: "Насл.режим", note: "Наследуемый режим работы", group: "measurement", minValue: null, maxValue: null, step: null, units: "null", defaultValue: null, eventRegistration: 0</v>
      </c>
    </row>
    <row r="31" spans="1:61" s="55" customFormat="1" ht="15.75" x14ac:dyDescent="0.25">
      <c r="A31" s="45"/>
      <c r="B31" s="45"/>
      <c r="C31" s="45" t="s">
        <v>59</v>
      </c>
      <c r="D31" s="46"/>
      <c r="E31" s="47"/>
      <c r="F31" s="48" t="s">
        <v>127</v>
      </c>
      <c r="G31" s="48" t="s">
        <v>128</v>
      </c>
      <c r="H31" s="48" t="s">
        <v>128</v>
      </c>
      <c r="I31" s="47"/>
      <c r="J31" s="48">
        <f>LEN(G31)</f>
        <v>8</v>
      </c>
      <c r="K31" s="48" t="str">
        <f t="shared" si="2"/>
        <v>Ош.крит.</v>
      </c>
      <c r="L31" s="49" t="s">
        <v>129</v>
      </c>
      <c r="M31" s="50" t="s">
        <v>62</v>
      </c>
      <c r="N31" s="51" t="s">
        <v>63</v>
      </c>
      <c r="O31" s="51" t="s">
        <v>64</v>
      </c>
      <c r="P31" s="51"/>
      <c r="Q31" s="46"/>
      <c r="R31" s="46"/>
      <c r="S31" s="51" t="s">
        <v>65</v>
      </c>
      <c r="T31" s="51" t="s">
        <v>65</v>
      </c>
      <c r="U31" s="51" t="s">
        <v>65</v>
      </c>
      <c r="V31" s="51" t="s">
        <v>65</v>
      </c>
      <c r="W31" s="46"/>
      <c r="X31" s="46"/>
      <c r="Y31" s="51" t="s">
        <v>65</v>
      </c>
      <c r="Z31" s="51">
        <v>0</v>
      </c>
      <c r="AA31" s="46"/>
      <c r="AB31" s="46">
        <v>0</v>
      </c>
      <c r="AC31" s="46"/>
      <c r="AD31" s="46"/>
      <c r="AE31" s="46"/>
      <c r="AF31" s="46"/>
      <c r="AG31" s="46">
        <v>0</v>
      </c>
      <c r="AH31" s="46">
        <v>0</v>
      </c>
      <c r="AI31" s="46">
        <v>0</v>
      </c>
      <c r="AJ31" s="47"/>
      <c r="AK31" s="52"/>
      <c r="AL31" s="52"/>
      <c r="AM31" s="52"/>
      <c r="AN31" s="52"/>
      <c r="AO31" s="52"/>
      <c r="AP31" s="52"/>
      <c r="AQ31" s="52"/>
      <c r="AR31" s="52"/>
      <c r="AS31" s="46">
        <v>0</v>
      </c>
      <c r="AT31" s="46">
        <v>0</v>
      </c>
      <c r="AU31" s="46">
        <v>0</v>
      </c>
      <c r="AV31" s="46">
        <v>0</v>
      </c>
      <c r="AW31" s="46">
        <f t="shared" si="3"/>
        <v>0</v>
      </c>
      <c r="AX31" s="46">
        <v>0</v>
      </c>
      <c r="AY31" s="46">
        <f t="shared" si="4"/>
        <v>0</v>
      </c>
      <c r="AZ31" s="53"/>
      <c r="BA31" s="46"/>
      <c r="BB31" s="46"/>
      <c r="BC31" s="46"/>
      <c r="BD31" s="46"/>
      <c r="BE31" s="46"/>
      <c r="BF31" s="46"/>
      <c r="BG31" s="46"/>
      <c r="BH31" s="54" t="str">
        <f t="shared" si="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2" spans="1:61" s="55" customFormat="1" ht="15.75" x14ac:dyDescent="0.25">
      <c r="A32" s="45"/>
      <c r="B32" s="45"/>
      <c r="C32" s="45" t="s">
        <v>59</v>
      </c>
      <c r="D32" s="46"/>
      <c r="E32" s="47"/>
      <c r="F32" s="48" t="s">
        <v>130</v>
      </c>
      <c r="G32" s="48" t="s">
        <v>131</v>
      </c>
      <c r="H32" s="48" t="s">
        <v>131</v>
      </c>
      <c r="I32" s="47"/>
      <c r="J32" s="48">
        <f>LEN(G32)</f>
        <v>6</v>
      </c>
      <c r="K32" s="48" t="str">
        <f t="shared" si="2"/>
        <v>Ошибка</v>
      </c>
      <c r="L32" s="49" t="s">
        <v>132</v>
      </c>
      <c r="M32" s="50" t="s">
        <v>62</v>
      </c>
      <c r="N32" s="51" t="s">
        <v>63</v>
      </c>
      <c r="O32" s="51" t="s">
        <v>64</v>
      </c>
      <c r="P32" s="51"/>
      <c r="Q32" s="46"/>
      <c r="R32" s="46"/>
      <c r="S32" s="51" t="s">
        <v>65</v>
      </c>
      <c r="T32" s="51" t="s">
        <v>65</v>
      </c>
      <c r="U32" s="51" t="s">
        <v>65</v>
      </c>
      <c r="V32" s="51" t="s">
        <v>65</v>
      </c>
      <c r="W32" s="46"/>
      <c r="X32" s="46"/>
      <c r="Y32" s="51" t="s">
        <v>65</v>
      </c>
      <c r="Z32" s="51">
        <v>0</v>
      </c>
      <c r="AA32" s="46"/>
      <c r="AB32" s="46">
        <v>0</v>
      </c>
      <c r="AC32" s="46"/>
      <c r="AD32" s="46"/>
      <c r="AE32" s="46"/>
      <c r="AF32" s="46"/>
      <c r="AG32" s="46">
        <v>0</v>
      </c>
      <c r="AH32" s="46">
        <v>0</v>
      </c>
      <c r="AI32" s="46">
        <v>0</v>
      </c>
      <c r="AJ32" s="47"/>
      <c r="AK32" s="52"/>
      <c r="AL32" s="52"/>
      <c r="AM32" s="52"/>
      <c r="AN32" s="52"/>
      <c r="AO32" s="52"/>
      <c r="AP32" s="52"/>
      <c r="AQ32" s="52"/>
      <c r="AR32" s="52"/>
      <c r="AS32" s="46">
        <v>0</v>
      </c>
      <c r="AT32" s="46">
        <v>0</v>
      </c>
      <c r="AU32" s="46">
        <v>0</v>
      </c>
      <c r="AV32" s="46">
        <v>0</v>
      </c>
      <c r="AW32" s="46">
        <f t="shared" si="3"/>
        <v>0</v>
      </c>
      <c r="AX32" s="46">
        <v>0</v>
      </c>
      <c r="AY32" s="46">
        <f t="shared" si="4"/>
        <v>0</v>
      </c>
      <c r="AZ32" s="53"/>
      <c r="BA32" s="46"/>
      <c r="BB32" s="46"/>
      <c r="BC32" s="46"/>
      <c r="BD32" s="46"/>
      <c r="BE32" s="46"/>
      <c r="BF32" s="46"/>
      <c r="BG32" s="46"/>
      <c r="BH32" s="54" t="str">
        <f t="shared" si="1"/>
        <v>description: "Ошибка", note: "Наличие некритической ошибки", group: "measurement", minValue: null, maxValue: null, step: null, units: "null", defaultValue: null, eventRegistration: 0</v>
      </c>
    </row>
    <row r="33" spans="1:61" s="2" customFormat="1" ht="15.75" x14ac:dyDescent="0.25">
      <c r="A33" s="1"/>
      <c r="B33" s="1"/>
      <c r="C33" s="1"/>
      <c r="D33" s="1"/>
      <c r="E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4"/>
      <c r="BD33" s="4"/>
      <c r="BE33" s="3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E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4"/>
      <c r="BD34" s="4"/>
      <c r="BE34" s="3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E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4"/>
      <c r="BD35" s="4"/>
      <c r="BE35" s="3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E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4"/>
      <c r="BD36" s="4"/>
      <c r="BE36" s="3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E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4"/>
      <c r="BD37" s="4"/>
      <c r="BE37" s="3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E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4"/>
      <c r="BE38" s="3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E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4"/>
      <c r="BE39" s="3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E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4"/>
      <c r="BD40" s="4"/>
      <c r="BE40" s="3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E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4"/>
      <c r="BD41" s="4"/>
      <c r="BE41" s="3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E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4"/>
      <c r="BD42" s="4"/>
      <c r="BE42" s="3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E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4"/>
      <c r="BD43" s="4"/>
      <c r="BE43" s="3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E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4"/>
      <c r="BD44" s="4"/>
      <c r="BE44" s="3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E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4"/>
      <c r="BD45" s="4"/>
      <c r="BE45" s="3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E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4"/>
      <c r="BD46" s="4"/>
      <c r="BE46" s="3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E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4"/>
      <c r="BD47" s="4"/>
      <c r="BE47" s="3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E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4"/>
      <c r="BE48" s="3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E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4"/>
      <c r="BE49" s="3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E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4"/>
      <c r="BD50" s="4"/>
      <c r="BE50" s="3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E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4"/>
      <c r="BD51" s="4"/>
      <c r="BE51" s="3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E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4"/>
      <c r="BE52" s="3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E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4"/>
      <c r="BE53" s="3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E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4"/>
      <c r="BD54" s="4"/>
      <c r="BE54" s="3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E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4"/>
      <c r="BD55" s="4"/>
      <c r="BE55" s="3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E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4"/>
      <c r="BD56" s="4"/>
      <c r="BE56" s="3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E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4"/>
      <c r="BD57" s="4"/>
      <c r="BE57" s="3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E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4"/>
      <c r="BD58" s="4"/>
      <c r="BE58" s="3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E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4"/>
      <c r="BD59" s="4"/>
      <c r="BE59" s="3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E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4"/>
      <c r="BD60" s="4"/>
      <c r="BE60" s="3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E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4"/>
      <c r="BE61" s="3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E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4"/>
      <c r="BE62" s="3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E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4"/>
      <c r="BD63" s="4"/>
      <c r="BE63" s="3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E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4"/>
      <c r="BD64" s="4"/>
      <c r="BE64" s="3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E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4"/>
      <c r="BD65" s="4"/>
      <c r="BE65" s="3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E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4"/>
      <c r="BD66" s="4"/>
      <c r="BE66" s="3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E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4"/>
      <c r="BD67" s="4"/>
      <c r="BE67" s="3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E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4"/>
      <c r="BD68" s="4"/>
      <c r="BE68" s="3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E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4"/>
      <c r="BD69" s="4"/>
      <c r="BE69" s="3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E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4"/>
      <c r="BD70" s="4"/>
      <c r="BE70" s="3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E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4"/>
      <c r="BE71" s="3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E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4"/>
      <c r="BE72" s="3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E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4"/>
      <c r="BD73" s="4"/>
      <c r="BE73" s="3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E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4"/>
      <c r="BD74" s="4"/>
      <c r="BE74" s="3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E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4"/>
      <c r="BE75" s="3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E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4"/>
      <c r="BE76" s="3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E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4"/>
      <c r="BD77" s="4"/>
      <c r="BE77" s="3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E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4"/>
      <c r="BD78" s="4"/>
      <c r="BE78" s="3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E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4"/>
      <c r="BD79" s="4"/>
      <c r="BE79" s="3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E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4"/>
      <c r="BD80" s="4"/>
      <c r="BE80" s="3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E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4"/>
      <c r="BD81" s="4"/>
      <c r="BE81" s="3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E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4"/>
      <c r="BD82" s="4"/>
      <c r="BE82" s="3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E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4"/>
      <c r="BD83" s="4"/>
      <c r="BE83" s="3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E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4"/>
      <c r="BD84" s="4"/>
      <c r="BE84" s="3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E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4"/>
      <c r="BD85" s="4"/>
      <c r="BE85" s="3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E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4"/>
      <c r="BD86" s="4"/>
      <c r="BE86" s="3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E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4"/>
      <c r="BD87" s="4"/>
      <c r="BE87" s="3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E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4"/>
      <c r="BD88" s="4"/>
      <c r="BE88" s="3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E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4"/>
      <c r="BD89" s="4"/>
      <c r="BE89" s="3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E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4"/>
      <c r="BD90" s="4"/>
      <c r="BE90" s="3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E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4"/>
      <c r="BD91" s="4"/>
      <c r="BE91" s="3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E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4"/>
      <c r="BD92" s="4"/>
      <c r="BE92" s="3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E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4"/>
      <c r="BD93" s="4"/>
      <c r="BE93" s="3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E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4"/>
      <c r="BD94" s="4"/>
      <c r="BE94" s="3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E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4"/>
      <c r="BD95" s="4"/>
      <c r="BE95" s="3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E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4"/>
      <c r="BD96" s="4"/>
      <c r="BE96" s="3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E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4"/>
      <c r="BD97" s="4"/>
      <c r="BE97" s="3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E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4"/>
      <c r="BD98" s="4"/>
      <c r="BE98" s="3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E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4"/>
      <c r="BD99" s="4"/>
      <c r="BE99" s="3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E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4"/>
      <c r="BD100" s="4"/>
      <c r="BE100" s="3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E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4"/>
      <c r="BD101" s="4"/>
      <c r="BE101" s="3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E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4"/>
      <c r="BD102" s="4"/>
      <c r="BE102" s="3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E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4"/>
      <c r="BD103" s="4"/>
      <c r="BE103" s="3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E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4"/>
      <c r="BD104" s="4"/>
      <c r="BE104" s="3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E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4"/>
      <c r="BD105" s="4"/>
      <c r="BE105" s="3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E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4"/>
      <c r="BD106" s="4"/>
      <c r="BE106" s="3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E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4"/>
      <c r="BD107" s="4"/>
      <c r="BE107" s="3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E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4"/>
      <c r="BD108" s="4"/>
      <c r="BE108" s="3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E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4"/>
      <c r="BD109" s="4"/>
      <c r="BE109" s="3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E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4"/>
      <c r="BD110" s="4"/>
      <c r="BE110" s="3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E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4"/>
      <c r="BD111" s="4"/>
      <c r="BE111" s="3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E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4"/>
      <c r="BD112" s="4"/>
      <c r="BE112" s="3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E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4"/>
      <c r="BD113" s="4"/>
      <c r="BE113" s="3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E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4"/>
      <c r="BD114" s="4"/>
      <c r="BE114" s="3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E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4"/>
      <c r="BD115" s="4"/>
      <c r="BE115" s="3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E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4"/>
      <c r="BD116" s="4"/>
      <c r="BE116" s="3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E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4"/>
      <c r="BD117" s="4"/>
      <c r="BE117" s="3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E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4"/>
      <c r="BD118" s="4"/>
      <c r="BE118" s="3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E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4"/>
      <c r="BD119" s="4"/>
      <c r="BE119" s="3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E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4"/>
      <c r="BD120" s="4"/>
      <c r="BE120" s="3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E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4"/>
      <c r="BD121" s="4"/>
      <c r="BE121" s="3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E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4"/>
      <c r="BD122" s="4"/>
      <c r="BE122" s="3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E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4"/>
      <c r="BD123" s="4"/>
      <c r="BE123" s="3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E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4"/>
      <c r="BD124" s="4"/>
      <c r="BE124" s="3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E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4"/>
      <c r="BD125" s="4"/>
      <c r="BE125" s="3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E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4"/>
      <c r="BD126" s="4"/>
      <c r="BE126" s="3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E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4"/>
      <c r="BD127" s="4"/>
      <c r="BE127" s="3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E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4"/>
      <c r="BD128" s="4"/>
      <c r="BE128" s="3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E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4"/>
      <c r="BD129" s="4"/>
      <c r="BE129" s="3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E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4"/>
      <c r="BD130" s="4"/>
      <c r="BE130" s="3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E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4"/>
      <c r="BD131" s="4"/>
      <c r="BE131" s="3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E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4"/>
      <c r="BD132" s="4"/>
      <c r="BE132" s="3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E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4"/>
      <c r="BD133" s="4"/>
      <c r="BE133" s="3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E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4"/>
      <c r="BD134" s="4"/>
      <c r="BE134" s="3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E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4"/>
      <c r="BD135" s="4"/>
      <c r="BE135" s="3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E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4"/>
      <c r="BD136" s="4"/>
      <c r="BE136" s="3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E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4"/>
      <c r="BD137" s="4"/>
      <c r="BE137" s="3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E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4"/>
      <c r="BD138" s="4"/>
      <c r="BE138" s="3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E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4"/>
      <c r="BD139" s="4"/>
      <c r="BE139" s="3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E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4"/>
      <c r="BD140" s="4"/>
      <c r="BE140" s="3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E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4"/>
      <c r="BD141" s="4"/>
      <c r="BE141" s="3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E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4"/>
      <c r="BD142" s="4"/>
      <c r="BE142" s="3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E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4"/>
      <c r="BD143" s="4"/>
      <c r="BE143" s="3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E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4"/>
      <c r="BD144" s="4"/>
      <c r="BE144" s="3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E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4"/>
      <c r="BD145" s="4"/>
      <c r="BE145" s="3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E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4"/>
      <c r="BD146" s="4"/>
      <c r="BE146" s="3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E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4"/>
      <c r="BD147" s="4"/>
      <c r="BE147" s="3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E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4"/>
      <c r="BD148" s="4"/>
      <c r="BE148" s="3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E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4"/>
      <c r="BD149" s="4"/>
      <c r="BE149" s="3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E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4"/>
      <c r="BD150" s="4"/>
      <c r="BE150" s="3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E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4"/>
      <c r="BD151" s="4"/>
      <c r="BE151" s="3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E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4"/>
      <c r="BD152" s="4"/>
      <c r="BE152" s="3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E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4"/>
      <c r="BD153" s="4"/>
      <c r="BE153" s="3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E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4"/>
      <c r="BD154" s="4"/>
      <c r="BE154" s="3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E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4"/>
      <c r="BD155" s="4"/>
      <c r="BE155" s="3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E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4"/>
      <c r="BD156" s="4"/>
      <c r="BE156" s="3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E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4"/>
      <c r="BD157" s="4"/>
      <c r="BE157" s="3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E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4"/>
      <c r="BD158" s="4"/>
      <c r="BE158" s="3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E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4"/>
      <c r="BD159" s="4"/>
      <c r="BE159" s="3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E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4"/>
      <c r="BD160" s="4"/>
      <c r="BE160" s="3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E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4"/>
      <c r="BD161" s="4"/>
      <c r="BE161" s="3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E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4"/>
      <c r="BD162" s="4"/>
      <c r="BE162" s="3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E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4"/>
      <c r="BD163" s="4"/>
      <c r="BE163" s="3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E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4"/>
      <c r="BD164" s="4"/>
      <c r="BE164" s="3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E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4"/>
      <c r="BD165" s="4"/>
      <c r="BE165" s="3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E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4"/>
      <c r="BD166" s="4"/>
      <c r="BE166" s="3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E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4"/>
      <c r="BD167" s="4"/>
      <c r="BE167" s="3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E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4"/>
      <c r="BD168" s="4"/>
      <c r="BE168" s="3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E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4"/>
      <c r="BD169" s="4"/>
      <c r="BE169" s="3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E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4"/>
      <c r="BD170" s="4"/>
      <c r="BE170" s="3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E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4"/>
      <c r="BD171" s="4"/>
      <c r="BE171" s="3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E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4"/>
      <c r="BD172" s="4"/>
      <c r="BE172" s="3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E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4"/>
      <c r="BD173" s="4"/>
      <c r="BE173" s="3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E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4"/>
      <c r="BD174" s="4"/>
      <c r="BE174" s="3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E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4"/>
      <c r="BD175" s="4"/>
      <c r="BE175" s="3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E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4"/>
      <c r="BD176" s="4"/>
      <c r="BE176" s="3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E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4"/>
      <c r="BD177" s="4"/>
      <c r="BE177" s="3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E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4"/>
      <c r="BD178" s="4"/>
      <c r="BE178" s="3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E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4"/>
      <c r="BD179" s="4"/>
      <c r="BE179" s="3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E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4"/>
      <c r="BD180" s="4"/>
      <c r="BE180" s="3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E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4"/>
      <c r="BD181" s="4"/>
      <c r="BE181" s="3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E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4"/>
      <c r="BD182" s="4"/>
      <c r="BE182" s="3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E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4"/>
      <c r="BD183" s="4"/>
      <c r="BE183" s="3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E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4"/>
      <c r="BD184" s="4"/>
      <c r="BE184" s="3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E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4"/>
      <c r="BD185" s="4"/>
      <c r="BE185" s="3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E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4"/>
      <c r="BD186" s="4"/>
      <c r="BE186" s="3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E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4"/>
      <c r="BD187" s="4"/>
      <c r="BE187" s="3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E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4"/>
      <c r="BD188" s="4"/>
      <c r="BE188" s="3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E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4"/>
      <c r="BD189" s="4"/>
      <c r="BE189" s="3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E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4"/>
      <c r="BD190" s="4"/>
      <c r="BE190" s="3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E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4"/>
      <c r="BD191" s="4"/>
      <c r="BE191" s="3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E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4"/>
      <c r="BD192" s="4"/>
      <c r="BE192" s="3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E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4"/>
      <c r="BD193" s="4"/>
      <c r="BE193" s="3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E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4"/>
      <c r="BD194" s="4"/>
      <c r="BE194" s="3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E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4"/>
      <c r="BD195" s="4"/>
      <c r="BE195" s="34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E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4"/>
      <c r="BD196" s="4"/>
      <c r="BE196" s="34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E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4"/>
      <c r="BD197" s="4"/>
      <c r="BE197" s="34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E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4"/>
      <c r="BD198" s="4"/>
      <c r="BE198" s="34"/>
      <c r="BF198" s="4"/>
      <c r="BG198" s="4"/>
      <c r="BH198" s="1"/>
      <c r="BI198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tabSelected="1" zoomScale="80" zoomScaleNormal="80" workbookViewId="0">
      <selection activeCell="AS14" sqref="AS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2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85" t="s">
        <v>0</v>
      </c>
      <c r="BA1" s="86"/>
      <c r="BB1" s="86"/>
      <c r="BC1" s="86"/>
      <c r="BD1" s="86"/>
      <c r="BE1" s="86"/>
      <c r="BF1" s="8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3" t="s">
        <v>279</v>
      </c>
      <c r="AW2" s="63" t="s">
        <v>280</v>
      </c>
      <c r="AX2" s="63" t="s">
        <v>281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62" t="s">
        <v>278</v>
      </c>
      <c r="C3" s="25"/>
      <c r="D3" s="37" t="s">
        <v>66</v>
      </c>
      <c r="E3" s="21" t="s">
        <v>133</v>
      </c>
      <c r="F3" s="35" t="s">
        <v>134</v>
      </c>
      <c r="G3" s="35" t="s">
        <v>134</v>
      </c>
      <c r="H3" s="8"/>
      <c r="I3" s="21">
        <f t="shared" ref="I3:I14" si="0">LEN(F3)</f>
        <v>4</v>
      </c>
      <c r="J3" s="21" t="str">
        <f>IF(LEN(F3)&lt;=$J$1,F3,"")</f>
        <v>Ввод</v>
      </c>
      <c r="K3" s="24" t="s">
        <v>135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5">
        <v>0</v>
      </c>
      <c r="AS3" s="25">
        <v>1</v>
      </c>
      <c r="AT3" s="25">
        <v>0</v>
      </c>
      <c r="AU3" s="25">
        <v>1</v>
      </c>
      <c r="AV3" s="64">
        <v>1</v>
      </c>
      <c r="AW3" s="64">
        <v>1</v>
      </c>
      <c r="AX3" s="64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8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3" customFormat="1" ht="15.75" x14ac:dyDescent="0.25">
      <c r="A4" s="18"/>
      <c r="B4" s="62" t="s">
        <v>278</v>
      </c>
      <c r="C4" s="25"/>
      <c r="D4" s="37" t="s">
        <v>66</v>
      </c>
      <c r="E4" s="21" t="s">
        <v>136</v>
      </c>
      <c r="F4" s="35" t="s">
        <v>137</v>
      </c>
      <c r="G4" s="35" t="s">
        <v>137</v>
      </c>
      <c r="H4" s="8"/>
      <c r="I4" s="21">
        <f t="shared" si="0"/>
        <v>17</v>
      </c>
      <c r="J4" s="21" t="str">
        <f t="shared" ref="J4:J14" si="2">IF(LEN(F4)&lt;=$J$1,F4,"")</f>
        <v>Оперативный вывод</v>
      </c>
      <c r="K4" s="24" t="s">
        <v>138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5">
        <v>0</v>
      </c>
      <c r="AS4" s="25">
        <v>1</v>
      </c>
      <c r="AT4" s="25">
        <v>0</v>
      </c>
      <c r="AU4" s="25">
        <v>1</v>
      </c>
      <c r="AV4" s="64">
        <v>1</v>
      </c>
      <c r="AW4" s="64">
        <v>1</v>
      </c>
      <c r="AX4" s="64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3" customFormat="1" ht="15.75" x14ac:dyDescent="0.25">
      <c r="A5" s="18"/>
      <c r="B5" s="62" t="s">
        <v>278</v>
      </c>
      <c r="C5" s="25"/>
      <c r="D5" s="37" t="s">
        <v>66</v>
      </c>
      <c r="E5" s="21" t="s">
        <v>139</v>
      </c>
      <c r="F5" s="35" t="s">
        <v>140</v>
      </c>
      <c r="G5" s="35" t="s">
        <v>140</v>
      </c>
      <c r="H5" s="8"/>
      <c r="I5" s="21">
        <f t="shared" si="0"/>
        <v>18</v>
      </c>
      <c r="J5" s="21" t="str">
        <f t="shared" si="2"/>
        <v>В самопр. отключен</v>
      </c>
      <c r="K5" s="24" t="s">
        <v>141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5"/>
      <c r="W5" s="25"/>
      <c r="X5" s="19" t="s">
        <v>65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2"/>
      <c r="AK5" s="32"/>
      <c r="AL5" s="32"/>
      <c r="AM5" s="32"/>
      <c r="AN5" s="32"/>
      <c r="AO5" s="32"/>
      <c r="AP5" s="32"/>
      <c r="AQ5" s="32"/>
      <c r="AR5" s="25">
        <v>0</v>
      </c>
      <c r="AS5" s="25">
        <v>1</v>
      </c>
      <c r="AT5" s="25">
        <v>0</v>
      </c>
      <c r="AU5" s="25">
        <v>1</v>
      </c>
      <c r="AV5" s="64">
        <v>1</v>
      </c>
      <c r="AW5" s="64">
        <v>1</v>
      </c>
      <c r="AX5" s="64">
        <v>1</v>
      </c>
      <c r="AY5" s="23"/>
      <c r="AZ5" s="25"/>
      <c r="BA5" s="25"/>
      <c r="BB5" s="25"/>
      <c r="BC5" s="25"/>
      <c r="BD5" s="25"/>
      <c r="BE5" s="25"/>
      <c r="BF5" s="25"/>
      <c r="BG5" s="29" t="str">
        <f t="shared" si="1"/>
        <v>description: "В самопр. отключен", note: "В самопроизвольно отключен", group: "status", minValue: null, maxValue: null, step: null, units: "null", defaultValue: null, eventRegistration: 2</v>
      </c>
    </row>
    <row r="6" spans="1:16379" s="33" customFormat="1" ht="15.75" x14ac:dyDescent="0.25">
      <c r="A6" s="18"/>
      <c r="B6" s="62" t="s">
        <v>278</v>
      </c>
      <c r="C6" s="25"/>
      <c r="D6" s="37" t="s">
        <v>66</v>
      </c>
      <c r="E6" s="21" t="s">
        <v>142</v>
      </c>
      <c r="F6" s="35" t="s">
        <v>142</v>
      </c>
      <c r="G6" s="35" t="s">
        <v>142</v>
      </c>
      <c r="H6" s="8"/>
      <c r="I6" s="21">
        <f t="shared" si="0"/>
        <v>15</v>
      </c>
      <c r="J6" s="21" t="str">
        <f t="shared" si="2"/>
        <v>Неисправность В</v>
      </c>
      <c r="K6" s="24" t="s">
        <v>143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5"/>
      <c r="W6" s="25"/>
      <c r="X6" s="19" t="s">
        <v>65</v>
      </c>
      <c r="Y6" s="19">
        <v>2</v>
      </c>
      <c r="Z6" s="2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 t="s">
        <v>144</v>
      </c>
      <c r="AJ6" s="32" t="s">
        <v>145</v>
      </c>
      <c r="AK6" s="32" t="s">
        <v>146</v>
      </c>
      <c r="AL6" s="32" t="s">
        <v>147</v>
      </c>
      <c r="AM6" s="32" t="s">
        <v>148</v>
      </c>
      <c r="AN6" s="32"/>
      <c r="AO6" s="32" t="s">
        <v>149</v>
      </c>
      <c r="AP6" s="32" t="str">
        <f t="shared" ref="AP6:AP7" si="3">CONCATENATE(AJ6, ".", AL6)</f>
        <v>RCBF1.Alm.stVal</v>
      </c>
      <c r="AQ6" s="32" t="s">
        <v>126</v>
      </c>
      <c r="AR6" s="25">
        <v>0</v>
      </c>
      <c r="AS6" s="25">
        <v>1</v>
      </c>
      <c r="AT6" s="25">
        <v>0</v>
      </c>
      <c r="AU6" s="25">
        <v>1</v>
      </c>
      <c r="AV6" s="64">
        <v>1</v>
      </c>
      <c r="AW6" s="64">
        <v>1</v>
      </c>
      <c r="AX6" s="64">
        <v>1</v>
      </c>
      <c r="AY6" s="23"/>
      <c r="AZ6" s="25"/>
      <c r="BA6" s="25"/>
      <c r="BB6" s="25"/>
      <c r="BC6" s="25"/>
      <c r="BD6" s="25"/>
      <c r="BE6" s="25"/>
      <c r="BF6" s="25"/>
      <c r="BG6" s="29" t="str">
        <f t="shared" si="1"/>
        <v>description: "Неисправность В", note: "Неисправность В", group: "status", minValue: null, maxValue: null, step: null, units: "null", defaultValue: null, eventRegistration: 2</v>
      </c>
    </row>
    <row r="7" spans="1:16379" s="33" customFormat="1" ht="15.75" x14ac:dyDescent="0.25">
      <c r="A7" s="18"/>
      <c r="B7" s="62" t="s">
        <v>278</v>
      </c>
      <c r="C7" s="25"/>
      <c r="D7" s="37" t="s">
        <v>66</v>
      </c>
      <c r="E7" s="21" t="s">
        <v>150</v>
      </c>
      <c r="F7" s="35" t="s">
        <v>150</v>
      </c>
      <c r="G7" s="35" t="s">
        <v>150</v>
      </c>
      <c r="H7" s="8"/>
      <c r="I7" s="21">
        <f t="shared" si="0"/>
        <v>19</v>
      </c>
      <c r="J7" s="21" t="str">
        <f t="shared" si="2"/>
        <v>В аварийно отключен</v>
      </c>
      <c r="K7" s="24" t="s">
        <v>151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5"/>
      <c r="W7" s="25"/>
      <c r="X7" s="19" t="s">
        <v>65</v>
      </c>
      <c r="Y7" s="19">
        <v>2</v>
      </c>
      <c r="Z7" s="2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 t="s">
        <v>144</v>
      </c>
      <c r="AJ7" s="32" t="s">
        <v>152</v>
      </c>
      <c r="AK7" s="32" t="s">
        <v>146</v>
      </c>
      <c r="AL7" s="32" t="s">
        <v>147</v>
      </c>
      <c r="AM7" s="32" t="s">
        <v>148</v>
      </c>
      <c r="AN7" s="32"/>
      <c r="AO7" s="32" t="s">
        <v>149</v>
      </c>
      <c r="AP7" s="32" t="str">
        <f t="shared" si="3"/>
        <v>RCBF1.TrAlm.stVal</v>
      </c>
      <c r="AQ7" s="32" t="s">
        <v>126</v>
      </c>
      <c r="AR7" s="25">
        <v>0</v>
      </c>
      <c r="AS7" s="25">
        <v>1</v>
      </c>
      <c r="AT7" s="25">
        <v>0</v>
      </c>
      <c r="AU7" s="25">
        <v>1</v>
      </c>
      <c r="AV7" s="64">
        <v>1</v>
      </c>
      <c r="AW7" s="64">
        <v>1</v>
      </c>
      <c r="AX7" s="64">
        <v>1</v>
      </c>
      <c r="AY7" s="23"/>
      <c r="AZ7" s="25"/>
      <c r="BA7" s="25"/>
      <c r="BB7" s="25"/>
      <c r="BC7" s="25"/>
      <c r="BD7" s="25"/>
      <c r="BE7" s="25"/>
      <c r="BF7" s="25"/>
      <c r="BG7" s="29" t="str">
        <f t="shared" si="1"/>
        <v>description: "В аварийно отключен", note: "В аварийно отключен", group: "status", minValue: null, maxValue: null, step: null, units: "null", defaultValue: null, eventRegistration: 2</v>
      </c>
    </row>
    <row r="8" spans="1:16379" s="33" customFormat="1" ht="15.75" x14ac:dyDescent="0.25">
      <c r="A8" s="18"/>
      <c r="B8" s="62" t="s">
        <v>278</v>
      </c>
      <c r="C8" s="25"/>
      <c r="D8" s="37" t="s">
        <v>66</v>
      </c>
      <c r="E8" s="21" t="s">
        <v>153</v>
      </c>
      <c r="F8" s="35" t="s">
        <v>154</v>
      </c>
      <c r="G8" s="35" t="s">
        <v>154</v>
      </c>
      <c r="H8" s="8"/>
      <c r="I8" s="21">
        <f t="shared" si="0"/>
        <v>3</v>
      </c>
      <c r="J8" s="21" t="str">
        <f t="shared" si="2"/>
        <v>РФК</v>
      </c>
      <c r="K8" s="24" t="s">
        <v>155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5"/>
      <c r="W8" s="25"/>
      <c r="X8" s="19" t="s">
        <v>65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2"/>
      <c r="AK8" s="32"/>
      <c r="AL8" s="32"/>
      <c r="AM8" s="32"/>
      <c r="AN8" s="32"/>
      <c r="AO8" s="32"/>
      <c r="AP8" s="32"/>
      <c r="AQ8" s="32"/>
      <c r="AR8" s="25">
        <v>0</v>
      </c>
      <c r="AS8" s="25">
        <v>1</v>
      </c>
      <c r="AT8" s="25">
        <v>0</v>
      </c>
      <c r="AU8" s="25">
        <v>1</v>
      </c>
      <c r="AV8" s="64">
        <v>1</v>
      </c>
      <c r="AW8" s="64">
        <v>1</v>
      </c>
      <c r="AX8" s="64">
        <v>1</v>
      </c>
      <c r="AY8" s="23"/>
      <c r="AZ8" s="25"/>
      <c r="BA8" s="25"/>
      <c r="BB8" s="25"/>
      <c r="BC8" s="25"/>
      <c r="BD8" s="25"/>
      <c r="BE8" s="25"/>
      <c r="BF8" s="25"/>
      <c r="BG8" s="29" t="str">
        <f t="shared" si="1"/>
        <v>description: "РФК", note: "Реле фиксации команды", group: "status", minValue: null, maxValue: null, step: null, units: "null", defaultValue: null, eventRegistration: 2</v>
      </c>
    </row>
    <row r="9" spans="1:16379" s="33" customFormat="1" ht="15.75" x14ac:dyDescent="0.25">
      <c r="A9" s="18"/>
      <c r="B9" s="62" t="s">
        <v>278</v>
      </c>
      <c r="C9" s="25"/>
      <c r="D9" s="37" t="s">
        <v>66</v>
      </c>
      <c r="E9" s="21" t="s">
        <v>156</v>
      </c>
      <c r="F9" s="35" t="s">
        <v>157</v>
      </c>
      <c r="G9" s="35" t="s">
        <v>157</v>
      </c>
      <c r="H9" s="8"/>
      <c r="I9" s="21">
        <f t="shared" si="0"/>
        <v>14</v>
      </c>
      <c r="J9" s="21" t="str">
        <f t="shared" si="2"/>
        <v>Блокировка вкл</v>
      </c>
      <c r="K9" s="24" t="s">
        <v>158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5"/>
      <c r="W9" s="25"/>
      <c r="X9" s="19" t="s">
        <v>65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 t="s">
        <v>144</v>
      </c>
      <c r="AJ9" s="32" t="s">
        <v>159</v>
      </c>
      <c r="AK9" s="32" t="s">
        <v>146</v>
      </c>
      <c r="AL9" s="32" t="s">
        <v>147</v>
      </c>
      <c r="AM9" s="32" t="s">
        <v>148</v>
      </c>
      <c r="AN9" s="32"/>
      <c r="AO9" s="32" t="s">
        <v>149</v>
      </c>
      <c r="AP9" s="32" t="str">
        <f t="shared" ref="AP9:AP10" si="4">CONCATENATE(AJ9, ".", AL9)</f>
        <v>RCBF1.BlkCls.stVal</v>
      </c>
      <c r="AQ9" s="32" t="s">
        <v>126</v>
      </c>
      <c r="AR9" s="25">
        <v>0</v>
      </c>
      <c r="AS9" s="25">
        <v>1</v>
      </c>
      <c r="AT9" s="25">
        <v>0</v>
      </c>
      <c r="AU9" s="25">
        <v>1</v>
      </c>
      <c r="AV9" s="64">
        <v>1</v>
      </c>
      <c r="AW9" s="64">
        <v>1</v>
      </c>
      <c r="AX9" s="64">
        <v>1</v>
      </c>
      <c r="AY9" s="23"/>
      <c r="AZ9" s="25"/>
      <c r="BA9" s="25"/>
      <c r="BB9" s="25"/>
      <c r="BC9" s="25"/>
      <c r="BD9" s="25"/>
      <c r="BE9" s="25"/>
      <c r="BF9" s="25"/>
      <c r="BG9" s="29" t="str">
        <f t="shared" si="1"/>
        <v>description: "Блокировка вкл", note: "Блокировка включения В", group: "status", minValue: null, maxValue: null, step: null, units: "null", defaultValue: null, eventRegistration: 2</v>
      </c>
    </row>
    <row r="10" spans="1:16379" s="33" customFormat="1" ht="15.75" x14ac:dyDescent="0.25">
      <c r="A10" s="18"/>
      <c r="B10" s="62" t="s">
        <v>278</v>
      </c>
      <c r="C10" s="25"/>
      <c r="D10" s="37" t="s">
        <v>66</v>
      </c>
      <c r="E10" s="21" t="s">
        <v>160</v>
      </c>
      <c r="F10" s="35" t="s">
        <v>161</v>
      </c>
      <c r="G10" s="35" t="s">
        <v>161</v>
      </c>
      <c r="H10" s="8"/>
      <c r="I10" s="21">
        <f t="shared" si="0"/>
        <v>15</v>
      </c>
      <c r="J10" s="21" t="str">
        <f t="shared" si="2"/>
        <v>Блокировка откл</v>
      </c>
      <c r="K10" s="24" t="s">
        <v>162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5"/>
      <c r="W10" s="25"/>
      <c r="X10" s="19" t="s">
        <v>65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 t="s">
        <v>144</v>
      </c>
      <c r="AJ10" s="32" t="s">
        <v>163</v>
      </c>
      <c r="AK10" s="32" t="s">
        <v>146</v>
      </c>
      <c r="AL10" s="32" t="s">
        <v>147</v>
      </c>
      <c r="AM10" s="32" t="s">
        <v>148</v>
      </c>
      <c r="AN10" s="32"/>
      <c r="AO10" s="32" t="s">
        <v>149</v>
      </c>
      <c r="AP10" s="32" t="str">
        <f t="shared" si="4"/>
        <v>RCBF1.BlkOpn.stVal</v>
      </c>
      <c r="AQ10" s="32" t="s">
        <v>126</v>
      </c>
      <c r="AR10" s="25">
        <v>0</v>
      </c>
      <c r="AS10" s="25">
        <v>1</v>
      </c>
      <c r="AT10" s="25">
        <v>0</v>
      </c>
      <c r="AU10" s="25">
        <v>1</v>
      </c>
      <c r="AV10" s="64">
        <v>1</v>
      </c>
      <c r="AW10" s="64">
        <v>1</v>
      </c>
      <c r="AX10" s="64">
        <v>1</v>
      </c>
      <c r="AY10" s="23"/>
      <c r="AZ10" s="25"/>
      <c r="BA10" s="25"/>
      <c r="BB10" s="25"/>
      <c r="BC10" s="25"/>
      <c r="BD10" s="25"/>
      <c r="BE10" s="25"/>
      <c r="BF10" s="25"/>
      <c r="BG10" s="29" t="str">
        <f t="shared" si="1"/>
        <v>description: "Блокировка откл", note: "Блокировка отключения В", group: "status", minValue: null, maxValue: null, step: null, units: "null", defaultValue: null, eventRegistration: 2</v>
      </c>
    </row>
    <row r="11" spans="1:16379" s="33" customFormat="1" ht="15.75" x14ac:dyDescent="0.25">
      <c r="A11" s="18"/>
      <c r="B11" s="62" t="s">
        <v>278</v>
      </c>
      <c r="C11" s="25"/>
      <c r="D11" s="37" t="s">
        <v>66</v>
      </c>
      <c r="E11" s="21" t="s">
        <v>164</v>
      </c>
      <c r="F11" s="35" t="s">
        <v>165</v>
      </c>
      <c r="G11" s="35" t="s">
        <v>165</v>
      </c>
      <c r="H11" s="8"/>
      <c r="I11" s="21">
        <f t="shared" si="0"/>
        <v>17</v>
      </c>
      <c r="J11" s="21" t="str">
        <f t="shared" si="2"/>
        <v>Неиспр. цепей ЭМУ</v>
      </c>
      <c r="K11" s="24" t="s">
        <v>166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5"/>
      <c r="W11" s="25"/>
      <c r="X11" s="19" t="s">
        <v>65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2"/>
      <c r="AK11" s="32"/>
      <c r="AL11" s="32"/>
      <c r="AM11" s="32"/>
      <c r="AN11" s="32"/>
      <c r="AO11" s="32"/>
      <c r="AP11" s="32"/>
      <c r="AQ11" s="32"/>
      <c r="AR11" s="25">
        <v>0</v>
      </c>
      <c r="AS11" s="25">
        <v>1</v>
      </c>
      <c r="AT11" s="25">
        <v>0</v>
      </c>
      <c r="AU11" s="25">
        <v>1</v>
      </c>
      <c r="AV11" s="64">
        <v>1</v>
      </c>
      <c r="AW11" s="64">
        <v>1</v>
      </c>
      <c r="AX11" s="64">
        <v>1</v>
      </c>
      <c r="AY11" s="23"/>
      <c r="AZ11" s="25"/>
      <c r="BA11" s="25"/>
      <c r="BB11" s="25"/>
      <c r="BC11" s="25"/>
      <c r="BD11" s="25"/>
      <c r="BE11" s="25"/>
      <c r="BF11" s="25"/>
      <c r="BG11" s="29" t="str">
        <f t="shared" si="1"/>
        <v>description: "Неиспр. цепей ЭМУ", note: "Неисправность цепей ЭМУ", group: "status", minValue: null, maxValue: null, step: null, units: "null", defaultValue: null, eventRegistration: 2</v>
      </c>
    </row>
    <row r="12" spans="1:16379" s="33" customFormat="1" ht="15.75" x14ac:dyDescent="0.25">
      <c r="A12" s="18"/>
      <c r="B12" s="62" t="s">
        <v>278</v>
      </c>
      <c r="C12" s="25"/>
      <c r="D12" s="37" t="s">
        <v>66</v>
      </c>
      <c r="E12" s="21" t="s">
        <v>167</v>
      </c>
      <c r="F12" s="35" t="s">
        <v>167</v>
      </c>
      <c r="G12" s="35" t="s">
        <v>167</v>
      </c>
      <c r="H12" s="8"/>
      <c r="I12" s="21">
        <f t="shared" si="0"/>
        <v>10</v>
      </c>
      <c r="J12" s="21" t="str">
        <f t="shared" si="2"/>
        <v>Защита ЭМВ</v>
      </c>
      <c r="K12" s="24" t="s">
        <v>168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5"/>
      <c r="W12" s="25"/>
      <c r="X12" s="19" t="s">
        <v>65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5">
        <v>0</v>
      </c>
      <c r="AS12" s="25">
        <v>1</v>
      </c>
      <c r="AT12" s="25">
        <v>0</v>
      </c>
      <c r="AU12" s="25">
        <v>1</v>
      </c>
      <c r="AV12" s="64">
        <v>1</v>
      </c>
      <c r="AW12" s="64">
        <v>1</v>
      </c>
      <c r="AX12" s="64">
        <v>1</v>
      </c>
      <c r="AY12" s="23"/>
      <c r="AZ12" s="25"/>
      <c r="BA12" s="25"/>
      <c r="BB12" s="25"/>
      <c r="BC12" s="25"/>
      <c r="BD12" s="25"/>
      <c r="BE12" s="25"/>
      <c r="BF12" s="25"/>
      <c r="BG12" s="29" t="str">
        <f t="shared" si="1"/>
        <v>description: "Защита ЭМВ", note: "Защита ЭМВ", group: "status", minValue: null, maxValue: null, step: null, units: "null", defaultValue: null, eventRegistration: 2</v>
      </c>
    </row>
    <row r="13" spans="1:16379" s="33" customFormat="1" ht="15.75" x14ac:dyDescent="0.25">
      <c r="A13" s="18"/>
      <c r="B13" s="62" t="s">
        <v>278</v>
      </c>
      <c r="C13" s="25"/>
      <c r="D13" s="37" t="s">
        <v>66</v>
      </c>
      <c r="E13" s="21" t="s">
        <v>169</v>
      </c>
      <c r="F13" s="35" t="s">
        <v>169</v>
      </c>
      <c r="G13" s="35" t="s">
        <v>169</v>
      </c>
      <c r="H13" s="8"/>
      <c r="I13" s="21">
        <f t="shared" si="0"/>
        <v>11</v>
      </c>
      <c r="J13" s="21" t="str">
        <f t="shared" si="2"/>
        <v>Защита ЭМО1</v>
      </c>
      <c r="K13" s="24" t="s">
        <v>170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5"/>
      <c r="W13" s="25"/>
      <c r="X13" s="19" t="s">
        <v>65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5">
        <v>0</v>
      </c>
      <c r="AS13" s="25">
        <v>1</v>
      </c>
      <c r="AT13" s="25">
        <v>0</v>
      </c>
      <c r="AU13" s="25">
        <v>1</v>
      </c>
      <c r="AV13" s="64">
        <v>1</v>
      </c>
      <c r="AW13" s="64">
        <v>1</v>
      </c>
      <c r="AX13" s="64">
        <v>1</v>
      </c>
      <c r="AY13" s="23"/>
      <c r="AZ13" s="25"/>
      <c r="BA13" s="25"/>
      <c r="BB13" s="25"/>
      <c r="BC13" s="25"/>
      <c r="BD13" s="25"/>
      <c r="BE13" s="25"/>
      <c r="BF13" s="25"/>
      <c r="BG13" s="29" t="str">
        <f t="shared" si="1"/>
        <v>description: "Защита ЭМО1", note: "Защита ЭМО1", group: "status", minValue: null, maxValue: null, step: null, units: "null", defaultValue: null, eventRegistration: 2</v>
      </c>
    </row>
    <row r="14" spans="1:16379" s="33" customFormat="1" ht="15.75" x14ac:dyDescent="0.25">
      <c r="A14" s="18"/>
      <c r="B14" s="62" t="s">
        <v>278</v>
      </c>
      <c r="C14" s="25"/>
      <c r="D14" s="37" t="s">
        <v>66</v>
      </c>
      <c r="E14" s="21" t="s">
        <v>171</v>
      </c>
      <c r="F14" s="35" t="s">
        <v>171</v>
      </c>
      <c r="G14" s="35" t="s">
        <v>171</v>
      </c>
      <c r="H14" s="8"/>
      <c r="I14" s="21">
        <f t="shared" si="0"/>
        <v>11</v>
      </c>
      <c r="J14" s="21" t="str">
        <f t="shared" si="2"/>
        <v>Защита ЭМО2</v>
      </c>
      <c r="K14" s="24" t="s">
        <v>253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5"/>
      <c r="W14" s="25"/>
      <c r="X14" s="19" t="s">
        <v>65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5">
        <v>0</v>
      </c>
      <c r="AS14" s="25">
        <v>1</v>
      </c>
      <c r="AT14" s="25">
        <v>0</v>
      </c>
      <c r="AU14" s="25">
        <v>1</v>
      </c>
      <c r="AV14" s="64">
        <v>1</v>
      </c>
      <c r="AW14" s="64">
        <v>1</v>
      </c>
      <c r="AX14" s="64">
        <v>1</v>
      </c>
      <c r="AY14" s="23"/>
      <c r="AZ14" s="25"/>
      <c r="BA14" s="25"/>
      <c r="BB14" s="25"/>
      <c r="BC14" s="25"/>
      <c r="BD14" s="25"/>
      <c r="BE14" s="25"/>
      <c r="BF14" s="25"/>
      <c r="BG14" s="29" t="str">
        <f t="shared" si="1"/>
        <v>description: "Защита ЭМО2", note: "Защита ЭМО2", group: "status", minValue: null, maxValue: null, step: null, units: "null", defaultValue: null, eventRegistration: 2</v>
      </c>
    </row>
    <row r="15" spans="1:16379" s="55" customFormat="1" ht="15.75" x14ac:dyDescent="0.25">
      <c r="A15" s="45"/>
      <c r="B15" s="62" t="s">
        <v>278</v>
      </c>
      <c r="C15" s="46"/>
      <c r="D15" s="56"/>
      <c r="E15" s="48" t="s">
        <v>172</v>
      </c>
      <c r="F15" s="48" t="s">
        <v>173</v>
      </c>
      <c r="G15" s="48" t="s">
        <v>173</v>
      </c>
      <c r="H15" s="46"/>
      <c r="I15" s="48">
        <f>LEN(F15)</f>
        <v>12</v>
      </c>
      <c r="J15" s="48" t="str">
        <f>IF(LEN(F15)&lt;=$J$1,F15,"")</f>
        <v>Поведение LD</v>
      </c>
      <c r="K15" s="49" t="s">
        <v>174</v>
      </c>
      <c r="L15" s="50" t="s">
        <v>119</v>
      </c>
      <c r="M15" s="51" t="s">
        <v>63</v>
      </c>
      <c r="N15" s="51" t="s">
        <v>64</v>
      </c>
      <c r="O15" s="51"/>
      <c r="P15" s="46"/>
      <c r="Q15" s="46"/>
      <c r="R15" s="51" t="s">
        <v>65</v>
      </c>
      <c r="S15" s="51" t="s">
        <v>65</v>
      </c>
      <c r="T15" s="51" t="s">
        <v>65</v>
      </c>
      <c r="U15" s="51" t="s">
        <v>65</v>
      </c>
      <c r="V15" s="46"/>
      <c r="W15" s="46"/>
      <c r="X15" s="51" t="s">
        <v>65</v>
      </c>
      <c r="Y15" s="51">
        <v>0</v>
      </c>
      <c r="Z15" s="46"/>
      <c r="AA15" s="46">
        <v>0</v>
      </c>
      <c r="AB15" s="46"/>
      <c r="AC15" s="46"/>
      <c r="AD15" s="46"/>
      <c r="AE15" s="46"/>
      <c r="AF15" s="46">
        <v>0</v>
      </c>
      <c r="AG15" s="46">
        <v>0</v>
      </c>
      <c r="AH15" s="46">
        <v>0</v>
      </c>
      <c r="AI15" s="47" t="s">
        <v>120</v>
      </c>
      <c r="AJ15" s="52" t="s">
        <v>175</v>
      </c>
      <c r="AK15" s="52" t="s">
        <v>176</v>
      </c>
      <c r="AL15" s="52" t="s">
        <v>147</v>
      </c>
      <c r="AM15" s="52" t="s">
        <v>177</v>
      </c>
      <c r="AN15" s="52" t="s">
        <v>178</v>
      </c>
      <c r="AO15" s="52" t="s">
        <v>149</v>
      </c>
      <c r="AP15" s="52" t="str">
        <f t="shared" ref="AP15:AP18" si="5">CONCATENATE(AJ15, ".", AL15)</f>
        <v>LLN0.Beh.stVal</v>
      </c>
      <c r="AQ15" s="52" t="s">
        <v>126</v>
      </c>
      <c r="AR15" s="46">
        <v>0</v>
      </c>
      <c r="AS15" s="46">
        <v>0</v>
      </c>
      <c r="AT15" s="46">
        <v>0</v>
      </c>
      <c r="AU15" s="46">
        <v>0</v>
      </c>
      <c r="AV15" s="46">
        <f t="shared" ref="AV15:AV18" si="6">BIN2DEC(CONCATENATE(0,0,0,0,AR15,AS15,AT15,AU15))</f>
        <v>0</v>
      </c>
      <c r="AW15" s="46">
        <v>0</v>
      </c>
      <c r="AX15" s="46">
        <v>0</v>
      </c>
      <c r="AY15" s="53"/>
      <c r="AZ15" s="46"/>
      <c r="BA15" s="46"/>
      <c r="BB15" s="46"/>
      <c r="BC15" s="46"/>
      <c r="BD15" s="46"/>
      <c r="BE15" s="46"/>
      <c r="BF15" s="46"/>
      <c r="BG15" s="5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6" spans="1:16379" s="55" customFormat="1" ht="15.75" x14ac:dyDescent="0.25">
      <c r="A16" s="45"/>
      <c r="B16" s="62" t="s">
        <v>278</v>
      </c>
      <c r="C16" s="46"/>
      <c r="D16" s="56"/>
      <c r="E16" s="48" t="s">
        <v>179</v>
      </c>
      <c r="F16" s="48" t="s">
        <v>180</v>
      </c>
      <c r="G16" s="48" t="s">
        <v>180</v>
      </c>
      <c r="H16" s="46"/>
      <c r="I16" s="48">
        <f>LEN(F16)</f>
        <v>14</v>
      </c>
      <c r="J16" s="48" t="str">
        <f>IF(LEN(F16)&lt;=$J$1,F16,"")</f>
        <v>Исправность LD</v>
      </c>
      <c r="K16" s="49" t="s">
        <v>181</v>
      </c>
      <c r="L16" s="50" t="s">
        <v>119</v>
      </c>
      <c r="M16" s="51" t="s">
        <v>63</v>
      </c>
      <c r="N16" s="51" t="s">
        <v>64</v>
      </c>
      <c r="O16" s="51"/>
      <c r="P16" s="53"/>
      <c r="Q16" s="53"/>
      <c r="R16" s="51" t="s">
        <v>65</v>
      </c>
      <c r="S16" s="51" t="s">
        <v>65</v>
      </c>
      <c r="T16" s="51" t="s">
        <v>65</v>
      </c>
      <c r="U16" s="51" t="s">
        <v>65</v>
      </c>
      <c r="V16" s="46"/>
      <c r="W16" s="46"/>
      <c r="X16" s="51" t="s">
        <v>65</v>
      </c>
      <c r="Y16" s="51">
        <v>0</v>
      </c>
      <c r="Z16" s="46"/>
      <c r="AA16" s="46">
        <v>0</v>
      </c>
      <c r="AB16" s="46"/>
      <c r="AC16" s="46"/>
      <c r="AD16" s="46"/>
      <c r="AE16" s="46"/>
      <c r="AF16" s="46">
        <v>0</v>
      </c>
      <c r="AG16" s="46">
        <v>0</v>
      </c>
      <c r="AH16" s="46">
        <v>0</v>
      </c>
      <c r="AI16" s="47" t="s">
        <v>120</v>
      </c>
      <c r="AJ16" s="52" t="s">
        <v>182</v>
      </c>
      <c r="AK16" s="52" t="s">
        <v>176</v>
      </c>
      <c r="AL16" s="52" t="s">
        <v>147</v>
      </c>
      <c r="AM16" s="52" t="s">
        <v>177</v>
      </c>
      <c r="AN16" s="52" t="s">
        <v>183</v>
      </c>
      <c r="AO16" s="52" t="s">
        <v>149</v>
      </c>
      <c r="AP16" s="52" t="str">
        <f t="shared" si="5"/>
        <v>LLN0.Health.stVal</v>
      </c>
      <c r="AQ16" s="52" t="s">
        <v>126</v>
      </c>
      <c r="AR16" s="46">
        <v>0</v>
      </c>
      <c r="AS16" s="46">
        <v>0</v>
      </c>
      <c r="AT16" s="46">
        <v>0</v>
      </c>
      <c r="AU16" s="46">
        <v>0</v>
      </c>
      <c r="AV16" s="46">
        <f t="shared" si="6"/>
        <v>0</v>
      </c>
      <c r="AW16" s="46">
        <v>0</v>
      </c>
      <c r="AX16" s="46">
        <v>0</v>
      </c>
      <c r="AY16" s="53"/>
      <c r="AZ16" s="46"/>
      <c r="BA16" s="46"/>
      <c r="BB16" s="46"/>
      <c r="BC16" s="46"/>
      <c r="BD16" s="46"/>
      <c r="BE16" s="46"/>
      <c r="BF16" s="46"/>
      <c r="BG16" s="5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7" spans="1:60" s="55" customFormat="1" ht="15.75" x14ac:dyDescent="0.25">
      <c r="A17" s="45"/>
      <c r="B17" s="62" t="s">
        <v>278</v>
      </c>
      <c r="C17" s="46"/>
      <c r="D17" s="56" t="s">
        <v>66</v>
      </c>
      <c r="E17" s="48" t="s">
        <v>184</v>
      </c>
      <c r="F17" s="48" t="s">
        <v>185</v>
      </c>
      <c r="G17" s="48" t="s">
        <v>185</v>
      </c>
      <c r="H17" s="46"/>
      <c r="I17" s="48">
        <f>LEN(F17)</f>
        <v>9</v>
      </c>
      <c r="J17" s="48" t="str">
        <f>IF(LEN(F17)&lt;=$J$1,F17,"")</f>
        <v>Поведение</v>
      </c>
      <c r="K17" s="49" t="s">
        <v>186</v>
      </c>
      <c r="L17" s="50" t="s">
        <v>119</v>
      </c>
      <c r="M17" s="51" t="s">
        <v>63</v>
      </c>
      <c r="N17" s="51" t="s">
        <v>64</v>
      </c>
      <c r="O17" s="51"/>
      <c r="P17" s="46"/>
      <c r="Q17" s="46"/>
      <c r="R17" s="51" t="s">
        <v>65</v>
      </c>
      <c r="S17" s="51" t="s">
        <v>65</v>
      </c>
      <c r="T17" s="51" t="s">
        <v>65</v>
      </c>
      <c r="U17" s="51" t="s">
        <v>65</v>
      </c>
      <c r="V17" s="46"/>
      <c r="W17" s="46"/>
      <c r="X17" s="51" t="s">
        <v>65</v>
      </c>
      <c r="Y17" s="51">
        <v>0</v>
      </c>
      <c r="Z17" s="46"/>
      <c r="AA17" s="46">
        <v>0</v>
      </c>
      <c r="AB17" s="46"/>
      <c r="AC17" s="46"/>
      <c r="AD17" s="46"/>
      <c r="AE17" s="46"/>
      <c r="AF17" s="46">
        <v>0</v>
      </c>
      <c r="AG17" s="46">
        <v>0</v>
      </c>
      <c r="AH17" s="46">
        <v>0</v>
      </c>
      <c r="AI17" s="47" t="s">
        <v>144</v>
      </c>
      <c r="AJ17" s="52" t="s">
        <v>187</v>
      </c>
      <c r="AK17" s="52" t="s">
        <v>176</v>
      </c>
      <c r="AL17" s="52" t="s">
        <v>147</v>
      </c>
      <c r="AM17" s="52" t="s">
        <v>177</v>
      </c>
      <c r="AN17" s="52" t="s">
        <v>178</v>
      </c>
      <c r="AO17" s="52" t="s">
        <v>149</v>
      </c>
      <c r="AP17" s="52" t="str">
        <f t="shared" si="5"/>
        <v>RCBF1.Beh.stVal</v>
      </c>
      <c r="AQ17" s="52" t="s">
        <v>126</v>
      </c>
      <c r="AR17" s="46">
        <v>0</v>
      </c>
      <c r="AS17" s="46">
        <v>0</v>
      </c>
      <c r="AT17" s="46">
        <v>0</v>
      </c>
      <c r="AU17" s="46">
        <v>0</v>
      </c>
      <c r="AV17" s="46">
        <f t="shared" si="6"/>
        <v>0</v>
      </c>
      <c r="AW17" s="46">
        <v>0</v>
      </c>
      <c r="AX17" s="46">
        <v>0</v>
      </c>
      <c r="AY17" s="53"/>
      <c r="AZ17" s="46"/>
      <c r="BA17" s="46"/>
      <c r="BB17" s="46"/>
      <c r="BC17" s="46"/>
      <c r="BD17" s="46"/>
      <c r="BE17" s="46"/>
      <c r="BF17" s="46"/>
      <c r="BG17" s="54" t="str">
        <f t="shared" si="1"/>
        <v>description: "Поведение", note: "Индикация поведения логического узла КСВ", group: "status", minValue: null, maxValue: null, step: null, units: "null", defaultValue: null, eventRegistration: 0</v>
      </c>
    </row>
    <row r="18" spans="1:60" s="55" customFormat="1" ht="15.75" x14ac:dyDescent="0.25">
      <c r="A18" s="45"/>
      <c r="B18" s="62" t="s">
        <v>278</v>
      </c>
      <c r="C18" s="46"/>
      <c r="D18" s="56" t="s">
        <v>66</v>
      </c>
      <c r="E18" s="48" t="s">
        <v>188</v>
      </c>
      <c r="F18" s="48" t="s">
        <v>189</v>
      </c>
      <c r="G18" s="48" t="s">
        <v>189</v>
      </c>
      <c r="H18" s="46"/>
      <c r="I18" s="48">
        <f>LEN(F18)</f>
        <v>11</v>
      </c>
      <c r="J18" s="48" t="str">
        <f>IF(LEN(F18)&lt;=$J$1,F18,"")</f>
        <v>Исправность</v>
      </c>
      <c r="K18" s="49" t="s">
        <v>190</v>
      </c>
      <c r="L18" s="50" t="s">
        <v>119</v>
      </c>
      <c r="M18" s="51" t="s">
        <v>63</v>
      </c>
      <c r="N18" s="51" t="s">
        <v>64</v>
      </c>
      <c r="O18" s="51"/>
      <c r="P18" s="53"/>
      <c r="Q18" s="53"/>
      <c r="R18" s="51" t="s">
        <v>65</v>
      </c>
      <c r="S18" s="51" t="s">
        <v>65</v>
      </c>
      <c r="T18" s="51" t="s">
        <v>65</v>
      </c>
      <c r="U18" s="51" t="s">
        <v>65</v>
      </c>
      <c r="V18" s="46"/>
      <c r="W18" s="46"/>
      <c r="X18" s="51" t="s">
        <v>65</v>
      </c>
      <c r="Y18" s="51">
        <v>0</v>
      </c>
      <c r="Z18" s="46"/>
      <c r="AA18" s="46">
        <v>0</v>
      </c>
      <c r="AB18" s="46"/>
      <c r="AC18" s="46"/>
      <c r="AD18" s="46"/>
      <c r="AE18" s="46"/>
      <c r="AF18" s="46">
        <v>0</v>
      </c>
      <c r="AG18" s="46">
        <v>0</v>
      </c>
      <c r="AH18" s="46">
        <v>0</v>
      </c>
      <c r="AI18" s="47" t="s">
        <v>144</v>
      </c>
      <c r="AJ18" s="52" t="s">
        <v>191</v>
      </c>
      <c r="AK18" s="52" t="s">
        <v>176</v>
      </c>
      <c r="AL18" s="52" t="s">
        <v>147</v>
      </c>
      <c r="AM18" s="52" t="s">
        <v>177</v>
      </c>
      <c r="AN18" s="52" t="s">
        <v>183</v>
      </c>
      <c r="AO18" s="52" t="s">
        <v>149</v>
      </c>
      <c r="AP18" s="52" t="str">
        <f t="shared" si="5"/>
        <v>RCBF1.Health.stVal</v>
      </c>
      <c r="AQ18" s="52" t="s">
        <v>126</v>
      </c>
      <c r="AR18" s="46">
        <v>0</v>
      </c>
      <c r="AS18" s="46">
        <v>0</v>
      </c>
      <c r="AT18" s="46">
        <v>0</v>
      </c>
      <c r="AU18" s="46">
        <v>0</v>
      </c>
      <c r="AV18" s="46">
        <f t="shared" si="6"/>
        <v>0</v>
      </c>
      <c r="AW18" s="46">
        <v>0</v>
      </c>
      <c r="AX18" s="46">
        <v>0</v>
      </c>
      <c r="AY18" s="53"/>
      <c r="AZ18" s="46"/>
      <c r="BA18" s="46"/>
      <c r="BB18" s="46"/>
      <c r="BC18" s="46"/>
      <c r="BD18" s="46"/>
      <c r="BE18" s="46"/>
      <c r="BF18" s="46"/>
      <c r="BG18" s="54" t="str">
        <f t="shared" si="1"/>
        <v>description: "Исправность", note: "Индикация исправности логического узла КСВ", group: "status",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70"/>
  <sheetViews>
    <sheetView topLeftCell="E1" zoomScale="160" zoomScaleNormal="16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5.42578125" style="2" customWidth="1" outlineLevel="1"/>
    <col min="8" max="8" width="34" style="2" customWidth="1" outlineLevel="1"/>
    <col min="9" max="9" width="66.7109375" style="2" bestFit="1" customWidth="1" outlineLevel="1"/>
    <col min="10" max="10" width="10" style="2" customWidth="1"/>
    <col min="11" max="11" width="35.140625" style="2" bestFit="1" customWidth="1"/>
    <col min="12" max="12" width="35" style="2" bestFit="1" customWidth="1"/>
    <col min="13" max="13" width="9.42578125" style="2" customWidth="1"/>
    <col min="14" max="15" width="14.7109375" style="2" customWidth="1" outlineLevel="1"/>
    <col min="16" max="16" width="8.85546875" style="2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6.140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4" hidden="1" customWidth="1" outlineLevel="1"/>
    <col min="56" max="56" width="13.28515625" style="4" hidden="1" customWidth="1" outlineLevel="1"/>
    <col min="57" max="57" width="13" style="3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4.285156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SUM(AB6:AB27)</f>
        <v>0</v>
      </c>
      <c r="AJ1" s="36"/>
      <c r="AK1" s="7"/>
      <c r="AL1" s="7"/>
      <c r="AM1" s="7"/>
      <c r="AN1" s="7"/>
      <c r="AO1" s="7"/>
      <c r="AP1" s="7"/>
      <c r="AQ1" s="7"/>
      <c r="AR1" s="7"/>
      <c r="AS1" s="36"/>
      <c r="AT1" s="6"/>
      <c r="AU1" s="6"/>
      <c r="AV1" s="6"/>
      <c r="AW1" s="6"/>
      <c r="AX1" s="6"/>
      <c r="AY1" s="6"/>
      <c r="AZ1" s="8"/>
      <c r="BA1" s="85" t="s">
        <v>0</v>
      </c>
      <c r="BB1" s="86"/>
      <c r="BC1" s="86"/>
      <c r="BD1" s="86"/>
      <c r="BE1" s="86"/>
      <c r="BF1" s="86"/>
      <c r="BG1" s="86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60" t="s">
        <v>277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1" customFormat="1" ht="15.75" x14ac:dyDescent="0.25">
      <c r="A3" s="18"/>
      <c r="B3" s="18" t="s">
        <v>192</v>
      </c>
      <c r="C3" s="19"/>
      <c r="D3" s="37" t="s">
        <v>66</v>
      </c>
      <c r="E3" s="21" t="s">
        <v>193</v>
      </c>
      <c r="F3" s="21" t="s">
        <v>194</v>
      </c>
      <c r="G3" s="21" t="s">
        <v>195</v>
      </c>
      <c r="H3" s="61" t="s">
        <v>195</v>
      </c>
      <c r="I3" s="21" t="s">
        <v>196</v>
      </c>
      <c r="J3" s="21">
        <f>LEN(F3)</f>
        <v>12</v>
      </c>
      <c r="K3" s="21" t="str">
        <f>IF(LEN(F3)&lt;=$K$1,F3,"")</f>
        <v>Ввод_функции</v>
      </c>
      <c r="L3" s="18" t="s">
        <v>197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25"/>
      <c r="AL3" s="25"/>
      <c r="AM3" s="25"/>
      <c r="AN3" s="25"/>
      <c r="AO3" s="25"/>
      <c r="AP3" s="25"/>
      <c r="AQ3" s="25"/>
      <c r="AR3" s="25"/>
      <c r="AS3" s="25">
        <v>0</v>
      </c>
      <c r="AT3" s="25">
        <v>0</v>
      </c>
      <c r="AU3" s="25">
        <v>0</v>
      </c>
      <c r="AV3" s="25">
        <v>0</v>
      </c>
      <c r="AW3" s="25">
        <f>BIN2DEC(CONCATENATE(0,0,0,0,AS3,AT3,AU3,AV3))</f>
        <v>0</v>
      </c>
      <c r="AX3" s="25" t="s">
        <v>198</v>
      </c>
      <c r="AY3" s="25"/>
      <c r="AZ3" s="23"/>
      <c r="BA3" s="25"/>
      <c r="BB3" s="25"/>
      <c r="BC3" s="25"/>
      <c r="BD3" s="25"/>
      <c r="BE3" s="25"/>
      <c r="BF3" s="25"/>
      <c r="BG3" s="25"/>
      <c r="BH3" s="29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1" customFormat="1" ht="15.75" x14ac:dyDescent="0.25">
      <c r="A4" s="18"/>
      <c r="B4" s="18" t="s">
        <v>192</v>
      </c>
      <c r="C4" s="19"/>
      <c r="D4" s="37" t="s">
        <v>66</v>
      </c>
      <c r="E4" s="21" t="s">
        <v>199</v>
      </c>
      <c r="F4" s="21" t="s">
        <v>200</v>
      </c>
      <c r="G4" s="21" t="s">
        <v>201</v>
      </c>
      <c r="H4" s="61" t="s">
        <v>201</v>
      </c>
      <c r="I4" s="21" t="s">
        <v>269</v>
      </c>
      <c r="J4" s="21">
        <f>LEN(F4)</f>
        <v>15</v>
      </c>
      <c r="K4" s="21" t="str">
        <f>IF(LEN(F4)&lt;=$K$1,F4,"")</f>
        <v xml:space="preserve">Контроль_ОТ_ЭМ </v>
      </c>
      <c r="L4" s="18" t="s">
        <v>202</v>
      </c>
      <c r="M4" s="22" t="s">
        <v>203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2</v>
      </c>
      <c r="V4" s="19">
        <v>1</v>
      </c>
      <c r="W4" s="19"/>
      <c r="X4" s="19"/>
      <c r="Y4" s="19">
        <v>0</v>
      </c>
      <c r="Z4" s="19">
        <v>0</v>
      </c>
      <c r="AA4" s="24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25"/>
      <c r="AK4" s="25"/>
      <c r="AL4" s="25"/>
      <c r="AM4" s="25"/>
      <c r="AN4" s="25"/>
      <c r="AO4" s="25"/>
      <c r="AP4" s="25"/>
      <c r="AQ4" s="25"/>
      <c r="AR4" s="25"/>
      <c r="AS4" s="25">
        <v>0</v>
      </c>
      <c r="AT4" s="25">
        <v>0</v>
      </c>
      <c r="AU4" s="25">
        <v>0</v>
      </c>
      <c r="AV4" s="25">
        <v>0</v>
      </c>
      <c r="AW4" s="25">
        <f>BIN2DEC(CONCATENATE(0,0,0,0,AS4,AT4,AU4,AV4))</f>
        <v>0</v>
      </c>
      <c r="AX4" s="25" t="s">
        <v>204</v>
      </c>
      <c r="AY4" s="25"/>
      <c r="AZ4" s="23"/>
      <c r="BA4" s="25"/>
      <c r="BB4" s="25"/>
      <c r="BC4" s="25"/>
      <c r="BD4" s="25"/>
      <c r="BE4" s="25"/>
      <c r="BF4" s="25"/>
      <c r="BG4" s="25"/>
      <c r="BH4" s="29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"Контроль_ОТ_ЭМ ", note: "Контроль ОТ цепей ЭМВ, ЭМО1 и ЭМО2", group: "setting", minValue: 0, maxValue: 2, step: 1, units: "null", defaultValue: 0, eventRegistration: 0</v>
      </c>
    </row>
    <row r="5" spans="1:16380" s="31" customFormat="1" ht="15.75" x14ac:dyDescent="0.25">
      <c r="A5" s="18"/>
      <c r="B5" s="18" t="s">
        <v>192</v>
      </c>
      <c r="C5" s="19"/>
      <c r="D5" s="37" t="s">
        <v>66</v>
      </c>
      <c r="E5" s="21" t="s">
        <v>262</v>
      </c>
      <c r="F5" s="21" t="s">
        <v>263</v>
      </c>
      <c r="G5" s="21" t="s">
        <v>217</v>
      </c>
      <c r="H5" s="61" t="s">
        <v>217</v>
      </c>
      <c r="I5" s="21" t="s">
        <v>270</v>
      </c>
      <c r="J5" s="21">
        <f>LEN(F5)</f>
        <v>13</v>
      </c>
      <c r="K5" s="21" t="str">
        <f>IF(LEN(F5)&lt;=$K$1,F5,"")</f>
        <v>Блок_упр_КИ_В</v>
      </c>
      <c r="L5" s="18" t="s">
        <v>261</v>
      </c>
      <c r="M5" s="22" t="s">
        <v>203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2</v>
      </c>
      <c r="V5" s="19">
        <v>1</v>
      </c>
      <c r="W5" s="19"/>
      <c r="X5" s="19"/>
      <c r="Y5" s="19">
        <v>0</v>
      </c>
      <c r="Z5" s="19">
        <v>0</v>
      </c>
      <c r="AA5" s="24"/>
      <c r="AB5" s="25">
        <v>0</v>
      </c>
      <c r="AC5" s="25"/>
      <c r="AD5" s="25"/>
      <c r="AE5" s="25"/>
      <c r="AF5" s="25"/>
      <c r="AG5" s="25">
        <v>0</v>
      </c>
      <c r="AH5" s="25">
        <v>0</v>
      </c>
      <c r="AI5" s="25">
        <v>0</v>
      </c>
      <c r="AJ5" s="25"/>
      <c r="AK5" s="25"/>
      <c r="AL5" s="25"/>
      <c r="AM5" s="25"/>
      <c r="AN5" s="25"/>
      <c r="AO5" s="25"/>
      <c r="AP5" s="25"/>
      <c r="AQ5" s="25"/>
      <c r="AR5" s="25"/>
      <c r="AS5" s="25">
        <v>0</v>
      </c>
      <c r="AT5" s="25">
        <v>0</v>
      </c>
      <c r="AU5" s="25">
        <v>0</v>
      </c>
      <c r="AV5" s="25">
        <v>0</v>
      </c>
      <c r="AW5" s="25">
        <f>BIN2DEC(CONCATENATE(0,0,0,0,AS5,AT5,AU5,AV5))</f>
        <v>0</v>
      </c>
      <c r="AX5" s="25" t="s">
        <v>271</v>
      </c>
      <c r="AY5" s="25"/>
      <c r="AZ5" s="23"/>
      <c r="BA5" s="25"/>
      <c r="BB5" s="25"/>
      <c r="BC5" s="25"/>
      <c r="BD5" s="25"/>
      <c r="BE5" s="25"/>
      <c r="BF5" s="25"/>
      <c r="BG5" s="25"/>
      <c r="BH5" s="29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"Блок_упр_КИ_В", note: "Блокировка управления при снижении уровня изоляции В", group: "setting", minValue: 0, maxValue: 2, step: 1, units: "null", defaultValue: 0, eventRegistration: 0</v>
      </c>
    </row>
    <row r="6" spans="1:16380" s="31" customFormat="1" ht="15.75" x14ac:dyDescent="0.25">
      <c r="A6" s="18"/>
      <c r="B6" s="18" t="s">
        <v>192</v>
      </c>
      <c r="C6" s="19"/>
      <c r="D6" s="37" t="s">
        <v>66</v>
      </c>
      <c r="E6" s="21" t="s">
        <v>264</v>
      </c>
      <c r="F6" s="21" t="s">
        <v>265</v>
      </c>
      <c r="G6" s="21" t="s">
        <v>206</v>
      </c>
      <c r="H6" s="61" t="s">
        <v>206</v>
      </c>
      <c r="I6" s="21" t="s">
        <v>196</v>
      </c>
      <c r="J6" s="21">
        <f t="shared" ref="J6:J13" si="0">LEN(F6)</f>
        <v>19</v>
      </c>
      <c r="K6" s="21" t="str">
        <f t="shared" ref="K6:K13" si="1">IF(LEN(F6)&lt;=$K$1,F6,"")</f>
        <v>Блок_вкл_низ_изол_В</v>
      </c>
      <c r="L6" s="18" t="s">
        <v>207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4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25"/>
      <c r="AK6" s="25"/>
      <c r="AL6" s="25"/>
      <c r="AM6" s="25"/>
      <c r="AN6" s="25"/>
      <c r="AO6" s="25"/>
      <c r="AP6" s="25"/>
      <c r="AQ6" s="25"/>
      <c r="AR6" s="25"/>
      <c r="AS6" s="25">
        <v>0</v>
      </c>
      <c r="AT6" s="25">
        <v>0</v>
      </c>
      <c r="AU6" s="25">
        <v>0</v>
      </c>
      <c r="AV6" s="25">
        <v>0</v>
      </c>
      <c r="AW6" s="25">
        <f t="shared" ref="AW6:AW9" si="2">BIN2DEC(CONCATENATE(0,0,0,0,AS6,AT6,AU6,AV6))</f>
        <v>0</v>
      </c>
      <c r="AX6" s="25" t="s">
        <v>198</v>
      </c>
      <c r="AY6" s="25"/>
      <c r="AZ6" s="23"/>
      <c r="BA6" s="25"/>
      <c r="BB6" s="25"/>
      <c r="BC6" s="25"/>
      <c r="BD6" s="25"/>
      <c r="BE6" s="25"/>
      <c r="BF6" s="25"/>
      <c r="BG6" s="25"/>
      <c r="BH6" s="29" t="str">
        <f t="shared" ref="BH6:BH13" si="3">CONCATENATE("description: """,F6,"""", ", ", "note: """,E6,"""",", ","group: """, B6, """",", ","minValue: ", T6,", ","maxValue: ", U6,", ","step: ", V6,", ","units: """, S6, """",", ","defaultValue: ", Y6,", ","eventRegistration: ", Z6,)</f>
        <v>description: "Блок_вкл_низ_изол_В", note: "Блокировка включения при низком уровне изоляции В", group: "setting", minValue: 0, maxValue: 1, step: 1, units: "null", defaultValue: 0, eventRegistration: 0</v>
      </c>
    </row>
    <row r="7" spans="1:16380" s="31" customFormat="1" ht="15.75" x14ac:dyDescent="0.25">
      <c r="A7" s="18"/>
      <c r="B7" s="18" t="s">
        <v>192</v>
      </c>
      <c r="C7" s="19"/>
      <c r="D7" s="37" t="s">
        <v>66</v>
      </c>
      <c r="E7" s="21" t="s">
        <v>266</v>
      </c>
      <c r="F7" s="21" t="s">
        <v>267</v>
      </c>
      <c r="G7" s="21" t="s">
        <v>208</v>
      </c>
      <c r="H7" s="61" t="s">
        <v>208</v>
      </c>
      <c r="I7" s="21" t="s">
        <v>196</v>
      </c>
      <c r="J7" s="21">
        <f t="shared" si="0"/>
        <v>16</v>
      </c>
      <c r="K7" s="21" t="str">
        <f t="shared" si="1"/>
        <v>Блок_вкл_полож_В</v>
      </c>
      <c r="L7" s="18" t="s">
        <v>209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4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25"/>
      <c r="AL7" s="25"/>
      <c r="AM7" s="25"/>
      <c r="AN7" s="25"/>
      <c r="AO7" s="25"/>
      <c r="AP7" s="25"/>
      <c r="AQ7" s="25"/>
      <c r="AR7" s="25"/>
      <c r="AS7" s="25">
        <v>0</v>
      </c>
      <c r="AT7" s="25">
        <v>0</v>
      </c>
      <c r="AU7" s="25">
        <v>0</v>
      </c>
      <c r="AV7" s="25">
        <v>0</v>
      </c>
      <c r="AW7" s="25">
        <f t="shared" si="2"/>
        <v>0</v>
      </c>
      <c r="AX7" s="25" t="s">
        <v>198</v>
      </c>
      <c r="AY7" s="25"/>
      <c r="AZ7" s="23"/>
      <c r="BA7" s="25"/>
      <c r="BB7" s="25"/>
      <c r="BC7" s="25"/>
      <c r="BD7" s="25"/>
      <c r="BE7" s="25"/>
      <c r="BF7" s="25"/>
      <c r="BG7" s="25"/>
      <c r="BH7" s="29" t="str">
        <f t="shared" si="3"/>
        <v>description: "Блок_вкл_полож_В", note: "Блокировка включения при неисправности положения В", group: "setting", minValue: 0, maxValue: 1, step: 1, units: "null", defaultValue: 0, eventRegistration: 0</v>
      </c>
    </row>
    <row r="8" spans="1:16380" s="31" customFormat="1" ht="15.75" x14ac:dyDescent="0.25">
      <c r="A8" s="18"/>
      <c r="B8" s="18" t="s">
        <v>192</v>
      </c>
      <c r="C8" s="19"/>
      <c r="D8" s="37" t="s">
        <v>66</v>
      </c>
      <c r="E8" s="21" t="s">
        <v>273</v>
      </c>
      <c r="F8" s="21" t="s">
        <v>268</v>
      </c>
      <c r="G8" s="21" t="s">
        <v>210</v>
      </c>
      <c r="H8" s="61" t="s">
        <v>210</v>
      </c>
      <c r="I8" s="21" t="s">
        <v>196</v>
      </c>
      <c r="J8" s="21">
        <f t="shared" si="0"/>
        <v>18</v>
      </c>
      <c r="K8" s="21" t="str">
        <f t="shared" si="1"/>
        <v>Блок_вкл_ресурса_В</v>
      </c>
      <c r="L8" s="18" t="s">
        <v>211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4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25"/>
      <c r="AK8" s="25"/>
      <c r="AL8" s="25"/>
      <c r="AM8" s="25"/>
      <c r="AN8" s="25"/>
      <c r="AO8" s="25"/>
      <c r="AP8" s="25"/>
      <c r="AQ8" s="25"/>
      <c r="AR8" s="25"/>
      <c r="AS8" s="25">
        <v>0</v>
      </c>
      <c r="AT8" s="25">
        <v>0</v>
      </c>
      <c r="AU8" s="25">
        <v>0</v>
      </c>
      <c r="AV8" s="25">
        <v>0</v>
      </c>
      <c r="AW8" s="25">
        <f t="shared" si="2"/>
        <v>0</v>
      </c>
      <c r="AX8" s="25" t="s">
        <v>198</v>
      </c>
      <c r="AY8" s="25"/>
      <c r="AZ8" s="23"/>
      <c r="BA8" s="25"/>
      <c r="BB8" s="25"/>
      <c r="BC8" s="25"/>
      <c r="BD8" s="25"/>
      <c r="BE8" s="25"/>
      <c r="BF8" s="25"/>
      <c r="BG8" s="25"/>
      <c r="BH8" s="29" t="str">
        <f t="shared" si="3"/>
        <v>description: "Блок_вкл_ресурса_В", note: "Блокировка включения при превышении ресурса В", group: "setting", minValue: 0, maxValue: 1, step: 1, units: "null", defaultValue: 0, eventRegistration: 0</v>
      </c>
    </row>
    <row r="9" spans="1:16380" s="31" customFormat="1" ht="14.25" customHeight="1" x14ac:dyDescent="0.25">
      <c r="A9" s="18"/>
      <c r="B9" s="18" t="s">
        <v>192</v>
      </c>
      <c r="C9" s="19"/>
      <c r="D9" s="37" t="s">
        <v>66</v>
      </c>
      <c r="E9" s="21" t="s">
        <v>212</v>
      </c>
      <c r="F9" s="21" t="s">
        <v>213</v>
      </c>
      <c r="G9" s="21" t="s">
        <v>214</v>
      </c>
      <c r="H9" s="61" t="s">
        <v>214</v>
      </c>
      <c r="I9" s="21" t="s">
        <v>269</v>
      </c>
      <c r="J9" s="21">
        <f t="shared" si="0"/>
        <v>11</v>
      </c>
      <c r="K9" s="21" t="str">
        <f t="shared" si="1"/>
        <v>Контроль_ЭМ</v>
      </c>
      <c r="L9" s="18" t="s">
        <v>215</v>
      </c>
      <c r="M9" s="22" t="s">
        <v>203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2</v>
      </c>
      <c r="V9" s="19">
        <v>1</v>
      </c>
      <c r="W9" s="19"/>
      <c r="X9" s="19"/>
      <c r="Y9" s="19">
        <v>0</v>
      </c>
      <c r="Z9" s="19">
        <v>0</v>
      </c>
      <c r="AA9" s="24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25"/>
      <c r="AK9" s="25"/>
      <c r="AL9" s="25"/>
      <c r="AM9" s="25"/>
      <c r="AN9" s="25"/>
      <c r="AO9" s="25"/>
      <c r="AP9" s="25"/>
      <c r="AQ9" s="25"/>
      <c r="AR9" s="25"/>
      <c r="AS9" s="25">
        <v>0</v>
      </c>
      <c r="AT9" s="25">
        <v>0</v>
      </c>
      <c r="AU9" s="25">
        <v>0</v>
      </c>
      <c r="AV9" s="25">
        <v>0</v>
      </c>
      <c r="AW9" s="25">
        <f t="shared" si="2"/>
        <v>0</v>
      </c>
      <c r="AX9" s="25" t="s">
        <v>204</v>
      </c>
      <c r="AY9" s="25"/>
      <c r="AZ9" s="23"/>
      <c r="BA9" s="25"/>
      <c r="BB9" s="25"/>
      <c r="BC9" s="25"/>
      <c r="BD9" s="25"/>
      <c r="BE9" s="25"/>
      <c r="BF9" s="25"/>
      <c r="BG9" s="25"/>
      <c r="BH9" s="29" t="str">
        <f t="shared" si="3"/>
        <v>description: "Контроль_ЭМ", note: "Контроль ЭМВ, ЭМО1 и ЭМО2 при формировании неисправности цепей ЭМУ", group: "setting", minValue: 0, maxValue: 2, step: 1, units: "null", defaultValue: 0, eventRegistration: 0</v>
      </c>
    </row>
    <row r="10" spans="1:16380" s="31" customFormat="1" ht="15.75" x14ac:dyDescent="0.25">
      <c r="A10" s="18"/>
      <c r="B10" s="18" t="s">
        <v>192</v>
      </c>
      <c r="C10" s="19"/>
      <c r="D10" s="37" t="s">
        <v>66</v>
      </c>
      <c r="E10" s="59" t="s">
        <v>286</v>
      </c>
      <c r="F10" s="21" t="s">
        <v>216</v>
      </c>
      <c r="G10" s="21" t="s">
        <v>205</v>
      </c>
      <c r="H10" s="61" t="s">
        <v>205</v>
      </c>
      <c r="I10" s="21" t="s">
        <v>196</v>
      </c>
      <c r="J10" s="21">
        <f>LEN(F10)</f>
        <v>15</v>
      </c>
      <c r="K10" s="21" t="str">
        <f>IF(LEN(F10)&lt;=$K$1,F10,"")</f>
        <v>Контроль_кнопки</v>
      </c>
      <c r="L10" s="18" t="s">
        <v>218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4"/>
      <c r="AB10" s="25">
        <v>0</v>
      </c>
      <c r="AC10" s="25"/>
      <c r="AD10" s="25"/>
      <c r="AE10" s="25"/>
      <c r="AF10" s="25"/>
      <c r="AG10" s="25">
        <v>0</v>
      </c>
      <c r="AH10" s="25">
        <v>0</v>
      </c>
      <c r="AI10" s="25">
        <v>0</v>
      </c>
      <c r="AJ10" s="25"/>
      <c r="AK10" s="25"/>
      <c r="AL10" s="25"/>
      <c r="AM10" s="25"/>
      <c r="AN10" s="25"/>
      <c r="AO10" s="25"/>
      <c r="AP10" s="25"/>
      <c r="AQ10" s="25"/>
      <c r="AR10" s="25"/>
      <c r="AS10" s="25">
        <v>0</v>
      </c>
      <c r="AT10" s="25">
        <v>0</v>
      </c>
      <c r="AU10" s="25">
        <v>0</v>
      </c>
      <c r="AV10" s="25">
        <v>0</v>
      </c>
      <c r="AW10" s="25">
        <f>BIN2DEC(CONCATENATE(0,0,0,0,AS10,AT10,AU10,AV10))</f>
        <v>0</v>
      </c>
      <c r="AX10" s="25" t="s">
        <v>198</v>
      </c>
      <c r="AY10" s="25"/>
      <c r="AZ10" s="23"/>
      <c r="BA10" s="25"/>
      <c r="BB10" s="25"/>
      <c r="BC10" s="25"/>
      <c r="BD10" s="25"/>
      <c r="BE10" s="25"/>
      <c r="BF10" s="25"/>
      <c r="BG10" s="25"/>
      <c r="BH10" s="29" t="str">
        <f>CONCATENATE("description: """,F10,"""", ", ", "note: """,E10,"""",", ","group: """, B10, """",", ","minValue: ", T10,", ","maxValue: ", U10,", ","step: ", V10,", ","units: """, S10, """",", ","defaultValue: ", Y10,", ","eventRegistration: ", Z10,)</f>
        <v>description: "Контроль_кнопки", note: "Разрешение сброса «РФК» от кнопки", group: "setting", minValue: 0, maxValue: 1, step: 1, units: "null", defaultValue: 0, eventRegistration: 0</v>
      </c>
    </row>
    <row r="11" spans="1:16380" s="31" customFormat="1" ht="15.75" x14ac:dyDescent="0.25">
      <c r="A11" s="18"/>
      <c r="B11" s="18" t="s">
        <v>192</v>
      </c>
      <c r="C11" s="19"/>
      <c r="D11" s="37" t="s">
        <v>66</v>
      </c>
      <c r="E11" s="21" t="s">
        <v>219</v>
      </c>
      <c r="F11" s="21" t="s">
        <v>220</v>
      </c>
      <c r="G11" s="21" t="s">
        <v>221</v>
      </c>
      <c r="H11" s="61" t="s">
        <v>221</v>
      </c>
      <c r="I11" s="21"/>
      <c r="J11" s="21">
        <f t="shared" si="0"/>
        <v>6</v>
      </c>
      <c r="K11" s="21" t="str">
        <f t="shared" si="1"/>
        <v>Tгот_в</v>
      </c>
      <c r="L11" s="18" t="s">
        <v>222</v>
      </c>
      <c r="M11" s="22" t="s">
        <v>223</v>
      </c>
      <c r="N11" s="19" t="s">
        <v>64</v>
      </c>
      <c r="O11" s="19" t="s">
        <v>64</v>
      </c>
      <c r="P11" s="19"/>
      <c r="Q11" s="23">
        <v>2</v>
      </c>
      <c r="R11" s="23" t="s">
        <v>224</v>
      </c>
      <c r="S11" s="19" t="s">
        <v>225</v>
      </c>
      <c r="T11" s="19">
        <v>0</v>
      </c>
      <c r="U11" s="19">
        <v>100000</v>
      </c>
      <c r="V11" s="19">
        <v>10</v>
      </c>
      <c r="W11" s="19"/>
      <c r="X11" s="19"/>
      <c r="Y11" s="19">
        <v>500</v>
      </c>
      <c r="Z11" s="19">
        <v>0</v>
      </c>
      <c r="AA11" s="24"/>
      <c r="AB11" s="25">
        <v>0</v>
      </c>
      <c r="AC11" s="25"/>
      <c r="AD11" s="25"/>
      <c r="AE11" s="25"/>
      <c r="AF11" s="25"/>
      <c r="AG11" s="25">
        <v>0</v>
      </c>
      <c r="AH11" s="25">
        <v>0</v>
      </c>
      <c r="AI11" s="25">
        <v>0</v>
      </c>
      <c r="AJ11" s="8" t="s">
        <v>144</v>
      </c>
      <c r="AK11" s="32" t="s">
        <v>226</v>
      </c>
      <c r="AL11" s="32" t="s">
        <v>227</v>
      </c>
      <c r="AM11" s="32" t="s">
        <v>249</v>
      </c>
      <c r="AN11" s="32" t="s">
        <v>223</v>
      </c>
      <c r="AO11" s="32"/>
      <c r="AP11" s="32" t="s">
        <v>251</v>
      </c>
      <c r="AQ11" s="32" t="str">
        <f t="shared" ref="AQ11" si="4">CONCATENATE(AK11, ".", AM11)</f>
        <v>RCBF1.RdyTmms.setVal</v>
      </c>
      <c r="AR11" s="32" t="s">
        <v>126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/>
      <c r="AY11" s="25"/>
      <c r="AZ11" s="23"/>
      <c r="BA11" s="25"/>
      <c r="BB11" s="25"/>
      <c r="BC11" s="25"/>
      <c r="BD11" s="25"/>
      <c r="BE11" s="25"/>
      <c r="BF11" s="25"/>
      <c r="BG11" s="25"/>
      <c r="BH11" s="29" t="str">
        <f t="shared" si="3"/>
        <v>description: "Tгот_в", note: "Выдержка времени ожидания готовности привода выключателя", group: "setting", minValue: 0, maxValue: 100000, step: 10, units: "мс", defaultValue: 500, eventRegistration: 0</v>
      </c>
    </row>
    <row r="12" spans="1:16380" s="31" customFormat="1" ht="15.75" x14ac:dyDescent="0.25">
      <c r="A12" s="18"/>
      <c r="B12" s="18" t="s">
        <v>192</v>
      </c>
      <c r="C12" s="19"/>
      <c r="D12" s="37" t="s">
        <v>66</v>
      </c>
      <c r="E12" s="21" t="s">
        <v>228</v>
      </c>
      <c r="F12" s="21" t="s">
        <v>229</v>
      </c>
      <c r="G12" s="21" t="s">
        <v>230</v>
      </c>
      <c r="H12" s="61" t="s">
        <v>230</v>
      </c>
      <c r="I12" s="21"/>
      <c r="J12" s="21">
        <f t="shared" si="0"/>
        <v>15</v>
      </c>
      <c r="K12" s="21" t="str">
        <f t="shared" si="1"/>
        <v>Tдлит_неисп_ЭМУ</v>
      </c>
      <c r="L12" s="18" t="s">
        <v>231</v>
      </c>
      <c r="M12" s="22" t="s">
        <v>223</v>
      </c>
      <c r="N12" s="19" t="s">
        <v>64</v>
      </c>
      <c r="O12" s="19" t="s">
        <v>64</v>
      </c>
      <c r="P12" s="19"/>
      <c r="Q12" s="23">
        <v>2</v>
      </c>
      <c r="R12" s="23" t="s">
        <v>224</v>
      </c>
      <c r="S12" s="19" t="s">
        <v>225</v>
      </c>
      <c r="T12" s="19">
        <v>0</v>
      </c>
      <c r="U12" s="19">
        <v>10000</v>
      </c>
      <c r="V12" s="19">
        <v>10</v>
      </c>
      <c r="W12" s="19"/>
      <c r="X12" s="19"/>
      <c r="Y12" s="19">
        <v>1000</v>
      </c>
      <c r="Z12" s="19">
        <v>0</v>
      </c>
      <c r="AA12" s="24"/>
      <c r="AB12" s="25">
        <v>0</v>
      </c>
      <c r="AC12" s="25"/>
      <c r="AD12" s="25"/>
      <c r="AE12" s="25"/>
      <c r="AF12" s="25"/>
      <c r="AG12" s="25">
        <v>0</v>
      </c>
      <c r="AH12" s="25">
        <v>0</v>
      </c>
      <c r="AI12" s="25">
        <v>0</v>
      </c>
      <c r="AJ12" s="8"/>
      <c r="AK12" s="25"/>
      <c r="AL12" s="25"/>
      <c r="AM12" s="25"/>
      <c r="AN12" s="25"/>
      <c r="AO12" s="25"/>
      <c r="AP12" s="25"/>
      <c r="AQ12" s="8"/>
      <c r="AR12" s="25"/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/>
      <c r="AY12" s="25"/>
      <c r="AZ12" s="23"/>
      <c r="BA12" s="25"/>
      <c r="BB12" s="25"/>
      <c r="BC12" s="25"/>
      <c r="BD12" s="25"/>
      <c r="BE12" s="25"/>
      <c r="BF12" s="25"/>
      <c r="BG12" s="25"/>
      <c r="BH12" s="29" t="str">
        <f t="shared" si="3"/>
        <v>description: "Tдлит_неисп_ЭМУ", note: "Выдержка времени срабатывания неисправности цепей ЭМУ", group: "setting", minValue: 0, maxValue: 10000, step: 10, units: "мс", defaultValue: 1000, eventRegistration: 0</v>
      </c>
    </row>
    <row r="13" spans="1:16380" s="31" customFormat="1" ht="15.75" x14ac:dyDescent="0.25">
      <c r="A13" s="18"/>
      <c r="B13" s="18" t="s">
        <v>192</v>
      </c>
      <c r="C13" s="19"/>
      <c r="D13" s="37" t="s">
        <v>66</v>
      </c>
      <c r="E13" s="21" t="s">
        <v>232</v>
      </c>
      <c r="F13" s="21" t="s">
        <v>233</v>
      </c>
      <c r="G13" s="21" t="s">
        <v>234</v>
      </c>
      <c r="H13" s="61" t="s">
        <v>234</v>
      </c>
      <c r="I13" s="21"/>
      <c r="J13" s="21">
        <f t="shared" si="0"/>
        <v>8</v>
      </c>
      <c r="K13" s="21" t="str">
        <f t="shared" si="1"/>
        <v>Tдлит_ЭМ</v>
      </c>
      <c r="L13" s="18" t="s">
        <v>248</v>
      </c>
      <c r="M13" s="22" t="s">
        <v>223</v>
      </c>
      <c r="N13" s="19" t="s">
        <v>64</v>
      </c>
      <c r="O13" s="19" t="s">
        <v>64</v>
      </c>
      <c r="P13" s="19"/>
      <c r="Q13" s="23">
        <v>2</v>
      </c>
      <c r="R13" s="23" t="s">
        <v>224</v>
      </c>
      <c r="S13" s="19" t="s">
        <v>225</v>
      </c>
      <c r="T13" s="19">
        <v>0</v>
      </c>
      <c r="U13" s="19">
        <v>10000</v>
      </c>
      <c r="V13" s="19">
        <v>10</v>
      </c>
      <c r="W13" s="19"/>
      <c r="X13" s="19"/>
      <c r="Y13" s="19">
        <v>1000</v>
      </c>
      <c r="Z13" s="19">
        <v>0</v>
      </c>
      <c r="AA13" s="24"/>
      <c r="AB13" s="25">
        <v>0</v>
      </c>
      <c r="AC13" s="25"/>
      <c r="AD13" s="25"/>
      <c r="AE13" s="25"/>
      <c r="AF13" s="25"/>
      <c r="AG13" s="25">
        <v>0</v>
      </c>
      <c r="AH13" s="25">
        <v>0</v>
      </c>
      <c r="AI13" s="25">
        <v>0</v>
      </c>
      <c r="AJ13" s="8"/>
      <c r="AK13" s="25"/>
      <c r="AL13" s="25"/>
      <c r="AM13" s="25"/>
      <c r="AN13" s="25"/>
      <c r="AO13" s="25"/>
      <c r="AP13" s="25"/>
      <c r="AQ13" s="8"/>
      <c r="AR13" s="25"/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/>
      <c r="AY13" s="25"/>
      <c r="AZ13" s="23"/>
      <c r="BA13" s="25"/>
      <c r="BB13" s="25"/>
      <c r="BC13" s="25"/>
      <c r="BD13" s="25"/>
      <c r="BE13" s="25"/>
      <c r="BF13" s="25"/>
      <c r="BG13" s="25"/>
      <c r="BH13" s="29" t="str">
        <f t="shared" si="3"/>
        <v>description: "Tдлит_ЭМ", note: "Выдержка времени срабатывания защит электромагнитов", group: "setting", minValue: 0, maxValue: 10000, step: 10, units: "мс", defaultValue: 1000, eventRegistration: 0</v>
      </c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4"/>
      <c r="BD14" s="4"/>
      <c r="BE14" s="3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4"/>
      <c r="BD15" s="4"/>
      <c r="BE15" s="3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4"/>
      <c r="BD16" s="4"/>
      <c r="BE16" s="3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4"/>
      <c r="BD17" s="4"/>
      <c r="BE17" s="3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4"/>
      <c r="BD18" s="4"/>
      <c r="BE18" s="3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4"/>
      <c r="BD19" s="4"/>
      <c r="BE19" s="3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4"/>
      <c r="BD20" s="4"/>
      <c r="BE20" s="3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4"/>
      <c r="BD21" s="4"/>
      <c r="BE21" s="3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4"/>
      <c r="BD22" s="4"/>
      <c r="BE22" s="3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4"/>
      <c r="BD23" s="4"/>
      <c r="BE23" s="3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4"/>
      <c r="BD24" s="4"/>
      <c r="BE24" s="3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4"/>
      <c r="BD25" s="4"/>
      <c r="BE25" s="3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4"/>
      <c r="BD26" s="4"/>
      <c r="BE26" s="3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4"/>
      <c r="BD27" s="4"/>
      <c r="BE27" s="3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4"/>
      <c r="BD28" s="4"/>
      <c r="BE28" s="3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4"/>
      <c r="BD29" s="4"/>
      <c r="BE29" s="3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4"/>
      <c r="BD30" s="4"/>
      <c r="BE30" s="3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4"/>
      <c r="BD31" s="4"/>
      <c r="BE31" s="3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4"/>
      <c r="BD32" s="4"/>
      <c r="BE32" s="3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4"/>
      <c r="BD33" s="4"/>
      <c r="BE33" s="3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4"/>
      <c r="BD34" s="4"/>
      <c r="BE34" s="3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4"/>
      <c r="BD35" s="4"/>
      <c r="BE35" s="3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4"/>
      <c r="BD36" s="4"/>
      <c r="BE36" s="3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4"/>
      <c r="BD37" s="4"/>
      <c r="BE37" s="3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4"/>
      <c r="BE38" s="3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4"/>
      <c r="BE39" s="3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4"/>
      <c r="BD40" s="4"/>
      <c r="BE40" s="3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4"/>
      <c r="BD41" s="4"/>
      <c r="BE41" s="3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4"/>
      <c r="BD42" s="4"/>
      <c r="BE42" s="3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4"/>
      <c r="BD43" s="4"/>
      <c r="BE43" s="3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4"/>
      <c r="BD44" s="4"/>
      <c r="BE44" s="3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4"/>
      <c r="BD45" s="4"/>
      <c r="BE45" s="3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4"/>
      <c r="BD46" s="4"/>
      <c r="BE46" s="3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4"/>
      <c r="BD47" s="4"/>
      <c r="BE47" s="3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4"/>
      <c r="BE48" s="3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4"/>
      <c r="BE49" s="3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4"/>
      <c r="BD50" s="4"/>
      <c r="BE50" s="3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4"/>
      <c r="BD51" s="4"/>
      <c r="BE51" s="3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4"/>
      <c r="BE52" s="3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4"/>
      <c r="BE53" s="3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4"/>
      <c r="BD54" s="4"/>
      <c r="BE54" s="3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4"/>
      <c r="BD55" s="4"/>
      <c r="BE55" s="3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4"/>
      <c r="BD56" s="4"/>
      <c r="BE56" s="3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4"/>
      <c r="BD57" s="4"/>
      <c r="BE57" s="3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4"/>
      <c r="BD58" s="4"/>
      <c r="BE58" s="3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4"/>
      <c r="BD59" s="4"/>
      <c r="BE59" s="3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4"/>
      <c r="BD60" s="4"/>
      <c r="BE60" s="3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4"/>
      <c r="BE61" s="3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4"/>
      <c r="BE62" s="3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4"/>
      <c r="BD63" s="4"/>
      <c r="BE63" s="3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4"/>
      <c r="BD64" s="4"/>
      <c r="BE64" s="3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4"/>
      <c r="BD65" s="4"/>
      <c r="BE65" s="3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4"/>
      <c r="BD66" s="4"/>
      <c r="BE66" s="3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4"/>
      <c r="BD67" s="4"/>
      <c r="BE67" s="3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4"/>
      <c r="BD68" s="4"/>
      <c r="BE68" s="3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4"/>
      <c r="BD69" s="4"/>
      <c r="BE69" s="3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4"/>
      <c r="BD70" s="4"/>
      <c r="BE70" s="3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4"/>
      <c r="BE71" s="3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4"/>
      <c r="BE72" s="3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4"/>
      <c r="BD73" s="4"/>
      <c r="BE73" s="3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4"/>
      <c r="BD74" s="4"/>
      <c r="BE74" s="3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4"/>
      <c r="BE75" s="3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4"/>
      <c r="BE76" s="3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4"/>
      <c r="BD77" s="4"/>
      <c r="BE77" s="3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4"/>
      <c r="BD78" s="4"/>
      <c r="BE78" s="3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4"/>
      <c r="BD79" s="4"/>
      <c r="BE79" s="3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4"/>
      <c r="BD80" s="4"/>
      <c r="BE80" s="3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4"/>
      <c r="BD81" s="4"/>
      <c r="BE81" s="3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4"/>
      <c r="BD82" s="4"/>
      <c r="BE82" s="3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4"/>
      <c r="BD83" s="4"/>
      <c r="BE83" s="3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4"/>
      <c r="BD84" s="4"/>
      <c r="BE84" s="3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4"/>
      <c r="BD85" s="4"/>
      <c r="BE85" s="3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4"/>
      <c r="BD86" s="4"/>
      <c r="BE86" s="3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4"/>
      <c r="BD87" s="4"/>
      <c r="BE87" s="3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4"/>
      <c r="BD88" s="4"/>
      <c r="BE88" s="3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4"/>
      <c r="BD89" s="4"/>
      <c r="BE89" s="3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4"/>
      <c r="BD90" s="4"/>
      <c r="BE90" s="3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4"/>
      <c r="BD91" s="4"/>
      <c r="BE91" s="3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4"/>
      <c r="BD92" s="4"/>
      <c r="BE92" s="3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4"/>
      <c r="BD93" s="4"/>
      <c r="BE93" s="3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4"/>
      <c r="BD94" s="4"/>
      <c r="BE94" s="3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4"/>
      <c r="BD95" s="4"/>
      <c r="BE95" s="3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4"/>
      <c r="BD96" s="4"/>
      <c r="BE96" s="3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4"/>
      <c r="BD97" s="4"/>
      <c r="BE97" s="3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4"/>
      <c r="BD98" s="4"/>
      <c r="BE98" s="3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4"/>
      <c r="BD99" s="4"/>
      <c r="BE99" s="3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4"/>
      <c r="BD100" s="4"/>
      <c r="BE100" s="3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4"/>
      <c r="BD101" s="4"/>
      <c r="BE101" s="3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4"/>
      <c r="BD102" s="4"/>
      <c r="BE102" s="3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4"/>
      <c r="BD103" s="4"/>
      <c r="BE103" s="3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4"/>
      <c r="BD104" s="4"/>
      <c r="BE104" s="3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4"/>
      <c r="BD105" s="4"/>
      <c r="BE105" s="3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4"/>
      <c r="BD106" s="4"/>
      <c r="BE106" s="3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4"/>
      <c r="BD107" s="4"/>
      <c r="BE107" s="3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4"/>
      <c r="BD108" s="4"/>
      <c r="BE108" s="3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4"/>
      <c r="BD109" s="4"/>
      <c r="BE109" s="3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4"/>
      <c r="BD110" s="4"/>
      <c r="BE110" s="3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4"/>
      <c r="BD111" s="4"/>
      <c r="BE111" s="3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4"/>
      <c r="BD112" s="4"/>
      <c r="BE112" s="3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4"/>
      <c r="BD113" s="4"/>
      <c r="BE113" s="3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4"/>
      <c r="BD114" s="4"/>
      <c r="BE114" s="3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4"/>
      <c r="BD115" s="4"/>
      <c r="BE115" s="3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4"/>
      <c r="BD116" s="4"/>
      <c r="BE116" s="3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4"/>
      <c r="BD117" s="4"/>
      <c r="BE117" s="3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4"/>
      <c r="BD118" s="4"/>
      <c r="BE118" s="3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4"/>
      <c r="BD119" s="4"/>
      <c r="BE119" s="3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4"/>
      <c r="BD120" s="4"/>
      <c r="BE120" s="3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4"/>
      <c r="BD121" s="4"/>
      <c r="BE121" s="3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4"/>
      <c r="BD122" s="4"/>
      <c r="BE122" s="3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4"/>
      <c r="BD123" s="4"/>
      <c r="BE123" s="3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4"/>
      <c r="BD124" s="4"/>
      <c r="BE124" s="3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4"/>
      <c r="BD125" s="4"/>
      <c r="BE125" s="3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4"/>
      <c r="BD126" s="4"/>
      <c r="BE126" s="3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4"/>
      <c r="BD127" s="4"/>
      <c r="BE127" s="3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4"/>
      <c r="BD128" s="4"/>
      <c r="BE128" s="3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4"/>
      <c r="BD129" s="4"/>
      <c r="BE129" s="3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4"/>
      <c r="BD130" s="4"/>
      <c r="BE130" s="3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4"/>
      <c r="BD131" s="4"/>
      <c r="BE131" s="3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1"/>
      <c r="AT132" s="1"/>
      <c r="AU132" s="1"/>
      <c r="AV132" s="1"/>
      <c r="AW132" s="1"/>
      <c r="AX132" s="1"/>
      <c r="AY132" s="1"/>
      <c r="AZ132" s="4"/>
      <c r="BA132" s="4"/>
      <c r="BB132" s="4"/>
      <c r="BC132" s="34"/>
      <c r="BD132" s="4"/>
      <c r="BE132" s="3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1"/>
      <c r="AS133" s="1"/>
      <c r="AT133" s="1"/>
      <c r="AU133" s="1"/>
      <c r="AV133" s="1"/>
      <c r="AW133" s="1"/>
      <c r="AX133" s="1"/>
      <c r="AY133" s="1"/>
      <c r="AZ133" s="4"/>
      <c r="BA133" s="4"/>
      <c r="BB133" s="4"/>
      <c r="BC133" s="34"/>
      <c r="BD133" s="4"/>
      <c r="BE133" s="3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1"/>
      <c r="AS134" s="1"/>
      <c r="AT134" s="1"/>
      <c r="AU134" s="1"/>
      <c r="AV134" s="1"/>
      <c r="AW134" s="1"/>
      <c r="AX134" s="1"/>
      <c r="AY134" s="1"/>
      <c r="AZ134" s="4"/>
      <c r="BA134" s="4"/>
      <c r="BB134" s="4"/>
      <c r="BC134" s="34"/>
      <c r="BD134" s="4"/>
      <c r="BE134" s="3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1"/>
      <c r="AS135" s="1"/>
      <c r="AT135" s="1"/>
      <c r="AU135" s="1"/>
      <c r="AV135" s="1"/>
      <c r="AW135" s="1"/>
      <c r="AX135" s="1"/>
      <c r="AY135" s="1"/>
      <c r="AZ135" s="4"/>
      <c r="BA135" s="4"/>
      <c r="BB135" s="4"/>
      <c r="BC135" s="34"/>
      <c r="BD135" s="4"/>
      <c r="BE135" s="3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1"/>
      <c r="AS136" s="1"/>
      <c r="AT136" s="1"/>
      <c r="AU136" s="1"/>
      <c r="AV136" s="1"/>
      <c r="AW136" s="1"/>
      <c r="AX136" s="1"/>
      <c r="AY136" s="1"/>
      <c r="AZ136" s="4"/>
      <c r="BA136" s="4"/>
      <c r="BB136" s="4"/>
      <c r="BC136" s="34"/>
      <c r="BD136" s="4"/>
      <c r="BE136" s="3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1"/>
      <c r="AS137" s="1"/>
      <c r="AT137" s="1"/>
      <c r="AU137" s="1"/>
      <c r="AV137" s="1"/>
      <c r="AW137" s="1"/>
      <c r="AX137" s="1"/>
      <c r="AY137" s="1"/>
      <c r="AZ137" s="4"/>
      <c r="BA137" s="4"/>
      <c r="BB137" s="4"/>
      <c r="BC137" s="34"/>
      <c r="BD137" s="4"/>
      <c r="BE137" s="3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1"/>
      <c r="AS138" s="1"/>
      <c r="AT138" s="1"/>
      <c r="AU138" s="1"/>
      <c r="AV138" s="1"/>
      <c r="AW138" s="1"/>
      <c r="AX138" s="1"/>
      <c r="AY138" s="1"/>
      <c r="AZ138" s="4"/>
      <c r="BA138" s="4"/>
      <c r="BB138" s="4"/>
      <c r="BC138" s="34"/>
      <c r="BD138" s="4"/>
      <c r="BE138" s="3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1"/>
      <c r="AS139" s="1"/>
      <c r="AT139" s="1"/>
      <c r="AU139" s="1"/>
      <c r="AV139" s="1"/>
      <c r="AW139" s="1"/>
      <c r="AX139" s="1"/>
      <c r="AY139" s="1"/>
      <c r="AZ139" s="4"/>
      <c r="BA139" s="4"/>
      <c r="BB139" s="4"/>
      <c r="BC139" s="34"/>
      <c r="BD139" s="4"/>
      <c r="BE139" s="3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1"/>
      <c r="AS140" s="1"/>
      <c r="AT140" s="1"/>
      <c r="AU140" s="1"/>
      <c r="AV140" s="1"/>
      <c r="AW140" s="1"/>
      <c r="AX140" s="1"/>
      <c r="AY140" s="1"/>
      <c r="AZ140" s="4"/>
      <c r="BA140" s="4"/>
      <c r="BB140" s="4"/>
      <c r="BC140" s="34"/>
      <c r="BD140" s="4"/>
      <c r="BE140" s="3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1"/>
      <c r="AS141" s="1"/>
      <c r="AT141" s="1"/>
      <c r="AU141" s="1"/>
      <c r="AV141" s="1"/>
      <c r="AW141" s="1"/>
      <c r="AX141" s="1"/>
      <c r="AY141" s="1"/>
      <c r="AZ141" s="4"/>
      <c r="BA141" s="4"/>
      <c r="BB141" s="4"/>
      <c r="BC141" s="34"/>
      <c r="BD141" s="4"/>
      <c r="BE141" s="3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1"/>
      <c r="AS142" s="1"/>
      <c r="AT142" s="1"/>
      <c r="AU142" s="1"/>
      <c r="AV142" s="1"/>
      <c r="AW142" s="1"/>
      <c r="AX142" s="1"/>
      <c r="AY142" s="1"/>
      <c r="AZ142" s="4"/>
      <c r="BA142" s="4"/>
      <c r="BB142" s="4"/>
      <c r="BC142" s="34"/>
      <c r="BD142" s="4"/>
      <c r="BE142" s="3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1"/>
      <c r="AS143" s="1"/>
      <c r="AT143" s="1"/>
      <c r="AU143" s="1"/>
      <c r="AV143" s="1"/>
      <c r="AW143" s="1"/>
      <c r="AX143" s="1"/>
      <c r="AY143" s="1"/>
      <c r="AZ143" s="4"/>
      <c r="BA143" s="4"/>
      <c r="BB143" s="4"/>
      <c r="BC143" s="34"/>
      <c r="BD143" s="4"/>
      <c r="BE143" s="3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S144" s="1"/>
      <c r="AT144" s="1"/>
      <c r="AU144" s="1"/>
      <c r="AV144" s="1"/>
      <c r="AW144" s="1"/>
      <c r="AX144" s="1"/>
      <c r="AY144" s="1"/>
      <c r="AZ144" s="4"/>
      <c r="BA144" s="4"/>
      <c r="BB144" s="4"/>
      <c r="BC144" s="34"/>
      <c r="BD144" s="4"/>
      <c r="BE144" s="3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S145" s="1"/>
      <c r="AT145" s="1"/>
      <c r="AU145" s="1"/>
      <c r="AV145" s="1"/>
      <c r="AW145" s="1"/>
      <c r="AX145" s="1"/>
      <c r="AY145" s="1"/>
      <c r="AZ145" s="4"/>
      <c r="BA145" s="4"/>
      <c r="BB145" s="4"/>
      <c r="BC145" s="34"/>
      <c r="BD145" s="4"/>
      <c r="BE145" s="3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S146" s="1"/>
      <c r="AT146" s="1"/>
      <c r="AU146" s="1"/>
      <c r="AV146" s="1"/>
      <c r="AW146" s="1"/>
      <c r="AX146" s="1"/>
      <c r="AY146" s="1"/>
      <c r="AZ146" s="4"/>
      <c r="BA146" s="4"/>
      <c r="BB146" s="4"/>
      <c r="BC146" s="34"/>
      <c r="BD146" s="4"/>
      <c r="BE146" s="3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S147" s="1"/>
      <c r="AT147" s="1"/>
      <c r="AU147" s="1"/>
      <c r="AV147" s="1"/>
      <c r="AW147" s="1"/>
      <c r="AX147" s="1"/>
      <c r="AY147" s="1"/>
      <c r="AZ147" s="4"/>
      <c r="BA147" s="4"/>
      <c r="BB147" s="4"/>
      <c r="BC147" s="34"/>
      <c r="BD147" s="4"/>
      <c r="BE147" s="3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34"/>
      <c r="BD148" s="4"/>
      <c r="BE148" s="3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34"/>
      <c r="BD149" s="4"/>
      <c r="BE149" s="3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34"/>
      <c r="BD150" s="4"/>
      <c r="BE150" s="3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34"/>
      <c r="BD151" s="4"/>
      <c r="BE151" s="3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34"/>
      <c r="BD152" s="4"/>
      <c r="BE152" s="3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34"/>
      <c r="BD153" s="4"/>
      <c r="BE153" s="3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34"/>
      <c r="BD154" s="4"/>
      <c r="BE154" s="3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4"/>
      <c r="BD155" s="4"/>
      <c r="BE155" s="3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4"/>
      <c r="BD156" s="4"/>
      <c r="BE156" s="3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4"/>
      <c r="BD157" s="4"/>
      <c r="BE157" s="3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4"/>
      <c r="BD158" s="4"/>
      <c r="BE158" s="3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4"/>
      <c r="BD159" s="4"/>
      <c r="BE159" s="3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4"/>
      <c r="BD160" s="4"/>
      <c r="BE160" s="3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4"/>
      <c r="BD161" s="4"/>
      <c r="BE161" s="3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4"/>
      <c r="BD162" s="4"/>
      <c r="BE162" s="3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4"/>
      <c r="BD163" s="4"/>
      <c r="BE163" s="3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4"/>
      <c r="BD164" s="4"/>
      <c r="BE164" s="3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4"/>
      <c r="BD165" s="4"/>
      <c r="BE165" s="3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4"/>
      <c r="BD166" s="4"/>
      <c r="BE166" s="3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4"/>
      <c r="BD167" s="4"/>
      <c r="BE167" s="3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4"/>
      <c r="BD168" s="4"/>
      <c r="BE168" s="3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4"/>
      <c r="BD169" s="4"/>
      <c r="BE169" s="3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4"/>
      <c r="BD170" s="4"/>
      <c r="BE170" s="34"/>
      <c r="BF170" s="4"/>
      <c r="BG170" s="4"/>
      <c r="BH170" s="1"/>
      <c r="BI170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.75" x14ac:dyDescent="0.25"/>
  <cols>
    <col min="1" max="1" width="22.42578125" style="38" customWidth="1"/>
    <col min="2" max="2" width="85.85546875" style="38" customWidth="1"/>
    <col min="3" max="16384" width="9.140625" style="38"/>
  </cols>
  <sheetData>
    <row r="2" spans="1:2" x14ac:dyDescent="0.25">
      <c r="A2" s="9" t="s">
        <v>235</v>
      </c>
      <c r="B2" s="9" t="s">
        <v>236</v>
      </c>
    </row>
    <row r="3" spans="1:2" x14ac:dyDescent="0.25">
      <c r="A3" s="39" t="s">
        <v>237</v>
      </c>
      <c r="B3" s="40" t="s">
        <v>66</v>
      </c>
    </row>
    <row r="4" spans="1:2" x14ac:dyDescent="0.25">
      <c r="A4" s="39" t="s">
        <v>238</v>
      </c>
      <c r="B4" s="41">
        <v>510</v>
      </c>
    </row>
    <row r="5" spans="1:2" x14ac:dyDescent="0.25">
      <c r="A5" s="39" t="s">
        <v>239</v>
      </c>
      <c r="B5" s="42" t="s">
        <v>64</v>
      </c>
    </row>
    <row r="6" spans="1:2" x14ac:dyDescent="0.25">
      <c r="A6" s="43" t="s">
        <v>240</v>
      </c>
      <c r="B6" s="44" t="s">
        <v>241</v>
      </c>
    </row>
    <row r="7" spans="1:2" x14ac:dyDescent="0.25">
      <c r="A7" s="43" t="s">
        <v>252</v>
      </c>
      <c r="B7" s="44">
        <v>2</v>
      </c>
    </row>
    <row r="8" spans="1:2" s="58" customFormat="1" x14ac:dyDescent="0.25">
      <c r="A8" s="57" t="s">
        <v>274</v>
      </c>
      <c r="B8" t="s">
        <v>275</v>
      </c>
    </row>
    <row r="9" spans="1:2" s="58" customFormat="1" x14ac:dyDescent="0.25">
      <c r="A9" s="57" t="s">
        <v>276</v>
      </c>
      <c r="B9" s="57"/>
    </row>
    <row r="10" spans="1:2" s="58" customFormat="1" x14ac:dyDescent="0.25">
      <c r="A10" s="20" t="s">
        <v>66</v>
      </c>
      <c r="B10" t="s">
        <v>275</v>
      </c>
    </row>
    <row r="11" spans="1:2" s="58" customFormat="1" x14ac:dyDescent="0.25">
      <c r="A11" s="57" t="s">
        <v>276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2025-10-16T14:09:42Z</dcterms:modified>
</cp:coreProperties>
</file>