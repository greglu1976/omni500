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21" i="4" l="1"/>
  <c r="AV21" i="4"/>
  <c r="J21" i="4"/>
  <c r="I21" i="4"/>
  <c r="J24" i="4" l="1"/>
  <c r="J25" i="4"/>
  <c r="J26" i="4"/>
  <c r="BG20" i="4" l="1"/>
  <c r="AV20" i="4"/>
  <c r="J20" i="4"/>
  <c r="I20" i="4"/>
  <c r="BH9" i="6" l="1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G20" i="5"/>
  <c r="AV20" i="5"/>
  <c r="AP20" i="5"/>
  <c r="J20" i="5"/>
  <c r="I20" i="5"/>
  <c r="BG19" i="5"/>
  <c r="AV19" i="5"/>
  <c r="AP19" i="5"/>
  <c r="J19" i="5"/>
  <c r="I19" i="5"/>
  <c r="BG12" i="5"/>
  <c r="AP12" i="5"/>
  <c r="J12" i="5"/>
  <c r="I12" i="5"/>
  <c r="BG11" i="5"/>
  <c r="J11" i="5"/>
  <c r="I11" i="5"/>
  <c r="BG10" i="5"/>
  <c r="J10" i="5"/>
  <c r="I10" i="5"/>
  <c r="BG5" i="5"/>
  <c r="J5" i="5"/>
  <c r="I5" i="5"/>
  <c r="BG23" i="4"/>
  <c r="AV23" i="4"/>
  <c r="J23" i="4"/>
  <c r="I23" i="4"/>
  <c r="BG22" i="4"/>
  <c r="AV22" i="4"/>
  <c r="J22" i="4"/>
  <c r="I22" i="4"/>
  <c r="BG19" i="4"/>
  <c r="AV19" i="4"/>
  <c r="J19" i="4"/>
  <c r="I19" i="4"/>
  <c r="J4" i="4"/>
  <c r="I4" i="4"/>
  <c r="J3" i="4"/>
  <c r="I3" i="4"/>
  <c r="BH4" i="6" l="1"/>
  <c r="AW4" i="6"/>
  <c r="K4" i="6"/>
  <c r="J4" i="6"/>
  <c r="BG18" i="5" l="1"/>
  <c r="AV18" i="5"/>
  <c r="AP18" i="5"/>
  <c r="J18" i="5"/>
  <c r="I18" i="5"/>
  <c r="BG17" i="5"/>
  <c r="AV17" i="5"/>
  <c r="AP17" i="5"/>
  <c r="J17" i="5"/>
  <c r="I17" i="5"/>
  <c r="BG9" i="5"/>
  <c r="AP9" i="5"/>
  <c r="J9" i="5"/>
  <c r="I9" i="5"/>
  <c r="BG8" i="5"/>
  <c r="J8" i="5"/>
  <c r="I8" i="5"/>
  <c r="BG7" i="5"/>
  <c r="J7" i="5"/>
  <c r="I7" i="5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J7" i="4"/>
  <c r="I7" i="4"/>
  <c r="BG6" i="4"/>
  <c r="J6" i="4"/>
  <c r="I6" i="4"/>
  <c r="BG5" i="4"/>
  <c r="J5" i="4"/>
  <c r="I5" i="4"/>
  <c r="BG4" i="4"/>
  <c r="BG3" i="4"/>
  <c r="AP6" i="5" l="1"/>
  <c r="BG6" i="5"/>
  <c r="J6" i="5"/>
  <c r="I6" i="5"/>
  <c r="AV13" i="5" l="1"/>
  <c r="AV14" i="5"/>
  <c r="AV15" i="5"/>
  <c r="AV16" i="5"/>
  <c r="BG16" i="5" l="1"/>
  <c r="BG15" i="5"/>
  <c r="BG14" i="5"/>
  <c r="BG13" i="5"/>
  <c r="BH3" i="6"/>
  <c r="AW3" i="6"/>
  <c r="K3" i="6"/>
  <c r="J3" i="6"/>
  <c r="AI1" i="6"/>
  <c r="AP16" i="5"/>
  <c r="J16" i="5"/>
  <c r="I16" i="5"/>
  <c r="AP15" i="5"/>
  <c r="J15" i="5"/>
  <c r="I15" i="5"/>
  <c r="AP14" i="5"/>
  <c r="J14" i="5"/>
  <c r="I14" i="5"/>
  <c r="AP13" i="5"/>
  <c r="J13" i="5"/>
  <c r="I13" i="5"/>
  <c r="BG4" i="5"/>
  <c r="J4" i="5"/>
  <c r="I4" i="5"/>
  <c r="BG3" i="5"/>
  <c r="J3" i="5"/>
  <c r="I3" i="5"/>
  <c r="AH1" i="5"/>
  <c r="BG26" i="4"/>
  <c r="AV26" i="4"/>
  <c r="I26" i="4"/>
  <c r="BG25" i="4"/>
  <c r="AV25" i="4"/>
  <c r="I25" i="4"/>
  <c r="BG24" i="4"/>
  <c r="AV24" i="4"/>
  <c r="AP24" i="4"/>
  <c r="I24" i="4"/>
  <c r="AH1" i="4"/>
</calcChain>
</file>

<file path=xl/sharedStrings.xml><?xml version="1.0" encoding="utf-8"?>
<sst xmlns="http://schemas.openxmlformats.org/spreadsheetml/2006/main" count="945" uniqueCount="252">
  <si>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</si>
  <si>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</si>
  <si>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</si>
  <si>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</si>
  <si>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</si>
  <si>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</si>
  <si>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</si>
  <si>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</si>
  <si>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</si>
  <si>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</si>
  <si>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</si>
  <si>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</si>
  <si>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</si>
  <si>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</si>
  <si>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</si>
  <si>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</si>
  <si>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</si>
  <si>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</si>
  <si>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</si>
  <si>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</si>
  <si>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</si>
  <si>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</si>
  <si>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</si>
  <si>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</si>
  <si>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</si>
  <si>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</si>
  <si>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</si>
  <si>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</si>
  <si>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</si>
  <si>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</si>
  <si>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</si>
  <si>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</si>
  <si>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</si>
  <si>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</si>
  <si>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</si>
  <si>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</si>
  <si>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</si>
  <si>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</si>
  <si>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</si>
  <si>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</si>
  <si>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</si>
  <si>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</si>
  <si>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</si>
  <si>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</si>
  <si>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</si>
  <si>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</si>
  <si>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</si>
  <si>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</si>
  <si>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</si>
  <si>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</si>
  <si>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</si>
  <si>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</si>
  <si>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</si>
  <si>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</si>
  <si>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</si>
  <si>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</si>
  <si>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</si>
  <si>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</si>
  <si>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</si>
  <si>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</si>
  <si>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</si>
  <si>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</si>
  <si>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</si>
  <si>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</si>
  <si>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</si>
  <si>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</si>
  <si>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</si>
  <si>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</si>
  <si>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</si>
  <si>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</si>
  <si>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</si>
  <si>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</si>
  <si>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</si>
  <si>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</si>
  <si>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</si>
  <si>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</si>
  <si>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</si>
  <si>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</si>
  <si>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</si>
  <si>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</si>
  <si>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</si>
  <si>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</si>
  <si>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</si>
  <si>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</si>
  <si>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</si>
  <si>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</si>
  <si>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</si>
  <si>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</si>
  <si>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</si>
  <si>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</si>
  <si>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</si>
  <si>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</si>
  <si>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</si>
  <si>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</si>
  <si>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</si>
  <si>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</si>
  <si>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</si>
  <si>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</si>
  <si>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</si>
  <si>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</si>
  <si>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</si>
  <si>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</si>
  <si>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</si>
  <si>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</si>
  <si>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</si>
  <si>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</si>
  <si>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</si>
  <si>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</si>
  <si>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</si>
  <si>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</si>
  <si>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</si>
  <si>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</si>
  <si>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</si>
  <si>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</si>
  <si>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</si>
  <si>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</si>
  <si>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Срабатывание</t>
  </si>
  <si>
    <t>ACT</t>
  </si>
  <si>
    <t>ЛО Т</t>
  </si>
  <si>
    <t>Срабатывание ЛО ГЗ РПН</t>
  </si>
  <si>
    <t>Срабатывание ЛО ДТм</t>
  </si>
  <si>
    <t>Срабатывание ЛО РД</t>
  </si>
  <si>
    <t>Срабатывание ЛО ПК</t>
  </si>
  <si>
    <t>Срабатывание ЛО ОК</t>
  </si>
  <si>
    <t>ГЗоткл Сраб</t>
  </si>
  <si>
    <t>ГЗсигн Сраб</t>
  </si>
  <si>
    <t>ГЗ РПН Сраб</t>
  </si>
  <si>
    <t>ЛО ДТм Сраб</t>
  </si>
  <si>
    <t>ЛО ДТо Сраб</t>
  </si>
  <si>
    <t>ЛО РД Сраб</t>
  </si>
  <si>
    <t>ЛО ПК Сраб</t>
  </si>
  <si>
    <t>ЛО ОК Сраб</t>
  </si>
  <si>
    <t>Оперативный вывод функции ЛО Т</t>
  </si>
  <si>
    <t>ОВ ЛО Т</t>
  </si>
  <si>
    <t>OpTTRGASLGC</t>
  </si>
  <si>
    <t>OpTALMGASLGC</t>
  </si>
  <si>
    <t>OpTLTCGASLGC</t>
  </si>
  <si>
    <t>TripOILPTRC</t>
  </si>
  <si>
    <t>TripWINPTRC</t>
  </si>
  <si>
    <t>TripVLVPTRC</t>
  </si>
  <si>
    <t>OpPRVLVPTRC</t>
  </si>
  <si>
    <t>OpSHVLVPTRC</t>
  </si>
  <si>
    <t>OpLEVPTRC</t>
  </si>
  <si>
    <t>PTRC1_operOutLevel</t>
  </si>
  <si>
    <t>RBRE1_operOutLevel</t>
  </si>
  <si>
    <t>PTRC1_FuncEnabled</t>
  </si>
  <si>
    <t>PTRC1_FuncOperDisabled</t>
  </si>
  <si>
    <t>PTRC1_Op</t>
  </si>
  <si>
    <t>Запрет АПВ</t>
  </si>
  <si>
    <t>RBRE1_FuncEnabled</t>
  </si>
  <si>
    <t>RBRE1_FuncOperDisabled</t>
  </si>
  <si>
    <t>RBRE1_BlkOp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</si>
  <si>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</si>
  <si>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</si>
  <si>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</si>
  <si>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</si>
  <si>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PTRC1_Beh</t>
  </si>
  <si>
    <t>PTRC1_Health</t>
  </si>
  <si>
    <t>RBRE1_Beh</t>
  </si>
  <si>
    <t>RBRE1_Health</t>
  </si>
  <si>
    <t>PTRC1.Op</t>
  </si>
  <si>
    <t>PTRC1.Beh</t>
  </si>
  <si>
    <t>PTRC1.Health</t>
  </si>
  <si>
    <t>RBRE1.Beh</t>
  </si>
  <si>
    <t>RBRE1.Health</t>
  </si>
  <si>
    <t>RBRE1.BlkOp</t>
  </si>
  <si>
    <t>SPS</t>
  </si>
  <si>
    <t>Ввод функции в работу</t>
  </si>
  <si>
    <t>PTRC1_EnaDis</t>
  </si>
  <si>
    <t>RBRE1_EnaDis</t>
  </si>
  <si>
    <t>ЛО</t>
  </si>
  <si>
    <t>ЗАПВ</t>
  </si>
  <si>
    <t>Срабатывание ЛО ДТо</t>
  </si>
  <si>
    <t>TOFFLVLGC_operOutFunction</t>
  </si>
  <si>
    <t>LVCBRBLC1_operOutLevel</t>
  </si>
  <si>
    <t>Срабатывание ТО</t>
  </si>
  <si>
    <t>ТО Сраб</t>
  </si>
  <si>
    <t>OpPPTOC</t>
  </si>
  <si>
    <t>Срабатывание 1 ступени МТЗ</t>
  </si>
  <si>
    <t>МТЗ 1 ст. Сраб</t>
  </si>
  <si>
    <t>OpPVOC1</t>
  </si>
  <si>
    <t>Срабатывание ЛО ГЗоткл</t>
  </si>
  <si>
    <t>Срабатывание ЛО ГЗсигн</t>
  </si>
  <si>
    <t>Срабатывание 2 ступени МТЗ</t>
  </si>
  <si>
    <t>МТЗ 2 ст. Сраб</t>
  </si>
  <si>
    <t>OpPVOC2</t>
  </si>
  <si>
    <t>Срабатывание 3 ступени МТЗ</t>
  </si>
  <si>
    <t>МТЗ 3 ст. Сраб</t>
  </si>
  <si>
    <t>OpPVOC3</t>
  </si>
  <si>
    <t>Срабатывание ЛЗТ</t>
  </si>
  <si>
    <t>ЛЗТ Сраб</t>
  </si>
  <si>
    <t>OpTTOCLGC</t>
  </si>
  <si>
    <t>ЗАВР</t>
  </si>
  <si>
    <t>Пуск</t>
  </si>
  <si>
    <t>PTRC1_Str</t>
  </si>
  <si>
    <t>Запрет АВР</t>
  </si>
  <si>
    <t>LVCBRBLC1_FuncEnabled</t>
  </si>
  <si>
    <t>LVCBRBLC1_FuncOperDisabled</t>
  </si>
  <si>
    <t>LVCBRBLC1_BlkOp</t>
  </si>
  <si>
    <t>Индикация поведения логического узла ЗАВР</t>
  </si>
  <si>
    <t>Индикация исправности логического узла ЗАВР</t>
  </si>
  <si>
    <t>LVCBRBLC1_Beh</t>
  </si>
  <si>
    <t>LVCBRBLC1_Health</t>
  </si>
  <si>
    <t>LVCBRBLC1.Beh</t>
  </si>
  <si>
    <t>LVCBRBLC1.Health</t>
  </si>
  <si>
    <t>LVCBRBLC1.BlkOp</t>
  </si>
  <si>
    <t>SGF2</t>
  </si>
  <si>
    <t>RBRE1_PVOC2_Ctrl</t>
  </si>
  <si>
    <t>SGF3</t>
  </si>
  <si>
    <t>RBRE1_PVOC3_Ctrl</t>
  </si>
  <si>
    <t>LVCBRBLC1_PVOC2_Ctrl</t>
  </si>
  <si>
    <t>LVCBRBLC1_PVOC3_Ctrl</t>
  </si>
  <si>
    <t>TOFFLVLGC</t>
  </si>
  <si>
    <t>LVCBRBLC1_EnaDis</t>
  </si>
  <si>
    <t>TJNTPTRC</t>
  </si>
  <si>
    <t>JNTRBRE</t>
  </si>
  <si>
    <t>BTS1RBLC</t>
  </si>
  <si>
    <t>Оперативный вывод ЛО Т / ЛО</t>
  </si>
  <si>
    <t>ОВ ЛО Т / ЛО</t>
  </si>
  <si>
    <t>Оперативный вывод ЛО Т / ЗАПВ</t>
  </si>
  <si>
    <t>ОВ ЛО Т / ЗАПВ</t>
  </si>
  <si>
    <t>Оперативный вывод ЛО Т / ЗАВР</t>
  </si>
  <si>
    <t>ОВ ЛО Т / ЗАВР</t>
  </si>
  <si>
    <t>Срабатывание ЛО ДУм расширителя</t>
  </si>
  <si>
    <t>ЛО ДУм расш Сраб</t>
  </si>
  <si>
    <t>FbVersion</t>
  </si>
  <si>
    <t>OpOnTripTOVCTOC</t>
  </si>
  <si>
    <t>Срабатывание ЗП на отключение</t>
  </si>
  <si>
    <t>ЗП Сраб на откл</t>
  </si>
  <si>
    <t>Срабатывание ЗОП</t>
  </si>
  <si>
    <t>ЗОП Сраб</t>
  </si>
  <si>
    <t>OpLVNSTOC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</si>
  <si>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</si>
  <si>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</si>
  <si>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</si>
  <si>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</si>
  <si>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</si>
  <si>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</si>
  <si>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</si>
  <si>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</si>
  <si>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отключения трансформатора</t>
  </si>
  <si>
    <t>Логика запрета АПВ</t>
  </si>
  <si>
    <t>Логика запрета АВР</t>
  </si>
  <si>
    <t>alias</t>
  </si>
  <si>
    <t>ЗАПВ_МТЗ_2ст</t>
  </si>
  <si>
    <t>ЗАПВ_МТЗ_3ст</t>
  </si>
  <si>
    <t>ЗАВР_МТЗ_2ст</t>
  </si>
  <si>
    <t>ЗАВР_МТЗ_3ст</t>
  </si>
  <si>
    <t>Режим запрета АПВ при срабатывании 2 ступени МТЗ</t>
  </si>
  <si>
    <t>Режим запрета АПВ при срабатывании 3 ступени МТЗ</t>
  </si>
  <si>
    <t>Режим запрета АВР при срабатывании 2 ступени МТЗ</t>
  </si>
  <si>
    <t>Режим запрета АВР при срабатывании 3 ступени МТЗ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</si>
</sst>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9" fillId="0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2" fillId="0" borderId="0" xfId="0" applyFont="1" applyFill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0" applyFont="1" applyFill="1"/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2" fillId="7" borderId="0" xfId="0" applyFont="1" applyFill="1"/>
    <xf numFmtId="0" fontId="4" fillId="8" borderId="1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10" borderId="2" xfId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8"/>
  <sheetViews>
    <sheetView topLeftCell="AM1" zoomScale="80" zoomScaleNormal="80" workbookViewId="0">
      <selection activeCell="AT3" sqref="AT3:AX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2.855468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6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SUM(AA24:AA35)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15" t="s">
        <v>0</v>
      </c>
      <c r="BA1" s="116"/>
      <c r="BB1" s="116"/>
      <c r="BC1" s="116"/>
      <c r="BD1" s="116"/>
      <c r="BE1" s="116"/>
      <c r="BF1" s="116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93" t="s">
        <v>233</v>
      </c>
      <c r="AW2" s="93" t="s">
        <v>234</v>
      </c>
      <c r="AX2" s="93" t="s">
        <v>235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12" customFormat="1" ht="15.75" x14ac:dyDescent="0.25">
      <c r="A3" s="97"/>
      <c r="B3" s="97" t="s">
        <v>232</v>
      </c>
      <c r="C3" s="98"/>
      <c r="D3" s="99"/>
      <c r="E3" s="100" t="s">
        <v>107</v>
      </c>
      <c r="F3" s="101" t="s">
        <v>107</v>
      </c>
      <c r="G3" s="101" t="s">
        <v>107</v>
      </c>
      <c r="H3" s="100"/>
      <c r="I3" s="100">
        <f t="shared" ref="I3:I4" si="0">LEN(F3)</f>
        <v>15</v>
      </c>
      <c r="J3" s="100" t="str">
        <f t="shared" ref="J3:J4" si="1">IF(LEN(F3)&lt;=$J$1,F3,"")</f>
        <v>Вывод терминала</v>
      </c>
      <c r="K3" s="97" t="s">
        <v>108</v>
      </c>
      <c r="L3" s="102" t="s">
        <v>54</v>
      </c>
      <c r="M3" s="98" t="s">
        <v>51</v>
      </c>
      <c r="N3" s="98" t="s">
        <v>52</v>
      </c>
      <c r="O3" s="98"/>
      <c r="P3" s="103"/>
      <c r="Q3" s="103"/>
      <c r="R3" s="98" t="s">
        <v>53</v>
      </c>
      <c r="S3" s="98" t="s">
        <v>53</v>
      </c>
      <c r="T3" s="98" t="s">
        <v>53</v>
      </c>
      <c r="U3" s="98" t="s">
        <v>53</v>
      </c>
      <c r="V3" s="98"/>
      <c r="W3" s="98"/>
      <c r="X3" s="98" t="s">
        <v>53</v>
      </c>
      <c r="Y3" s="98">
        <v>0</v>
      </c>
      <c r="Z3" s="104"/>
      <c r="AA3" s="105">
        <v>0</v>
      </c>
      <c r="AB3" s="105"/>
      <c r="AC3" s="105"/>
      <c r="AD3" s="105"/>
      <c r="AE3" s="105"/>
      <c r="AF3" s="105">
        <v>0</v>
      </c>
      <c r="AG3" s="105">
        <v>0</v>
      </c>
      <c r="AH3" s="105">
        <v>0</v>
      </c>
      <c r="AI3" s="106"/>
      <c r="AJ3" s="107"/>
      <c r="AK3" s="107"/>
      <c r="AL3" s="107"/>
      <c r="AM3" s="107"/>
      <c r="AN3" s="107"/>
      <c r="AO3" s="107"/>
      <c r="AP3" s="107"/>
      <c r="AQ3" s="107"/>
      <c r="AR3" s="105">
        <v>0</v>
      </c>
      <c r="AS3" s="105">
        <v>0</v>
      </c>
      <c r="AT3" s="113">
        <v>1</v>
      </c>
      <c r="AU3" s="38">
        <v>0</v>
      </c>
      <c r="AV3" s="113">
        <v>1</v>
      </c>
      <c r="AW3" s="113">
        <v>1</v>
      </c>
      <c r="AX3" s="113">
        <v>1</v>
      </c>
      <c r="AY3" s="105"/>
      <c r="AZ3" s="103"/>
      <c r="BA3" s="105"/>
      <c r="BB3" s="105"/>
      <c r="BC3" s="108"/>
      <c r="BD3" s="105"/>
      <c r="BE3" s="109"/>
      <c r="BF3" s="105"/>
      <c r="BG3" s="110" t="str">
        <f t="shared" ref="BG3:BG16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11"/>
    </row>
    <row r="4" spans="1:16379" s="112" customFormat="1" ht="15.75" x14ac:dyDescent="0.25">
      <c r="A4" s="97"/>
      <c r="B4" s="97" t="s">
        <v>232</v>
      </c>
      <c r="C4" s="98"/>
      <c r="D4" s="99" t="s">
        <v>118</v>
      </c>
      <c r="E4" s="100" t="s">
        <v>132</v>
      </c>
      <c r="F4" s="101" t="s">
        <v>133</v>
      </c>
      <c r="G4" s="101" t="s">
        <v>133</v>
      </c>
      <c r="H4" s="100"/>
      <c r="I4" s="100">
        <f t="shared" si="0"/>
        <v>7</v>
      </c>
      <c r="J4" s="100" t="str">
        <f t="shared" si="1"/>
        <v>ОВ ЛО Т</v>
      </c>
      <c r="K4" s="97" t="s">
        <v>173</v>
      </c>
      <c r="L4" s="102" t="s">
        <v>54</v>
      </c>
      <c r="M4" s="98" t="s">
        <v>51</v>
      </c>
      <c r="N4" s="98" t="s">
        <v>52</v>
      </c>
      <c r="O4" s="98"/>
      <c r="P4" s="103"/>
      <c r="Q4" s="103"/>
      <c r="R4" s="98" t="s">
        <v>53</v>
      </c>
      <c r="S4" s="98" t="s">
        <v>53</v>
      </c>
      <c r="T4" s="98" t="s">
        <v>53</v>
      </c>
      <c r="U4" s="98" t="s">
        <v>53</v>
      </c>
      <c r="V4" s="98"/>
      <c r="W4" s="98"/>
      <c r="X4" s="98" t="s">
        <v>53</v>
      </c>
      <c r="Y4" s="98">
        <v>0</v>
      </c>
      <c r="Z4" s="104"/>
      <c r="AA4" s="105">
        <v>0</v>
      </c>
      <c r="AB4" s="105"/>
      <c r="AC4" s="105"/>
      <c r="AD4" s="105"/>
      <c r="AE4" s="105"/>
      <c r="AF4" s="105">
        <v>0</v>
      </c>
      <c r="AG4" s="105">
        <v>0</v>
      </c>
      <c r="AH4" s="105">
        <v>0</v>
      </c>
      <c r="AI4" s="106"/>
      <c r="AJ4" s="107"/>
      <c r="AK4" s="107"/>
      <c r="AL4" s="107"/>
      <c r="AM4" s="107"/>
      <c r="AN4" s="107"/>
      <c r="AO4" s="107"/>
      <c r="AP4" s="107"/>
      <c r="AQ4" s="107"/>
      <c r="AR4" s="105">
        <v>0</v>
      </c>
      <c r="AS4" s="105">
        <v>0</v>
      </c>
      <c r="AT4" s="113">
        <v>1</v>
      </c>
      <c r="AU4" s="38">
        <v>0</v>
      </c>
      <c r="AV4" s="113">
        <v>1</v>
      </c>
      <c r="AW4" s="113">
        <v>1</v>
      </c>
      <c r="AX4" s="113">
        <v>1</v>
      </c>
      <c r="AY4" s="105"/>
      <c r="AZ4" s="103"/>
      <c r="BA4" s="105"/>
      <c r="BB4" s="105"/>
      <c r="BC4" s="108"/>
      <c r="BD4" s="105"/>
      <c r="BE4" s="109"/>
      <c r="BF4" s="105"/>
      <c r="BG4" s="110" t="str">
        <f t="shared" si="2"/>
        <v>description: "ОВ ЛО Т", note: "Оперативный вывод функции ЛО Т", group: "control", minValue: null, maxValue: null, step: null, units: "null", defaultValue: null, eventRegistration: 0</v>
      </c>
      <c r="BH4" s="111"/>
    </row>
    <row r="5" spans="1:16379" s="112" customFormat="1" ht="15.75" x14ac:dyDescent="0.25">
      <c r="A5" s="97"/>
      <c r="B5" s="97" t="s">
        <v>232</v>
      </c>
      <c r="C5" s="98"/>
      <c r="D5" s="99" t="s">
        <v>170</v>
      </c>
      <c r="E5" s="100" t="s">
        <v>217</v>
      </c>
      <c r="F5" s="101" t="s">
        <v>218</v>
      </c>
      <c r="G5" s="101" t="s">
        <v>218</v>
      </c>
      <c r="H5" s="100"/>
      <c r="I5" s="100">
        <f t="shared" ref="I5:I16" si="3">LEN(F5)</f>
        <v>12</v>
      </c>
      <c r="J5" s="100" t="str">
        <f t="shared" ref="J5:J16" si="4">IF(LEN(F5)&lt;=$J$1,F5,"")</f>
        <v>ОВ ЛО Т / ЛО</v>
      </c>
      <c r="K5" s="97" t="s">
        <v>143</v>
      </c>
      <c r="L5" s="102" t="s">
        <v>54</v>
      </c>
      <c r="M5" s="98" t="s">
        <v>51</v>
      </c>
      <c r="N5" s="98" t="s">
        <v>52</v>
      </c>
      <c r="O5" s="98"/>
      <c r="P5" s="103"/>
      <c r="Q5" s="103"/>
      <c r="R5" s="98" t="s">
        <v>53</v>
      </c>
      <c r="S5" s="98" t="s">
        <v>53</v>
      </c>
      <c r="T5" s="98" t="s">
        <v>53</v>
      </c>
      <c r="U5" s="98" t="s">
        <v>53</v>
      </c>
      <c r="V5" s="98"/>
      <c r="W5" s="98"/>
      <c r="X5" s="98" t="s">
        <v>53</v>
      </c>
      <c r="Y5" s="98">
        <v>0</v>
      </c>
      <c r="Z5" s="104"/>
      <c r="AA5" s="105">
        <v>0</v>
      </c>
      <c r="AB5" s="105"/>
      <c r="AC5" s="105"/>
      <c r="AD5" s="105"/>
      <c r="AE5" s="105"/>
      <c r="AF5" s="105">
        <v>0</v>
      </c>
      <c r="AG5" s="105">
        <v>0</v>
      </c>
      <c r="AH5" s="105">
        <v>0</v>
      </c>
      <c r="AI5" s="106"/>
      <c r="AJ5" s="107"/>
      <c r="AK5" s="107"/>
      <c r="AL5" s="107"/>
      <c r="AM5" s="107"/>
      <c r="AN5" s="107"/>
      <c r="AO5" s="107"/>
      <c r="AP5" s="107"/>
      <c r="AQ5" s="107"/>
      <c r="AR5" s="105">
        <v>0</v>
      </c>
      <c r="AS5" s="105">
        <v>0</v>
      </c>
      <c r="AT5" s="113">
        <v>1</v>
      </c>
      <c r="AU5" s="38">
        <v>0</v>
      </c>
      <c r="AV5" s="113">
        <v>1</v>
      </c>
      <c r="AW5" s="113">
        <v>1</v>
      </c>
      <c r="AX5" s="113">
        <v>1</v>
      </c>
      <c r="AY5" s="105"/>
      <c r="AZ5" s="103"/>
      <c r="BA5" s="105"/>
      <c r="BB5" s="105"/>
      <c r="BC5" s="108"/>
      <c r="BD5" s="105"/>
      <c r="BE5" s="109"/>
      <c r="BF5" s="105"/>
      <c r="BG5" s="110" t="str">
        <f t="shared" si="2"/>
        <v>description: "ОВ ЛО Т / ЛО", note: "Оперативный вывод ЛО Т / ЛО", group: "control", minValue: null, maxValue: null, step: null, units: "null", defaultValue: null, eventRegistration: 0</v>
      </c>
      <c r="BH5" s="111"/>
    </row>
    <row r="6" spans="1:16379" s="112" customFormat="1" ht="15.75" x14ac:dyDescent="0.25">
      <c r="A6" s="97"/>
      <c r="B6" s="97" t="s">
        <v>232</v>
      </c>
      <c r="C6" s="98"/>
      <c r="D6" s="99" t="s">
        <v>171</v>
      </c>
      <c r="E6" s="100" t="s">
        <v>219</v>
      </c>
      <c r="F6" s="101" t="s">
        <v>220</v>
      </c>
      <c r="G6" s="101" t="s">
        <v>220</v>
      </c>
      <c r="H6" s="100"/>
      <c r="I6" s="100">
        <f t="shared" si="3"/>
        <v>14</v>
      </c>
      <c r="J6" s="100" t="str">
        <f t="shared" si="4"/>
        <v>ОВ ЛО Т / ЗАПВ</v>
      </c>
      <c r="K6" s="97" t="s">
        <v>144</v>
      </c>
      <c r="L6" s="102" t="s">
        <v>54</v>
      </c>
      <c r="M6" s="98" t="s">
        <v>51</v>
      </c>
      <c r="N6" s="98" t="s">
        <v>52</v>
      </c>
      <c r="O6" s="98"/>
      <c r="P6" s="103"/>
      <c r="Q6" s="103"/>
      <c r="R6" s="98" t="s">
        <v>53</v>
      </c>
      <c r="S6" s="98" t="s">
        <v>53</v>
      </c>
      <c r="T6" s="98" t="s">
        <v>53</v>
      </c>
      <c r="U6" s="98" t="s">
        <v>53</v>
      </c>
      <c r="V6" s="98"/>
      <c r="W6" s="98"/>
      <c r="X6" s="98" t="s">
        <v>53</v>
      </c>
      <c r="Y6" s="98">
        <v>0</v>
      </c>
      <c r="Z6" s="104"/>
      <c r="AA6" s="105">
        <v>0</v>
      </c>
      <c r="AB6" s="105"/>
      <c r="AC6" s="105"/>
      <c r="AD6" s="105"/>
      <c r="AE6" s="105"/>
      <c r="AF6" s="105">
        <v>0</v>
      </c>
      <c r="AG6" s="105">
        <v>0</v>
      </c>
      <c r="AH6" s="105">
        <v>0</v>
      </c>
      <c r="AI6" s="106"/>
      <c r="AJ6" s="107"/>
      <c r="AK6" s="107"/>
      <c r="AL6" s="107"/>
      <c r="AM6" s="107"/>
      <c r="AN6" s="107"/>
      <c r="AO6" s="107"/>
      <c r="AP6" s="107"/>
      <c r="AQ6" s="107"/>
      <c r="AR6" s="105">
        <v>0</v>
      </c>
      <c r="AS6" s="105">
        <v>0</v>
      </c>
      <c r="AT6" s="113">
        <v>1</v>
      </c>
      <c r="AU6" s="38">
        <v>0</v>
      </c>
      <c r="AV6" s="113">
        <v>1</v>
      </c>
      <c r="AW6" s="113">
        <v>1</v>
      </c>
      <c r="AX6" s="113">
        <v>1</v>
      </c>
      <c r="AY6" s="105"/>
      <c r="AZ6" s="103"/>
      <c r="BA6" s="105"/>
      <c r="BB6" s="105"/>
      <c r="BC6" s="108"/>
      <c r="BD6" s="105"/>
      <c r="BE6" s="109"/>
      <c r="BF6" s="105"/>
      <c r="BG6" s="110" t="str">
        <f t="shared" si="2"/>
        <v>description: "ОВ ЛО Т / ЗАПВ", note: "Оперативный вывод ЛО Т / ЗАПВ", group: "control", minValue: null, maxValue: null, step: null, units: "null", defaultValue: null, eventRegistration: 0</v>
      </c>
      <c r="BH6" s="111"/>
    </row>
    <row r="7" spans="1:16379" s="112" customFormat="1" ht="15.75" x14ac:dyDescent="0.25">
      <c r="A7" s="97"/>
      <c r="B7" s="97" t="s">
        <v>232</v>
      </c>
      <c r="C7" s="98"/>
      <c r="D7" s="99" t="s">
        <v>192</v>
      </c>
      <c r="E7" s="100" t="s">
        <v>221</v>
      </c>
      <c r="F7" s="101" t="s">
        <v>222</v>
      </c>
      <c r="G7" s="101" t="s">
        <v>222</v>
      </c>
      <c r="H7" s="100"/>
      <c r="I7" s="100">
        <f t="shared" si="3"/>
        <v>14</v>
      </c>
      <c r="J7" s="100" t="str">
        <f t="shared" si="4"/>
        <v>ОВ ЛО Т / ЗАВР</v>
      </c>
      <c r="K7" s="97" t="s">
        <v>174</v>
      </c>
      <c r="L7" s="102" t="s">
        <v>54</v>
      </c>
      <c r="M7" s="98" t="s">
        <v>51</v>
      </c>
      <c r="N7" s="98" t="s">
        <v>52</v>
      </c>
      <c r="O7" s="98"/>
      <c r="P7" s="103"/>
      <c r="Q7" s="103"/>
      <c r="R7" s="98" t="s">
        <v>53</v>
      </c>
      <c r="S7" s="98" t="s">
        <v>53</v>
      </c>
      <c r="T7" s="98" t="s">
        <v>53</v>
      </c>
      <c r="U7" s="98" t="s">
        <v>53</v>
      </c>
      <c r="V7" s="98"/>
      <c r="W7" s="98"/>
      <c r="X7" s="98" t="s">
        <v>53</v>
      </c>
      <c r="Y7" s="98">
        <v>0</v>
      </c>
      <c r="Z7" s="104"/>
      <c r="AA7" s="105">
        <v>0</v>
      </c>
      <c r="AB7" s="105"/>
      <c r="AC7" s="105"/>
      <c r="AD7" s="105"/>
      <c r="AE7" s="105"/>
      <c r="AF7" s="105">
        <v>0</v>
      </c>
      <c r="AG7" s="105">
        <v>0</v>
      </c>
      <c r="AH7" s="105">
        <v>0</v>
      </c>
      <c r="AI7" s="106"/>
      <c r="AJ7" s="107"/>
      <c r="AK7" s="107"/>
      <c r="AL7" s="107"/>
      <c r="AM7" s="107"/>
      <c r="AN7" s="107"/>
      <c r="AO7" s="107"/>
      <c r="AP7" s="107"/>
      <c r="AQ7" s="107"/>
      <c r="AR7" s="105">
        <v>0</v>
      </c>
      <c r="AS7" s="105">
        <v>0</v>
      </c>
      <c r="AT7" s="113">
        <v>1</v>
      </c>
      <c r="AU7" s="38">
        <v>0</v>
      </c>
      <c r="AV7" s="113">
        <v>1</v>
      </c>
      <c r="AW7" s="113">
        <v>1</v>
      </c>
      <c r="AX7" s="113">
        <v>1</v>
      </c>
      <c r="AY7" s="105"/>
      <c r="AZ7" s="103"/>
      <c r="BA7" s="105"/>
      <c r="BB7" s="105"/>
      <c r="BC7" s="108"/>
      <c r="BD7" s="105"/>
      <c r="BE7" s="109"/>
      <c r="BF7" s="105"/>
      <c r="BG7" s="110" t="str">
        <f t="shared" si="2"/>
        <v>description: "ОВ ЛО Т / ЗАВР", note: "Оперативный вывод ЛО Т / ЗАВР", group: "control", minValue: null, maxValue: null, step: null, units: "null", defaultValue: null, eventRegistration: 0</v>
      </c>
      <c r="BH7" s="111"/>
    </row>
    <row r="8" spans="1:16379" s="84" customFormat="1" ht="15.75" x14ac:dyDescent="0.25">
      <c r="A8" s="26"/>
      <c r="B8" s="26" t="s">
        <v>50</v>
      </c>
      <c r="C8" s="27"/>
      <c r="D8" s="83"/>
      <c r="E8" s="28" t="s">
        <v>175</v>
      </c>
      <c r="F8" s="39" t="s">
        <v>176</v>
      </c>
      <c r="G8" s="39" t="s">
        <v>176</v>
      </c>
      <c r="H8" s="28"/>
      <c r="I8" s="28">
        <f t="shared" si="3"/>
        <v>7</v>
      </c>
      <c r="J8" s="28" t="str">
        <f t="shared" si="4"/>
        <v>ТО Сраб</v>
      </c>
      <c r="K8" s="26" t="s">
        <v>177</v>
      </c>
      <c r="L8" s="29" t="s">
        <v>54</v>
      </c>
      <c r="M8" s="27" t="s">
        <v>51</v>
      </c>
      <c r="N8" s="27" t="s">
        <v>52</v>
      </c>
      <c r="O8" s="27"/>
      <c r="P8" s="30"/>
      <c r="Q8" s="30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1"/>
      <c r="AA8" s="38">
        <v>0</v>
      </c>
      <c r="AB8" s="38"/>
      <c r="AC8" s="38"/>
      <c r="AD8" s="38"/>
      <c r="AE8" s="38"/>
      <c r="AF8" s="38">
        <v>0</v>
      </c>
      <c r="AG8" s="38">
        <v>0</v>
      </c>
      <c r="AH8" s="38">
        <v>0</v>
      </c>
      <c r="AI8" s="47"/>
      <c r="AJ8" s="32"/>
      <c r="AK8" s="32"/>
      <c r="AL8" s="32"/>
      <c r="AM8" s="32"/>
      <c r="AN8" s="32"/>
      <c r="AO8" s="32"/>
      <c r="AP8" s="32"/>
      <c r="AQ8" s="32"/>
      <c r="AR8" s="38">
        <v>0</v>
      </c>
      <c r="AS8" s="38">
        <v>0</v>
      </c>
      <c r="AT8" s="38">
        <v>0</v>
      </c>
      <c r="AU8" s="38">
        <v>0</v>
      </c>
      <c r="AV8" s="38">
        <f t="shared" ref="AV8:AV16" si="5">BIN2DEC(CONCATENATE(0,0,0,0,AR8,AS8,AT8,AU8))</f>
        <v>0</v>
      </c>
      <c r="AW8" s="38">
        <v>0</v>
      </c>
      <c r="AX8" s="38">
        <v>0</v>
      </c>
      <c r="AY8" s="38"/>
      <c r="AZ8" s="30"/>
      <c r="BA8" s="38"/>
      <c r="BB8" s="38"/>
      <c r="BC8" s="33"/>
      <c r="BD8" s="38"/>
      <c r="BE8" s="34"/>
      <c r="BF8" s="38"/>
      <c r="BG8" s="35" t="str">
        <f t="shared" si="2"/>
        <v>description: "ТО Сраб", note: "Срабатывание ТО", group: "measurement", minValue: null, maxValue: null, step: null, units: "null", defaultValue: null, eventRegistration: 0</v>
      </c>
      <c r="BH8" s="36"/>
    </row>
    <row r="9" spans="1:16379" s="84" customFormat="1" ht="15.75" x14ac:dyDescent="0.25">
      <c r="A9" s="26"/>
      <c r="B9" s="26" t="s">
        <v>50</v>
      </c>
      <c r="C9" s="27"/>
      <c r="D9" s="83"/>
      <c r="E9" s="28" t="s">
        <v>178</v>
      </c>
      <c r="F9" s="39" t="s">
        <v>179</v>
      </c>
      <c r="G9" s="39" t="s">
        <v>179</v>
      </c>
      <c r="H9" s="28"/>
      <c r="I9" s="28">
        <f t="shared" si="3"/>
        <v>14</v>
      </c>
      <c r="J9" s="28" t="str">
        <f t="shared" si="4"/>
        <v>МТЗ 1 ст. Сраб</v>
      </c>
      <c r="K9" s="26" t="s">
        <v>180</v>
      </c>
      <c r="L9" s="29" t="s">
        <v>54</v>
      </c>
      <c r="M9" s="27" t="s">
        <v>51</v>
      </c>
      <c r="N9" s="27" t="s">
        <v>52</v>
      </c>
      <c r="O9" s="27"/>
      <c r="P9" s="30"/>
      <c r="Q9" s="30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1"/>
      <c r="AA9" s="38">
        <v>0</v>
      </c>
      <c r="AB9" s="38"/>
      <c r="AC9" s="38"/>
      <c r="AD9" s="38"/>
      <c r="AE9" s="38"/>
      <c r="AF9" s="38">
        <v>0</v>
      </c>
      <c r="AG9" s="38">
        <v>0</v>
      </c>
      <c r="AH9" s="38">
        <v>0</v>
      </c>
      <c r="AI9" s="47"/>
      <c r="AJ9" s="32"/>
      <c r="AK9" s="32"/>
      <c r="AL9" s="32"/>
      <c r="AM9" s="32"/>
      <c r="AN9" s="32"/>
      <c r="AO9" s="32"/>
      <c r="AP9" s="32"/>
      <c r="AQ9" s="32"/>
      <c r="AR9" s="38">
        <v>0</v>
      </c>
      <c r="AS9" s="38">
        <v>0</v>
      </c>
      <c r="AT9" s="38">
        <v>0</v>
      </c>
      <c r="AU9" s="38">
        <v>0</v>
      </c>
      <c r="AV9" s="38">
        <f t="shared" si="5"/>
        <v>0</v>
      </c>
      <c r="AW9" s="38">
        <v>0</v>
      </c>
      <c r="AX9" s="38">
        <v>0</v>
      </c>
      <c r="AY9" s="38"/>
      <c r="AZ9" s="30"/>
      <c r="BA9" s="38"/>
      <c r="BB9" s="38"/>
      <c r="BC9" s="33"/>
      <c r="BD9" s="38"/>
      <c r="BE9" s="34"/>
      <c r="BF9" s="38"/>
      <c r="BG9" s="35" t="str">
        <f t="shared" si="2"/>
        <v>description: "МТЗ 1 ст. Сраб", note: "Срабатывание 1 ступени МТЗ", group: "measurement", minValue: null, maxValue: null, step: null, units: "null", defaultValue: null, eventRegistration: 0</v>
      </c>
      <c r="BH9" s="36"/>
    </row>
    <row r="10" spans="1:16379" s="84" customFormat="1" ht="15.75" x14ac:dyDescent="0.25">
      <c r="A10" s="26"/>
      <c r="B10" s="26" t="s">
        <v>50</v>
      </c>
      <c r="C10" s="27"/>
      <c r="D10" s="83"/>
      <c r="E10" s="28" t="s">
        <v>181</v>
      </c>
      <c r="F10" s="39" t="s">
        <v>124</v>
      </c>
      <c r="G10" s="39" t="s">
        <v>124</v>
      </c>
      <c r="H10" s="28"/>
      <c r="I10" s="28">
        <f t="shared" si="3"/>
        <v>11</v>
      </c>
      <c r="J10" s="28" t="str">
        <f t="shared" si="4"/>
        <v>ГЗоткл Сраб</v>
      </c>
      <c r="K10" s="82" t="s">
        <v>134</v>
      </c>
      <c r="L10" s="29" t="s">
        <v>54</v>
      </c>
      <c r="M10" s="27" t="s">
        <v>51</v>
      </c>
      <c r="N10" s="27" t="s">
        <v>52</v>
      </c>
      <c r="O10" s="27"/>
      <c r="P10" s="30"/>
      <c r="Q10" s="30"/>
      <c r="R10" s="27" t="s">
        <v>53</v>
      </c>
      <c r="S10" s="27" t="s">
        <v>53</v>
      </c>
      <c r="T10" s="27" t="s">
        <v>53</v>
      </c>
      <c r="U10" s="27" t="s">
        <v>53</v>
      </c>
      <c r="V10" s="27"/>
      <c r="W10" s="27"/>
      <c r="X10" s="27" t="s">
        <v>53</v>
      </c>
      <c r="Y10" s="27">
        <v>0</v>
      </c>
      <c r="Z10" s="31"/>
      <c r="AA10" s="38">
        <v>0</v>
      </c>
      <c r="AB10" s="38"/>
      <c r="AC10" s="38"/>
      <c r="AD10" s="38"/>
      <c r="AE10" s="38"/>
      <c r="AF10" s="38">
        <v>0</v>
      </c>
      <c r="AG10" s="38">
        <v>0</v>
      </c>
      <c r="AH10" s="38">
        <v>0</v>
      </c>
      <c r="AI10" s="47"/>
      <c r="AJ10" s="32"/>
      <c r="AK10" s="32"/>
      <c r="AL10" s="32"/>
      <c r="AM10" s="32"/>
      <c r="AN10" s="32"/>
      <c r="AO10" s="32"/>
      <c r="AP10" s="32"/>
      <c r="AQ10" s="32"/>
      <c r="AR10" s="38">
        <v>0</v>
      </c>
      <c r="AS10" s="38">
        <v>0</v>
      </c>
      <c r="AT10" s="38">
        <v>0</v>
      </c>
      <c r="AU10" s="38">
        <v>0</v>
      </c>
      <c r="AV10" s="38">
        <f t="shared" si="5"/>
        <v>0</v>
      </c>
      <c r="AW10" s="38">
        <v>0</v>
      </c>
      <c r="AX10" s="38">
        <v>0</v>
      </c>
      <c r="AY10" s="38"/>
      <c r="AZ10" s="30"/>
      <c r="BA10" s="38"/>
      <c r="BB10" s="38"/>
      <c r="BC10" s="33"/>
      <c r="BD10" s="38"/>
      <c r="BE10" s="34"/>
      <c r="BF10" s="38"/>
      <c r="BG10" s="35" t="str">
        <f t="shared" si="2"/>
        <v>description: "ГЗоткл Сраб", note: "Срабатывание ЛО ГЗоткл", group: "measurement", minValue: null, maxValue: null, step: null, units: "null", defaultValue: null, eventRegistration: 0</v>
      </c>
      <c r="BH10" s="36"/>
    </row>
    <row r="11" spans="1:16379" s="84" customFormat="1" ht="15.75" x14ac:dyDescent="0.25">
      <c r="A11" s="26"/>
      <c r="B11" s="26" t="s">
        <v>50</v>
      </c>
      <c r="C11" s="27"/>
      <c r="D11" s="83"/>
      <c r="E11" s="28" t="s">
        <v>182</v>
      </c>
      <c r="F11" s="39" t="s">
        <v>125</v>
      </c>
      <c r="G11" s="39" t="s">
        <v>125</v>
      </c>
      <c r="H11" s="28"/>
      <c r="I11" s="28">
        <f t="shared" si="3"/>
        <v>11</v>
      </c>
      <c r="J11" s="28" t="str">
        <f t="shared" si="4"/>
        <v>ГЗсигн Сраб</v>
      </c>
      <c r="K11" s="26" t="s">
        <v>135</v>
      </c>
      <c r="L11" s="29" t="s">
        <v>54</v>
      </c>
      <c r="M11" s="27" t="s">
        <v>51</v>
      </c>
      <c r="N11" s="27" t="s">
        <v>52</v>
      </c>
      <c r="O11" s="27"/>
      <c r="P11" s="30"/>
      <c r="Q11" s="30"/>
      <c r="R11" s="27" t="s">
        <v>53</v>
      </c>
      <c r="S11" s="27" t="s">
        <v>53</v>
      </c>
      <c r="T11" s="27" t="s">
        <v>53</v>
      </c>
      <c r="U11" s="27" t="s">
        <v>53</v>
      </c>
      <c r="V11" s="27"/>
      <c r="W11" s="27"/>
      <c r="X11" s="27" t="s">
        <v>53</v>
      </c>
      <c r="Y11" s="27">
        <v>0</v>
      </c>
      <c r="Z11" s="31"/>
      <c r="AA11" s="38">
        <v>0</v>
      </c>
      <c r="AB11" s="38"/>
      <c r="AC11" s="38"/>
      <c r="AD11" s="38"/>
      <c r="AE11" s="38"/>
      <c r="AF11" s="38">
        <v>0</v>
      </c>
      <c r="AG11" s="38">
        <v>0</v>
      </c>
      <c r="AH11" s="38">
        <v>0</v>
      </c>
      <c r="AI11" s="47"/>
      <c r="AJ11" s="32"/>
      <c r="AK11" s="32"/>
      <c r="AL11" s="32"/>
      <c r="AM11" s="32"/>
      <c r="AN11" s="32"/>
      <c r="AO11" s="32"/>
      <c r="AP11" s="32"/>
      <c r="AQ11" s="32"/>
      <c r="AR11" s="38">
        <v>0</v>
      </c>
      <c r="AS11" s="38">
        <v>0</v>
      </c>
      <c r="AT11" s="38">
        <v>0</v>
      </c>
      <c r="AU11" s="38">
        <v>0</v>
      </c>
      <c r="AV11" s="38">
        <f t="shared" si="5"/>
        <v>0</v>
      </c>
      <c r="AW11" s="38">
        <v>0</v>
      </c>
      <c r="AX11" s="38">
        <v>0</v>
      </c>
      <c r="AY11" s="38"/>
      <c r="AZ11" s="30"/>
      <c r="BA11" s="38"/>
      <c r="BB11" s="38"/>
      <c r="BC11" s="33"/>
      <c r="BD11" s="38"/>
      <c r="BE11" s="34"/>
      <c r="BF11" s="38"/>
      <c r="BG11" s="35" t="str">
        <f t="shared" si="2"/>
        <v>description: "ГЗсигн Сраб", note: "Срабатывание ЛО ГЗсигн", group: "measurement", minValue: null, maxValue: null, step: null, units: "null", defaultValue: null, eventRegistration: 0</v>
      </c>
      <c r="BH11" s="36"/>
    </row>
    <row r="12" spans="1:16379" s="84" customFormat="1" ht="15.75" x14ac:dyDescent="0.25">
      <c r="A12" s="26"/>
      <c r="B12" s="26" t="s">
        <v>50</v>
      </c>
      <c r="C12" s="27"/>
      <c r="D12" s="83"/>
      <c r="E12" s="28" t="s">
        <v>119</v>
      </c>
      <c r="F12" s="39" t="s">
        <v>126</v>
      </c>
      <c r="G12" s="39" t="s">
        <v>126</v>
      </c>
      <c r="H12" s="28"/>
      <c r="I12" s="28">
        <f t="shared" si="3"/>
        <v>11</v>
      </c>
      <c r="J12" s="28" t="str">
        <f t="shared" si="4"/>
        <v>ГЗ РПН Сраб</v>
      </c>
      <c r="K12" s="26" t="s">
        <v>136</v>
      </c>
      <c r="L12" s="29" t="s">
        <v>54</v>
      </c>
      <c r="M12" s="27" t="s">
        <v>51</v>
      </c>
      <c r="N12" s="27" t="s">
        <v>52</v>
      </c>
      <c r="O12" s="27"/>
      <c r="P12" s="30"/>
      <c r="Q12" s="30"/>
      <c r="R12" s="27" t="s">
        <v>53</v>
      </c>
      <c r="S12" s="27" t="s">
        <v>53</v>
      </c>
      <c r="T12" s="27" t="s">
        <v>53</v>
      </c>
      <c r="U12" s="27" t="s">
        <v>53</v>
      </c>
      <c r="V12" s="27"/>
      <c r="W12" s="27"/>
      <c r="X12" s="27" t="s">
        <v>53</v>
      </c>
      <c r="Y12" s="27">
        <v>0</v>
      </c>
      <c r="Z12" s="31"/>
      <c r="AA12" s="38">
        <v>0</v>
      </c>
      <c r="AB12" s="38"/>
      <c r="AC12" s="38"/>
      <c r="AD12" s="38"/>
      <c r="AE12" s="38"/>
      <c r="AF12" s="38">
        <v>0</v>
      </c>
      <c r="AG12" s="38">
        <v>0</v>
      </c>
      <c r="AH12" s="38">
        <v>0</v>
      </c>
      <c r="AI12" s="47"/>
      <c r="AJ12" s="32"/>
      <c r="AK12" s="32"/>
      <c r="AL12" s="32"/>
      <c r="AM12" s="32"/>
      <c r="AN12" s="32"/>
      <c r="AO12" s="32"/>
      <c r="AP12" s="32"/>
      <c r="AQ12" s="32"/>
      <c r="AR12" s="38">
        <v>0</v>
      </c>
      <c r="AS12" s="38">
        <v>0</v>
      </c>
      <c r="AT12" s="38">
        <v>0</v>
      </c>
      <c r="AU12" s="38">
        <v>0</v>
      </c>
      <c r="AV12" s="38">
        <f t="shared" si="5"/>
        <v>0</v>
      </c>
      <c r="AW12" s="38">
        <v>0</v>
      </c>
      <c r="AX12" s="38">
        <v>0</v>
      </c>
      <c r="AY12" s="38"/>
      <c r="AZ12" s="30"/>
      <c r="BA12" s="38"/>
      <c r="BB12" s="38"/>
      <c r="BC12" s="33"/>
      <c r="BD12" s="38"/>
      <c r="BE12" s="34"/>
      <c r="BF12" s="38"/>
      <c r="BG12" s="35" t="str">
        <f t="shared" si="2"/>
        <v>description: "ГЗ РПН Сраб", note: "Срабатывание ЛО ГЗ РПН", group: "measurement", minValue: null, maxValue: null, step: null, units: "null", defaultValue: null, eventRegistration: 0</v>
      </c>
      <c r="BH12" s="36"/>
    </row>
    <row r="13" spans="1:16379" s="84" customFormat="1" ht="15.75" x14ac:dyDescent="0.25">
      <c r="A13" s="26"/>
      <c r="B13" s="26" t="s">
        <v>50</v>
      </c>
      <c r="C13" s="27"/>
      <c r="D13" s="83"/>
      <c r="E13" s="28" t="s">
        <v>120</v>
      </c>
      <c r="F13" s="39" t="s">
        <v>127</v>
      </c>
      <c r="G13" s="39" t="s">
        <v>127</v>
      </c>
      <c r="H13" s="28"/>
      <c r="I13" s="28">
        <f t="shared" si="3"/>
        <v>11</v>
      </c>
      <c r="J13" s="28" t="str">
        <f t="shared" si="4"/>
        <v>ЛО ДТм Сраб</v>
      </c>
      <c r="K13" s="26" t="s">
        <v>137</v>
      </c>
      <c r="L13" s="29" t="s">
        <v>54</v>
      </c>
      <c r="M13" s="27" t="s">
        <v>51</v>
      </c>
      <c r="N13" s="27" t="s">
        <v>52</v>
      </c>
      <c r="O13" s="27"/>
      <c r="P13" s="30"/>
      <c r="Q13" s="30"/>
      <c r="R13" s="27" t="s">
        <v>53</v>
      </c>
      <c r="S13" s="27" t="s">
        <v>53</v>
      </c>
      <c r="T13" s="27" t="s">
        <v>53</v>
      </c>
      <c r="U13" s="27" t="s">
        <v>53</v>
      </c>
      <c r="V13" s="27"/>
      <c r="W13" s="27"/>
      <c r="X13" s="27" t="s">
        <v>53</v>
      </c>
      <c r="Y13" s="27">
        <v>0</v>
      </c>
      <c r="Z13" s="31"/>
      <c r="AA13" s="38">
        <v>0</v>
      </c>
      <c r="AB13" s="38"/>
      <c r="AC13" s="38"/>
      <c r="AD13" s="38"/>
      <c r="AE13" s="38"/>
      <c r="AF13" s="38">
        <v>0</v>
      </c>
      <c r="AG13" s="38">
        <v>0</v>
      </c>
      <c r="AH13" s="38">
        <v>0</v>
      </c>
      <c r="AI13" s="47"/>
      <c r="AJ13" s="32"/>
      <c r="AK13" s="32"/>
      <c r="AL13" s="32"/>
      <c r="AM13" s="32"/>
      <c r="AN13" s="32"/>
      <c r="AO13" s="32"/>
      <c r="AP13" s="32"/>
      <c r="AQ13" s="32"/>
      <c r="AR13" s="38">
        <v>0</v>
      </c>
      <c r="AS13" s="38">
        <v>0</v>
      </c>
      <c r="AT13" s="38">
        <v>0</v>
      </c>
      <c r="AU13" s="38">
        <v>0</v>
      </c>
      <c r="AV13" s="38">
        <f t="shared" si="5"/>
        <v>0</v>
      </c>
      <c r="AW13" s="38">
        <v>0</v>
      </c>
      <c r="AX13" s="38">
        <v>0</v>
      </c>
      <c r="AY13" s="38"/>
      <c r="AZ13" s="30"/>
      <c r="BA13" s="38"/>
      <c r="BB13" s="38"/>
      <c r="BC13" s="33"/>
      <c r="BD13" s="38"/>
      <c r="BE13" s="34"/>
      <c r="BF13" s="38"/>
      <c r="BG13" s="35" t="str">
        <f t="shared" si="2"/>
        <v>description: "ЛО ДТм Сраб", note: "Срабатывание ЛО ДТм", group: "measurement", minValue: null, maxValue: null, step: null, units: "null", defaultValue: null, eventRegistration: 0</v>
      </c>
      <c r="BH13" s="36"/>
    </row>
    <row r="14" spans="1:16379" s="84" customFormat="1" ht="15.75" x14ac:dyDescent="0.25">
      <c r="A14" s="26"/>
      <c r="B14" s="26" t="s">
        <v>50</v>
      </c>
      <c r="C14" s="27"/>
      <c r="D14" s="83"/>
      <c r="E14" s="28" t="s">
        <v>172</v>
      </c>
      <c r="F14" s="39" t="s">
        <v>128</v>
      </c>
      <c r="G14" s="39" t="s">
        <v>128</v>
      </c>
      <c r="H14" s="28"/>
      <c r="I14" s="28">
        <f t="shared" si="3"/>
        <v>11</v>
      </c>
      <c r="J14" s="28" t="str">
        <f t="shared" si="4"/>
        <v>ЛО ДТо Сраб</v>
      </c>
      <c r="K14" s="26" t="s">
        <v>138</v>
      </c>
      <c r="L14" s="29" t="s">
        <v>54</v>
      </c>
      <c r="M14" s="27" t="s">
        <v>51</v>
      </c>
      <c r="N14" s="27" t="s">
        <v>52</v>
      </c>
      <c r="O14" s="27"/>
      <c r="P14" s="30"/>
      <c r="Q14" s="30"/>
      <c r="R14" s="27" t="s">
        <v>53</v>
      </c>
      <c r="S14" s="27" t="s">
        <v>53</v>
      </c>
      <c r="T14" s="27" t="s">
        <v>53</v>
      </c>
      <c r="U14" s="27" t="s">
        <v>53</v>
      </c>
      <c r="V14" s="27"/>
      <c r="W14" s="27"/>
      <c r="X14" s="27" t="s">
        <v>53</v>
      </c>
      <c r="Y14" s="27">
        <v>0</v>
      </c>
      <c r="Z14" s="31"/>
      <c r="AA14" s="38">
        <v>0</v>
      </c>
      <c r="AB14" s="38"/>
      <c r="AC14" s="38"/>
      <c r="AD14" s="38"/>
      <c r="AE14" s="38"/>
      <c r="AF14" s="38">
        <v>0</v>
      </c>
      <c r="AG14" s="38">
        <v>0</v>
      </c>
      <c r="AH14" s="38">
        <v>0</v>
      </c>
      <c r="AI14" s="47"/>
      <c r="AJ14" s="32"/>
      <c r="AK14" s="32"/>
      <c r="AL14" s="32"/>
      <c r="AM14" s="32"/>
      <c r="AN14" s="32"/>
      <c r="AO14" s="32"/>
      <c r="AP14" s="32"/>
      <c r="AQ14" s="32"/>
      <c r="AR14" s="38">
        <v>0</v>
      </c>
      <c r="AS14" s="38">
        <v>0</v>
      </c>
      <c r="AT14" s="38">
        <v>0</v>
      </c>
      <c r="AU14" s="38">
        <v>0</v>
      </c>
      <c r="AV14" s="38">
        <f t="shared" si="5"/>
        <v>0</v>
      </c>
      <c r="AW14" s="38">
        <v>0</v>
      </c>
      <c r="AX14" s="38">
        <v>0</v>
      </c>
      <c r="AY14" s="38"/>
      <c r="AZ14" s="30"/>
      <c r="BA14" s="38"/>
      <c r="BB14" s="38"/>
      <c r="BC14" s="33"/>
      <c r="BD14" s="38"/>
      <c r="BE14" s="34"/>
      <c r="BF14" s="38"/>
      <c r="BG14" s="35" t="str">
        <f t="shared" si="2"/>
        <v>description: "ЛО ДТо Сраб", note: "Срабатывание ЛО ДТо", group: "measurement", minValue: null, maxValue: null, step: null, units: "null", defaultValue: null, eventRegistration: 0</v>
      </c>
      <c r="BH14" s="36"/>
    </row>
    <row r="15" spans="1:16379" s="84" customFormat="1" ht="15.75" x14ac:dyDescent="0.25">
      <c r="A15" s="26"/>
      <c r="B15" s="26" t="s">
        <v>50</v>
      </c>
      <c r="C15" s="27"/>
      <c r="D15" s="83"/>
      <c r="E15" s="28" t="s">
        <v>121</v>
      </c>
      <c r="F15" s="39" t="s">
        <v>129</v>
      </c>
      <c r="G15" s="39" t="s">
        <v>129</v>
      </c>
      <c r="H15" s="28"/>
      <c r="I15" s="28">
        <f t="shared" si="3"/>
        <v>10</v>
      </c>
      <c r="J15" s="28" t="str">
        <f t="shared" si="4"/>
        <v>ЛО РД Сраб</v>
      </c>
      <c r="K15" s="26" t="s">
        <v>139</v>
      </c>
      <c r="L15" s="29" t="s">
        <v>54</v>
      </c>
      <c r="M15" s="27" t="s">
        <v>51</v>
      </c>
      <c r="N15" s="27" t="s">
        <v>52</v>
      </c>
      <c r="O15" s="27"/>
      <c r="P15" s="30"/>
      <c r="Q15" s="30"/>
      <c r="R15" s="27" t="s">
        <v>53</v>
      </c>
      <c r="S15" s="27" t="s">
        <v>53</v>
      </c>
      <c r="T15" s="27" t="s">
        <v>53</v>
      </c>
      <c r="U15" s="27" t="s">
        <v>53</v>
      </c>
      <c r="V15" s="27"/>
      <c r="W15" s="27"/>
      <c r="X15" s="27" t="s">
        <v>53</v>
      </c>
      <c r="Y15" s="27">
        <v>0</v>
      </c>
      <c r="Z15" s="31"/>
      <c r="AA15" s="38">
        <v>0</v>
      </c>
      <c r="AB15" s="38"/>
      <c r="AC15" s="38"/>
      <c r="AD15" s="38"/>
      <c r="AE15" s="38"/>
      <c r="AF15" s="38">
        <v>0</v>
      </c>
      <c r="AG15" s="38">
        <v>0</v>
      </c>
      <c r="AH15" s="38">
        <v>0</v>
      </c>
      <c r="AI15" s="47"/>
      <c r="AJ15" s="32"/>
      <c r="AK15" s="32"/>
      <c r="AL15" s="32"/>
      <c r="AM15" s="32"/>
      <c r="AN15" s="32"/>
      <c r="AO15" s="32"/>
      <c r="AP15" s="32"/>
      <c r="AQ15" s="32"/>
      <c r="AR15" s="38">
        <v>0</v>
      </c>
      <c r="AS15" s="38">
        <v>0</v>
      </c>
      <c r="AT15" s="38">
        <v>0</v>
      </c>
      <c r="AU15" s="38">
        <v>0</v>
      </c>
      <c r="AV15" s="38">
        <f t="shared" si="5"/>
        <v>0</v>
      </c>
      <c r="AW15" s="38">
        <v>0</v>
      </c>
      <c r="AX15" s="38">
        <v>0</v>
      </c>
      <c r="AY15" s="38"/>
      <c r="AZ15" s="30"/>
      <c r="BA15" s="38"/>
      <c r="BB15" s="38"/>
      <c r="BC15" s="33"/>
      <c r="BD15" s="38"/>
      <c r="BE15" s="34"/>
      <c r="BF15" s="38"/>
      <c r="BG15" s="35" t="str">
        <f t="shared" si="2"/>
        <v>description: "ЛО РД Сраб", note: "Срабатывание ЛО РД", group: "measurement", minValue: null, maxValue: null, step: null, units: "null", defaultValue: null, eventRegistration: 0</v>
      </c>
      <c r="BH15" s="36"/>
    </row>
    <row r="16" spans="1:16379" s="84" customFormat="1" ht="15.75" x14ac:dyDescent="0.25">
      <c r="A16" s="26"/>
      <c r="B16" s="26" t="s">
        <v>50</v>
      </c>
      <c r="C16" s="27"/>
      <c r="D16" s="83"/>
      <c r="E16" s="28" t="s">
        <v>122</v>
      </c>
      <c r="F16" s="39" t="s">
        <v>130</v>
      </c>
      <c r="G16" s="39" t="s">
        <v>130</v>
      </c>
      <c r="H16" s="28"/>
      <c r="I16" s="28">
        <f t="shared" si="3"/>
        <v>10</v>
      </c>
      <c r="J16" s="28" t="str">
        <f t="shared" si="4"/>
        <v>ЛО ПК Сраб</v>
      </c>
      <c r="K16" s="26" t="s">
        <v>140</v>
      </c>
      <c r="L16" s="29" t="s">
        <v>54</v>
      </c>
      <c r="M16" s="27" t="s">
        <v>51</v>
      </c>
      <c r="N16" s="27" t="s">
        <v>52</v>
      </c>
      <c r="O16" s="27"/>
      <c r="P16" s="30"/>
      <c r="Q16" s="30"/>
      <c r="R16" s="27" t="s">
        <v>53</v>
      </c>
      <c r="S16" s="27" t="s">
        <v>53</v>
      </c>
      <c r="T16" s="27" t="s">
        <v>53</v>
      </c>
      <c r="U16" s="27" t="s">
        <v>53</v>
      </c>
      <c r="V16" s="27"/>
      <c r="W16" s="27"/>
      <c r="X16" s="27" t="s">
        <v>53</v>
      </c>
      <c r="Y16" s="27">
        <v>0</v>
      </c>
      <c r="Z16" s="31"/>
      <c r="AA16" s="38">
        <v>0</v>
      </c>
      <c r="AB16" s="38"/>
      <c r="AC16" s="38"/>
      <c r="AD16" s="38"/>
      <c r="AE16" s="38"/>
      <c r="AF16" s="38">
        <v>0</v>
      </c>
      <c r="AG16" s="38">
        <v>0</v>
      </c>
      <c r="AH16" s="38">
        <v>0</v>
      </c>
      <c r="AI16" s="47"/>
      <c r="AJ16" s="32"/>
      <c r="AK16" s="32"/>
      <c r="AL16" s="32"/>
      <c r="AM16" s="32"/>
      <c r="AN16" s="32"/>
      <c r="AO16" s="32"/>
      <c r="AP16" s="32"/>
      <c r="AQ16" s="32"/>
      <c r="AR16" s="38">
        <v>0</v>
      </c>
      <c r="AS16" s="38">
        <v>0</v>
      </c>
      <c r="AT16" s="38">
        <v>0</v>
      </c>
      <c r="AU16" s="38">
        <v>0</v>
      </c>
      <c r="AV16" s="38">
        <f t="shared" si="5"/>
        <v>0</v>
      </c>
      <c r="AW16" s="38">
        <v>0</v>
      </c>
      <c r="AX16" s="38">
        <v>0</v>
      </c>
      <c r="AY16" s="38"/>
      <c r="AZ16" s="30"/>
      <c r="BA16" s="38"/>
      <c r="BB16" s="38"/>
      <c r="BC16" s="33"/>
      <c r="BD16" s="38"/>
      <c r="BE16" s="34"/>
      <c r="BF16" s="38"/>
      <c r="BG16" s="35" t="str">
        <f t="shared" si="2"/>
        <v>description: "ЛО ПК Сраб", note: "Срабатывание ЛО ПК", group: "measurement", minValue: null, maxValue: null, step: null, units: "null", defaultValue: null, eventRegistration: 0</v>
      </c>
      <c r="BH16" s="36"/>
    </row>
    <row r="17" spans="1:60" s="84" customFormat="1" ht="15.75" x14ac:dyDescent="0.25">
      <c r="A17" s="26"/>
      <c r="B17" s="26" t="s">
        <v>50</v>
      </c>
      <c r="C17" s="27"/>
      <c r="D17" s="83"/>
      <c r="E17" s="28" t="s">
        <v>123</v>
      </c>
      <c r="F17" s="39" t="s">
        <v>131</v>
      </c>
      <c r="G17" s="39" t="s">
        <v>131</v>
      </c>
      <c r="H17" s="28"/>
      <c r="I17" s="28">
        <f t="shared" ref="I17:I18" si="6">LEN(F17)</f>
        <v>10</v>
      </c>
      <c r="J17" s="28" t="str">
        <f t="shared" ref="J17:J18" si="7">IF(LEN(F17)&lt;=$J$1,F17,"")</f>
        <v>ЛО ОК Сраб</v>
      </c>
      <c r="K17" s="26" t="s">
        <v>141</v>
      </c>
      <c r="L17" s="29" t="s">
        <v>54</v>
      </c>
      <c r="M17" s="27" t="s">
        <v>51</v>
      </c>
      <c r="N17" s="27" t="s">
        <v>52</v>
      </c>
      <c r="O17" s="27"/>
      <c r="P17" s="30"/>
      <c r="Q17" s="30"/>
      <c r="R17" s="27" t="s">
        <v>53</v>
      </c>
      <c r="S17" s="27" t="s">
        <v>53</v>
      </c>
      <c r="T17" s="27" t="s">
        <v>53</v>
      </c>
      <c r="U17" s="27" t="s">
        <v>53</v>
      </c>
      <c r="V17" s="27"/>
      <c r="W17" s="27"/>
      <c r="X17" s="27" t="s">
        <v>53</v>
      </c>
      <c r="Y17" s="27">
        <v>0</v>
      </c>
      <c r="Z17" s="31"/>
      <c r="AA17" s="38">
        <v>0</v>
      </c>
      <c r="AB17" s="38"/>
      <c r="AC17" s="38"/>
      <c r="AD17" s="38"/>
      <c r="AE17" s="38"/>
      <c r="AF17" s="38">
        <v>0</v>
      </c>
      <c r="AG17" s="38">
        <v>0</v>
      </c>
      <c r="AH17" s="38">
        <v>0</v>
      </c>
      <c r="AI17" s="47"/>
      <c r="AJ17" s="32"/>
      <c r="AK17" s="32"/>
      <c r="AL17" s="32"/>
      <c r="AM17" s="32"/>
      <c r="AN17" s="32"/>
      <c r="AO17" s="32"/>
      <c r="AP17" s="32"/>
      <c r="AQ17" s="32"/>
      <c r="AR17" s="38">
        <v>0</v>
      </c>
      <c r="AS17" s="38">
        <v>0</v>
      </c>
      <c r="AT17" s="38">
        <v>0</v>
      </c>
      <c r="AU17" s="38">
        <v>0</v>
      </c>
      <c r="AV17" s="38">
        <f t="shared" ref="AV17:AV18" si="8">BIN2DEC(CONCATENATE(0,0,0,0,AR17,AS17,AT17,AU17))</f>
        <v>0</v>
      </c>
      <c r="AW17" s="38">
        <v>0</v>
      </c>
      <c r="AX17" s="38">
        <v>0</v>
      </c>
      <c r="AY17" s="38"/>
      <c r="AZ17" s="30"/>
      <c r="BA17" s="38"/>
      <c r="BB17" s="38"/>
      <c r="BC17" s="33"/>
      <c r="BD17" s="38"/>
      <c r="BE17" s="34"/>
      <c r="BF17" s="38"/>
      <c r="BG17" s="35" t="str">
        <f t="shared" ref="BG17:BG18" si="9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"ЛО ОК Сраб", note: "Срабатывание ЛО ОК", group: "measurement", minValue: null, maxValue: null, step: null, units: "null", defaultValue: null, eventRegistration: 0</v>
      </c>
      <c r="BH17" s="36"/>
    </row>
    <row r="18" spans="1:60" s="92" customFormat="1" ht="15.75" x14ac:dyDescent="0.25">
      <c r="A18" s="26"/>
      <c r="B18" s="26" t="s">
        <v>50</v>
      </c>
      <c r="C18" s="27"/>
      <c r="D18" s="83"/>
      <c r="E18" s="28" t="s">
        <v>223</v>
      </c>
      <c r="F18" s="39" t="s">
        <v>224</v>
      </c>
      <c r="G18" s="39" t="s">
        <v>224</v>
      </c>
      <c r="H18" s="28"/>
      <c r="I18" s="28">
        <f t="shared" si="6"/>
        <v>16</v>
      </c>
      <c r="J18" s="28" t="str">
        <f t="shared" si="7"/>
        <v>ЛО ДУм расш Сраб</v>
      </c>
      <c r="K18" s="26" t="s">
        <v>142</v>
      </c>
      <c r="L18" s="29" t="s">
        <v>54</v>
      </c>
      <c r="M18" s="27" t="s">
        <v>51</v>
      </c>
      <c r="N18" s="27" t="s">
        <v>52</v>
      </c>
      <c r="O18" s="27"/>
      <c r="P18" s="30"/>
      <c r="Q18" s="30"/>
      <c r="R18" s="27" t="s">
        <v>53</v>
      </c>
      <c r="S18" s="27" t="s">
        <v>53</v>
      </c>
      <c r="T18" s="27" t="s">
        <v>53</v>
      </c>
      <c r="U18" s="27" t="s">
        <v>53</v>
      </c>
      <c r="V18" s="27"/>
      <c r="W18" s="27"/>
      <c r="X18" s="27" t="s">
        <v>53</v>
      </c>
      <c r="Y18" s="27">
        <v>0</v>
      </c>
      <c r="Z18" s="31"/>
      <c r="AA18" s="38">
        <v>0</v>
      </c>
      <c r="AB18" s="38"/>
      <c r="AC18" s="38"/>
      <c r="AD18" s="38"/>
      <c r="AE18" s="38"/>
      <c r="AF18" s="38">
        <v>0</v>
      </c>
      <c r="AG18" s="38">
        <v>0</v>
      </c>
      <c r="AH18" s="38">
        <v>0</v>
      </c>
      <c r="AI18" s="47"/>
      <c r="AJ18" s="91"/>
      <c r="AK18" s="91"/>
      <c r="AL18" s="91"/>
      <c r="AM18" s="91"/>
      <c r="AN18" s="91"/>
      <c r="AO18" s="91"/>
      <c r="AP18" s="91"/>
      <c r="AQ18" s="91"/>
      <c r="AR18" s="38">
        <v>0</v>
      </c>
      <c r="AS18" s="38">
        <v>0</v>
      </c>
      <c r="AT18" s="38">
        <v>0</v>
      </c>
      <c r="AU18" s="38">
        <v>0</v>
      </c>
      <c r="AV18" s="38">
        <f t="shared" si="8"/>
        <v>0</v>
      </c>
      <c r="AW18" s="38">
        <v>0</v>
      </c>
      <c r="AX18" s="38">
        <v>0</v>
      </c>
      <c r="AY18" s="38"/>
      <c r="AZ18" s="30"/>
      <c r="BA18" s="38"/>
      <c r="BB18" s="38"/>
      <c r="BC18" s="38"/>
      <c r="BD18" s="38"/>
      <c r="BE18" s="38"/>
      <c r="BF18" s="38"/>
      <c r="BG18" s="35" t="str">
        <f t="shared" si="9"/>
        <v>description: "ЛО ДУм расш Сраб", note: "Срабатывание ЛО ДУм расширителя", group: "measurement", minValue: null, maxValue: null, step: null, units: "null", defaultValue: null, eventRegistration: 0</v>
      </c>
      <c r="BH18" s="36"/>
    </row>
    <row r="19" spans="1:60" s="84" customFormat="1" ht="15.75" x14ac:dyDescent="0.25">
      <c r="A19" s="26"/>
      <c r="B19" s="26" t="s">
        <v>50</v>
      </c>
      <c r="C19" s="27"/>
      <c r="D19" s="83"/>
      <c r="E19" s="28" t="s">
        <v>227</v>
      </c>
      <c r="F19" s="39" t="s">
        <v>228</v>
      </c>
      <c r="G19" s="39" t="s">
        <v>228</v>
      </c>
      <c r="H19" s="28"/>
      <c r="I19" s="28">
        <f t="shared" ref="I19:I23" si="10">LEN(F19)</f>
        <v>15</v>
      </c>
      <c r="J19" s="28" t="str">
        <f t="shared" ref="J19:J26" si="11">IF(LEN(F19)&lt;=$J$1,F19,"")</f>
        <v>ЗП Сраб на откл</v>
      </c>
      <c r="K19" s="26" t="s">
        <v>226</v>
      </c>
      <c r="L19" s="29" t="s">
        <v>54</v>
      </c>
      <c r="M19" s="27" t="s">
        <v>51</v>
      </c>
      <c r="N19" s="27" t="s">
        <v>52</v>
      </c>
      <c r="O19" s="27"/>
      <c r="P19" s="30"/>
      <c r="Q19" s="30"/>
      <c r="R19" s="27" t="s">
        <v>53</v>
      </c>
      <c r="S19" s="27" t="s">
        <v>53</v>
      </c>
      <c r="T19" s="27" t="s">
        <v>53</v>
      </c>
      <c r="U19" s="27" t="s">
        <v>53</v>
      </c>
      <c r="V19" s="27"/>
      <c r="W19" s="27"/>
      <c r="X19" s="27" t="s">
        <v>53</v>
      </c>
      <c r="Y19" s="27">
        <v>0</v>
      </c>
      <c r="Z19" s="31"/>
      <c r="AA19" s="38">
        <v>0</v>
      </c>
      <c r="AB19" s="38"/>
      <c r="AC19" s="38"/>
      <c r="AD19" s="38"/>
      <c r="AE19" s="38"/>
      <c r="AF19" s="38">
        <v>0</v>
      </c>
      <c r="AG19" s="38">
        <v>0</v>
      </c>
      <c r="AH19" s="38">
        <v>0</v>
      </c>
      <c r="AI19" s="47"/>
      <c r="AJ19" s="32"/>
      <c r="AK19" s="32"/>
      <c r="AL19" s="32"/>
      <c r="AM19" s="32"/>
      <c r="AN19" s="32"/>
      <c r="AO19" s="32"/>
      <c r="AP19" s="32"/>
      <c r="AQ19" s="32"/>
      <c r="AR19" s="38">
        <v>0</v>
      </c>
      <c r="AS19" s="38">
        <v>0</v>
      </c>
      <c r="AT19" s="38">
        <v>0</v>
      </c>
      <c r="AU19" s="38">
        <v>0</v>
      </c>
      <c r="AV19" s="38">
        <f t="shared" ref="AV19:AV23" si="12">BIN2DEC(CONCATENATE(0,0,0,0,AR19,AS19,AT19,AU19))</f>
        <v>0</v>
      </c>
      <c r="AW19" s="38">
        <v>0</v>
      </c>
      <c r="AX19" s="38">
        <v>0</v>
      </c>
      <c r="AY19" s="38"/>
      <c r="AZ19" s="30"/>
      <c r="BA19" s="38"/>
      <c r="BB19" s="38"/>
      <c r="BC19" s="33"/>
      <c r="BD19" s="38"/>
      <c r="BE19" s="34"/>
      <c r="BF19" s="38"/>
      <c r="BG19" s="35" t="str">
        <f t="shared" ref="BG19:BG23" si="13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"ЗП Сраб на откл", note: "Срабатывание ЗП на отключение", group: "measurement", minValue: null, maxValue: null, step: null, units: "null", defaultValue: null, eventRegistration: 0</v>
      </c>
      <c r="BH19" s="36"/>
    </row>
    <row r="20" spans="1:60" s="84" customFormat="1" ht="15.75" x14ac:dyDescent="0.25">
      <c r="A20" s="26"/>
      <c r="B20" s="26" t="s">
        <v>50</v>
      </c>
      <c r="C20" s="27"/>
      <c r="D20" s="83"/>
      <c r="E20" s="28" t="s">
        <v>189</v>
      </c>
      <c r="F20" s="39" t="s">
        <v>190</v>
      </c>
      <c r="G20" s="39" t="s">
        <v>190</v>
      </c>
      <c r="H20" s="28"/>
      <c r="I20" s="28">
        <f t="shared" ref="I20" si="14">LEN(F20)</f>
        <v>8</v>
      </c>
      <c r="J20" s="28" t="str">
        <f t="shared" ref="J20" si="15">IF(LEN(F20)&lt;=$J$1,F20,"")</f>
        <v>ЛЗТ Сраб</v>
      </c>
      <c r="K20" s="26" t="s">
        <v>191</v>
      </c>
      <c r="L20" s="29" t="s">
        <v>54</v>
      </c>
      <c r="M20" s="27" t="s">
        <v>51</v>
      </c>
      <c r="N20" s="27" t="s">
        <v>52</v>
      </c>
      <c r="O20" s="27"/>
      <c r="P20" s="30"/>
      <c r="Q20" s="30"/>
      <c r="R20" s="27" t="s">
        <v>53</v>
      </c>
      <c r="S20" s="27" t="s">
        <v>53</v>
      </c>
      <c r="T20" s="27" t="s">
        <v>53</v>
      </c>
      <c r="U20" s="27" t="s">
        <v>53</v>
      </c>
      <c r="V20" s="27"/>
      <c r="W20" s="27"/>
      <c r="X20" s="27" t="s">
        <v>53</v>
      </c>
      <c r="Y20" s="27">
        <v>0</v>
      </c>
      <c r="Z20" s="31"/>
      <c r="AA20" s="38">
        <v>0</v>
      </c>
      <c r="AB20" s="38"/>
      <c r="AC20" s="38"/>
      <c r="AD20" s="38"/>
      <c r="AE20" s="38"/>
      <c r="AF20" s="38">
        <v>0</v>
      </c>
      <c r="AG20" s="38">
        <v>0</v>
      </c>
      <c r="AH20" s="38">
        <v>0</v>
      </c>
      <c r="AI20" s="47"/>
      <c r="AJ20" s="32"/>
      <c r="AK20" s="32"/>
      <c r="AL20" s="32"/>
      <c r="AM20" s="32"/>
      <c r="AN20" s="32"/>
      <c r="AO20" s="32"/>
      <c r="AP20" s="32"/>
      <c r="AQ20" s="32"/>
      <c r="AR20" s="38">
        <v>0</v>
      </c>
      <c r="AS20" s="38">
        <v>0</v>
      </c>
      <c r="AT20" s="38">
        <v>0</v>
      </c>
      <c r="AU20" s="38">
        <v>0</v>
      </c>
      <c r="AV20" s="38">
        <f t="shared" ref="AV20" si="16">BIN2DEC(CONCATENATE(0,0,0,0,AR20,AS20,AT20,AU20))</f>
        <v>0</v>
      </c>
      <c r="AW20" s="38">
        <v>0</v>
      </c>
      <c r="AX20" s="38">
        <v>0</v>
      </c>
      <c r="AY20" s="38"/>
      <c r="AZ20" s="30"/>
      <c r="BA20" s="38"/>
      <c r="BB20" s="38"/>
      <c r="BC20" s="33"/>
      <c r="BD20" s="38"/>
      <c r="BE20" s="34"/>
      <c r="BF20" s="38"/>
      <c r="BG20" s="35" t="str">
        <f t="shared" ref="BG20" si="17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"ЛЗТ Сраб", note: "Срабатывание ЛЗТ", group: "measurement", minValue: null, maxValue: null, step: null, units: "null", defaultValue: null, eventRegistration: 0</v>
      </c>
      <c r="BH20" s="36"/>
    </row>
    <row r="21" spans="1:60" s="84" customFormat="1" ht="15.75" x14ac:dyDescent="0.25">
      <c r="A21" s="26"/>
      <c r="B21" s="26" t="s">
        <v>50</v>
      </c>
      <c r="C21" s="27"/>
      <c r="D21" s="83"/>
      <c r="E21" s="28" t="s">
        <v>229</v>
      </c>
      <c r="F21" s="39" t="s">
        <v>230</v>
      </c>
      <c r="G21" s="39" t="s">
        <v>230</v>
      </c>
      <c r="H21" s="28"/>
      <c r="I21" s="28">
        <f t="shared" ref="I21" si="18">LEN(F21)</f>
        <v>8</v>
      </c>
      <c r="J21" s="28" t="str">
        <f t="shared" ref="J21" si="19">IF(LEN(F21)&lt;=$J$1,F21,"")</f>
        <v>ЗОП Сраб</v>
      </c>
      <c r="K21" s="26" t="s">
        <v>231</v>
      </c>
      <c r="L21" s="29" t="s">
        <v>54</v>
      </c>
      <c r="M21" s="27" t="s">
        <v>51</v>
      </c>
      <c r="N21" s="27" t="s">
        <v>52</v>
      </c>
      <c r="O21" s="27"/>
      <c r="P21" s="30"/>
      <c r="Q21" s="30"/>
      <c r="R21" s="27" t="s">
        <v>53</v>
      </c>
      <c r="S21" s="27" t="s">
        <v>53</v>
      </c>
      <c r="T21" s="27" t="s">
        <v>53</v>
      </c>
      <c r="U21" s="27" t="s">
        <v>53</v>
      </c>
      <c r="V21" s="27"/>
      <c r="W21" s="27"/>
      <c r="X21" s="27" t="s">
        <v>53</v>
      </c>
      <c r="Y21" s="27">
        <v>0</v>
      </c>
      <c r="Z21" s="31"/>
      <c r="AA21" s="38">
        <v>0</v>
      </c>
      <c r="AB21" s="38"/>
      <c r="AC21" s="38"/>
      <c r="AD21" s="38"/>
      <c r="AE21" s="38"/>
      <c r="AF21" s="38">
        <v>0</v>
      </c>
      <c r="AG21" s="38">
        <v>0</v>
      </c>
      <c r="AH21" s="38">
        <v>0</v>
      </c>
      <c r="AI21" s="47"/>
      <c r="AJ21" s="32"/>
      <c r="AK21" s="32"/>
      <c r="AL21" s="32"/>
      <c r="AM21" s="32"/>
      <c r="AN21" s="32"/>
      <c r="AO21" s="32"/>
      <c r="AP21" s="32"/>
      <c r="AQ21" s="32"/>
      <c r="AR21" s="38">
        <v>0</v>
      </c>
      <c r="AS21" s="38">
        <v>0</v>
      </c>
      <c r="AT21" s="38">
        <v>0</v>
      </c>
      <c r="AU21" s="38">
        <v>0</v>
      </c>
      <c r="AV21" s="38">
        <f t="shared" ref="AV21" si="20">BIN2DEC(CONCATENATE(0,0,0,0,AR21,AS21,AT21,AU21))</f>
        <v>0</v>
      </c>
      <c r="AW21" s="38">
        <v>0</v>
      </c>
      <c r="AX21" s="38">
        <v>0</v>
      </c>
      <c r="AY21" s="38"/>
      <c r="AZ21" s="30"/>
      <c r="BA21" s="38"/>
      <c r="BB21" s="38"/>
      <c r="BC21" s="33"/>
      <c r="BD21" s="38"/>
      <c r="BE21" s="34"/>
      <c r="BF21" s="38"/>
      <c r="BG21" s="35" t="str">
        <f t="shared" ref="BG21" si="21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"ЗОП Сраб", note: "Срабатывание ЗОП", group: "measurement", minValue: null, maxValue: null, step: null, units: "null", defaultValue: null, eventRegistration: 0</v>
      </c>
      <c r="BH21" s="36"/>
    </row>
    <row r="22" spans="1:60" s="84" customFormat="1" ht="15.75" x14ac:dyDescent="0.25">
      <c r="A22" s="26"/>
      <c r="B22" s="26" t="s">
        <v>50</v>
      </c>
      <c r="C22" s="27"/>
      <c r="D22" s="83"/>
      <c r="E22" s="28" t="s">
        <v>183</v>
      </c>
      <c r="F22" s="39" t="s">
        <v>184</v>
      </c>
      <c r="G22" s="39" t="s">
        <v>184</v>
      </c>
      <c r="H22" s="28"/>
      <c r="I22" s="28">
        <f t="shared" si="10"/>
        <v>14</v>
      </c>
      <c r="J22" s="28" t="str">
        <f t="shared" si="11"/>
        <v>МТЗ 2 ст. Сраб</v>
      </c>
      <c r="K22" s="26" t="s">
        <v>185</v>
      </c>
      <c r="L22" s="29" t="s">
        <v>54</v>
      </c>
      <c r="M22" s="27" t="s">
        <v>51</v>
      </c>
      <c r="N22" s="27" t="s">
        <v>52</v>
      </c>
      <c r="O22" s="27"/>
      <c r="P22" s="30"/>
      <c r="Q22" s="30"/>
      <c r="R22" s="27" t="s">
        <v>53</v>
      </c>
      <c r="S22" s="27" t="s">
        <v>53</v>
      </c>
      <c r="T22" s="27" t="s">
        <v>53</v>
      </c>
      <c r="U22" s="27" t="s">
        <v>53</v>
      </c>
      <c r="V22" s="27"/>
      <c r="W22" s="27"/>
      <c r="X22" s="27" t="s">
        <v>53</v>
      </c>
      <c r="Y22" s="27">
        <v>0</v>
      </c>
      <c r="Z22" s="31"/>
      <c r="AA22" s="38">
        <v>0</v>
      </c>
      <c r="AB22" s="38"/>
      <c r="AC22" s="38"/>
      <c r="AD22" s="38"/>
      <c r="AE22" s="38"/>
      <c r="AF22" s="38">
        <v>0</v>
      </c>
      <c r="AG22" s="38">
        <v>0</v>
      </c>
      <c r="AH22" s="38">
        <v>0</v>
      </c>
      <c r="AI22" s="47"/>
      <c r="AJ22" s="32"/>
      <c r="AK22" s="32"/>
      <c r="AL22" s="32"/>
      <c r="AM22" s="32"/>
      <c r="AN22" s="32"/>
      <c r="AO22" s="32"/>
      <c r="AP22" s="32"/>
      <c r="AQ22" s="32"/>
      <c r="AR22" s="38">
        <v>0</v>
      </c>
      <c r="AS22" s="38">
        <v>0</v>
      </c>
      <c r="AT22" s="38">
        <v>0</v>
      </c>
      <c r="AU22" s="38">
        <v>0</v>
      </c>
      <c r="AV22" s="38">
        <f t="shared" si="12"/>
        <v>0</v>
      </c>
      <c r="AW22" s="38">
        <v>0</v>
      </c>
      <c r="AX22" s="38">
        <v>0</v>
      </c>
      <c r="AY22" s="38"/>
      <c r="AZ22" s="30"/>
      <c r="BA22" s="38"/>
      <c r="BB22" s="38"/>
      <c r="BC22" s="33"/>
      <c r="BD22" s="38"/>
      <c r="BE22" s="34"/>
      <c r="BF22" s="38"/>
      <c r="BG22" s="35" t="str">
        <f t="shared" si="13"/>
        <v>description: "МТЗ 2 ст. Сраб", note: "Срабатывание 2 ступени МТЗ", group: "measurement", minValue: null, maxValue: null, step: null, units: "null", defaultValue: null, eventRegistration: 0</v>
      </c>
      <c r="BH22" s="36"/>
    </row>
    <row r="23" spans="1:60" s="84" customFormat="1" ht="15.75" x14ac:dyDescent="0.25">
      <c r="A23" s="26"/>
      <c r="B23" s="26" t="s">
        <v>50</v>
      </c>
      <c r="C23" s="27"/>
      <c r="D23" s="83"/>
      <c r="E23" s="28" t="s">
        <v>186</v>
      </c>
      <c r="F23" s="39" t="s">
        <v>187</v>
      </c>
      <c r="G23" s="39" t="s">
        <v>187</v>
      </c>
      <c r="H23" s="28"/>
      <c r="I23" s="28">
        <f t="shared" si="10"/>
        <v>14</v>
      </c>
      <c r="J23" s="28" t="str">
        <f t="shared" si="11"/>
        <v>МТЗ 3 ст. Сраб</v>
      </c>
      <c r="K23" s="26" t="s">
        <v>188</v>
      </c>
      <c r="L23" s="29" t="s">
        <v>54</v>
      </c>
      <c r="M23" s="27" t="s">
        <v>51</v>
      </c>
      <c r="N23" s="27" t="s">
        <v>52</v>
      </c>
      <c r="O23" s="27"/>
      <c r="P23" s="30"/>
      <c r="Q23" s="30"/>
      <c r="R23" s="27" t="s">
        <v>53</v>
      </c>
      <c r="S23" s="27" t="s">
        <v>53</v>
      </c>
      <c r="T23" s="27" t="s">
        <v>53</v>
      </c>
      <c r="U23" s="27" t="s">
        <v>53</v>
      </c>
      <c r="V23" s="27"/>
      <c r="W23" s="27"/>
      <c r="X23" s="27" t="s">
        <v>53</v>
      </c>
      <c r="Y23" s="27">
        <v>0</v>
      </c>
      <c r="Z23" s="31"/>
      <c r="AA23" s="38">
        <v>0</v>
      </c>
      <c r="AB23" s="38"/>
      <c r="AC23" s="38"/>
      <c r="AD23" s="38"/>
      <c r="AE23" s="38"/>
      <c r="AF23" s="38">
        <v>0</v>
      </c>
      <c r="AG23" s="38">
        <v>0</v>
      </c>
      <c r="AH23" s="38">
        <v>0</v>
      </c>
      <c r="AI23" s="47"/>
      <c r="AJ23" s="32"/>
      <c r="AK23" s="32"/>
      <c r="AL23" s="32"/>
      <c r="AM23" s="32"/>
      <c r="AN23" s="32"/>
      <c r="AO23" s="32"/>
      <c r="AP23" s="32"/>
      <c r="AQ23" s="32"/>
      <c r="AR23" s="38">
        <v>0</v>
      </c>
      <c r="AS23" s="38">
        <v>0</v>
      </c>
      <c r="AT23" s="38">
        <v>0</v>
      </c>
      <c r="AU23" s="38">
        <v>0</v>
      </c>
      <c r="AV23" s="38">
        <f t="shared" si="12"/>
        <v>0</v>
      </c>
      <c r="AW23" s="38">
        <v>0</v>
      </c>
      <c r="AX23" s="38">
        <v>0</v>
      </c>
      <c r="AY23" s="38"/>
      <c r="AZ23" s="30"/>
      <c r="BA23" s="38"/>
      <c r="BB23" s="38"/>
      <c r="BC23" s="33"/>
      <c r="BD23" s="38"/>
      <c r="BE23" s="34"/>
      <c r="BF23" s="38"/>
      <c r="BG23" s="35" t="str">
        <f t="shared" si="13"/>
        <v>description: "МТЗ 3 ст. Сраб", note: "Срабатывание 3 ступени МТЗ", group: "measurement", minValue: null, maxValue: null, step: null, units: "null", defaultValue: null, eventRegistration: 0</v>
      </c>
      <c r="BH23" s="36"/>
    </row>
    <row r="24" spans="1:60" s="67" customFormat="1" ht="15.75" x14ac:dyDescent="0.25">
      <c r="A24" s="52"/>
      <c r="B24" s="53" t="s">
        <v>50</v>
      </c>
      <c r="C24" s="54"/>
      <c r="D24" s="55"/>
      <c r="E24" s="56" t="s">
        <v>55</v>
      </c>
      <c r="F24" s="56" t="s">
        <v>56</v>
      </c>
      <c r="G24" s="56" t="s">
        <v>56</v>
      </c>
      <c r="H24" s="55"/>
      <c r="I24" s="57">
        <f t="shared" ref="I24:I26" si="22">LEN(F24)</f>
        <v>10</v>
      </c>
      <c r="J24" s="57" t="str">
        <f t="shared" si="11"/>
        <v>Насл.режим</v>
      </c>
      <c r="K24" s="58" t="s">
        <v>58</v>
      </c>
      <c r="L24" s="59" t="s">
        <v>57</v>
      </c>
      <c r="M24" s="60" t="s">
        <v>51</v>
      </c>
      <c r="N24" s="60" t="s">
        <v>52</v>
      </c>
      <c r="O24" s="60"/>
      <c r="P24" s="54"/>
      <c r="Q24" s="54"/>
      <c r="R24" s="60" t="s">
        <v>53</v>
      </c>
      <c r="S24" s="60" t="s">
        <v>53</v>
      </c>
      <c r="T24" s="60" t="s">
        <v>53</v>
      </c>
      <c r="U24" s="60" t="s">
        <v>53</v>
      </c>
      <c r="V24" s="54"/>
      <c r="W24" s="54"/>
      <c r="X24" s="60" t="s">
        <v>53</v>
      </c>
      <c r="Y24" s="61">
        <v>0</v>
      </c>
      <c r="Z24" s="54"/>
      <c r="AA24" s="62">
        <v>0</v>
      </c>
      <c r="AB24" s="62"/>
      <c r="AC24" s="62"/>
      <c r="AD24" s="62"/>
      <c r="AE24" s="62"/>
      <c r="AF24" s="62">
        <v>0</v>
      </c>
      <c r="AG24" s="62">
        <v>0</v>
      </c>
      <c r="AH24" s="62">
        <v>0</v>
      </c>
      <c r="AI24" s="63" t="s">
        <v>96</v>
      </c>
      <c r="AJ24" s="64" t="s">
        <v>112</v>
      </c>
      <c r="AK24" s="64" t="s">
        <v>59</v>
      </c>
      <c r="AL24" s="64" t="s">
        <v>60</v>
      </c>
      <c r="AM24" s="64" t="s">
        <v>61</v>
      </c>
      <c r="AN24" s="64"/>
      <c r="AO24" s="64" t="s">
        <v>62</v>
      </c>
      <c r="AP24" s="64" t="str">
        <f>CONCATENATE(AJ24, ".", AL24)</f>
        <v>LLN0.GrRef.setSrcRef</v>
      </c>
      <c r="AQ24" s="64" t="s">
        <v>63</v>
      </c>
      <c r="AR24" s="62">
        <v>0</v>
      </c>
      <c r="AS24" s="62">
        <v>0</v>
      </c>
      <c r="AT24" s="62">
        <v>0</v>
      </c>
      <c r="AU24" s="62">
        <v>0</v>
      </c>
      <c r="AV24" s="62">
        <f t="shared" ref="AV24:AV26" si="23">BIN2DEC(CONCATENATE(0,0,0,0,AR24,AS24,AT24,AU24))</f>
        <v>0</v>
      </c>
      <c r="AW24" s="62">
        <v>0</v>
      </c>
      <c r="AX24" s="62">
        <v>0</v>
      </c>
      <c r="AY24" s="65"/>
      <c r="AZ24" s="54"/>
      <c r="BA24" s="54"/>
      <c r="BB24" s="54"/>
      <c r="BC24" s="54"/>
      <c r="BD24" s="54"/>
      <c r="BE24" s="54"/>
      <c r="BF24" s="54"/>
      <c r="BG24" s="66" t="str">
        <f t="shared" ref="BG24:BG26" si="24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"Насл.режим", note: "Наследуемый режим работы", group: "measurement", minValue: null, maxValue: null, step: null, units: "null", defaultValue: null, eventRegistration: 0</v>
      </c>
    </row>
    <row r="25" spans="1:60" s="67" customFormat="1" ht="15.75" x14ac:dyDescent="0.25">
      <c r="A25" s="52"/>
      <c r="B25" s="53" t="s">
        <v>50</v>
      </c>
      <c r="C25" s="54"/>
      <c r="D25" s="55"/>
      <c r="E25" s="56" t="s">
        <v>68</v>
      </c>
      <c r="F25" s="56" t="s">
        <v>69</v>
      </c>
      <c r="G25" s="56" t="s">
        <v>69</v>
      </c>
      <c r="H25" s="55"/>
      <c r="I25" s="57">
        <f t="shared" si="22"/>
        <v>8</v>
      </c>
      <c r="J25" s="57" t="str">
        <f t="shared" si="11"/>
        <v>Ош.крит.</v>
      </c>
      <c r="K25" s="58" t="s">
        <v>70</v>
      </c>
      <c r="L25" s="68" t="s">
        <v>54</v>
      </c>
      <c r="M25" s="60" t="s">
        <v>51</v>
      </c>
      <c r="N25" s="60" t="s">
        <v>52</v>
      </c>
      <c r="O25" s="60"/>
      <c r="P25" s="54"/>
      <c r="Q25" s="54"/>
      <c r="R25" s="60" t="s">
        <v>53</v>
      </c>
      <c r="S25" s="60" t="s">
        <v>53</v>
      </c>
      <c r="T25" s="60" t="s">
        <v>53</v>
      </c>
      <c r="U25" s="60" t="s">
        <v>53</v>
      </c>
      <c r="V25" s="54"/>
      <c r="W25" s="54"/>
      <c r="X25" s="60" t="s">
        <v>53</v>
      </c>
      <c r="Y25" s="61">
        <v>0</v>
      </c>
      <c r="Z25" s="54"/>
      <c r="AA25" s="62">
        <v>0</v>
      </c>
      <c r="AB25" s="62"/>
      <c r="AC25" s="62"/>
      <c r="AD25" s="62"/>
      <c r="AE25" s="62"/>
      <c r="AF25" s="62">
        <v>0</v>
      </c>
      <c r="AG25" s="62">
        <v>0</v>
      </c>
      <c r="AH25" s="62">
        <v>0</v>
      </c>
      <c r="AI25" s="63"/>
      <c r="AJ25" s="64"/>
      <c r="AK25" s="64"/>
      <c r="AL25" s="64"/>
      <c r="AM25" s="64"/>
      <c r="AN25" s="64"/>
      <c r="AO25" s="64"/>
      <c r="AP25" s="64"/>
      <c r="AQ25" s="64"/>
      <c r="AR25" s="62">
        <v>0</v>
      </c>
      <c r="AS25" s="62">
        <v>0</v>
      </c>
      <c r="AT25" s="62">
        <v>0</v>
      </c>
      <c r="AU25" s="62">
        <v>0</v>
      </c>
      <c r="AV25" s="62">
        <f t="shared" si="23"/>
        <v>0</v>
      </c>
      <c r="AW25" s="62">
        <v>0</v>
      </c>
      <c r="AX25" s="62">
        <v>0</v>
      </c>
      <c r="AY25" s="65"/>
      <c r="AZ25" s="54"/>
      <c r="BA25" s="54"/>
      <c r="BB25" s="54"/>
      <c r="BC25" s="54"/>
      <c r="BD25" s="54"/>
      <c r="BE25" s="54"/>
      <c r="BF25" s="54"/>
      <c r="BG25" s="66" t="str">
        <f t="shared" si="2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6" spans="1:60" s="67" customFormat="1" ht="15.75" x14ac:dyDescent="0.25">
      <c r="A26" s="52"/>
      <c r="B26" s="53" t="s">
        <v>50</v>
      </c>
      <c r="C26" s="54"/>
      <c r="D26" s="55"/>
      <c r="E26" s="56" t="s">
        <v>71</v>
      </c>
      <c r="F26" s="56" t="s">
        <v>72</v>
      </c>
      <c r="G26" s="56" t="s">
        <v>72</v>
      </c>
      <c r="H26" s="55"/>
      <c r="I26" s="57">
        <f t="shared" si="22"/>
        <v>6</v>
      </c>
      <c r="J26" s="57" t="str">
        <f t="shared" si="11"/>
        <v>Ошибка</v>
      </c>
      <c r="K26" s="58" t="s">
        <v>73</v>
      </c>
      <c r="L26" s="68" t="s">
        <v>54</v>
      </c>
      <c r="M26" s="60" t="s">
        <v>51</v>
      </c>
      <c r="N26" s="60" t="s">
        <v>52</v>
      </c>
      <c r="O26" s="60"/>
      <c r="P26" s="54"/>
      <c r="Q26" s="54"/>
      <c r="R26" s="60" t="s">
        <v>53</v>
      </c>
      <c r="S26" s="60" t="s">
        <v>53</v>
      </c>
      <c r="T26" s="60" t="s">
        <v>53</v>
      </c>
      <c r="U26" s="60" t="s">
        <v>53</v>
      </c>
      <c r="V26" s="54"/>
      <c r="W26" s="54"/>
      <c r="X26" s="60" t="s">
        <v>53</v>
      </c>
      <c r="Y26" s="61">
        <v>0</v>
      </c>
      <c r="Z26" s="54"/>
      <c r="AA26" s="62">
        <v>0</v>
      </c>
      <c r="AB26" s="62"/>
      <c r="AC26" s="62"/>
      <c r="AD26" s="62"/>
      <c r="AE26" s="62"/>
      <c r="AF26" s="62">
        <v>0</v>
      </c>
      <c r="AG26" s="62">
        <v>0</v>
      </c>
      <c r="AH26" s="62">
        <v>0</v>
      </c>
      <c r="AI26" s="63"/>
      <c r="AJ26" s="64"/>
      <c r="AK26" s="64"/>
      <c r="AL26" s="64"/>
      <c r="AM26" s="64"/>
      <c r="AN26" s="64"/>
      <c r="AO26" s="64"/>
      <c r="AP26" s="64"/>
      <c r="AQ26" s="64"/>
      <c r="AR26" s="62">
        <v>0</v>
      </c>
      <c r="AS26" s="62">
        <v>0</v>
      </c>
      <c r="AT26" s="62">
        <v>0</v>
      </c>
      <c r="AU26" s="62">
        <v>0</v>
      </c>
      <c r="AV26" s="62">
        <f t="shared" si="23"/>
        <v>0</v>
      </c>
      <c r="AW26" s="62">
        <v>0</v>
      </c>
      <c r="AX26" s="62">
        <v>0</v>
      </c>
      <c r="AY26" s="65"/>
      <c r="AZ26" s="54"/>
      <c r="BA26" s="54"/>
      <c r="BB26" s="54"/>
      <c r="BC26" s="54"/>
      <c r="BD26" s="54"/>
      <c r="BE26" s="54"/>
      <c r="BF26" s="54"/>
      <c r="BG26" s="66" t="str">
        <f t="shared" si="24"/>
        <v>description: "Ошибка", note: "Наличие некритической ошибки", group: "measurement", minValue: null, maxValue: null, step: null, units: "null", defaultValue: null, eventRegistration: 0</v>
      </c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tabSelected="1" zoomScale="80" zoomScaleNormal="80" workbookViewId="0">
      <selection activeCell="E26" sqref="E2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0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15" t="s">
        <v>0</v>
      </c>
      <c r="BA1" s="116"/>
      <c r="BB1" s="116"/>
      <c r="BC1" s="116"/>
      <c r="BD1" s="116"/>
      <c r="BE1" s="116"/>
      <c r="BF1" s="116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93" t="s">
        <v>233</v>
      </c>
      <c r="AW2" s="93" t="s">
        <v>234</v>
      </c>
      <c r="AX2" s="93" t="s">
        <v>235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8" customFormat="1" ht="15.75" x14ac:dyDescent="0.25">
      <c r="A3" s="40"/>
      <c r="B3" s="94" t="s">
        <v>236</v>
      </c>
      <c r="C3" s="41"/>
      <c r="D3" s="86" t="s">
        <v>170</v>
      </c>
      <c r="E3" s="39" t="s">
        <v>75</v>
      </c>
      <c r="F3" s="20" t="s">
        <v>76</v>
      </c>
      <c r="G3" s="20" t="s">
        <v>76</v>
      </c>
      <c r="H3" s="9"/>
      <c r="I3" s="39">
        <f t="shared" ref="I3:I4" si="0">LEN(F3)</f>
        <v>4</v>
      </c>
      <c r="J3" s="39" t="str">
        <f>IF(LEN(F3)&lt;=$J$1,F3,"")</f>
        <v>Ввод</v>
      </c>
      <c r="K3" s="42" t="s">
        <v>145</v>
      </c>
      <c r="L3" s="43" t="s">
        <v>54</v>
      </c>
      <c r="M3" s="44" t="s">
        <v>51</v>
      </c>
      <c r="N3" s="44" t="s">
        <v>52</v>
      </c>
      <c r="O3" s="44"/>
      <c r="P3" s="30"/>
      <c r="Q3" s="30"/>
      <c r="R3" s="44" t="s">
        <v>53</v>
      </c>
      <c r="S3" s="44" t="s">
        <v>53</v>
      </c>
      <c r="T3" s="44" t="s">
        <v>53</v>
      </c>
      <c r="U3" s="44" t="s">
        <v>53</v>
      </c>
      <c r="V3" s="41"/>
      <c r="W3" s="41"/>
      <c r="X3" s="44" t="s">
        <v>53</v>
      </c>
      <c r="Y3" s="44">
        <v>2</v>
      </c>
      <c r="Z3" s="41"/>
      <c r="AA3" s="38">
        <v>0</v>
      </c>
      <c r="AB3" s="38"/>
      <c r="AC3" s="38"/>
      <c r="AD3" s="38"/>
      <c r="AE3" s="38"/>
      <c r="AF3" s="38">
        <v>0</v>
      </c>
      <c r="AG3" s="38">
        <v>0</v>
      </c>
      <c r="AH3" s="38">
        <v>0</v>
      </c>
      <c r="AI3" s="47"/>
      <c r="AJ3" s="37"/>
      <c r="AK3" s="37"/>
      <c r="AL3" s="37"/>
      <c r="AM3" s="37"/>
      <c r="AN3" s="37"/>
      <c r="AO3" s="37"/>
      <c r="AP3" s="37"/>
      <c r="AQ3" s="37"/>
      <c r="AR3" s="41">
        <v>0</v>
      </c>
      <c r="AS3" s="41">
        <v>1</v>
      </c>
      <c r="AT3" s="41">
        <v>0</v>
      </c>
      <c r="AU3" s="41">
        <v>1</v>
      </c>
      <c r="AV3" s="41">
        <v>1</v>
      </c>
      <c r="AW3" s="41">
        <v>1</v>
      </c>
      <c r="AX3" s="41">
        <v>1</v>
      </c>
      <c r="AY3" s="46"/>
      <c r="AZ3" s="41"/>
      <c r="BA3" s="41"/>
      <c r="BB3" s="41"/>
      <c r="BC3" s="41"/>
      <c r="BD3" s="41"/>
      <c r="BE3" s="41"/>
      <c r="BF3" s="41"/>
      <c r="BG3" s="45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" customFormat="1" ht="15.75" x14ac:dyDescent="0.25">
      <c r="A4" s="40"/>
      <c r="B4" s="94" t="s">
        <v>236</v>
      </c>
      <c r="C4" s="41"/>
      <c r="D4" s="86" t="s">
        <v>170</v>
      </c>
      <c r="E4" s="39" t="s">
        <v>77</v>
      </c>
      <c r="F4" s="20" t="s">
        <v>109</v>
      </c>
      <c r="G4" s="20" t="s">
        <v>109</v>
      </c>
      <c r="H4" s="9"/>
      <c r="I4" s="39">
        <f t="shared" si="0"/>
        <v>17</v>
      </c>
      <c r="J4" s="39" t="str">
        <f t="shared" ref="J4" si="2">IF(LEN(F4)&lt;=$J$1,F4,"")</f>
        <v>Оперативный вывод</v>
      </c>
      <c r="K4" s="42" t="s">
        <v>146</v>
      </c>
      <c r="L4" s="43" t="s">
        <v>54</v>
      </c>
      <c r="M4" s="44" t="s">
        <v>51</v>
      </c>
      <c r="N4" s="44" t="s">
        <v>52</v>
      </c>
      <c r="O4" s="44"/>
      <c r="P4" s="30"/>
      <c r="Q4" s="30"/>
      <c r="R4" s="44" t="s">
        <v>53</v>
      </c>
      <c r="S4" s="44" t="s">
        <v>53</v>
      </c>
      <c r="T4" s="44" t="s">
        <v>53</v>
      </c>
      <c r="U4" s="44" t="s">
        <v>53</v>
      </c>
      <c r="V4" s="41"/>
      <c r="W4" s="41"/>
      <c r="X4" s="44" t="s">
        <v>53</v>
      </c>
      <c r="Y4" s="44">
        <v>2</v>
      </c>
      <c r="Z4" s="41"/>
      <c r="AA4" s="38">
        <v>0</v>
      </c>
      <c r="AB4" s="38"/>
      <c r="AC4" s="38"/>
      <c r="AD4" s="38"/>
      <c r="AE4" s="38"/>
      <c r="AF4" s="38">
        <v>0</v>
      </c>
      <c r="AG4" s="38">
        <v>0</v>
      </c>
      <c r="AH4" s="38">
        <v>0</v>
      </c>
      <c r="AI4" s="47"/>
      <c r="AJ4" s="37"/>
      <c r="AK4" s="37"/>
      <c r="AL4" s="37"/>
      <c r="AM4" s="37"/>
      <c r="AN4" s="37"/>
      <c r="AO4" s="37"/>
      <c r="AP4" s="37"/>
      <c r="AQ4" s="37"/>
      <c r="AR4" s="41">
        <v>0</v>
      </c>
      <c r="AS4" s="41">
        <v>1</v>
      </c>
      <c r="AT4" s="41">
        <v>0</v>
      </c>
      <c r="AU4" s="41">
        <v>1</v>
      </c>
      <c r="AV4" s="41">
        <v>1</v>
      </c>
      <c r="AW4" s="41">
        <v>1</v>
      </c>
      <c r="AX4" s="41">
        <v>1</v>
      </c>
      <c r="AY4" s="46"/>
      <c r="AZ4" s="41"/>
      <c r="BA4" s="41"/>
      <c r="BB4" s="41"/>
      <c r="BC4" s="41"/>
      <c r="BD4" s="41"/>
      <c r="BE4" s="41"/>
      <c r="BF4" s="41"/>
      <c r="BG4" s="45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8" customFormat="1" ht="15.75" x14ac:dyDescent="0.25">
      <c r="A5" s="40"/>
      <c r="B5" s="94" t="s">
        <v>236</v>
      </c>
      <c r="C5" s="41"/>
      <c r="D5" s="86" t="s">
        <v>170</v>
      </c>
      <c r="E5" s="39" t="s">
        <v>193</v>
      </c>
      <c r="F5" s="20" t="s">
        <v>193</v>
      </c>
      <c r="G5" s="20" t="s">
        <v>193</v>
      </c>
      <c r="H5" s="9"/>
      <c r="I5" s="39">
        <f>LEN(F5)</f>
        <v>4</v>
      </c>
      <c r="J5" s="39" t="str">
        <f>IF(LEN(F5)&lt;=$J$1,F5,"")</f>
        <v>Пуск</v>
      </c>
      <c r="K5" s="42" t="s">
        <v>194</v>
      </c>
      <c r="L5" s="43" t="s">
        <v>54</v>
      </c>
      <c r="M5" s="44" t="s">
        <v>51</v>
      </c>
      <c r="N5" s="44" t="s">
        <v>52</v>
      </c>
      <c r="O5" s="44"/>
      <c r="P5" s="30"/>
      <c r="Q5" s="30"/>
      <c r="R5" s="44" t="s">
        <v>53</v>
      </c>
      <c r="S5" s="44" t="s">
        <v>53</v>
      </c>
      <c r="T5" s="44" t="s">
        <v>53</v>
      </c>
      <c r="U5" s="44" t="s">
        <v>53</v>
      </c>
      <c r="V5" s="41"/>
      <c r="W5" s="41"/>
      <c r="X5" s="44" t="s">
        <v>53</v>
      </c>
      <c r="Y5" s="44">
        <v>2</v>
      </c>
      <c r="Z5" s="41"/>
      <c r="AA5" s="38">
        <v>0</v>
      </c>
      <c r="AB5" s="38"/>
      <c r="AC5" s="38"/>
      <c r="AD5" s="38"/>
      <c r="AE5" s="38"/>
      <c r="AF5" s="38">
        <v>0</v>
      </c>
      <c r="AG5" s="38">
        <v>0</v>
      </c>
      <c r="AH5" s="38">
        <v>0</v>
      </c>
      <c r="AI5" s="47"/>
      <c r="AJ5" s="37"/>
      <c r="AK5" s="37"/>
      <c r="AL5" s="37"/>
      <c r="AM5" s="37"/>
      <c r="AN5" s="37"/>
      <c r="AO5" s="37"/>
      <c r="AP5" s="37"/>
      <c r="AQ5" s="37"/>
      <c r="AR5" s="41">
        <v>0</v>
      </c>
      <c r="AS5" s="41">
        <v>1</v>
      </c>
      <c r="AT5" s="41">
        <v>0</v>
      </c>
      <c r="AU5" s="41">
        <v>1</v>
      </c>
      <c r="AV5" s="41">
        <v>1</v>
      </c>
      <c r="AW5" s="41">
        <v>1</v>
      </c>
      <c r="AX5" s="41">
        <v>1</v>
      </c>
      <c r="AY5" s="46"/>
      <c r="AZ5" s="41"/>
      <c r="BA5" s="41"/>
      <c r="BB5" s="41"/>
      <c r="BC5" s="41"/>
      <c r="BD5" s="41"/>
      <c r="BE5" s="41"/>
      <c r="BF5" s="41"/>
      <c r="BG5" s="4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"status", minValue: null, maxValue: null, step: null, units: "null", defaultValue: null, eventRegistration: 2</v>
      </c>
    </row>
    <row r="6" spans="1:16379" s="18" customFormat="1" ht="15.75" x14ac:dyDescent="0.25">
      <c r="A6" s="40"/>
      <c r="B6" s="94" t="s">
        <v>236</v>
      </c>
      <c r="C6" s="41"/>
      <c r="D6" s="86" t="s">
        <v>170</v>
      </c>
      <c r="E6" s="39" t="s">
        <v>116</v>
      </c>
      <c r="F6" s="20" t="s">
        <v>116</v>
      </c>
      <c r="G6" s="20" t="s">
        <v>116</v>
      </c>
      <c r="H6" s="9"/>
      <c r="I6" s="39">
        <f>LEN(F6)</f>
        <v>12</v>
      </c>
      <c r="J6" s="39" t="str">
        <f>IF(LEN(F6)&lt;=$J$1,F6,"")</f>
        <v>Срабатывание</v>
      </c>
      <c r="K6" s="42" t="s">
        <v>147</v>
      </c>
      <c r="L6" s="43" t="s">
        <v>54</v>
      </c>
      <c r="M6" s="44" t="s">
        <v>51</v>
      </c>
      <c r="N6" s="44" t="s">
        <v>52</v>
      </c>
      <c r="O6" s="44"/>
      <c r="P6" s="30"/>
      <c r="Q6" s="30"/>
      <c r="R6" s="44" t="s">
        <v>53</v>
      </c>
      <c r="S6" s="44" t="s">
        <v>53</v>
      </c>
      <c r="T6" s="44" t="s">
        <v>53</v>
      </c>
      <c r="U6" s="44" t="s">
        <v>53</v>
      </c>
      <c r="V6" s="41"/>
      <c r="W6" s="41"/>
      <c r="X6" s="44" t="s">
        <v>53</v>
      </c>
      <c r="Y6" s="44">
        <v>2</v>
      </c>
      <c r="Z6" s="41"/>
      <c r="AA6" s="38">
        <v>0</v>
      </c>
      <c r="AB6" s="38"/>
      <c r="AC6" s="38"/>
      <c r="AD6" s="38"/>
      <c r="AE6" s="38"/>
      <c r="AF6" s="38">
        <v>0</v>
      </c>
      <c r="AG6" s="38">
        <v>0</v>
      </c>
      <c r="AH6" s="38">
        <v>0</v>
      </c>
      <c r="AI6" s="47" t="s">
        <v>214</v>
      </c>
      <c r="AJ6" s="37" t="s">
        <v>160</v>
      </c>
      <c r="AK6" s="37" t="s">
        <v>117</v>
      </c>
      <c r="AL6" s="37" t="s">
        <v>78</v>
      </c>
      <c r="AM6" s="37" t="s">
        <v>110</v>
      </c>
      <c r="AN6" s="37"/>
      <c r="AO6" s="37" t="s">
        <v>67</v>
      </c>
      <c r="AP6" s="37" t="str">
        <f>CONCATENATE(AJ6, ".", AL6)</f>
        <v>PTRC1.Op.general</v>
      </c>
      <c r="AQ6" s="37" t="s">
        <v>63</v>
      </c>
      <c r="AR6" s="41">
        <v>0</v>
      </c>
      <c r="AS6" s="41">
        <v>1</v>
      </c>
      <c r="AT6" s="41">
        <v>0</v>
      </c>
      <c r="AU6" s="41">
        <v>1</v>
      </c>
      <c r="AV6" s="41">
        <v>1</v>
      </c>
      <c r="AW6" s="41">
        <v>1</v>
      </c>
      <c r="AX6" s="41">
        <v>1</v>
      </c>
      <c r="AY6" s="46"/>
      <c r="AZ6" s="41"/>
      <c r="BA6" s="41"/>
      <c r="BB6" s="41"/>
      <c r="BC6" s="41"/>
      <c r="BD6" s="41"/>
      <c r="BE6" s="41"/>
      <c r="BF6" s="41"/>
      <c r="BG6" s="4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"status", minValue: null, maxValue: null, step: null, units: "null", defaultValue: null, eventRegistration: 2</v>
      </c>
    </row>
    <row r="7" spans="1:16379" s="79" customFormat="1" ht="15.75" x14ac:dyDescent="0.25">
      <c r="A7" s="69"/>
      <c r="B7" s="94" t="s">
        <v>236</v>
      </c>
      <c r="C7" s="70"/>
      <c r="D7" s="87" t="s">
        <v>171</v>
      </c>
      <c r="E7" s="48" t="s">
        <v>75</v>
      </c>
      <c r="F7" s="71" t="s">
        <v>76</v>
      </c>
      <c r="G7" s="71" t="s">
        <v>76</v>
      </c>
      <c r="H7" s="72"/>
      <c r="I7" s="48">
        <f t="shared" ref="I7:I8" si="3">LEN(F7)</f>
        <v>4</v>
      </c>
      <c r="J7" s="48" t="str">
        <f>IF(LEN(F7)&lt;=$J$1,F7,"")</f>
        <v>Ввод</v>
      </c>
      <c r="K7" s="73" t="s">
        <v>149</v>
      </c>
      <c r="L7" s="74" t="s">
        <v>54</v>
      </c>
      <c r="M7" s="75" t="s">
        <v>51</v>
      </c>
      <c r="N7" s="75" t="s">
        <v>52</v>
      </c>
      <c r="O7" s="75"/>
      <c r="P7" s="49"/>
      <c r="Q7" s="49"/>
      <c r="R7" s="75" t="s">
        <v>53</v>
      </c>
      <c r="S7" s="75" t="s">
        <v>53</v>
      </c>
      <c r="T7" s="75" t="s">
        <v>53</v>
      </c>
      <c r="U7" s="75" t="s">
        <v>53</v>
      </c>
      <c r="V7" s="70"/>
      <c r="W7" s="70"/>
      <c r="X7" s="75" t="s">
        <v>53</v>
      </c>
      <c r="Y7" s="75">
        <v>2</v>
      </c>
      <c r="Z7" s="70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51"/>
      <c r="AJ7" s="76"/>
      <c r="AK7" s="76"/>
      <c r="AL7" s="76"/>
      <c r="AM7" s="76"/>
      <c r="AN7" s="76"/>
      <c r="AO7" s="76"/>
      <c r="AP7" s="76"/>
      <c r="AQ7" s="76"/>
      <c r="AR7" s="70">
        <v>0</v>
      </c>
      <c r="AS7" s="70">
        <v>1</v>
      </c>
      <c r="AT7" s="70">
        <v>0</v>
      </c>
      <c r="AU7" s="70">
        <v>1</v>
      </c>
      <c r="AV7" s="70">
        <v>1</v>
      </c>
      <c r="AW7" s="70">
        <v>1</v>
      </c>
      <c r="AX7" s="70">
        <v>1</v>
      </c>
      <c r="AY7" s="77"/>
      <c r="AZ7" s="70"/>
      <c r="BA7" s="70"/>
      <c r="BB7" s="70"/>
      <c r="BC7" s="70"/>
      <c r="BD7" s="70"/>
      <c r="BE7" s="70"/>
      <c r="BF7" s="70"/>
      <c r="BG7" s="78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79" customFormat="1" ht="15.75" x14ac:dyDescent="0.25">
      <c r="A8" s="69"/>
      <c r="B8" s="94" t="s">
        <v>236</v>
      </c>
      <c r="C8" s="70"/>
      <c r="D8" s="87" t="s">
        <v>171</v>
      </c>
      <c r="E8" s="48" t="s">
        <v>77</v>
      </c>
      <c r="F8" s="71" t="s">
        <v>109</v>
      </c>
      <c r="G8" s="71" t="s">
        <v>109</v>
      </c>
      <c r="H8" s="72"/>
      <c r="I8" s="48">
        <f t="shared" si="3"/>
        <v>17</v>
      </c>
      <c r="J8" s="48" t="str">
        <f t="shared" ref="J8" si="5">IF(LEN(F8)&lt;=$J$1,F8,"")</f>
        <v>Оперативный вывод</v>
      </c>
      <c r="K8" s="73" t="s">
        <v>150</v>
      </c>
      <c r="L8" s="74" t="s">
        <v>54</v>
      </c>
      <c r="M8" s="75" t="s">
        <v>51</v>
      </c>
      <c r="N8" s="75" t="s">
        <v>52</v>
      </c>
      <c r="O8" s="75"/>
      <c r="P8" s="49"/>
      <c r="Q8" s="49"/>
      <c r="R8" s="75" t="s">
        <v>53</v>
      </c>
      <c r="S8" s="75" t="s">
        <v>53</v>
      </c>
      <c r="T8" s="75" t="s">
        <v>53</v>
      </c>
      <c r="U8" s="75" t="s">
        <v>53</v>
      </c>
      <c r="V8" s="70"/>
      <c r="W8" s="70"/>
      <c r="X8" s="75" t="s">
        <v>53</v>
      </c>
      <c r="Y8" s="75">
        <v>2</v>
      </c>
      <c r="Z8" s="70"/>
      <c r="AA8" s="50">
        <v>0</v>
      </c>
      <c r="AB8" s="50"/>
      <c r="AC8" s="50"/>
      <c r="AD8" s="50"/>
      <c r="AE8" s="50"/>
      <c r="AF8" s="50">
        <v>0</v>
      </c>
      <c r="AG8" s="50">
        <v>0</v>
      </c>
      <c r="AH8" s="50">
        <v>0</v>
      </c>
      <c r="AI8" s="51"/>
      <c r="AJ8" s="76"/>
      <c r="AK8" s="76"/>
      <c r="AL8" s="76"/>
      <c r="AM8" s="76"/>
      <c r="AN8" s="76"/>
      <c r="AO8" s="76"/>
      <c r="AP8" s="76"/>
      <c r="AQ8" s="76"/>
      <c r="AR8" s="70">
        <v>0</v>
      </c>
      <c r="AS8" s="70">
        <v>1</v>
      </c>
      <c r="AT8" s="70">
        <v>0</v>
      </c>
      <c r="AU8" s="70">
        <v>1</v>
      </c>
      <c r="AV8" s="70">
        <v>1</v>
      </c>
      <c r="AW8" s="70">
        <v>1</v>
      </c>
      <c r="AX8" s="70">
        <v>1</v>
      </c>
      <c r="AY8" s="77"/>
      <c r="AZ8" s="70"/>
      <c r="BA8" s="70"/>
      <c r="BB8" s="70"/>
      <c r="BC8" s="70"/>
      <c r="BD8" s="70"/>
      <c r="BE8" s="70"/>
      <c r="BF8" s="70"/>
      <c r="BG8" s="78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79" customFormat="1" ht="15.75" x14ac:dyDescent="0.25">
      <c r="A9" s="69"/>
      <c r="B9" s="94" t="s">
        <v>236</v>
      </c>
      <c r="C9" s="70"/>
      <c r="D9" s="87" t="s">
        <v>171</v>
      </c>
      <c r="E9" s="48" t="s">
        <v>148</v>
      </c>
      <c r="F9" s="71" t="s">
        <v>148</v>
      </c>
      <c r="G9" s="71" t="s">
        <v>148</v>
      </c>
      <c r="H9" s="72"/>
      <c r="I9" s="48">
        <f t="shared" ref="I9:I18" si="6">LEN(F9)</f>
        <v>10</v>
      </c>
      <c r="J9" s="48" t="str">
        <f t="shared" ref="J9:J18" si="7">IF(LEN(F9)&lt;=$J$1,F9,"")</f>
        <v>Запрет АПВ</v>
      </c>
      <c r="K9" s="73" t="s">
        <v>151</v>
      </c>
      <c r="L9" s="74" t="s">
        <v>54</v>
      </c>
      <c r="M9" s="75" t="s">
        <v>51</v>
      </c>
      <c r="N9" s="75" t="s">
        <v>52</v>
      </c>
      <c r="O9" s="75"/>
      <c r="P9" s="49"/>
      <c r="Q9" s="49"/>
      <c r="R9" s="75" t="s">
        <v>53</v>
      </c>
      <c r="S9" s="75" t="s">
        <v>53</v>
      </c>
      <c r="T9" s="75" t="s">
        <v>53</v>
      </c>
      <c r="U9" s="75" t="s">
        <v>53</v>
      </c>
      <c r="V9" s="70"/>
      <c r="W9" s="70"/>
      <c r="X9" s="75" t="s">
        <v>53</v>
      </c>
      <c r="Y9" s="75">
        <v>2</v>
      </c>
      <c r="Z9" s="70"/>
      <c r="AA9" s="50">
        <v>0</v>
      </c>
      <c r="AB9" s="50"/>
      <c r="AC9" s="50"/>
      <c r="AD9" s="50"/>
      <c r="AE9" s="50"/>
      <c r="AF9" s="50">
        <v>0</v>
      </c>
      <c r="AG9" s="50">
        <v>0</v>
      </c>
      <c r="AH9" s="50">
        <v>0</v>
      </c>
      <c r="AI9" s="51" t="s">
        <v>215</v>
      </c>
      <c r="AJ9" s="76" t="s">
        <v>165</v>
      </c>
      <c r="AK9" s="76" t="s">
        <v>166</v>
      </c>
      <c r="AL9" s="76" t="s">
        <v>64</v>
      </c>
      <c r="AM9" s="76" t="s">
        <v>110</v>
      </c>
      <c r="AN9" s="76"/>
      <c r="AO9" s="76" t="s">
        <v>67</v>
      </c>
      <c r="AP9" s="76" t="str">
        <f>CONCATENATE(AJ9, ".", AL9)</f>
        <v>RBRE1.BlkOp.stVal</v>
      </c>
      <c r="AQ9" s="76" t="s">
        <v>63</v>
      </c>
      <c r="AR9" s="70">
        <v>0</v>
      </c>
      <c r="AS9" s="70">
        <v>1</v>
      </c>
      <c r="AT9" s="70">
        <v>0</v>
      </c>
      <c r="AU9" s="70">
        <v>1</v>
      </c>
      <c r="AV9" s="70">
        <v>1</v>
      </c>
      <c r="AW9" s="70">
        <v>1</v>
      </c>
      <c r="AX9" s="70">
        <v>1</v>
      </c>
      <c r="AY9" s="77"/>
      <c r="AZ9" s="70"/>
      <c r="BA9" s="70"/>
      <c r="BB9" s="70"/>
      <c r="BC9" s="70"/>
      <c r="BD9" s="70"/>
      <c r="BE9" s="70"/>
      <c r="BF9" s="70"/>
      <c r="BG9" s="78" t="str">
        <f t="shared" ref="BG9:BG18" si="8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"status", minValue: null, maxValue: null, step: null, units: "null", defaultValue: null, eventRegistration: 2</v>
      </c>
    </row>
    <row r="10" spans="1:16379" s="18" customFormat="1" ht="15.75" x14ac:dyDescent="0.25">
      <c r="A10" s="40"/>
      <c r="B10" s="94" t="s">
        <v>236</v>
      </c>
      <c r="C10" s="41"/>
      <c r="D10" s="86" t="s">
        <v>192</v>
      </c>
      <c r="E10" s="39" t="s">
        <v>75</v>
      </c>
      <c r="F10" s="20" t="s">
        <v>76</v>
      </c>
      <c r="G10" s="20" t="s">
        <v>76</v>
      </c>
      <c r="H10" s="9"/>
      <c r="I10" s="39">
        <f t="shared" si="6"/>
        <v>4</v>
      </c>
      <c r="J10" s="39" t="str">
        <f>IF(LEN(F10)&lt;=$J$1,F10,"")</f>
        <v>Ввод</v>
      </c>
      <c r="K10" s="42" t="s">
        <v>196</v>
      </c>
      <c r="L10" s="43" t="s">
        <v>54</v>
      </c>
      <c r="M10" s="44" t="s">
        <v>51</v>
      </c>
      <c r="N10" s="44" t="s">
        <v>52</v>
      </c>
      <c r="O10" s="44"/>
      <c r="P10" s="30"/>
      <c r="Q10" s="30"/>
      <c r="R10" s="44" t="s">
        <v>53</v>
      </c>
      <c r="S10" s="44" t="s">
        <v>53</v>
      </c>
      <c r="T10" s="44" t="s">
        <v>53</v>
      </c>
      <c r="U10" s="44" t="s">
        <v>53</v>
      </c>
      <c r="V10" s="41"/>
      <c r="W10" s="41"/>
      <c r="X10" s="44" t="s">
        <v>53</v>
      </c>
      <c r="Y10" s="44">
        <v>2</v>
      </c>
      <c r="Z10" s="41"/>
      <c r="AA10" s="38">
        <v>0</v>
      </c>
      <c r="AB10" s="38"/>
      <c r="AC10" s="38"/>
      <c r="AD10" s="38"/>
      <c r="AE10" s="38"/>
      <c r="AF10" s="38">
        <v>0</v>
      </c>
      <c r="AG10" s="38">
        <v>0</v>
      </c>
      <c r="AH10" s="38">
        <v>0</v>
      </c>
      <c r="AI10" s="47"/>
      <c r="AJ10" s="37"/>
      <c r="AK10" s="37"/>
      <c r="AL10" s="37"/>
      <c r="AM10" s="37"/>
      <c r="AN10" s="37"/>
      <c r="AO10" s="37"/>
      <c r="AP10" s="37"/>
      <c r="AQ10" s="37"/>
      <c r="AR10" s="41">
        <v>0</v>
      </c>
      <c r="AS10" s="41">
        <v>1</v>
      </c>
      <c r="AT10" s="41">
        <v>0</v>
      </c>
      <c r="AU10" s="41">
        <v>1</v>
      </c>
      <c r="AV10" s="41">
        <v>1</v>
      </c>
      <c r="AW10" s="41">
        <v>1</v>
      </c>
      <c r="AX10" s="41">
        <v>1</v>
      </c>
      <c r="AY10" s="46"/>
      <c r="AZ10" s="41"/>
      <c r="BA10" s="41"/>
      <c r="BB10" s="41"/>
      <c r="BC10" s="41"/>
      <c r="BD10" s="41"/>
      <c r="BE10" s="41"/>
      <c r="BF10" s="41"/>
      <c r="BG10" s="45" t="str">
        <f t="shared" si="8"/>
        <v>description: "Ввод", note: "Функция введена в работу", group: "status", minValue: null, maxValue: null, step: null, units: "null", defaultValue: null, eventRegistration: 2</v>
      </c>
    </row>
    <row r="11" spans="1:16379" s="18" customFormat="1" ht="15.75" x14ac:dyDescent="0.25">
      <c r="A11" s="40"/>
      <c r="B11" s="94" t="s">
        <v>236</v>
      </c>
      <c r="C11" s="41"/>
      <c r="D11" s="86" t="s">
        <v>192</v>
      </c>
      <c r="E11" s="39" t="s">
        <v>77</v>
      </c>
      <c r="F11" s="20" t="s">
        <v>109</v>
      </c>
      <c r="G11" s="20" t="s">
        <v>109</v>
      </c>
      <c r="H11" s="9"/>
      <c r="I11" s="39">
        <f t="shared" si="6"/>
        <v>17</v>
      </c>
      <c r="J11" s="39" t="str">
        <f t="shared" ref="J11:J12" si="9">IF(LEN(F11)&lt;=$J$1,F11,"")</f>
        <v>Оперативный вывод</v>
      </c>
      <c r="K11" s="42" t="s">
        <v>197</v>
      </c>
      <c r="L11" s="43" t="s">
        <v>54</v>
      </c>
      <c r="M11" s="44" t="s">
        <v>51</v>
      </c>
      <c r="N11" s="44" t="s">
        <v>52</v>
      </c>
      <c r="O11" s="44"/>
      <c r="P11" s="30"/>
      <c r="Q11" s="30"/>
      <c r="R11" s="44" t="s">
        <v>53</v>
      </c>
      <c r="S11" s="44" t="s">
        <v>53</v>
      </c>
      <c r="T11" s="44" t="s">
        <v>53</v>
      </c>
      <c r="U11" s="44" t="s">
        <v>53</v>
      </c>
      <c r="V11" s="41"/>
      <c r="W11" s="41"/>
      <c r="X11" s="44" t="s">
        <v>53</v>
      </c>
      <c r="Y11" s="44">
        <v>2</v>
      </c>
      <c r="Z11" s="41"/>
      <c r="AA11" s="38">
        <v>0</v>
      </c>
      <c r="AB11" s="38"/>
      <c r="AC11" s="38"/>
      <c r="AD11" s="38"/>
      <c r="AE11" s="38"/>
      <c r="AF11" s="38">
        <v>0</v>
      </c>
      <c r="AG11" s="38">
        <v>0</v>
      </c>
      <c r="AH11" s="38">
        <v>0</v>
      </c>
      <c r="AI11" s="47"/>
      <c r="AJ11" s="37"/>
      <c r="AK11" s="37"/>
      <c r="AL11" s="37"/>
      <c r="AM11" s="37"/>
      <c r="AN11" s="37"/>
      <c r="AO11" s="37"/>
      <c r="AP11" s="37"/>
      <c r="AQ11" s="37"/>
      <c r="AR11" s="41">
        <v>0</v>
      </c>
      <c r="AS11" s="41">
        <v>1</v>
      </c>
      <c r="AT11" s="41">
        <v>0</v>
      </c>
      <c r="AU11" s="41">
        <v>1</v>
      </c>
      <c r="AV11" s="41">
        <v>1</v>
      </c>
      <c r="AW11" s="41">
        <v>1</v>
      </c>
      <c r="AX11" s="41">
        <v>1</v>
      </c>
      <c r="AY11" s="46"/>
      <c r="AZ11" s="41"/>
      <c r="BA11" s="41"/>
      <c r="BB11" s="41"/>
      <c r="BC11" s="41"/>
      <c r="BD11" s="41"/>
      <c r="BE11" s="41"/>
      <c r="BF11" s="41"/>
      <c r="BG11" s="45" t="str">
        <f t="shared" si="8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2" spans="1:16379" s="18" customFormat="1" ht="15.75" x14ac:dyDescent="0.25">
      <c r="A12" s="40"/>
      <c r="B12" s="94" t="s">
        <v>236</v>
      </c>
      <c r="C12" s="41"/>
      <c r="D12" s="86" t="s">
        <v>192</v>
      </c>
      <c r="E12" s="39" t="s">
        <v>195</v>
      </c>
      <c r="F12" s="20" t="s">
        <v>195</v>
      </c>
      <c r="G12" s="20" t="s">
        <v>195</v>
      </c>
      <c r="H12" s="9"/>
      <c r="I12" s="39">
        <f t="shared" ref="I12" si="10">LEN(F12)</f>
        <v>10</v>
      </c>
      <c r="J12" s="39" t="str">
        <f t="shared" si="9"/>
        <v>Запрет АВР</v>
      </c>
      <c r="K12" s="42" t="s">
        <v>198</v>
      </c>
      <c r="L12" s="43" t="s">
        <v>54</v>
      </c>
      <c r="M12" s="44" t="s">
        <v>51</v>
      </c>
      <c r="N12" s="44" t="s">
        <v>52</v>
      </c>
      <c r="O12" s="44"/>
      <c r="P12" s="30"/>
      <c r="Q12" s="30"/>
      <c r="R12" s="44" t="s">
        <v>53</v>
      </c>
      <c r="S12" s="44" t="s">
        <v>53</v>
      </c>
      <c r="T12" s="44" t="s">
        <v>53</v>
      </c>
      <c r="U12" s="44" t="s">
        <v>53</v>
      </c>
      <c r="V12" s="41"/>
      <c r="W12" s="41"/>
      <c r="X12" s="44" t="s">
        <v>53</v>
      </c>
      <c r="Y12" s="44">
        <v>2</v>
      </c>
      <c r="Z12" s="41"/>
      <c r="AA12" s="38">
        <v>0</v>
      </c>
      <c r="AB12" s="38"/>
      <c r="AC12" s="38"/>
      <c r="AD12" s="38"/>
      <c r="AE12" s="38"/>
      <c r="AF12" s="38">
        <v>0</v>
      </c>
      <c r="AG12" s="38">
        <v>0</v>
      </c>
      <c r="AH12" s="38">
        <v>0</v>
      </c>
      <c r="AI12" s="47" t="s">
        <v>216</v>
      </c>
      <c r="AJ12" s="37" t="s">
        <v>205</v>
      </c>
      <c r="AK12" s="37" t="s">
        <v>166</v>
      </c>
      <c r="AL12" s="37" t="s">
        <v>64</v>
      </c>
      <c r="AM12" s="37" t="s">
        <v>110</v>
      </c>
      <c r="AN12" s="37"/>
      <c r="AO12" s="37" t="s">
        <v>67</v>
      </c>
      <c r="AP12" s="37" t="str">
        <f>CONCATENATE(AJ12, ".", AL12)</f>
        <v>LVCBRBLC1.BlkOp.stVal</v>
      </c>
      <c r="AQ12" s="37" t="s">
        <v>63</v>
      </c>
      <c r="AR12" s="41">
        <v>0</v>
      </c>
      <c r="AS12" s="41">
        <v>1</v>
      </c>
      <c r="AT12" s="41">
        <v>0</v>
      </c>
      <c r="AU12" s="41">
        <v>1</v>
      </c>
      <c r="AV12" s="41">
        <v>1</v>
      </c>
      <c r="AW12" s="41">
        <v>1</v>
      </c>
      <c r="AX12" s="41">
        <v>1</v>
      </c>
      <c r="AY12" s="46"/>
      <c r="AZ12" s="41"/>
      <c r="BA12" s="41"/>
      <c r="BB12" s="41"/>
      <c r="BC12" s="41"/>
      <c r="BD12" s="41"/>
      <c r="BE12" s="41"/>
      <c r="BF12" s="41"/>
      <c r="BG12" s="45" t="str">
        <f t="shared" ref="BG12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"status", minValue: null, maxValue: null, step: null, units: "null", defaultValue: null, eventRegistration: 2</v>
      </c>
    </row>
    <row r="13" spans="1:16379" s="67" customFormat="1" ht="15.75" x14ac:dyDescent="0.25">
      <c r="A13" s="52"/>
      <c r="B13" s="94" t="s">
        <v>236</v>
      </c>
      <c r="C13" s="54"/>
      <c r="D13" s="88"/>
      <c r="E13" s="56" t="s">
        <v>79</v>
      </c>
      <c r="F13" s="56" t="s">
        <v>80</v>
      </c>
      <c r="G13" s="56" t="s">
        <v>80</v>
      </c>
      <c r="H13" s="54"/>
      <c r="I13" s="56">
        <f t="shared" si="6"/>
        <v>12</v>
      </c>
      <c r="J13" s="56" t="str">
        <f t="shared" si="7"/>
        <v>Поведение LD</v>
      </c>
      <c r="K13" s="58" t="s">
        <v>81</v>
      </c>
      <c r="L13" s="59" t="s">
        <v>57</v>
      </c>
      <c r="M13" s="61" t="s">
        <v>51</v>
      </c>
      <c r="N13" s="61" t="s">
        <v>52</v>
      </c>
      <c r="O13" s="61"/>
      <c r="P13" s="54"/>
      <c r="Q13" s="54"/>
      <c r="R13" s="61" t="s">
        <v>53</v>
      </c>
      <c r="S13" s="61" t="s">
        <v>53</v>
      </c>
      <c r="T13" s="61" t="s">
        <v>53</v>
      </c>
      <c r="U13" s="61" t="s">
        <v>53</v>
      </c>
      <c r="V13" s="54"/>
      <c r="W13" s="54"/>
      <c r="X13" s="61" t="s">
        <v>53</v>
      </c>
      <c r="Y13" s="61">
        <v>0</v>
      </c>
      <c r="Z13" s="54"/>
      <c r="AA13" s="62">
        <v>0</v>
      </c>
      <c r="AB13" s="62"/>
      <c r="AC13" s="62"/>
      <c r="AD13" s="62"/>
      <c r="AE13" s="62"/>
      <c r="AF13" s="62">
        <v>0</v>
      </c>
      <c r="AG13" s="62">
        <v>0</v>
      </c>
      <c r="AH13" s="62">
        <v>0</v>
      </c>
      <c r="AI13" s="63" t="s">
        <v>96</v>
      </c>
      <c r="AJ13" s="64" t="s">
        <v>113</v>
      </c>
      <c r="AK13" s="64" t="s">
        <v>82</v>
      </c>
      <c r="AL13" s="64" t="s">
        <v>64</v>
      </c>
      <c r="AM13" s="64" t="s">
        <v>65</v>
      </c>
      <c r="AN13" s="64" t="s">
        <v>66</v>
      </c>
      <c r="AO13" s="64" t="s">
        <v>67</v>
      </c>
      <c r="AP13" s="64" t="str">
        <f t="shared" ref="AP13:AP16" si="12">CONCATENATE(AJ13, ".", AL13)</f>
        <v>LLN0.Beh.stVal</v>
      </c>
      <c r="AQ13" s="64" t="s">
        <v>63</v>
      </c>
      <c r="AR13" s="54">
        <v>0</v>
      </c>
      <c r="AS13" s="54">
        <v>0</v>
      </c>
      <c r="AT13" s="54">
        <v>0</v>
      </c>
      <c r="AU13" s="54">
        <v>0</v>
      </c>
      <c r="AV13" s="54">
        <f t="shared" ref="AV13:AV16" si="13">BIN2DEC(CONCATENATE(0,0,0,0,AR13,AS13,AT13,AU13))</f>
        <v>0</v>
      </c>
      <c r="AW13" s="54">
        <v>0</v>
      </c>
      <c r="AX13" s="54">
        <v>0</v>
      </c>
      <c r="AY13" s="65"/>
      <c r="AZ13" s="54"/>
      <c r="BA13" s="54"/>
      <c r="BB13" s="54"/>
      <c r="BC13" s="54"/>
      <c r="BD13" s="54"/>
      <c r="BE13" s="54"/>
      <c r="BF13" s="54"/>
      <c r="BG13" s="80" t="str">
        <f t="shared" si="8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4" spans="1:16379" s="67" customFormat="1" ht="15.75" x14ac:dyDescent="0.25">
      <c r="A14" s="52"/>
      <c r="B14" s="94" t="s">
        <v>236</v>
      </c>
      <c r="C14" s="54"/>
      <c r="D14" s="88"/>
      <c r="E14" s="56" t="s">
        <v>83</v>
      </c>
      <c r="F14" s="56" t="s">
        <v>84</v>
      </c>
      <c r="G14" s="56" t="s">
        <v>84</v>
      </c>
      <c r="H14" s="54"/>
      <c r="I14" s="56">
        <f t="shared" si="6"/>
        <v>14</v>
      </c>
      <c r="J14" s="56" t="str">
        <f t="shared" si="7"/>
        <v>Исправность LD</v>
      </c>
      <c r="K14" s="58" t="s">
        <v>85</v>
      </c>
      <c r="L14" s="59" t="s">
        <v>57</v>
      </c>
      <c r="M14" s="61" t="s">
        <v>51</v>
      </c>
      <c r="N14" s="61" t="s">
        <v>52</v>
      </c>
      <c r="O14" s="61"/>
      <c r="P14" s="81"/>
      <c r="Q14" s="81"/>
      <c r="R14" s="61" t="s">
        <v>53</v>
      </c>
      <c r="S14" s="61" t="s">
        <v>53</v>
      </c>
      <c r="T14" s="61" t="s">
        <v>53</v>
      </c>
      <c r="U14" s="61" t="s">
        <v>53</v>
      </c>
      <c r="V14" s="54"/>
      <c r="W14" s="54"/>
      <c r="X14" s="61" t="s">
        <v>53</v>
      </c>
      <c r="Y14" s="61">
        <v>0</v>
      </c>
      <c r="Z14" s="54"/>
      <c r="AA14" s="62">
        <v>0</v>
      </c>
      <c r="AB14" s="62"/>
      <c r="AC14" s="62"/>
      <c r="AD14" s="62"/>
      <c r="AE14" s="62"/>
      <c r="AF14" s="62">
        <v>0</v>
      </c>
      <c r="AG14" s="62">
        <v>0</v>
      </c>
      <c r="AH14" s="62">
        <v>0</v>
      </c>
      <c r="AI14" s="63" t="s">
        <v>96</v>
      </c>
      <c r="AJ14" s="64" t="s">
        <v>114</v>
      </c>
      <c r="AK14" s="64" t="s">
        <v>82</v>
      </c>
      <c r="AL14" s="64" t="s">
        <v>64</v>
      </c>
      <c r="AM14" s="64" t="s">
        <v>65</v>
      </c>
      <c r="AN14" s="64" t="s">
        <v>86</v>
      </c>
      <c r="AO14" s="64" t="s">
        <v>67</v>
      </c>
      <c r="AP14" s="64" t="str">
        <f t="shared" si="12"/>
        <v>LLN0.Health.stVal</v>
      </c>
      <c r="AQ14" s="64" t="s">
        <v>63</v>
      </c>
      <c r="AR14" s="54">
        <v>0</v>
      </c>
      <c r="AS14" s="54">
        <v>0</v>
      </c>
      <c r="AT14" s="54">
        <v>0</v>
      </c>
      <c r="AU14" s="54">
        <v>0</v>
      </c>
      <c r="AV14" s="54">
        <f t="shared" si="13"/>
        <v>0</v>
      </c>
      <c r="AW14" s="54">
        <v>0</v>
      </c>
      <c r="AX14" s="54">
        <v>0</v>
      </c>
      <c r="AY14" s="65"/>
      <c r="AZ14" s="54"/>
      <c r="BA14" s="54"/>
      <c r="BB14" s="54"/>
      <c r="BC14" s="54"/>
      <c r="BD14" s="54"/>
      <c r="BE14" s="54"/>
      <c r="BF14" s="54"/>
      <c r="BG14" s="80" t="str">
        <f t="shared" si="8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5" spans="1:16379" s="18" customFormat="1" ht="15.75" x14ac:dyDescent="0.25">
      <c r="A15" s="40"/>
      <c r="B15" s="94" t="s">
        <v>236</v>
      </c>
      <c r="C15" s="41"/>
      <c r="D15" s="86"/>
      <c r="E15" s="39" t="s">
        <v>152</v>
      </c>
      <c r="F15" s="39" t="s">
        <v>87</v>
      </c>
      <c r="G15" s="39" t="s">
        <v>87</v>
      </c>
      <c r="H15" s="41"/>
      <c r="I15" s="39">
        <f t="shared" si="6"/>
        <v>9</v>
      </c>
      <c r="J15" s="39" t="str">
        <f t="shared" si="7"/>
        <v>Поведение</v>
      </c>
      <c r="K15" s="42" t="s">
        <v>156</v>
      </c>
      <c r="L15" s="43" t="s">
        <v>57</v>
      </c>
      <c r="M15" s="44" t="s">
        <v>51</v>
      </c>
      <c r="N15" s="44" t="s">
        <v>52</v>
      </c>
      <c r="O15" s="44"/>
      <c r="P15" s="41"/>
      <c r="Q15" s="41"/>
      <c r="R15" s="44" t="s">
        <v>53</v>
      </c>
      <c r="S15" s="44" t="s">
        <v>53</v>
      </c>
      <c r="T15" s="44" t="s">
        <v>53</v>
      </c>
      <c r="U15" s="44" t="s">
        <v>53</v>
      </c>
      <c r="V15" s="41"/>
      <c r="W15" s="41"/>
      <c r="X15" s="44" t="s">
        <v>53</v>
      </c>
      <c r="Y15" s="44">
        <v>0</v>
      </c>
      <c r="Z15" s="41"/>
      <c r="AA15" s="38">
        <v>0</v>
      </c>
      <c r="AB15" s="38"/>
      <c r="AC15" s="38"/>
      <c r="AD15" s="38"/>
      <c r="AE15" s="38"/>
      <c r="AF15" s="38">
        <v>0</v>
      </c>
      <c r="AG15" s="38">
        <v>0</v>
      </c>
      <c r="AH15" s="38">
        <v>0</v>
      </c>
      <c r="AI15" s="47" t="s">
        <v>214</v>
      </c>
      <c r="AJ15" s="37" t="s">
        <v>161</v>
      </c>
      <c r="AK15" s="37" t="s">
        <v>82</v>
      </c>
      <c r="AL15" s="37" t="s">
        <v>64</v>
      </c>
      <c r="AM15" s="37" t="s">
        <v>65</v>
      </c>
      <c r="AN15" s="37" t="s">
        <v>66</v>
      </c>
      <c r="AO15" s="37" t="s">
        <v>67</v>
      </c>
      <c r="AP15" s="37" t="str">
        <f t="shared" si="12"/>
        <v>PTRC1.Beh.stVal</v>
      </c>
      <c r="AQ15" s="37" t="s">
        <v>63</v>
      </c>
      <c r="AR15" s="41">
        <v>0</v>
      </c>
      <c r="AS15" s="41">
        <v>0</v>
      </c>
      <c r="AT15" s="41">
        <v>0</v>
      </c>
      <c r="AU15" s="41">
        <v>0</v>
      </c>
      <c r="AV15" s="41">
        <f t="shared" si="13"/>
        <v>0</v>
      </c>
      <c r="AW15" s="41">
        <v>0</v>
      </c>
      <c r="AX15" s="41">
        <v>0</v>
      </c>
      <c r="AY15" s="46"/>
      <c r="AZ15" s="41"/>
      <c r="BA15" s="41"/>
      <c r="BB15" s="41"/>
      <c r="BC15" s="41"/>
      <c r="BD15" s="41"/>
      <c r="BE15" s="41"/>
      <c r="BF15" s="41"/>
      <c r="BG15" s="45" t="str">
        <f t="shared" si="8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6" spans="1:16379" s="18" customFormat="1" ht="15.75" x14ac:dyDescent="0.25">
      <c r="A16" s="40"/>
      <c r="B16" s="94" t="s">
        <v>236</v>
      </c>
      <c r="C16" s="41"/>
      <c r="D16" s="86"/>
      <c r="E16" s="39" t="s">
        <v>153</v>
      </c>
      <c r="F16" s="39" t="s">
        <v>88</v>
      </c>
      <c r="G16" s="39" t="s">
        <v>88</v>
      </c>
      <c r="H16" s="41"/>
      <c r="I16" s="39">
        <f t="shared" si="6"/>
        <v>11</v>
      </c>
      <c r="J16" s="39" t="str">
        <f t="shared" si="7"/>
        <v>Исправность</v>
      </c>
      <c r="K16" s="42" t="s">
        <v>157</v>
      </c>
      <c r="L16" s="43" t="s">
        <v>57</v>
      </c>
      <c r="M16" s="44" t="s">
        <v>51</v>
      </c>
      <c r="N16" s="44" t="s">
        <v>52</v>
      </c>
      <c r="O16" s="44"/>
      <c r="P16" s="30"/>
      <c r="Q16" s="30"/>
      <c r="R16" s="44" t="s">
        <v>53</v>
      </c>
      <c r="S16" s="44" t="s">
        <v>53</v>
      </c>
      <c r="T16" s="44" t="s">
        <v>53</v>
      </c>
      <c r="U16" s="44" t="s">
        <v>53</v>
      </c>
      <c r="V16" s="41"/>
      <c r="W16" s="41"/>
      <c r="X16" s="44" t="s">
        <v>53</v>
      </c>
      <c r="Y16" s="44">
        <v>0</v>
      </c>
      <c r="Z16" s="41"/>
      <c r="AA16" s="38">
        <v>0</v>
      </c>
      <c r="AB16" s="38"/>
      <c r="AC16" s="38"/>
      <c r="AD16" s="38"/>
      <c r="AE16" s="38"/>
      <c r="AF16" s="38">
        <v>0</v>
      </c>
      <c r="AG16" s="38">
        <v>0</v>
      </c>
      <c r="AH16" s="38">
        <v>0</v>
      </c>
      <c r="AI16" s="47" t="s">
        <v>214</v>
      </c>
      <c r="AJ16" s="37" t="s">
        <v>162</v>
      </c>
      <c r="AK16" s="37" t="s">
        <v>82</v>
      </c>
      <c r="AL16" s="37" t="s">
        <v>64</v>
      </c>
      <c r="AM16" s="37" t="s">
        <v>65</v>
      </c>
      <c r="AN16" s="37" t="s">
        <v>86</v>
      </c>
      <c r="AO16" s="37" t="s">
        <v>67</v>
      </c>
      <c r="AP16" s="37" t="str">
        <f t="shared" si="12"/>
        <v>PTRC1.Health.stVal</v>
      </c>
      <c r="AQ16" s="37" t="s">
        <v>63</v>
      </c>
      <c r="AR16" s="41">
        <v>0</v>
      </c>
      <c r="AS16" s="41">
        <v>0</v>
      </c>
      <c r="AT16" s="41">
        <v>0</v>
      </c>
      <c r="AU16" s="41">
        <v>0</v>
      </c>
      <c r="AV16" s="41">
        <f t="shared" si="13"/>
        <v>0</v>
      </c>
      <c r="AW16" s="41">
        <v>0</v>
      </c>
      <c r="AX16" s="41">
        <v>0</v>
      </c>
      <c r="AY16" s="46"/>
      <c r="AZ16" s="41"/>
      <c r="BA16" s="41"/>
      <c r="BB16" s="41"/>
      <c r="BC16" s="41"/>
      <c r="BD16" s="41"/>
      <c r="BE16" s="41"/>
      <c r="BF16" s="41"/>
      <c r="BG16" s="45" t="str">
        <f t="shared" si="8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7" spans="1:60" s="67" customFormat="1" ht="15.75" x14ac:dyDescent="0.25">
      <c r="A17" s="52"/>
      <c r="B17" s="94" t="s">
        <v>236</v>
      </c>
      <c r="C17" s="54"/>
      <c r="D17" s="88" t="s">
        <v>171</v>
      </c>
      <c r="E17" s="56" t="s">
        <v>154</v>
      </c>
      <c r="F17" s="56" t="s">
        <v>87</v>
      </c>
      <c r="G17" s="56" t="s">
        <v>87</v>
      </c>
      <c r="H17" s="54"/>
      <c r="I17" s="56">
        <f t="shared" si="6"/>
        <v>9</v>
      </c>
      <c r="J17" s="56" t="str">
        <f t="shared" si="7"/>
        <v>Поведение</v>
      </c>
      <c r="K17" s="58" t="s">
        <v>158</v>
      </c>
      <c r="L17" s="59" t="s">
        <v>57</v>
      </c>
      <c r="M17" s="61" t="s">
        <v>51</v>
      </c>
      <c r="N17" s="61" t="s">
        <v>52</v>
      </c>
      <c r="O17" s="61"/>
      <c r="P17" s="54"/>
      <c r="Q17" s="54"/>
      <c r="R17" s="61" t="s">
        <v>53</v>
      </c>
      <c r="S17" s="61" t="s">
        <v>53</v>
      </c>
      <c r="T17" s="61" t="s">
        <v>53</v>
      </c>
      <c r="U17" s="61" t="s">
        <v>53</v>
      </c>
      <c r="V17" s="54"/>
      <c r="W17" s="54"/>
      <c r="X17" s="61" t="s">
        <v>53</v>
      </c>
      <c r="Y17" s="61">
        <v>0</v>
      </c>
      <c r="Z17" s="54"/>
      <c r="AA17" s="62">
        <v>0</v>
      </c>
      <c r="AB17" s="62"/>
      <c r="AC17" s="62"/>
      <c r="AD17" s="62"/>
      <c r="AE17" s="62"/>
      <c r="AF17" s="62">
        <v>0</v>
      </c>
      <c r="AG17" s="62">
        <v>0</v>
      </c>
      <c r="AH17" s="62">
        <v>0</v>
      </c>
      <c r="AI17" s="63" t="s">
        <v>215</v>
      </c>
      <c r="AJ17" s="64" t="s">
        <v>163</v>
      </c>
      <c r="AK17" s="64" t="s">
        <v>82</v>
      </c>
      <c r="AL17" s="64" t="s">
        <v>64</v>
      </c>
      <c r="AM17" s="64" t="s">
        <v>65</v>
      </c>
      <c r="AN17" s="64" t="s">
        <v>66</v>
      </c>
      <c r="AO17" s="64" t="s">
        <v>67</v>
      </c>
      <c r="AP17" s="64" t="str">
        <f t="shared" ref="AP17:AP18" si="14">CONCATENATE(AJ17, ".", AL17)</f>
        <v>RBRE1.Beh.stVal</v>
      </c>
      <c r="AQ17" s="64" t="s">
        <v>63</v>
      </c>
      <c r="AR17" s="54">
        <v>0</v>
      </c>
      <c r="AS17" s="54">
        <v>0</v>
      </c>
      <c r="AT17" s="54">
        <v>0</v>
      </c>
      <c r="AU17" s="54">
        <v>0</v>
      </c>
      <c r="AV17" s="54">
        <f t="shared" ref="AV17:AV18" si="15">BIN2DEC(CONCATENATE(0,0,0,0,AR17,AS17,AT17,AU17))</f>
        <v>0</v>
      </c>
      <c r="AW17" s="54">
        <v>0</v>
      </c>
      <c r="AX17" s="54">
        <v>0</v>
      </c>
      <c r="AY17" s="65"/>
      <c r="AZ17" s="54"/>
      <c r="BA17" s="54"/>
      <c r="BB17" s="54"/>
      <c r="BC17" s="54"/>
      <c r="BD17" s="54"/>
      <c r="BE17" s="54"/>
      <c r="BF17" s="54"/>
      <c r="BG17" s="80" t="str">
        <f t="shared" si="8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8" spans="1:60" s="67" customFormat="1" ht="15.75" x14ac:dyDescent="0.25">
      <c r="A18" s="52"/>
      <c r="B18" s="94" t="s">
        <v>236</v>
      </c>
      <c r="C18" s="54"/>
      <c r="D18" s="88" t="s">
        <v>171</v>
      </c>
      <c r="E18" s="56" t="s">
        <v>155</v>
      </c>
      <c r="F18" s="56" t="s">
        <v>88</v>
      </c>
      <c r="G18" s="56" t="s">
        <v>88</v>
      </c>
      <c r="H18" s="54"/>
      <c r="I18" s="56">
        <f t="shared" si="6"/>
        <v>11</v>
      </c>
      <c r="J18" s="56" t="str">
        <f t="shared" si="7"/>
        <v>Исправность</v>
      </c>
      <c r="K18" s="58" t="s">
        <v>159</v>
      </c>
      <c r="L18" s="59" t="s">
        <v>57</v>
      </c>
      <c r="M18" s="61" t="s">
        <v>51</v>
      </c>
      <c r="N18" s="61" t="s">
        <v>52</v>
      </c>
      <c r="O18" s="61"/>
      <c r="P18" s="81"/>
      <c r="Q18" s="81"/>
      <c r="R18" s="61" t="s">
        <v>53</v>
      </c>
      <c r="S18" s="61" t="s">
        <v>53</v>
      </c>
      <c r="T18" s="61" t="s">
        <v>53</v>
      </c>
      <c r="U18" s="61" t="s">
        <v>53</v>
      </c>
      <c r="V18" s="54"/>
      <c r="W18" s="54"/>
      <c r="X18" s="61" t="s">
        <v>53</v>
      </c>
      <c r="Y18" s="61">
        <v>0</v>
      </c>
      <c r="Z18" s="54"/>
      <c r="AA18" s="62">
        <v>0</v>
      </c>
      <c r="AB18" s="62"/>
      <c r="AC18" s="62"/>
      <c r="AD18" s="62"/>
      <c r="AE18" s="62"/>
      <c r="AF18" s="62">
        <v>0</v>
      </c>
      <c r="AG18" s="62">
        <v>0</v>
      </c>
      <c r="AH18" s="62">
        <v>0</v>
      </c>
      <c r="AI18" s="63" t="s">
        <v>215</v>
      </c>
      <c r="AJ18" s="64" t="s">
        <v>164</v>
      </c>
      <c r="AK18" s="64" t="s">
        <v>82</v>
      </c>
      <c r="AL18" s="64" t="s">
        <v>64</v>
      </c>
      <c r="AM18" s="64" t="s">
        <v>65</v>
      </c>
      <c r="AN18" s="64" t="s">
        <v>86</v>
      </c>
      <c r="AO18" s="64" t="s">
        <v>67</v>
      </c>
      <c r="AP18" s="64" t="str">
        <f t="shared" si="14"/>
        <v>RBRE1.Health.stVal</v>
      </c>
      <c r="AQ18" s="64" t="s">
        <v>63</v>
      </c>
      <c r="AR18" s="54">
        <v>0</v>
      </c>
      <c r="AS18" s="54">
        <v>0</v>
      </c>
      <c r="AT18" s="54">
        <v>0</v>
      </c>
      <c r="AU18" s="54">
        <v>0</v>
      </c>
      <c r="AV18" s="54">
        <f t="shared" si="15"/>
        <v>0</v>
      </c>
      <c r="AW18" s="54">
        <v>0</v>
      </c>
      <c r="AX18" s="54">
        <v>0</v>
      </c>
      <c r="AY18" s="65"/>
      <c r="AZ18" s="54"/>
      <c r="BA18" s="54"/>
      <c r="BB18" s="54"/>
      <c r="BC18" s="54"/>
      <c r="BD18" s="54"/>
      <c r="BE18" s="54"/>
      <c r="BF18" s="54"/>
      <c r="BG18" s="80" t="str">
        <f t="shared" si="8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9" spans="1:60" s="18" customFormat="1" ht="15.75" x14ac:dyDescent="0.25">
      <c r="A19" s="40"/>
      <c r="B19" s="94" t="s">
        <v>236</v>
      </c>
      <c r="C19" s="41"/>
      <c r="D19" s="86" t="s">
        <v>192</v>
      </c>
      <c r="E19" s="39" t="s">
        <v>199</v>
      </c>
      <c r="F19" s="39" t="s">
        <v>87</v>
      </c>
      <c r="G19" s="39" t="s">
        <v>87</v>
      </c>
      <c r="H19" s="41"/>
      <c r="I19" s="39">
        <f t="shared" ref="I19:I20" si="16">LEN(F19)</f>
        <v>9</v>
      </c>
      <c r="J19" s="39" t="str">
        <f t="shared" ref="J19:J20" si="17">IF(LEN(F19)&lt;=$J$1,F19,"")</f>
        <v>Поведение</v>
      </c>
      <c r="K19" s="42" t="s">
        <v>201</v>
      </c>
      <c r="L19" s="43" t="s">
        <v>57</v>
      </c>
      <c r="M19" s="44" t="s">
        <v>51</v>
      </c>
      <c r="N19" s="44" t="s">
        <v>52</v>
      </c>
      <c r="O19" s="44"/>
      <c r="P19" s="41"/>
      <c r="Q19" s="41"/>
      <c r="R19" s="44" t="s">
        <v>53</v>
      </c>
      <c r="S19" s="44" t="s">
        <v>53</v>
      </c>
      <c r="T19" s="44" t="s">
        <v>53</v>
      </c>
      <c r="U19" s="44" t="s">
        <v>53</v>
      </c>
      <c r="V19" s="41"/>
      <c r="W19" s="41"/>
      <c r="X19" s="44" t="s">
        <v>53</v>
      </c>
      <c r="Y19" s="44">
        <v>0</v>
      </c>
      <c r="Z19" s="41"/>
      <c r="AA19" s="38">
        <v>0</v>
      </c>
      <c r="AB19" s="38"/>
      <c r="AC19" s="38"/>
      <c r="AD19" s="38"/>
      <c r="AE19" s="38"/>
      <c r="AF19" s="38">
        <v>0</v>
      </c>
      <c r="AG19" s="38">
        <v>0</v>
      </c>
      <c r="AH19" s="38">
        <v>0</v>
      </c>
      <c r="AI19" s="47" t="s">
        <v>216</v>
      </c>
      <c r="AJ19" s="37" t="s">
        <v>203</v>
      </c>
      <c r="AK19" s="37" t="s">
        <v>82</v>
      </c>
      <c r="AL19" s="37" t="s">
        <v>64</v>
      </c>
      <c r="AM19" s="37" t="s">
        <v>65</v>
      </c>
      <c r="AN19" s="37" t="s">
        <v>66</v>
      </c>
      <c r="AO19" s="37" t="s">
        <v>67</v>
      </c>
      <c r="AP19" s="37" t="str">
        <f t="shared" ref="AP19:AP20" si="18">CONCATENATE(AJ19, ".", AL19)</f>
        <v>LVCBRBLC1.Beh.stVal</v>
      </c>
      <c r="AQ19" s="37" t="s">
        <v>63</v>
      </c>
      <c r="AR19" s="41">
        <v>0</v>
      </c>
      <c r="AS19" s="41">
        <v>0</v>
      </c>
      <c r="AT19" s="41">
        <v>0</v>
      </c>
      <c r="AU19" s="41">
        <v>0</v>
      </c>
      <c r="AV19" s="41">
        <f t="shared" ref="AV19:AV20" si="19">BIN2DEC(CONCATENATE(0,0,0,0,AR19,AS19,AT19,AU19))</f>
        <v>0</v>
      </c>
      <c r="AW19" s="41">
        <v>0</v>
      </c>
      <c r="AX19" s="41">
        <v>0</v>
      </c>
      <c r="AY19" s="46"/>
      <c r="AZ19" s="41"/>
      <c r="BA19" s="41"/>
      <c r="BB19" s="41"/>
      <c r="BC19" s="41"/>
      <c r="BD19" s="41"/>
      <c r="BE19" s="41"/>
      <c r="BF19" s="41"/>
      <c r="BG19" s="45" t="str">
        <f t="shared" ref="BG19:BG20" si="20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ЗАВР", group: "status", minValue: null, maxValue: null, step: null, units: "null", defaultValue: null, eventRegistration: 0</v>
      </c>
    </row>
    <row r="20" spans="1:60" s="18" customFormat="1" ht="15.75" x14ac:dyDescent="0.25">
      <c r="A20" s="40"/>
      <c r="B20" s="94" t="s">
        <v>236</v>
      </c>
      <c r="C20" s="41"/>
      <c r="D20" s="86" t="s">
        <v>192</v>
      </c>
      <c r="E20" s="39" t="s">
        <v>200</v>
      </c>
      <c r="F20" s="39" t="s">
        <v>88</v>
      </c>
      <c r="G20" s="39" t="s">
        <v>88</v>
      </c>
      <c r="H20" s="41"/>
      <c r="I20" s="39">
        <f t="shared" si="16"/>
        <v>11</v>
      </c>
      <c r="J20" s="39" t="str">
        <f t="shared" si="17"/>
        <v>Исправность</v>
      </c>
      <c r="K20" s="42" t="s">
        <v>202</v>
      </c>
      <c r="L20" s="43" t="s">
        <v>57</v>
      </c>
      <c r="M20" s="44" t="s">
        <v>51</v>
      </c>
      <c r="N20" s="44" t="s">
        <v>52</v>
      </c>
      <c r="O20" s="44"/>
      <c r="P20" s="30"/>
      <c r="Q20" s="30"/>
      <c r="R20" s="44" t="s">
        <v>53</v>
      </c>
      <c r="S20" s="44" t="s">
        <v>53</v>
      </c>
      <c r="T20" s="44" t="s">
        <v>53</v>
      </c>
      <c r="U20" s="44" t="s">
        <v>53</v>
      </c>
      <c r="V20" s="41"/>
      <c r="W20" s="41"/>
      <c r="X20" s="44" t="s">
        <v>53</v>
      </c>
      <c r="Y20" s="44">
        <v>0</v>
      </c>
      <c r="Z20" s="41"/>
      <c r="AA20" s="38">
        <v>0</v>
      </c>
      <c r="AB20" s="38"/>
      <c r="AC20" s="38"/>
      <c r="AD20" s="38"/>
      <c r="AE20" s="38"/>
      <c r="AF20" s="38">
        <v>0</v>
      </c>
      <c r="AG20" s="38">
        <v>0</v>
      </c>
      <c r="AH20" s="38">
        <v>0</v>
      </c>
      <c r="AI20" s="47" t="s">
        <v>216</v>
      </c>
      <c r="AJ20" s="37" t="s">
        <v>204</v>
      </c>
      <c r="AK20" s="37" t="s">
        <v>82</v>
      </c>
      <c r="AL20" s="37" t="s">
        <v>64</v>
      </c>
      <c r="AM20" s="37" t="s">
        <v>65</v>
      </c>
      <c r="AN20" s="37" t="s">
        <v>86</v>
      </c>
      <c r="AO20" s="37" t="s">
        <v>67</v>
      </c>
      <c r="AP20" s="37" t="str">
        <f t="shared" si="18"/>
        <v>LVCBRBLC1.Health.stVal</v>
      </c>
      <c r="AQ20" s="37" t="s">
        <v>63</v>
      </c>
      <c r="AR20" s="41">
        <v>0</v>
      </c>
      <c r="AS20" s="41">
        <v>0</v>
      </c>
      <c r="AT20" s="41">
        <v>0</v>
      </c>
      <c r="AU20" s="41">
        <v>0</v>
      </c>
      <c r="AV20" s="41">
        <f t="shared" si="19"/>
        <v>0</v>
      </c>
      <c r="AW20" s="41">
        <v>0</v>
      </c>
      <c r="AX20" s="41">
        <v>0</v>
      </c>
      <c r="AY20" s="46"/>
      <c r="AZ20" s="41"/>
      <c r="BA20" s="41"/>
      <c r="BB20" s="41"/>
      <c r="BC20" s="41"/>
      <c r="BD20" s="41"/>
      <c r="BE20" s="41"/>
      <c r="BF20" s="41"/>
      <c r="BG20" s="45" t="str">
        <f t="shared" si="20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9"/>
      <c r="BC184" s="4"/>
      <c r="BD184" s="1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9"/>
      <c r="BC185" s="4"/>
      <c r="BD185" s="1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9"/>
      <c r="BC186" s="4"/>
      <c r="BD186" s="1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9"/>
      <c r="BC187" s="4"/>
      <c r="BD187" s="1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9"/>
      <c r="BC188" s="4"/>
      <c r="BD188" s="1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9"/>
      <c r="BC189" s="4"/>
      <c r="BD189" s="1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9"/>
      <c r="BC190" s="4"/>
      <c r="BD190" s="1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9"/>
      <c r="BC191" s="4"/>
      <c r="BD191" s="1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9"/>
      <c r="BC192" s="4"/>
      <c r="BD192" s="1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9"/>
      <c r="BC193" s="4"/>
      <c r="BD193" s="1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9"/>
      <c r="BC194" s="4"/>
      <c r="BD194" s="1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9"/>
      <c r="BC195" s="4"/>
      <c r="BD195" s="1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9"/>
      <c r="BC196" s="4"/>
      <c r="BD196" s="1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9"/>
      <c r="BC197" s="4"/>
      <c r="BD197" s="1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9"/>
      <c r="BC198" s="4"/>
      <c r="BD198" s="1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9"/>
      <c r="BC199" s="4"/>
      <c r="BD199" s="1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9"/>
      <c r="BC200" s="4"/>
      <c r="BD200" s="1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9"/>
      <c r="BC201" s="4"/>
      <c r="BD201" s="1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9"/>
      <c r="BC202" s="4"/>
      <c r="BD202" s="1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9"/>
      <c r="BC203" s="4"/>
      <c r="BD203" s="1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9"/>
      <c r="BC204" s="4"/>
      <c r="BD204" s="1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9"/>
      <c r="BC205" s="4"/>
      <c r="BD205" s="1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9"/>
      <c r="BC206" s="4"/>
      <c r="BD206" s="1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9"/>
      <c r="BC207" s="4"/>
      <c r="BD207" s="1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9"/>
      <c r="BC208" s="4"/>
      <c r="BD208" s="1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9"/>
      <c r="BC209" s="4"/>
      <c r="BD209" s="1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9"/>
      <c r="BC210" s="4"/>
      <c r="BD210" s="1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9"/>
      <c r="BC211" s="4"/>
      <c r="BD211" s="1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9"/>
      <c r="BC212" s="4"/>
      <c r="BD212" s="1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9"/>
      <c r="BC213" s="4"/>
      <c r="BD213" s="1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9"/>
      <c r="BC214" s="4"/>
      <c r="BD214" s="1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9"/>
      <c r="BC215" s="4"/>
      <c r="BD215" s="1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9"/>
      <c r="BC216" s="4"/>
      <c r="BD216" s="1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9"/>
      <c r="BC217" s="4"/>
      <c r="BD217" s="19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9"/>
      <c r="BC218" s="4"/>
      <c r="BD218" s="19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9"/>
      <c r="BC219" s="4"/>
      <c r="BD219" s="19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9"/>
      <c r="BC220" s="4"/>
      <c r="BD220" s="19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9"/>
      <c r="BC221" s="4"/>
      <c r="BD221" s="19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3"/>
  <sheetViews>
    <sheetView zoomScale="80" zoomScaleNormal="80" workbookViewId="0">
      <selection activeCell="H21" sqref="H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4.425781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6" style="2" bestFit="1" customWidth="1" outlineLevel="1"/>
    <col min="18" max="18" width="17.140625" style="2" bestFit="1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9" hidden="1" customWidth="1" outlineLevel="1"/>
    <col min="56" max="56" width="13.28515625" style="4" hidden="1" customWidth="1" outlineLevel="1"/>
    <col min="57" max="57" width="13" style="19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66.425781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SUM(AB4:AB40)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115" t="s">
        <v>0</v>
      </c>
      <c r="BB1" s="116"/>
      <c r="BC1" s="116"/>
      <c r="BD1" s="116"/>
      <c r="BE1" s="116"/>
      <c r="BF1" s="116"/>
      <c r="BG1" s="116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96" t="s">
        <v>243</v>
      </c>
      <c r="I2" s="10" t="s">
        <v>7</v>
      </c>
      <c r="J2" s="10" t="s">
        <v>8</v>
      </c>
      <c r="K2" s="10" t="s">
        <v>104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102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74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98</v>
      </c>
      <c r="AD2" s="15" t="s">
        <v>99</v>
      </c>
      <c r="AE2" s="15" t="s">
        <v>100</v>
      </c>
      <c r="AF2" s="15" t="s">
        <v>101</v>
      </c>
      <c r="AG2" s="15" t="s">
        <v>24</v>
      </c>
      <c r="AH2" s="15" t="s">
        <v>25</v>
      </c>
      <c r="AI2" s="14" t="s">
        <v>26</v>
      </c>
      <c r="AJ2" s="25" t="s">
        <v>97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4" customFormat="1" ht="15.75" x14ac:dyDescent="0.25">
      <c r="A3" s="40"/>
      <c r="B3" s="40" t="s">
        <v>89</v>
      </c>
      <c r="C3" s="44"/>
      <c r="D3" s="86" t="s">
        <v>170</v>
      </c>
      <c r="E3" s="39" t="s">
        <v>167</v>
      </c>
      <c r="F3" s="39" t="s">
        <v>111</v>
      </c>
      <c r="G3" s="39" t="s">
        <v>115</v>
      </c>
      <c r="H3" s="39" t="s">
        <v>115</v>
      </c>
      <c r="I3" s="39" t="s">
        <v>105</v>
      </c>
      <c r="J3" s="39">
        <f t="shared" ref="J3:J9" si="0">LEN(F3)</f>
        <v>12</v>
      </c>
      <c r="K3" s="39" t="str">
        <f t="shared" ref="K3:K9" si="1">IF(LEN(F3)&lt;=$K$1,F3,"")</f>
        <v>Ввод_функции</v>
      </c>
      <c r="L3" s="40" t="s">
        <v>168</v>
      </c>
      <c r="M3" s="43" t="s">
        <v>54</v>
      </c>
      <c r="N3" s="44" t="s">
        <v>52</v>
      </c>
      <c r="O3" s="44" t="s">
        <v>52</v>
      </c>
      <c r="P3" s="44"/>
      <c r="Q3" s="46">
        <v>0</v>
      </c>
      <c r="R3" s="46"/>
      <c r="S3" s="44" t="s">
        <v>53</v>
      </c>
      <c r="T3" s="44">
        <v>0</v>
      </c>
      <c r="U3" s="44">
        <v>1</v>
      </c>
      <c r="V3" s="44">
        <v>1</v>
      </c>
      <c r="W3" s="44"/>
      <c r="X3" s="44"/>
      <c r="Y3" s="44">
        <v>0</v>
      </c>
      <c r="Z3" s="44">
        <v>0</v>
      </c>
      <c r="AA3" s="42"/>
      <c r="AB3" s="38">
        <v>0</v>
      </c>
      <c r="AC3" s="38"/>
      <c r="AD3" s="38"/>
      <c r="AE3" s="38"/>
      <c r="AF3" s="38"/>
      <c r="AG3" s="38">
        <v>0</v>
      </c>
      <c r="AH3" s="38">
        <v>0</v>
      </c>
      <c r="AI3" s="38">
        <v>0</v>
      </c>
      <c r="AJ3" s="38"/>
      <c r="AK3" s="41"/>
      <c r="AL3" s="41"/>
      <c r="AM3" s="41"/>
      <c r="AN3" s="41"/>
      <c r="AO3" s="41"/>
      <c r="AP3" s="41"/>
      <c r="AQ3" s="41"/>
      <c r="AR3" s="41"/>
      <c r="AS3" s="41">
        <v>0</v>
      </c>
      <c r="AT3" s="41">
        <v>0</v>
      </c>
      <c r="AU3" s="41">
        <v>0</v>
      </c>
      <c r="AV3" s="41">
        <v>0</v>
      </c>
      <c r="AW3" s="41">
        <f t="shared" ref="AW3:AW9" si="2">BIN2DEC(CONCATENATE(0,0,0,0,AS3,AT3,AU3,AV3))</f>
        <v>0</v>
      </c>
      <c r="AX3" s="41" t="s">
        <v>106</v>
      </c>
      <c r="AY3" s="41"/>
      <c r="AZ3" s="46"/>
      <c r="BA3" s="41"/>
      <c r="BB3" s="41"/>
      <c r="BC3" s="41"/>
      <c r="BD3" s="41"/>
      <c r="BE3" s="41"/>
      <c r="BF3" s="41"/>
      <c r="BG3" s="41"/>
      <c r="BH3" s="45" t="str">
        <f t="shared" ref="BH3:BH9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5" customFormat="1" ht="15.75" x14ac:dyDescent="0.25">
      <c r="A4" s="69"/>
      <c r="B4" s="69" t="s">
        <v>89</v>
      </c>
      <c r="C4" s="75"/>
      <c r="D4" s="87" t="s">
        <v>171</v>
      </c>
      <c r="E4" s="48" t="s">
        <v>167</v>
      </c>
      <c r="F4" s="48" t="s">
        <v>111</v>
      </c>
      <c r="G4" s="48" t="s">
        <v>115</v>
      </c>
      <c r="H4" s="48" t="s">
        <v>115</v>
      </c>
      <c r="I4" s="48" t="s">
        <v>105</v>
      </c>
      <c r="J4" s="48">
        <f t="shared" si="0"/>
        <v>12</v>
      </c>
      <c r="K4" s="48" t="str">
        <f t="shared" si="1"/>
        <v>Ввод_функции</v>
      </c>
      <c r="L4" s="69" t="s">
        <v>169</v>
      </c>
      <c r="M4" s="74" t="s">
        <v>54</v>
      </c>
      <c r="N4" s="75" t="s">
        <v>52</v>
      </c>
      <c r="O4" s="75" t="s">
        <v>52</v>
      </c>
      <c r="P4" s="75"/>
      <c r="Q4" s="77">
        <v>0</v>
      </c>
      <c r="R4" s="77"/>
      <c r="S4" s="75" t="s">
        <v>53</v>
      </c>
      <c r="T4" s="75">
        <v>0</v>
      </c>
      <c r="U4" s="75">
        <v>1</v>
      </c>
      <c r="V4" s="75">
        <v>1</v>
      </c>
      <c r="W4" s="75"/>
      <c r="X4" s="75"/>
      <c r="Y4" s="75">
        <v>0</v>
      </c>
      <c r="Z4" s="75">
        <v>0</v>
      </c>
      <c r="AA4" s="73"/>
      <c r="AB4" s="50">
        <v>0</v>
      </c>
      <c r="AC4" s="50"/>
      <c r="AD4" s="50"/>
      <c r="AE4" s="50"/>
      <c r="AF4" s="50"/>
      <c r="AG4" s="50">
        <v>0</v>
      </c>
      <c r="AH4" s="50">
        <v>0</v>
      </c>
      <c r="AI4" s="50">
        <v>0</v>
      </c>
      <c r="AJ4" s="50"/>
      <c r="AK4" s="70"/>
      <c r="AL4" s="70"/>
      <c r="AM4" s="70"/>
      <c r="AN4" s="70"/>
      <c r="AO4" s="70"/>
      <c r="AP4" s="70"/>
      <c r="AQ4" s="70"/>
      <c r="AR4" s="70"/>
      <c r="AS4" s="70">
        <v>0</v>
      </c>
      <c r="AT4" s="70">
        <v>0</v>
      </c>
      <c r="AU4" s="70">
        <v>0</v>
      </c>
      <c r="AV4" s="70">
        <v>0</v>
      </c>
      <c r="AW4" s="70">
        <f t="shared" si="2"/>
        <v>0</v>
      </c>
      <c r="AX4" s="70" t="s">
        <v>106</v>
      </c>
      <c r="AY4" s="70"/>
      <c r="AZ4" s="77"/>
      <c r="BA4" s="70"/>
      <c r="BB4" s="70"/>
      <c r="BC4" s="70"/>
      <c r="BD4" s="70"/>
      <c r="BE4" s="70"/>
      <c r="BF4" s="70"/>
      <c r="BG4" s="70"/>
      <c r="BH4" s="7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80" s="85" customFormat="1" ht="31.5" x14ac:dyDescent="0.25">
      <c r="A5" s="69"/>
      <c r="B5" s="69" t="s">
        <v>89</v>
      </c>
      <c r="C5" s="75"/>
      <c r="D5" s="87" t="s">
        <v>171</v>
      </c>
      <c r="E5" s="114" t="s">
        <v>248</v>
      </c>
      <c r="F5" s="114" t="s">
        <v>244</v>
      </c>
      <c r="G5" s="48" t="s">
        <v>206</v>
      </c>
      <c r="H5" s="48" t="s">
        <v>206</v>
      </c>
      <c r="I5" s="48" t="s">
        <v>105</v>
      </c>
      <c r="J5" s="48">
        <f t="shared" si="0"/>
        <v>12</v>
      </c>
      <c r="K5" s="48" t="str">
        <f t="shared" si="1"/>
        <v>ЗАПВ_МТЗ_2ст</v>
      </c>
      <c r="L5" s="69" t="s">
        <v>207</v>
      </c>
      <c r="M5" s="74" t="s">
        <v>54</v>
      </c>
      <c r="N5" s="75" t="s">
        <v>52</v>
      </c>
      <c r="O5" s="75" t="s">
        <v>52</v>
      </c>
      <c r="P5" s="75"/>
      <c r="Q5" s="77">
        <v>0</v>
      </c>
      <c r="R5" s="77"/>
      <c r="S5" s="75" t="s">
        <v>53</v>
      </c>
      <c r="T5" s="75">
        <v>0</v>
      </c>
      <c r="U5" s="75">
        <v>1</v>
      </c>
      <c r="V5" s="75">
        <v>1</v>
      </c>
      <c r="W5" s="75"/>
      <c r="X5" s="75"/>
      <c r="Y5" s="75">
        <v>0</v>
      </c>
      <c r="Z5" s="75">
        <v>0</v>
      </c>
      <c r="AA5" s="73"/>
      <c r="AB5" s="50">
        <v>0</v>
      </c>
      <c r="AC5" s="50"/>
      <c r="AD5" s="50"/>
      <c r="AE5" s="50"/>
      <c r="AF5" s="50"/>
      <c r="AG5" s="50">
        <v>0</v>
      </c>
      <c r="AH5" s="50">
        <v>0</v>
      </c>
      <c r="AI5" s="50">
        <v>0</v>
      </c>
      <c r="AJ5" s="50"/>
      <c r="AK5" s="70"/>
      <c r="AL5" s="70"/>
      <c r="AM5" s="70"/>
      <c r="AN5" s="70"/>
      <c r="AO5" s="70"/>
      <c r="AP5" s="70"/>
      <c r="AQ5" s="70"/>
      <c r="AR5" s="70"/>
      <c r="AS5" s="70">
        <v>0</v>
      </c>
      <c r="AT5" s="70">
        <v>0</v>
      </c>
      <c r="AU5" s="70">
        <v>0</v>
      </c>
      <c r="AV5" s="70">
        <v>0</v>
      </c>
      <c r="AW5" s="70">
        <f t="shared" si="2"/>
        <v>0</v>
      </c>
      <c r="AX5" s="70" t="s">
        <v>106</v>
      </c>
      <c r="AY5" s="70"/>
      <c r="AZ5" s="77"/>
      <c r="BA5" s="70"/>
      <c r="BB5" s="70"/>
      <c r="BC5" s="70"/>
      <c r="BD5" s="70"/>
      <c r="BE5" s="70"/>
      <c r="BF5" s="70"/>
      <c r="BG5" s="70"/>
      <c r="BH5" s="78" t="str">
        <f t="shared" si="3"/>
        <v>description: "ЗАПВ_МТЗ_2ст", note: "Режим запрета АПВ при срабатывании 2 ступени МТЗ", group: "setting", minValue: 0, maxValue: 1, step: 1, units: "null", defaultValue: 0, eventRegistration: 0</v>
      </c>
    </row>
    <row r="6" spans="1:16380" s="85" customFormat="1" ht="31.5" x14ac:dyDescent="0.25">
      <c r="A6" s="69"/>
      <c r="B6" s="69" t="s">
        <v>89</v>
      </c>
      <c r="C6" s="75"/>
      <c r="D6" s="87" t="s">
        <v>171</v>
      </c>
      <c r="E6" s="114" t="s">
        <v>249</v>
      </c>
      <c r="F6" s="114" t="s">
        <v>245</v>
      </c>
      <c r="G6" s="48" t="s">
        <v>208</v>
      </c>
      <c r="H6" s="48" t="s">
        <v>208</v>
      </c>
      <c r="I6" s="48" t="s">
        <v>105</v>
      </c>
      <c r="J6" s="48">
        <f t="shared" si="0"/>
        <v>12</v>
      </c>
      <c r="K6" s="48" t="str">
        <f t="shared" si="1"/>
        <v>ЗАПВ_МТЗ_3ст</v>
      </c>
      <c r="L6" s="69" t="s">
        <v>209</v>
      </c>
      <c r="M6" s="74" t="s">
        <v>54</v>
      </c>
      <c r="N6" s="75" t="s">
        <v>52</v>
      </c>
      <c r="O6" s="75" t="s">
        <v>52</v>
      </c>
      <c r="P6" s="75"/>
      <c r="Q6" s="77">
        <v>0</v>
      </c>
      <c r="R6" s="77"/>
      <c r="S6" s="75" t="s">
        <v>53</v>
      </c>
      <c r="T6" s="75">
        <v>0</v>
      </c>
      <c r="U6" s="75">
        <v>1</v>
      </c>
      <c r="V6" s="75">
        <v>1</v>
      </c>
      <c r="W6" s="75"/>
      <c r="X6" s="75"/>
      <c r="Y6" s="75">
        <v>0</v>
      </c>
      <c r="Z6" s="75">
        <v>0</v>
      </c>
      <c r="AA6" s="73"/>
      <c r="AB6" s="50">
        <v>0</v>
      </c>
      <c r="AC6" s="50"/>
      <c r="AD6" s="50"/>
      <c r="AE6" s="50"/>
      <c r="AF6" s="50"/>
      <c r="AG6" s="50">
        <v>0</v>
      </c>
      <c r="AH6" s="50">
        <v>0</v>
      </c>
      <c r="AI6" s="50">
        <v>0</v>
      </c>
      <c r="AJ6" s="50"/>
      <c r="AK6" s="70"/>
      <c r="AL6" s="70"/>
      <c r="AM6" s="70"/>
      <c r="AN6" s="70"/>
      <c r="AO6" s="70"/>
      <c r="AP6" s="70"/>
      <c r="AQ6" s="70"/>
      <c r="AR6" s="70"/>
      <c r="AS6" s="70">
        <v>0</v>
      </c>
      <c r="AT6" s="70">
        <v>0</v>
      </c>
      <c r="AU6" s="70">
        <v>0</v>
      </c>
      <c r="AV6" s="70">
        <v>0</v>
      </c>
      <c r="AW6" s="70">
        <f t="shared" si="2"/>
        <v>0</v>
      </c>
      <c r="AX6" s="70" t="s">
        <v>106</v>
      </c>
      <c r="AY6" s="70"/>
      <c r="AZ6" s="77"/>
      <c r="BA6" s="70"/>
      <c r="BB6" s="70"/>
      <c r="BC6" s="70"/>
      <c r="BD6" s="70"/>
      <c r="BE6" s="70"/>
      <c r="BF6" s="70"/>
      <c r="BG6" s="70"/>
      <c r="BH6" s="78" t="str">
        <f t="shared" si="3"/>
        <v>description: "ЗАПВ_МТЗ_3ст", note: "Режим запрета АПВ при срабатывании 3 ступени МТЗ", group: "setting", minValue: 0, maxValue: 1, step: 1, units: "null", defaultValue: 0, eventRegistration: 0</v>
      </c>
    </row>
    <row r="7" spans="1:16380" s="84" customFormat="1" ht="15.75" x14ac:dyDescent="0.25">
      <c r="A7" s="40"/>
      <c r="B7" s="40" t="s">
        <v>89</v>
      </c>
      <c r="C7" s="44"/>
      <c r="D7" s="86" t="s">
        <v>192</v>
      </c>
      <c r="E7" s="39" t="s">
        <v>167</v>
      </c>
      <c r="F7" s="39" t="s">
        <v>111</v>
      </c>
      <c r="G7" s="39" t="s">
        <v>115</v>
      </c>
      <c r="H7" s="39" t="s">
        <v>115</v>
      </c>
      <c r="I7" s="39" t="s">
        <v>105</v>
      </c>
      <c r="J7" s="39">
        <f t="shared" si="0"/>
        <v>12</v>
      </c>
      <c r="K7" s="39" t="str">
        <f t="shared" si="1"/>
        <v>Ввод_функции</v>
      </c>
      <c r="L7" s="40" t="s">
        <v>213</v>
      </c>
      <c r="M7" s="43" t="s">
        <v>54</v>
      </c>
      <c r="N7" s="44" t="s">
        <v>52</v>
      </c>
      <c r="O7" s="44" t="s">
        <v>52</v>
      </c>
      <c r="P7" s="44"/>
      <c r="Q7" s="46">
        <v>0</v>
      </c>
      <c r="R7" s="46"/>
      <c r="S7" s="44" t="s">
        <v>53</v>
      </c>
      <c r="T7" s="44">
        <v>0</v>
      </c>
      <c r="U7" s="44">
        <v>1</v>
      </c>
      <c r="V7" s="44">
        <v>1</v>
      </c>
      <c r="W7" s="44"/>
      <c r="X7" s="44"/>
      <c r="Y7" s="44">
        <v>0</v>
      </c>
      <c r="Z7" s="44">
        <v>0</v>
      </c>
      <c r="AA7" s="42"/>
      <c r="AB7" s="38">
        <v>0</v>
      </c>
      <c r="AC7" s="38"/>
      <c r="AD7" s="38"/>
      <c r="AE7" s="38"/>
      <c r="AF7" s="38"/>
      <c r="AG7" s="38">
        <v>0</v>
      </c>
      <c r="AH7" s="38">
        <v>0</v>
      </c>
      <c r="AI7" s="38">
        <v>0</v>
      </c>
      <c r="AJ7" s="38"/>
      <c r="AK7" s="41"/>
      <c r="AL7" s="41"/>
      <c r="AM7" s="41"/>
      <c r="AN7" s="41"/>
      <c r="AO7" s="41"/>
      <c r="AP7" s="41"/>
      <c r="AQ7" s="41"/>
      <c r="AR7" s="41"/>
      <c r="AS7" s="41">
        <v>0</v>
      </c>
      <c r="AT7" s="41">
        <v>0</v>
      </c>
      <c r="AU7" s="41">
        <v>0</v>
      </c>
      <c r="AV7" s="41">
        <v>0</v>
      </c>
      <c r="AW7" s="41">
        <f t="shared" si="2"/>
        <v>0</v>
      </c>
      <c r="AX7" s="41" t="s">
        <v>106</v>
      </c>
      <c r="AY7" s="41"/>
      <c r="AZ7" s="46"/>
      <c r="BA7" s="41"/>
      <c r="BB7" s="41"/>
      <c r="BC7" s="41"/>
      <c r="BD7" s="41"/>
      <c r="BE7" s="41"/>
      <c r="BF7" s="41"/>
      <c r="BG7" s="41"/>
      <c r="BH7" s="45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8" spans="1:16380" s="84" customFormat="1" ht="31.5" x14ac:dyDescent="0.25">
      <c r="A8" s="40"/>
      <c r="B8" s="40" t="s">
        <v>89</v>
      </c>
      <c r="C8" s="44"/>
      <c r="D8" s="86" t="s">
        <v>192</v>
      </c>
      <c r="E8" s="114" t="s">
        <v>250</v>
      </c>
      <c r="F8" s="114" t="s">
        <v>246</v>
      </c>
      <c r="G8" s="39" t="s">
        <v>206</v>
      </c>
      <c r="H8" s="39" t="s">
        <v>206</v>
      </c>
      <c r="I8" s="39" t="s">
        <v>105</v>
      </c>
      <c r="J8" s="39">
        <f t="shared" si="0"/>
        <v>12</v>
      </c>
      <c r="K8" s="39" t="str">
        <f t="shared" si="1"/>
        <v>ЗАВР_МТЗ_2ст</v>
      </c>
      <c r="L8" s="40" t="s">
        <v>210</v>
      </c>
      <c r="M8" s="43" t="s">
        <v>54</v>
      </c>
      <c r="N8" s="44" t="s">
        <v>52</v>
      </c>
      <c r="O8" s="44" t="s">
        <v>52</v>
      </c>
      <c r="P8" s="44"/>
      <c r="Q8" s="46">
        <v>0</v>
      </c>
      <c r="R8" s="46"/>
      <c r="S8" s="44" t="s">
        <v>53</v>
      </c>
      <c r="T8" s="44">
        <v>0</v>
      </c>
      <c r="U8" s="44">
        <v>1</v>
      </c>
      <c r="V8" s="44">
        <v>1</v>
      </c>
      <c r="W8" s="44"/>
      <c r="X8" s="44"/>
      <c r="Y8" s="44">
        <v>0</v>
      </c>
      <c r="Z8" s="44">
        <v>0</v>
      </c>
      <c r="AA8" s="42"/>
      <c r="AB8" s="38">
        <v>0</v>
      </c>
      <c r="AC8" s="38"/>
      <c r="AD8" s="38"/>
      <c r="AE8" s="38"/>
      <c r="AF8" s="38"/>
      <c r="AG8" s="38">
        <v>0</v>
      </c>
      <c r="AH8" s="38">
        <v>0</v>
      </c>
      <c r="AI8" s="38">
        <v>0</v>
      </c>
      <c r="AJ8" s="38"/>
      <c r="AK8" s="41"/>
      <c r="AL8" s="41"/>
      <c r="AM8" s="41"/>
      <c r="AN8" s="41"/>
      <c r="AO8" s="41"/>
      <c r="AP8" s="41"/>
      <c r="AQ8" s="41"/>
      <c r="AR8" s="41"/>
      <c r="AS8" s="41">
        <v>0</v>
      </c>
      <c r="AT8" s="41">
        <v>0</v>
      </c>
      <c r="AU8" s="41">
        <v>0</v>
      </c>
      <c r="AV8" s="41">
        <v>0</v>
      </c>
      <c r="AW8" s="41">
        <f t="shared" si="2"/>
        <v>0</v>
      </c>
      <c r="AX8" s="41" t="s">
        <v>106</v>
      </c>
      <c r="AY8" s="41"/>
      <c r="AZ8" s="46"/>
      <c r="BA8" s="41"/>
      <c r="BB8" s="41"/>
      <c r="BC8" s="41"/>
      <c r="BD8" s="41"/>
      <c r="BE8" s="41"/>
      <c r="BF8" s="41"/>
      <c r="BG8" s="41"/>
      <c r="BH8" s="45" t="str">
        <f t="shared" si="3"/>
        <v>description: "ЗАВР_МТЗ_2ст", note: "Режим запрета АВР при срабатывании 2 ступени МТЗ", group: "setting", minValue: 0, maxValue: 1, step: 1, units: "null", defaultValue: 0, eventRegistration: 0</v>
      </c>
    </row>
    <row r="9" spans="1:16380" s="84" customFormat="1" ht="31.5" x14ac:dyDescent="0.25">
      <c r="A9" s="40"/>
      <c r="B9" s="40" t="s">
        <v>89</v>
      </c>
      <c r="C9" s="44"/>
      <c r="D9" s="86" t="s">
        <v>192</v>
      </c>
      <c r="E9" s="114" t="s">
        <v>251</v>
      </c>
      <c r="F9" s="114" t="s">
        <v>247</v>
      </c>
      <c r="G9" s="39" t="s">
        <v>208</v>
      </c>
      <c r="H9" s="39" t="s">
        <v>208</v>
      </c>
      <c r="I9" s="39" t="s">
        <v>105</v>
      </c>
      <c r="J9" s="39">
        <f t="shared" si="0"/>
        <v>12</v>
      </c>
      <c r="K9" s="39" t="str">
        <f t="shared" si="1"/>
        <v>ЗАВР_МТЗ_3ст</v>
      </c>
      <c r="L9" s="40" t="s">
        <v>211</v>
      </c>
      <c r="M9" s="43" t="s">
        <v>54</v>
      </c>
      <c r="N9" s="44" t="s">
        <v>52</v>
      </c>
      <c r="O9" s="44" t="s">
        <v>52</v>
      </c>
      <c r="P9" s="44"/>
      <c r="Q9" s="46">
        <v>0</v>
      </c>
      <c r="R9" s="46"/>
      <c r="S9" s="44" t="s">
        <v>53</v>
      </c>
      <c r="T9" s="44">
        <v>0</v>
      </c>
      <c r="U9" s="44">
        <v>1</v>
      </c>
      <c r="V9" s="44">
        <v>1</v>
      </c>
      <c r="W9" s="44"/>
      <c r="X9" s="44"/>
      <c r="Y9" s="44">
        <v>0</v>
      </c>
      <c r="Z9" s="44">
        <v>0</v>
      </c>
      <c r="AA9" s="42"/>
      <c r="AB9" s="38">
        <v>0</v>
      </c>
      <c r="AC9" s="38"/>
      <c r="AD9" s="38"/>
      <c r="AE9" s="38"/>
      <c r="AF9" s="38"/>
      <c r="AG9" s="38">
        <v>0</v>
      </c>
      <c r="AH9" s="38">
        <v>0</v>
      </c>
      <c r="AI9" s="38">
        <v>0</v>
      </c>
      <c r="AJ9" s="38"/>
      <c r="AK9" s="41"/>
      <c r="AL9" s="41"/>
      <c r="AM9" s="41"/>
      <c r="AN9" s="41"/>
      <c r="AO9" s="41"/>
      <c r="AP9" s="41"/>
      <c r="AQ9" s="41"/>
      <c r="AR9" s="41"/>
      <c r="AS9" s="41">
        <v>0</v>
      </c>
      <c r="AT9" s="41">
        <v>0</v>
      </c>
      <c r="AU9" s="41">
        <v>0</v>
      </c>
      <c r="AV9" s="41">
        <v>0</v>
      </c>
      <c r="AW9" s="41">
        <f t="shared" si="2"/>
        <v>0</v>
      </c>
      <c r="AX9" s="41" t="s">
        <v>106</v>
      </c>
      <c r="AY9" s="41"/>
      <c r="AZ9" s="46"/>
      <c r="BA9" s="41"/>
      <c r="BB9" s="41"/>
      <c r="BC9" s="41"/>
      <c r="BD9" s="41"/>
      <c r="BE9" s="41"/>
      <c r="BF9" s="41"/>
      <c r="BG9" s="41"/>
      <c r="BH9" s="45" t="str">
        <f t="shared" si="3"/>
        <v>description: "ЗАВР_МТЗ_3ст", note: "Режим запрета АВР при срабатывании 3 ступени МТЗ", group: "setting", minValue: 0, maxValue: 1, step: 1, units: "null", defaultValue: 0, eventRegistration: 0</v>
      </c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9"/>
      <c r="BD10" s="4"/>
      <c r="BE10" s="19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9"/>
      <c r="BD11" s="4"/>
      <c r="BE11" s="19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9"/>
      <c r="BD12" s="4"/>
      <c r="BE12" s="19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9"/>
      <c r="BD13" s="4"/>
      <c r="BE13" s="19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9"/>
      <c r="BD14" s="4"/>
      <c r="BE14" s="19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9"/>
      <c r="BD15" s="4"/>
      <c r="BE15" s="19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9"/>
      <c r="BD16" s="4"/>
      <c r="BE16" s="19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9"/>
      <c r="BD17" s="4"/>
      <c r="BE17" s="19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9"/>
      <c r="BD18" s="4"/>
      <c r="BE18" s="19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9"/>
      <c r="BD19" s="4"/>
      <c r="BE19" s="19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9"/>
      <c r="BD20" s="4"/>
      <c r="BE20" s="19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9"/>
      <c r="BD21" s="4"/>
      <c r="BE21" s="19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9"/>
      <c r="BD22" s="4"/>
      <c r="BE22" s="19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9"/>
      <c r="BD23" s="4"/>
      <c r="BE23" s="19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9"/>
      <c r="BD24" s="4"/>
      <c r="BE24" s="19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9"/>
      <c r="BD25" s="4"/>
      <c r="BE25" s="19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9"/>
      <c r="BD26" s="4"/>
      <c r="BE26" s="19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9"/>
      <c r="BD27" s="4"/>
      <c r="BE27" s="19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9"/>
      <c r="BD28" s="4"/>
      <c r="BE28" s="19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9"/>
      <c r="BD29" s="4"/>
      <c r="BE29" s="19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9"/>
      <c r="BD30" s="4"/>
      <c r="BE30" s="19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9"/>
      <c r="BD31" s="4"/>
      <c r="BE31" s="19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9"/>
      <c r="BD32" s="4"/>
      <c r="BE32" s="19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9"/>
      <c r="BD33" s="4"/>
      <c r="BE33" s="19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9"/>
      <c r="BD34" s="4"/>
      <c r="BE34" s="19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9"/>
      <c r="BD35" s="4"/>
      <c r="BE35" s="19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9"/>
      <c r="BD36" s="4"/>
      <c r="BE36" s="19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9"/>
      <c r="BD37" s="4"/>
      <c r="BE37" s="19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9"/>
      <c r="BD38" s="4"/>
      <c r="BE38" s="19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9"/>
      <c r="BD39" s="4"/>
      <c r="BE39" s="19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9"/>
      <c r="BD40" s="4"/>
      <c r="BE40" s="19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9"/>
      <c r="BD41" s="4"/>
      <c r="BE41" s="19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9"/>
      <c r="BD42" s="4"/>
      <c r="BE42" s="19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9"/>
      <c r="BD43" s="4"/>
      <c r="BE43" s="19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9"/>
      <c r="BD44" s="4"/>
      <c r="BE44" s="19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9"/>
      <c r="BD45" s="4"/>
      <c r="BE45" s="19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9"/>
      <c r="BD46" s="4"/>
      <c r="BE46" s="19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9"/>
      <c r="BD47" s="4"/>
      <c r="BE47" s="19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9"/>
      <c r="BD48" s="4"/>
      <c r="BE48" s="19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9"/>
      <c r="BD49" s="4"/>
      <c r="BE49" s="19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9"/>
      <c r="BD50" s="4"/>
      <c r="BE50" s="19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9"/>
      <c r="BD51" s="4"/>
      <c r="BE51" s="19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9"/>
      <c r="BD52" s="4"/>
      <c r="BE52" s="19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9"/>
      <c r="BD53" s="4"/>
      <c r="BE53" s="19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9"/>
      <c r="BD54" s="4"/>
      <c r="BE54" s="19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9"/>
      <c r="BD55" s="4"/>
      <c r="BE55" s="19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9"/>
      <c r="BD56" s="4"/>
      <c r="BE56" s="19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9"/>
      <c r="BD57" s="4"/>
      <c r="BE57" s="19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9"/>
      <c r="BD58" s="4"/>
      <c r="BE58" s="19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9"/>
      <c r="BD59" s="4"/>
      <c r="BE59" s="19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9"/>
      <c r="BD60" s="4"/>
      <c r="BE60" s="19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9"/>
      <c r="BD61" s="4"/>
      <c r="BE61" s="19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9"/>
      <c r="BD62" s="4"/>
      <c r="BE62" s="19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9"/>
      <c r="BD63" s="4"/>
      <c r="BE63" s="19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9"/>
      <c r="BD64" s="4"/>
      <c r="BE64" s="19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9"/>
      <c r="BD65" s="4"/>
      <c r="BE65" s="19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9"/>
      <c r="BD66" s="4"/>
      <c r="BE66" s="19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9"/>
      <c r="BD67" s="4"/>
      <c r="BE67" s="19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9"/>
      <c r="BD68" s="4"/>
      <c r="BE68" s="19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9"/>
      <c r="BD69" s="4"/>
      <c r="BE69" s="19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9"/>
      <c r="BD70" s="4"/>
      <c r="BE70" s="19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9"/>
      <c r="BD71" s="4"/>
      <c r="BE71" s="19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9"/>
      <c r="BD72" s="4"/>
      <c r="BE72" s="19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9"/>
      <c r="BD73" s="4"/>
      <c r="BE73" s="19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9"/>
      <c r="BD74" s="4"/>
      <c r="BE74" s="19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9"/>
      <c r="BD75" s="4"/>
      <c r="BE75" s="19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9"/>
      <c r="BD76" s="4"/>
      <c r="BE76" s="19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9"/>
      <c r="BD77" s="4"/>
      <c r="BE77" s="19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9"/>
      <c r="BD78" s="4"/>
      <c r="BE78" s="19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9"/>
      <c r="BD79" s="4"/>
      <c r="BE79" s="19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9"/>
      <c r="BD80" s="4"/>
      <c r="BE80" s="19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9"/>
      <c r="BD81" s="4"/>
      <c r="BE81" s="19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9"/>
      <c r="BD82" s="4"/>
      <c r="BE82" s="19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9"/>
      <c r="BD83" s="4"/>
      <c r="BE83" s="19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9"/>
      <c r="BD84" s="4"/>
      <c r="BE84" s="19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9"/>
      <c r="BD85" s="4"/>
      <c r="BE85" s="19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9"/>
      <c r="BD86" s="4"/>
      <c r="BE86" s="19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9"/>
      <c r="BD87" s="4"/>
      <c r="BE87" s="19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9"/>
      <c r="BD88" s="4"/>
      <c r="BE88" s="19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9"/>
      <c r="BD89" s="4"/>
      <c r="BE89" s="19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9"/>
      <c r="BD90" s="4"/>
      <c r="BE90" s="19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9"/>
      <c r="BD91" s="4"/>
      <c r="BE91" s="19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9"/>
      <c r="BD92" s="4"/>
      <c r="BE92" s="19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9"/>
      <c r="BD93" s="4"/>
      <c r="BE93" s="19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9"/>
      <c r="BD94" s="4"/>
      <c r="BE94" s="19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9"/>
      <c r="BD95" s="4"/>
      <c r="BE95" s="19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9"/>
      <c r="BD96" s="4"/>
      <c r="BE96" s="19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9"/>
      <c r="BD97" s="4"/>
      <c r="BE97" s="19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9"/>
      <c r="BD98" s="4"/>
      <c r="BE98" s="19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9"/>
      <c r="BD99" s="4"/>
      <c r="BE99" s="19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9"/>
      <c r="BD100" s="4"/>
      <c r="BE100" s="19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9"/>
      <c r="BD101" s="4"/>
      <c r="BE101" s="19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9"/>
      <c r="BD102" s="4"/>
      <c r="BE102" s="19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9"/>
      <c r="BD103" s="4"/>
      <c r="BE103" s="19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9"/>
      <c r="BD104" s="4"/>
      <c r="BE104" s="19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9"/>
      <c r="BD105" s="4"/>
      <c r="BE105" s="19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9"/>
      <c r="BD106" s="4"/>
      <c r="BE106" s="19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9"/>
      <c r="BD107" s="4"/>
      <c r="BE107" s="19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9"/>
      <c r="BD108" s="4"/>
      <c r="BE108" s="19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9"/>
      <c r="BD109" s="4"/>
      <c r="BE109" s="19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9"/>
      <c r="BD110" s="4"/>
      <c r="BE110" s="19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9"/>
      <c r="BD111" s="4"/>
      <c r="BE111" s="19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9"/>
      <c r="BD112" s="4"/>
      <c r="BE112" s="19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9"/>
      <c r="BD113" s="4"/>
      <c r="BE113" s="19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9"/>
      <c r="BD114" s="4"/>
      <c r="BE114" s="19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9"/>
      <c r="BD115" s="4"/>
      <c r="BE115" s="19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9"/>
      <c r="BD116" s="4"/>
      <c r="BE116" s="19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9"/>
      <c r="BD117" s="4"/>
      <c r="BE117" s="19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9"/>
      <c r="BD118" s="4"/>
      <c r="BE118" s="19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9"/>
      <c r="BD119" s="4"/>
      <c r="BE119" s="19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9"/>
      <c r="BD120" s="4"/>
      <c r="BE120" s="19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9"/>
      <c r="BD121" s="4"/>
      <c r="BE121" s="19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9"/>
      <c r="BD122" s="4"/>
      <c r="BE122" s="19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9"/>
      <c r="BD123" s="4"/>
      <c r="BE123" s="19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9"/>
      <c r="BD124" s="4"/>
      <c r="BE124" s="19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9"/>
      <c r="BD125" s="4"/>
      <c r="BE125" s="19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9"/>
      <c r="BD126" s="4"/>
      <c r="BE126" s="19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9"/>
      <c r="BD127" s="4"/>
      <c r="BE127" s="19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9"/>
      <c r="BD128" s="4"/>
      <c r="BE128" s="19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9"/>
      <c r="BD129" s="4"/>
      <c r="BE129" s="19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9"/>
      <c r="BD130" s="4"/>
      <c r="BE130" s="19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9"/>
      <c r="BD131" s="4"/>
      <c r="BE131" s="19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9"/>
      <c r="BD132" s="4"/>
      <c r="BE132" s="19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9"/>
      <c r="BD133" s="4"/>
      <c r="BE133" s="19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9"/>
      <c r="BD134" s="4"/>
      <c r="BE134" s="19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9"/>
      <c r="BD135" s="4"/>
      <c r="BE135" s="19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9"/>
      <c r="BD136" s="4"/>
      <c r="BE136" s="19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9"/>
      <c r="BD137" s="4"/>
      <c r="BE137" s="19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9"/>
      <c r="BD138" s="4"/>
      <c r="BE138" s="19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9"/>
      <c r="BD139" s="4"/>
      <c r="BE139" s="19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9"/>
      <c r="BD140" s="4"/>
      <c r="BE140" s="19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9"/>
      <c r="BD141" s="4"/>
      <c r="BE141" s="19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9"/>
      <c r="BD142" s="4"/>
      <c r="BE142" s="19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9"/>
      <c r="BD143" s="4"/>
      <c r="BE143" s="19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9"/>
      <c r="BD144" s="4"/>
      <c r="BE144" s="19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19"/>
      <c r="BD145" s="4"/>
      <c r="BE145" s="19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9"/>
      <c r="BD146" s="4"/>
      <c r="BE146" s="19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9"/>
      <c r="BD147" s="4"/>
      <c r="BE147" s="19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9"/>
      <c r="BD148" s="4"/>
      <c r="BE148" s="19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9"/>
      <c r="BD149" s="4"/>
      <c r="BE149" s="19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9"/>
      <c r="BD150" s="4"/>
      <c r="BE150" s="19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9"/>
      <c r="BD151" s="4"/>
      <c r="BE151" s="19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9"/>
      <c r="BD152" s="4"/>
      <c r="BE152" s="19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9"/>
      <c r="BD153" s="4"/>
      <c r="BE153" s="19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9"/>
      <c r="BD154" s="4"/>
      <c r="BE154" s="19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9"/>
      <c r="BD155" s="4"/>
      <c r="BE155" s="19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9"/>
      <c r="BD156" s="4"/>
      <c r="BE156" s="19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9"/>
      <c r="BD157" s="4"/>
      <c r="BE157" s="19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9"/>
      <c r="BD158" s="4"/>
      <c r="BE158" s="19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9"/>
      <c r="BD159" s="4"/>
      <c r="BE159" s="19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9"/>
      <c r="BD160" s="4"/>
      <c r="BE160" s="19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9"/>
      <c r="BD161" s="4"/>
      <c r="BE161" s="19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9"/>
      <c r="BD162" s="4"/>
      <c r="BE162" s="19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9"/>
      <c r="BD163" s="4"/>
      <c r="BE163" s="19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9"/>
      <c r="BD164" s="4"/>
      <c r="BE164" s="19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9"/>
      <c r="BD165" s="4"/>
      <c r="BE165" s="19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9"/>
      <c r="BD166" s="4"/>
      <c r="BE166" s="19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9"/>
      <c r="BD167" s="4"/>
      <c r="BE167" s="19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9"/>
      <c r="BD168" s="4"/>
      <c r="BE168" s="19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9"/>
      <c r="BD169" s="4"/>
      <c r="BE169" s="19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9"/>
      <c r="BD170" s="4"/>
      <c r="BE170" s="19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9"/>
      <c r="BD171" s="4"/>
      <c r="BE171" s="19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9"/>
      <c r="BD172" s="4"/>
      <c r="BE172" s="19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9"/>
      <c r="BD173" s="4"/>
      <c r="BE173" s="19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9"/>
      <c r="BD174" s="4"/>
      <c r="BE174" s="19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9"/>
      <c r="BD175" s="4"/>
      <c r="BE175" s="19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9"/>
      <c r="BD176" s="4"/>
      <c r="BE176" s="19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9"/>
      <c r="BD177" s="4"/>
      <c r="BE177" s="19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9"/>
      <c r="BD178" s="4"/>
      <c r="BE178" s="19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9"/>
      <c r="BD179" s="4"/>
      <c r="BE179" s="19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9"/>
      <c r="BD180" s="4"/>
      <c r="BE180" s="19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9"/>
      <c r="BD181" s="4"/>
      <c r="BE181" s="19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9"/>
      <c r="BD182" s="4"/>
      <c r="BE182" s="19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9"/>
      <c r="BD183" s="4"/>
      <c r="BE183" s="19"/>
      <c r="BF183" s="4"/>
      <c r="BG183" s="4"/>
      <c r="BH183" s="1"/>
      <c r="BI18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17" sqref="B17"/>
    </sheetView>
  </sheetViews>
  <sheetFormatPr defaultRowHeight="15.75" x14ac:dyDescent="0.25"/>
  <cols>
    <col min="1" max="1" width="22.42578125" style="89" customWidth="1"/>
    <col min="2" max="2" width="80.5703125" style="89" customWidth="1"/>
    <col min="3" max="16384" width="9.140625" style="89"/>
  </cols>
  <sheetData>
    <row r="2" spans="1:2" x14ac:dyDescent="0.25">
      <c r="A2" s="10" t="s">
        <v>90</v>
      </c>
      <c r="B2" s="10" t="s">
        <v>91</v>
      </c>
    </row>
    <row r="3" spans="1:2" x14ac:dyDescent="0.25">
      <c r="A3" s="21" t="s">
        <v>92</v>
      </c>
      <c r="B3" s="90" t="s">
        <v>118</v>
      </c>
    </row>
    <row r="4" spans="1:2" x14ac:dyDescent="0.25">
      <c r="A4" s="21" t="s">
        <v>93</v>
      </c>
      <c r="B4" s="23">
        <v>531</v>
      </c>
    </row>
    <row r="5" spans="1:2" x14ac:dyDescent="0.25">
      <c r="A5" s="21" t="s">
        <v>94</v>
      </c>
      <c r="B5" s="22" t="s">
        <v>52</v>
      </c>
    </row>
    <row r="6" spans="1:2" x14ac:dyDescent="0.25">
      <c r="A6" s="24" t="s">
        <v>95</v>
      </c>
      <c r="B6" s="22" t="s">
        <v>212</v>
      </c>
    </row>
    <row r="7" spans="1:2" x14ac:dyDescent="0.25">
      <c r="A7" s="24" t="s">
        <v>225</v>
      </c>
      <c r="B7" s="22">
        <v>1</v>
      </c>
    </row>
    <row r="8" spans="1:2" x14ac:dyDescent="0.25">
      <c r="A8" s="95" t="s">
        <v>237</v>
      </c>
      <c r="B8" t="s">
        <v>240</v>
      </c>
    </row>
    <row r="9" spans="1:2" x14ac:dyDescent="0.25">
      <c r="A9" s="95" t="s">
        <v>238</v>
      </c>
      <c r="B9" s="95"/>
    </row>
    <row r="10" spans="1:2" x14ac:dyDescent="0.25">
      <c r="A10" s="83" t="s">
        <v>170</v>
      </c>
      <c r="B10" t="s">
        <v>239</v>
      </c>
    </row>
    <row r="11" spans="1:2" x14ac:dyDescent="0.25">
      <c r="A11" s="87" t="s">
        <v>171</v>
      </c>
      <c r="B11" t="s">
        <v>241</v>
      </c>
    </row>
    <row r="12" spans="1:2" x14ac:dyDescent="0.25">
      <c r="A12" s="86" t="s">
        <v>192</v>
      </c>
      <c r="B12" t="s">
        <v>242</v>
      </c>
    </row>
    <row r="13" spans="1:2" x14ac:dyDescent="0.25">
      <c r="A13" s="95" t="s">
        <v>238</v>
      </c>
      <c r="B13" s="9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2025-10-11T07:58:18Z</dcterms:modified>
</cp:coreProperties>
</file>