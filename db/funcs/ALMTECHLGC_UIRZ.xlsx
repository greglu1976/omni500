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4" i="4" l="1"/>
  <c r="J15" i="4"/>
  <c r="J16" i="4"/>
  <c r="BH5" i="6" l="1"/>
  <c r="AW5" i="6"/>
  <c r="K5" i="6"/>
  <c r="J5" i="6"/>
  <c r="BH4" i="6"/>
  <c r="AW4" i="6"/>
  <c r="K4" i="6"/>
  <c r="J4" i="6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AP6" i="5"/>
  <c r="BG13" i="4"/>
  <c r="J13" i="4"/>
  <c r="I13" i="4"/>
  <c r="I14" i="4"/>
  <c r="AP14" i="4"/>
  <c r="BG14" i="4"/>
  <c r="BG22" i="5" l="1"/>
  <c r="AV22" i="5"/>
  <c r="AP22" i="5"/>
  <c r="J22" i="5"/>
  <c r="I22" i="5"/>
  <c r="BG21" i="5"/>
  <c r="AV21" i="5"/>
  <c r="AP21" i="5"/>
  <c r="J21" i="5"/>
  <c r="I21" i="5"/>
  <c r="BG20" i="5"/>
  <c r="AV20" i="5"/>
  <c r="AP20" i="5"/>
  <c r="J20" i="5"/>
  <c r="I20" i="5"/>
  <c r="BG19" i="5"/>
  <c r="AV19" i="5"/>
  <c r="AP19" i="5"/>
  <c r="J19" i="5"/>
  <c r="I19" i="5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6" i="4" l="1"/>
  <c r="J6" i="4"/>
  <c r="I6" i="4"/>
  <c r="BG5" i="4"/>
  <c r="J5" i="4"/>
  <c r="I5" i="4"/>
  <c r="BG4" i="4"/>
  <c r="J4" i="4"/>
  <c r="I4" i="4"/>
  <c r="AV15" i="5" l="1"/>
  <c r="AV16" i="5"/>
  <c r="AV17" i="5"/>
  <c r="AV18" i="5"/>
  <c r="BG7" i="4" l="1"/>
  <c r="J7" i="4"/>
  <c r="I7" i="4"/>
  <c r="BG18" i="5" l="1"/>
  <c r="BG17" i="5"/>
  <c r="BG16" i="5"/>
  <c r="BG15" i="5"/>
  <c r="BH3" i="6"/>
  <c r="AW3" i="6"/>
  <c r="K3" i="6"/>
  <c r="J3" i="6"/>
  <c r="AI1" i="6"/>
  <c r="AP18" i="5"/>
  <c r="J18" i="5"/>
  <c r="I18" i="5"/>
  <c r="AP17" i="5"/>
  <c r="J17" i="5"/>
  <c r="I17" i="5"/>
  <c r="AP16" i="5"/>
  <c r="J16" i="5"/>
  <c r="I16" i="5"/>
  <c r="AP15" i="5"/>
  <c r="J15" i="5"/>
  <c r="I15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6" i="4"/>
  <c r="I16" i="4"/>
  <c r="BG15" i="4"/>
  <c r="I15" i="4"/>
  <c r="BG3" i="4"/>
  <c r="J3" i="4"/>
  <c r="I3" i="4"/>
  <c r="AH1" i="4"/>
</calcChain>
</file>

<file path=xl/sharedStrings.xml><?xml version="1.0" encoding="utf-8"?>
<sst xmlns="http://schemas.openxmlformats.org/spreadsheetml/2006/main" count="795" uniqueCount="207">
  <si>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</si>
  <si>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</si>
  <si>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</si>
  <si>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</si>
  <si>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</si>
  <si>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</si>
  <si>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</si>
  <si>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</si>
  <si>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</si>
  <si>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</si>
  <si>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</si>
  <si>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</si>
  <si>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</si>
  <si>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</si>
  <si>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</si>
  <si>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</si>
  <si>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</si>
  <si>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</si>
  <si>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</si>
  <si>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</si>
  <si>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</si>
  <si>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</si>
  <si>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</si>
  <si>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</si>
  <si>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</si>
  <si>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</si>
  <si>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</si>
  <si>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</si>
  <si>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</si>
  <si>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</si>
  <si>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</si>
  <si>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</si>
  <si>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</si>
  <si>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</si>
  <si>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</si>
  <si>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</si>
  <si>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</si>
  <si>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</si>
  <si>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</si>
  <si>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</si>
  <si>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</si>
  <si>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</si>
  <si>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</si>
  <si>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</si>
  <si>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</si>
  <si>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</si>
  <si>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</si>
  <si>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</si>
  <si>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</si>
  <si>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</si>
  <si>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</si>
  <si>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</si>
  <si>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</si>
  <si>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</si>
  <si>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</si>
  <si>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</si>
  <si>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</si>
  <si>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</si>
  <si>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</si>
  <si>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</si>
  <si>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</si>
  <si>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</si>
  <si>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</si>
  <si>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</si>
  <si>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</si>
  <si>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</si>
  <si>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</si>
  <si>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</si>
  <si>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</si>
  <si>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</si>
  <si>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</si>
  <si>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</si>
  <si>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</si>
  <si>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</si>
  <si>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</si>
  <si>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</si>
  <si>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</si>
  <si>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</si>
  <si>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</si>
  <si>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</si>
  <si>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</si>
  <si>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</si>
  <si>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</si>
  <si>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</si>
  <si>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</si>
  <si>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</si>
  <si>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</si>
  <si>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</si>
  <si>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</si>
  <si>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</si>
  <si>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</si>
  <si>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</si>
  <si>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</si>
  <si>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</si>
  <si>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</si>
  <si>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</si>
  <si>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</si>
  <si>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</si>
  <si>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</si>
  <si>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</si>
  <si>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</si>
  <si>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</si>
  <si>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</si>
  <si>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</si>
  <si>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</si>
  <si>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</si>
  <si>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</si>
  <si>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</si>
  <si>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</si>
  <si>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</si>
  <si>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</si>
  <si>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</si>
  <si>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</si>
  <si>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</si>
  <si>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</si>
  <si>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 предохранительного клапана</t>
  </si>
  <si>
    <t>Срабатывание отсечного клапана</t>
  </si>
  <si>
    <t>Сраб.пред.клапана</t>
  </si>
  <si>
    <t>Сраб.отсеч.клапана</t>
  </si>
  <si>
    <t>Низк.ур.масла тр.</t>
  </si>
  <si>
    <t>PRVLVOp</t>
  </si>
  <si>
    <t>SHVLVOp</t>
  </si>
  <si>
    <t>LowOilLevel</t>
  </si>
  <si>
    <t>Оперативный вывод функции ЛО ТС</t>
  </si>
  <si>
    <t xml:space="preserve">ОВ ЛО ТС </t>
  </si>
  <si>
    <t>Оперативный вывод ЛО ПК</t>
  </si>
  <si>
    <t>Перевод ЛО ПК на сигнал</t>
  </si>
  <si>
    <t>Оперативный вывод ЛО ОК</t>
  </si>
  <si>
    <t>Перевод ЛО ОК на сигнал</t>
  </si>
  <si>
    <t>ОВ ЛО ПК</t>
  </si>
  <si>
    <t>ОВ ЛО ОК</t>
  </si>
  <si>
    <t>PRVLVPTRC1_operOutLevel</t>
  </si>
  <si>
    <t>PRVTrippingBlockSet</t>
  </si>
  <si>
    <t>SHVLVPTRC1_operOutLevel</t>
  </si>
  <si>
    <t>SHVTrippingBlockSet</t>
  </si>
  <si>
    <t>LEVPTRC1_operOutLevel</t>
  </si>
  <si>
    <t>LEVTrippingBlockSet</t>
  </si>
  <si>
    <t>ЛО ПК</t>
  </si>
  <si>
    <t>ЛО ОК</t>
  </si>
  <si>
    <t>ЛО ТС</t>
  </si>
  <si>
    <t>Срабатывание на сигнал</t>
  </si>
  <si>
    <t>Срабатывание</t>
  </si>
  <si>
    <t>Срабатывание сигн</t>
  </si>
  <si>
    <t>PRVLVPTRC1_FuncEnabled</t>
  </si>
  <si>
    <t>PRVLVPTRC1_FuncOperDisabled</t>
  </si>
  <si>
    <t>PRVLVPTRC1_OpOnSignal</t>
  </si>
  <si>
    <t>PRVLVPTRC1_Op</t>
  </si>
  <si>
    <t>PRVLVPTRC1.Op</t>
  </si>
  <si>
    <t>ACT</t>
  </si>
  <si>
    <t>general</t>
  </si>
  <si>
    <t>SHVLVPTRC1_FuncEnabled</t>
  </si>
  <si>
    <t>SHVLVPTRC1_FuncOperDisabled</t>
  </si>
  <si>
    <t>SHVLVPTRC1_OpOnSignal</t>
  </si>
  <si>
    <t>SHVLVPTRC1_Op</t>
  </si>
  <si>
    <t>LEVPTRC1_FuncEnabled</t>
  </si>
  <si>
    <t>LEVPTRC1_FuncOperDisabled</t>
  </si>
  <si>
    <t>LEVPTRC1_OpOnSignal</t>
  </si>
  <si>
    <t>LEVPTRC1_Op</t>
  </si>
  <si>
    <t>SHVLVPTRC1.Op</t>
  </si>
  <si>
    <t>LEVPTRC1.Op</t>
  </si>
  <si>
    <t>Индикация поведения логического узла ЛО ПК</t>
  </si>
  <si>
    <t>Индикация исправности логического узла ЛО ПК</t>
  </si>
  <si>
    <t>Индикация поведения логического узла ЛО ОК</t>
  </si>
  <si>
    <t>Индикация исправности логического узла ЛО ОК</t>
  </si>
  <si>
    <t>PRVLVPTRC1_Beh</t>
  </si>
  <si>
    <t>PRVLVPTRC1_Health</t>
  </si>
  <si>
    <t>SHVLVPTRC1_Beh</t>
  </si>
  <si>
    <t>SHVLVPTRC1_Health</t>
  </si>
  <si>
    <t>LEVPTRC1_Beh</t>
  </si>
  <si>
    <t>LEVPTRC1_Health</t>
  </si>
  <si>
    <t>PRVLVPTRC1.Beh</t>
  </si>
  <si>
    <t>PRVLVPTRC1.Health</t>
  </si>
  <si>
    <t>SHVLVPTRC1.Beh</t>
  </si>
  <si>
    <t>SHVLVPTRC1.Health</t>
  </si>
  <si>
    <t>LEVPTRC1.Beh</t>
  </si>
  <si>
    <t>LEVPTRC1.Health</t>
  </si>
  <si>
    <t>Ввод функции в работу</t>
  </si>
  <si>
    <t>PRVLVPTRC1_EnaDis</t>
  </si>
  <si>
    <t>SHVLVPTRC1_EnaDis</t>
  </si>
  <si>
    <t>LEVPTRC1_EnaDis</t>
  </si>
  <si>
    <t>ALMTECHPTRC_UIRZ</t>
  </si>
  <si>
    <t>ALMTECHLGC_UIRZ_operOutFunction</t>
  </si>
  <si>
    <t>ALMTECHLGC_UIRZ</t>
  </si>
  <si>
    <t>ЛО ДУм расширителя</t>
  </si>
  <si>
    <t>Оперативный вывод ЛО ДУм расширителя</t>
  </si>
  <si>
    <t>ОВ ЛО ДУм расшир</t>
  </si>
  <si>
    <t>Перевод ЛО ДУм расширителя на сигнал</t>
  </si>
  <si>
    <t>Индикация поведения логического узла ЛО ДУм расширителя</t>
  </si>
  <si>
    <t>Индикация исправности логического узла ЛО ДУм расширителя</t>
  </si>
  <si>
    <t>FbVersion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</si>
  <si>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</si>
  <si>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</si>
  <si>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</si>
  <si>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</si>
  <si>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</si>
  <si>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</si>
  <si>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</si>
  <si>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</si>
  <si>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технологической сигнализации</t>
  </si>
  <si>
    <t>Логика отключения при срабатывании предохранительного клапана</t>
  </si>
  <si>
    <t>Логика отключения при срабатывании отсечного клапана</t>
  </si>
  <si>
    <t>Логика отключения при низком уровне масла в расширителе</t>
  </si>
  <si>
    <t>Низкий уровень масла трансформатора</t>
  </si>
  <si>
    <t>ЛО ПК на сигн</t>
  </si>
  <si>
    <t>ЛО ОК на сигн</t>
  </si>
  <si>
    <t>ЛО ДУм расшир 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</si>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</sst>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7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/>
    </xf>
    <xf numFmtId="0" fontId="2" fillId="9" borderId="0" xfId="0" applyFont="1" applyFill="1"/>
    <xf numFmtId="0" fontId="3" fillId="2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9" fillId="9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zoomScale="70" zoomScaleNormal="70" workbookViewId="0">
      <selection activeCell="AW4" sqref="AW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8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SUM(AA14:AA46)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3" t="s">
        <v>0</v>
      </c>
      <c r="BA1" s="114"/>
      <c r="BB1" s="114"/>
      <c r="BC1" s="114"/>
      <c r="BD1" s="114"/>
      <c r="BE1" s="114"/>
      <c r="BF1" s="11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192</v>
      </c>
      <c r="AW2" s="104" t="s">
        <v>193</v>
      </c>
      <c r="AX2" s="104" t="s">
        <v>194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7"/>
      <c r="B3" s="102" t="s">
        <v>190</v>
      </c>
      <c r="C3" s="28"/>
      <c r="D3" s="29"/>
      <c r="E3" s="30" t="s">
        <v>115</v>
      </c>
      <c r="F3" s="42" t="s">
        <v>117</v>
      </c>
      <c r="G3" s="42" t="s">
        <v>117</v>
      </c>
      <c r="H3" s="30"/>
      <c r="I3" s="30">
        <f t="shared" ref="I3:I5" si="0">LEN(F3)</f>
        <v>17</v>
      </c>
      <c r="J3" s="30" t="str">
        <f t="shared" ref="J3:J5" si="1">IF(LEN(F3)&lt;=$J$1,F3,"")</f>
        <v>Сраб.пред.клапана</v>
      </c>
      <c r="K3" s="27" t="s">
        <v>120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v>0</v>
      </c>
      <c r="AW3" s="41">
        <v>0</v>
      </c>
      <c r="AX3" s="41"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  <c r="BH3" s="38"/>
    </row>
    <row r="4" spans="1:16379" s="95" customFormat="1" ht="15.75" x14ac:dyDescent="0.25">
      <c r="A4" s="27"/>
      <c r="B4" s="102" t="s">
        <v>190</v>
      </c>
      <c r="C4" s="28"/>
      <c r="D4" s="29"/>
      <c r="E4" s="30" t="s">
        <v>116</v>
      </c>
      <c r="F4" s="42" t="s">
        <v>118</v>
      </c>
      <c r="G4" s="42" t="s">
        <v>118</v>
      </c>
      <c r="H4" s="30"/>
      <c r="I4" s="30">
        <f t="shared" si="0"/>
        <v>18</v>
      </c>
      <c r="J4" s="30" t="str">
        <f t="shared" si="1"/>
        <v>Сраб.отсеч.клапана</v>
      </c>
      <c r="K4" s="27" t="s">
        <v>121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v>0</v>
      </c>
      <c r="AW4" s="41">
        <v>0</v>
      </c>
      <c r="AX4" s="41"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2"/>
        <v>description: "Сраб.отсеч.клапана", note: "Срабатывание отсечного клапана", group: "input", minValue: null, maxValue: null, step: null, units: "null", defaultValue: null, eventRegistration: 0</v>
      </c>
      <c r="BH4" s="38"/>
    </row>
    <row r="5" spans="1:16379" s="95" customFormat="1" ht="15.75" x14ac:dyDescent="0.25">
      <c r="A5" s="27"/>
      <c r="B5" s="102" t="s">
        <v>190</v>
      </c>
      <c r="C5" s="28"/>
      <c r="D5" s="29"/>
      <c r="E5" s="107" t="s">
        <v>202</v>
      </c>
      <c r="F5" s="42" t="s">
        <v>119</v>
      </c>
      <c r="G5" s="42" t="s">
        <v>119</v>
      </c>
      <c r="H5" s="30"/>
      <c r="I5" s="30">
        <f t="shared" si="0"/>
        <v>17</v>
      </c>
      <c r="J5" s="30" t="str">
        <f t="shared" si="1"/>
        <v>Низк.ур.масла тр.</v>
      </c>
      <c r="K5" s="27" t="s">
        <v>122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v>0</v>
      </c>
      <c r="AW5" s="41">
        <v>0</v>
      </c>
      <c r="AX5" s="41"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2"/>
        <v>description: "Низк.ур.масла тр.", note: "Низкий уровень масла трансформатора", group: "input", minValue: null, maxValue: null, step: null, units: "null", defaultValue: null, eventRegistration: 0</v>
      </c>
      <c r="BH5" s="38"/>
    </row>
    <row r="6" spans="1:16379" s="95" customFormat="1" ht="15.75" x14ac:dyDescent="0.25">
      <c r="A6" s="27"/>
      <c r="B6" s="103" t="s">
        <v>191</v>
      </c>
      <c r="C6" s="28"/>
      <c r="D6" s="29"/>
      <c r="E6" s="30" t="s">
        <v>106</v>
      </c>
      <c r="F6" s="42" t="s">
        <v>106</v>
      </c>
      <c r="G6" s="42" t="s">
        <v>106</v>
      </c>
      <c r="H6" s="30"/>
      <c r="I6" s="30">
        <f t="shared" ref="I6:I16" si="3">LEN(F6)</f>
        <v>15</v>
      </c>
      <c r="J6" s="30" t="str">
        <f t="shared" ref="J6:J12" si="4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111">
        <v>1</v>
      </c>
      <c r="AU6" s="41">
        <v>0</v>
      </c>
      <c r="AV6" s="111">
        <v>1</v>
      </c>
      <c r="AW6" s="111">
        <v>1</v>
      </c>
      <c r="AX6" s="111">
        <v>1</v>
      </c>
      <c r="AY6" s="41"/>
      <c r="AZ6" s="32"/>
      <c r="BA6" s="41"/>
      <c r="BB6" s="41"/>
      <c r="BC6" s="35"/>
      <c r="BD6" s="41"/>
      <c r="BE6" s="36"/>
      <c r="BF6" s="41"/>
      <c r="BG6" s="37" t="str">
        <f t="shared" ref="BG6:BG12" si="5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8"/>
    </row>
    <row r="7" spans="1:16379" s="95" customFormat="1" ht="15.75" x14ac:dyDescent="0.25">
      <c r="A7" s="27"/>
      <c r="B7" s="103" t="s">
        <v>191</v>
      </c>
      <c r="C7" s="28"/>
      <c r="D7" s="96" t="s">
        <v>139</v>
      </c>
      <c r="E7" s="30" t="s">
        <v>123</v>
      </c>
      <c r="F7" s="42" t="s">
        <v>124</v>
      </c>
      <c r="G7" s="42" t="s">
        <v>124</v>
      </c>
      <c r="H7" s="30"/>
      <c r="I7" s="30">
        <f t="shared" si="3"/>
        <v>9</v>
      </c>
      <c r="J7" s="30" t="str">
        <f t="shared" si="4"/>
        <v xml:space="preserve">ОВ ЛО ТС </v>
      </c>
      <c r="K7" s="27" t="s">
        <v>181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111">
        <v>1</v>
      </c>
      <c r="AU7" s="41">
        <v>0</v>
      </c>
      <c r="AV7" s="111">
        <v>1</v>
      </c>
      <c r="AW7" s="111">
        <v>1</v>
      </c>
      <c r="AX7" s="111">
        <v>1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5"/>
        <v>description: "ОВ ЛО ТС ", note: "Оперативный вывод функции ЛО ТС", group: "control", minValue: null, maxValue: null, step: null, units: "null", defaultValue: null, eventRegistration: 0</v>
      </c>
      <c r="BH7" s="38"/>
    </row>
    <row r="8" spans="1:16379" s="98" customFormat="1" ht="15.75" x14ac:dyDescent="0.25">
      <c r="A8" s="51"/>
      <c r="B8" s="103" t="s">
        <v>191</v>
      </c>
      <c r="C8" s="52"/>
      <c r="D8" s="97" t="s">
        <v>137</v>
      </c>
      <c r="E8" s="53" t="s">
        <v>125</v>
      </c>
      <c r="F8" s="54" t="s">
        <v>129</v>
      </c>
      <c r="G8" s="54" t="s">
        <v>129</v>
      </c>
      <c r="H8" s="53"/>
      <c r="I8" s="53">
        <f t="shared" si="3"/>
        <v>8</v>
      </c>
      <c r="J8" s="53" t="str">
        <f t="shared" si="4"/>
        <v>ОВ ЛО ПК</v>
      </c>
      <c r="K8" s="51" t="s">
        <v>131</v>
      </c>
      <c r="L8" s="55" t="s">
        <v>54</v>
      </c>
      <c r="M8" s="52" t="s">
        <v>51</v>
      </c>
      <c r="N8" s="52" t="s">
        <v>52</v>
      </c>
      <c r="O8" s="52"/>
      <c r="P8" s="56"/>
      <c r="Q8" s="56"/>
      <c r="R8" s="52" t="s">
        <v>53</v>
      </c>
      <c r="S8" s="52" t="s">
        <v>53</v>
      </c>
      <c r="T8" s="52" t="s">
        <v>53</v>
      </c>
      <c r="U8" s="52" t="s">
        <v>53</v>
      </c>
      <c r="V8" s="52"/>
      <c r="W8" s="52"/>
      <c r="X8" s="52" t="s">
        <v>53</v>
      </c>
      <c r="Y8" s="52">
        <v>0</v>
      </c>
      <c r="Z8" s="57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9"/>
      <c r="AJ8" s="60"/>
      <c r="AK8" s="60"/>
      <c r="AL8" s="60"/>
      <c r="AM8" s="60"/>
      <c r="AN8" s="60"/>
      <c r="AO8" s="60"/>
      <c r="AP8" s="60"/>
      <c r="AQ8" s="60"/>
      <c r="AR8" s="58">
        <v>0</v>
      </c>
      <c r="AS8" s="58">
        <v>0</v>
      </c>
      <c r="AT8" s="111">
        <v>1</v>
      </c>
      <c r="AU8" s="41">
        <v>0</v>
      </c>
      <c r="AV8" s="111">
        <v>1</v>
      </c>
      <c r="AW8" s="111">
        <v>1</v>
      </c>
      <c r="AX8" s="111">
        <v>1</v>
      </c>
      <c r="AY8" s="58"/>
      <c r="AZ8" s="56"/>
      <c r="BA8" s="58"/>
      <c r="BB8" s="58"/>
      <c r="BC8" s="61"/>
      <c r="BD8" s="58"/>
      <c r="BE8" s="62"/>
      <c r="BF8" s="58"/>
      <c r="BG8" s="63" t="str">
        <f t="shared" si="5"/>
        <v>description: "ОВ ЛО ПК", note: "Оперативный вывод ЛО ПК", group: "control", minValue: null, maxValue: null, step: null, units: "null", defaultValue: null, eventRegistration: 0</v>
      </c>
      <c r="BH8" s="64"/>
    </row>
    <row r="9" spans="1:16379" s="95" customFormat="1" ht="15.75" x14ac:dyDescent="0.25">
      <c r="A9" s="27"/>
      <c r="B9" s="103" t="s">
        <v>191</v>
      </c>
      <c r="C9" s="28"/>
      <c r="D9" s="96"/>
      <c r="E9" s="30" t="s">
        <v>126</v>
      </c>
      <c r="F9" s="108" t="s">
        <v>203</v>
      </c>
      <c r="G9" s="108" t="s">
        <v>203</v>
      </c>
      <c r="H9" s="30"/>
      <c r="I9" s="30">
        <f t="shared" si="3"/>
        <v>13</v>
      </c>
      <c r="J9" s="30" t="str">
        <f t="shared" si="4"/>
        <v>ЛО ПК на сигн</v>
      </c>
      <c r="K9" s="27" t="s">
        <v>132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4"/>
      <c r="AK9" s="34"/>
      <c r="AL9" s="34"/>
      <c r="AM9" s="34"/>
      <c r="AN9" s="34"/>
      <c r="AO9" s="34"/>
      <c r="AP9" s="34"/>
      <c r="AQ9" s="34"/>
      <c r="AR9" s="41">
        <v>0</v>
      </c>
      <c r="AS9" s="41">
        <v>0</v>
      </c>
      <c r="AT9" s="111">
        <v>1</v>
      </c>
      <c r="AU9" s="41">
        <v>0</v>
      </c>
      <c r="AV9" s="111">
        <v>1</v>
      </c>
      <c r="AW9" s="111">
        <v>1</v>
      </c>
      <c r="AX9" s="111">
        <v>1</v>
      </c>
      <c r="AY9" s="41"/>
      <c r="AZ9" s="32"/>
      <c r="BA9" s="41"/>
      <c r="BB9" s="41"/>
      <c r="BC9" s="35"/>
      <c r="BD9" s="41"/>
      <c r="BE9" s="36"/>
      <c r="BF9" s="41"/>
      <c r="BG9" s="37" t="str">
        <f t="shared" si="5"/>
        <v>description: "ЛО ПК на сигн", note: "Перевод ЛО ПК на сигнал", group: "control", minValue: null, maxValue: null, step: null, units: "null", defaultValue: null, eventRegistration: 0</v>
      </c>
      <c r="BH9" s="38"/>
    </row>
    <row r="10" spans="1:16379" s="98" customFormat="1" ht="15.75" x14ac:dyDescent="0.25">
      <c r="A10" s="51"/>
      <c r="B10" s="103" t="s">
        <v>191</v>
      </c>
      <c r="C10" s="52"/>
      <c r="D10" s="97" t="s">
        <v>138</v>
      </c>
      <c r="E10" s="53" t="s">
        <v>127</v>
      </c>
      <c r="F10" s="54" t="s">
        <v>130</v>
      </c>
      <c r="G10" s="54" t="s">
        <v>130</v>
      </c>
      <c r="H10" s="53"/>
      <c r="I10" s="53">
        <f t="shared" si="3"/>
        <v>8</v>
      </c>
      <c r="J10" s="53" t="str">
        <f t="shared" si="4"/>
        <v>ОВ ЛО ОК</v>
      </c>
      <c r="K10" s="51" t="s">
        <v>133</v>
      </c>
      <c r="L10" s="55" t="s">
        <v>54</v>
      </c>
      <c r="M10" s="52" t="s">
        <v>51</v>
      </c>
      <c r="N10" s="52" t="s">
        <v>52</v>
      </c>
      <c r="O10" s="52"/>
      <c r="P10" s="56"/>
      <c r="Q10" s="56"/>
      <c r="R10" s="52" t="s">
        <v>53</v>
      </c>
      <c r="S10" s="52" t="s">
        <v>53</v>
      </c>
      <c r="T10" s="52" t="s">
        <v>53</v>
      </c>
      <c r="U10" s="52" t="s">
        <v>53</v>
      </c>
      <c r="V10" s="52"/>
      <c r="W10" s="52"/>
      <c r="X10" s="52" t="s">
        <v>53</v>
      </c>
      <c r="Y10" s="52">
        <v>0</v>
      </c>
      <c r="Z10" s="57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9"/>
      <c r="AJ10" s="60"/>
      <c r="AK10" s="60"/>
      <c r="AL10" s="60"/>
      <c r="AM10" s="60"/>
      <c r="AN10" s="60"/>
      <c r="AO10" s="60"/>
      <c r="AP10" s="60"/>
      <c r="AQ10" s="60"/>
      <c r="AR10" s="58">
        <v>0</v>
      </c>
      <c r="AS10" s="58">
        <v>0</v>
      </c>
      <c r="AT10" s="111">
        <v>1</v>
      </c>
      <c r="AU10" s="41">
        <v>0</v>
      </c>
      <c r="AV10" s="111">
        <v>1</v>
      </c>
      <c r="AW10" s="111">
        <v>1</v>
      </c>
      <c r="AX10" s="111">
        <v>1</v>
      </c>
      <c r="AY10" s="58"/>
      <c r="AZ10" s="56"/>
      <c r="BA10" s="58"/>
      <c r="BB10" s="58"/>
      <c r="BC10" s="61"/>
      <c r="BD10" s="58"/>
      <c r="BE10" s="62"/>
      <c r="BF10" s="58"/>
      <c r="BG10" s="63" t="str">
        <f t="shared" si="5"/>
        <v>description: "ОВ ЛО ОК", note: "Оперативный вывод ЛО ОК", group: "control", minValue: null, maxValue: null, step: null, units: "null", defaultValue: null, eventRegistration: 0</v>
      </c>
      <c r="BH10" s="64"/>
    </row>
    <row r="11" spans="1:16379" s="95" customFormat="1" ht="15.75" x14ac:dyDescent="0.25">
      <c r="A11" s="27"/>
      <c r="B11" s="103" t="s">
        <v>191</v>
      </c>
      <c r="C11" s="28"/>
      <c r="D11" s="96"/>
      <c r="E11" s="30" t="s">
        <v>128</v>
      </c>
      <c r="F11" s="108" t="s">
        <v>204</v>
      </c>
      <c r="G11" s="108" t="s">
        <v>204</v>
      </c>
      <c r="H11" s="30"/>
      <c r="I11" s="30">
        <f t="shared" si="3"/>
        <v>13</v>
      </c>
      <c r="J11" s="30" t="str">
        <f t="shared" si="4"/>
        <v>ЛО ОК на сигн</v>
      </c>
      <c r="K11" s="27" t="s">
        <v>134</v>
      </c>
      <c r="L11" s="31" t="s">
        <v>54</v>
      </c>
      <c r="M11" s="28" t="s">
        <v>51</v>
      </c>
      <c r="N11" s="28" t="s">
        <v>52</v>
      </c>
      <c r="O11" s="28"/>
      <c r="P11" s="32"/>
      <c r="Q11" s="32"/>
      <c r="R11" s="28" t="s">
        <v>53</v>
      </c>
      <c r="S11" s="28" t="s">
        <v>53</v>
      </c>
      <c r="T11" s="28" t="s">
        <v>53</v>
      </c>
      <c r="U11" s="28" t="s">
        <v>53</v>
      </c>
      <c r="V11" s="28"/>
      <c r="W11" s="28"/>
      <c r="X11" s="28" t="s">
        <v>53</v>
      </c>
      <c r="Y11" s="28">
        <v>0</v>
      </c>
      <c r="Z11" s="33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4"/>
      <c r="AK11" s="34"/>
      <c r="AL11" s="34"/>
      <c r="AM11" s="34"/>
      <c r="AN11" s="34"/>
      <c r="AO11" s="34"/>
      <c r="AP11" s="34"/>
      <c r="AQ11" s="34"/>
      <c r="AR11" s="41">
        <v>0</v>
      </c>
      <c r="AS11" s="41">
        <v>0</v>
      </c>
      <c r="AT11" s="111">
        <v>1</v>
      </c>
      <c r="AU11" s="41">
        <v>0</v>
      </c>
      <c r="AV11" s="111">
        <v>1</v>
      </c>
      <c r="AW11" s="111">
        <v>1</v>
      </c>
      <c r="AX11" s="111">
        <v>1</v>
      </c>
      <c r="AY11" s="41"/>
      <c r="AZ11" s="32"/>
      <c r="BA11" s="41"/>
      <c r="BB11" s="41"/>
      <c r="BC11" s="35"/>
      <c r="BD11" s="41"/>
      <c r="BE11" s="36"/>
      <c r="BF11" s="41"/>
      <c r="BG11" s="37" t="str">
        <f t="shared" si="5"/>
        <v>description: "ЛО ОК на сигн", note: "Перевод ЛО ОК на сигнал", group: "control", minValue: null, maxValue: null, step: null, units: "null", defaultValue: null, eventRegistration: 0</v>
      </c>
      <c r="BH11" s="38"/>
    </row>
    <row r="12" spans="1:16379" s="98" customFormat="1" ht="15.75" x14ac:dyDescent="0.25">
      <c r="A12" s="51"/>
      <c r="B12" s="103" t="s">
        <v>191</v>
      </c>
      <c r="C12" s="52"/>
      <c r="D12" s="97" t="s">
        <v>183</v>
      </c>
      <c r="E12" s="53" t="s">
        <v>184</v>
      </c>
      <c r="F12" s="54" t="s">
        <v>185</v>
      </c>
      <c r="G12" s="54" t="s">
        <v>185</v>
      </c>
      <c r="H12" s="53"/>
      <c r="I12" s="53">
        <f t="shared" si="3"/>
        <v>16</v>
      </c>
      <c r="J12" s="53" t="str">
        <f t="shared" si="4"/>
        <v>ОВ ЛО ДУм расшир</v>
      </c>
      <c r="K12" s="51" t="s">
        <v>135</v>
      </c>
      <c r="L12" s="55" t="s">
        <v>54</v>
      </c>
      <c r="M12" s="52" t="s">
        <v>51</v>
      </c>
      <c r="N12" s="52" t="s">
        <v>52</v>
      </c>
      <c r="O12" s="52"/>
      <c r="P12" s="56"/>
      <c r="Q12" s="56"/>
      <c r="R12" s="52" t="s">
        <v>53</v>
      </c>
      <c r="S12" s="52" t="s">
        <v>53</v>
      </c>
      <c r="T12" s="52" t="s">
        <v>53</v>
      </c>
      <c r="U12" s="52" t="s">
        <v>53</v>
      </c>
      <c r="V12" s="52"/>
      <c r="W12" s="52"/>
      <c r="X12" s="52" t="s">
        <v>53</v>
      </c>
      <c r="Y12" s="52">
        <v>0</v>
      </c>
      <c r="Z12" s="57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9"/>
      <c r="AJ12" s="60"/>
      <c r="AK12" s="60"/>
      <c r="AL12" s="60"/>
      <c r="AM12" s="60"/>
      <c r="AN12" s="60"/>
      <c r="AO12" s="60"/>
      <c r="AP12" s="60"/>
      <c r="AQ12" s="60"/>
      <c r="AR12" s="58">
        <v>0</v>
      </c>
      <c r="AS12" s="58">
        <v>0</v>
      </c>
      <c r="AT12" s="111">
        <v>1</v>
      </c>
      <c r="AU12" s="41">
        <v>0</v>
      </c>
      <c r="AV12" s="111">
        <v>1</v>
      </c>
      <c r="AW12" s="111">
        <v>1</v>
      </c>
      <c r="AX12" s="111">
        <v>1</v>
      </c>
      <c r="AY12" s="58"/>
      <c r="AZ12" s="56"/>
      <c r="BA12" s="58"/>
      <c r="BB12" s="58"/>
      <c r="BC12" s="61"/>
      <c r="BD12" s="58"/>
      <c r="BE12" s="62"/>
      <c r="BF12" s="58"/>
      <c r="BG12" s="63" t="str">
        <f t="shared" si="5"/>
        <v>description: "ОВ ЛО ДУм расшир", note: "Оперативный вывод ЛО ДУм расширителя", group: "control", minValue: null, maxValue: null, step: null, units: "null", defaultValue: null, eventRegistration: 0</v>
      </c>
      <c r="BH12" s="64"/>
    </row>
    <row r="13" spans="1:16379" s="95" customFormat="1" ht="15.75" customHeight="1" x14ac:dyDescent="0.25">
      <c r="A13" s="27"/>
      <c r="B13" s="103" t="s">
        <v>191</v>
      </c>
      <c r="C13" s="28"/>
      <c r="D13" s="96"/>
      <c r="E13" s="30" t="s">
        <v>186</v>
      </c>
      <c r="F13" s="108" t="s">
        <v>205</v>
      </c>
      <c r="G13" s="108" t="s">
        <v>205</v>
      </c>
      <c r="H13" s="30"/>
      <c r="I13" s="30">
        <f t="shared" ref="I13" si="6">LEN(F13)</f>
        <v>18</v>
      </c>
      <c r="J13" s="30" t="str">
        <f t="shared" ref="J13:J16" si="7">IF(LEN(F13)&lt;=$J$1,F13,"")</f>
        <v>ЛО ДУм расшир сигн</v>
      </c>
      <c r="K13" s="27" t="s">
        <v>136</v>
      </c>
      <c r="L13" s="31" t="s">
        <v>54</v>
      </c>
      <c r="M13" s="28" t="s">
        <v>51</v>
      </c>
      <c r="N13" s="28" t="s">
        <v>52</v>
      </c>
      <c r="O13" s="28"/>
      <c r="P13" s="32"/>
      <c r="Q13" s="32"/>
      <c r="R13" s="28" t="s">
        <v>53</v>
      </c>
      <c r="S13" s="28" t="s">
        <v>53</v>
      </c>
      <c r="T13" s="28" t="s">
        <v>53</v>
      </c>
      <c r="U13" s="28" t="s">
        <v>53</v>
      </c>
      <c r="V13" s="28"/>
      <c r="W13" s="28"/>
      <c r="X13" s="28" t="s">
        <v>53</v>
      </c>
      <c r="Y13" s="28">
        <v>0</v>
      </c>
      <c r="Z13" s="33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4"/>
      <c r="AK13" s="34"/>
      <c r="AL13" s="34"/>
      <c r="AM13" s="34"/>
      <c r="AN13" s="34"/>
      <c r="AO13" s="34"/>
      <c r="AP13" s="34"/>
      <c r="AQ13" s="34"/>
      <c r="AR13" s="41">
        <v>0</v>
      </c>
      <c r="AS13" s="41">
        <v>0</v>
      </c>
      <c r="AT13" s="111">
        <v>1</v>
      </c>
      <c r="AU13" s="41">
        <v>0</v>
      </c>
      <c r="AV13" s="111">
        <v>1</v>
      </c>
      <c r="AW13" s="111">
        <v>1</v>
      </c>
      <c r="AX13" s="111">
        <v>1</v>
      </c>
      <c r="AY13" s="41"/>
      <c r="AZ13" s="32"/>
      <c r="BA13" s="41"/>
      <c r="BB13" s="41"/>
      <c r="BC13" s="35"/>
      <c r="BD13" s="41"/>
      <c r="BE13" s="36"/>
      <c r="BF13" s="41"/>
      <c r="BG13" s="37" t="str">
        <f t="shared" ref="BG13" si="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"ЛО ДУм расшир сигн", note: "Перевод ЛО ДУм расширителя на сигнал", group: "control", minValue: null, maxValue: null, step: null, units: "null", defaultValue: null, eventRegistration: 0</v>
      </c>
      <c r="BH13" s="38"/>
    </row>
    <row r="14" spans="1:16379" s="80" customFormat="1" ht="15.75" x14ac:dyDescent="0.25">
      <c r="A14" s="65"/>
      <c r="B14" s="66" t="s">
        <v>50</v>
      </c>
      <c r="C14" s="67"/>
      <c r="D14" s="68"/>
      <c r="E14" s="69" t="s">
        <v>55</v>
      </c>
      <c r="F14" s="69" t="s">
        <v>56</v>
      </c>
      <c r="G14" s="69" t="s">
        <v>56</v>
      </c>
      <c r="H14" s="68"/>
      <c r="I14" s="70">
        <f t="shared" si="3"/>
        <v>10</v>
      </c>
      <c r="J14" s="70" t="str">
        <f t="shared" si="7"/>
        <v>Насл.режим</v>
      </c>
      <c r="K14" s="71" t="s">
        <v>58</v>
      </c>
      <c r="L14" s="72" t="s">
        <v>57</v>
      </c>
      <c r="M14" s="73" t="s">
        <v>51</v>
      </c>
      <c r="N14" s="73" t="s">
        <v>52</v>
      </c>
      <c r="O14" s="73"/>
      <c r="P14" s="67"/>
      <c r="Q14" s="67"/>
      <c r="R14" s="73" t="s">
        <v>53</v>
      </c>
      <c r="S14" s="73" t="s">
        <v>53</v>
      </c>
      <c r="T14" s="73" t="s">
        <v>53</v>
      </c>
      <c r="U14" s="73" t="s">
        <v>53</v>
      </c>
      <c r="V14" s="67"/>
      <c r="W14" s="67"/>
      <c r="X14" s="73" t="s">
        <v>53</v>
      </c>
      <c r="Y14" s="74">
        <v>0</v>
      </c>
      <c r="Z14" s="67"/>
      <c r="AA14" s="75">
        <v>0</v>
      </c>
      <c r="AB14" s="75"/>
      <c r="AC14" s="75"/>
      <c r="AD14" s="75"/>
      <c r="AE14" s="75"/>
      <c r="AF14" s="75">
        <v>0</v>
      </c>
      <c r="AG14" s="75">
        <v>0</v>
      </c>
      <c r="AH14" s="75">
        <v>0</v>
      </c>
      <c r="AI14" s="76" t="s">
        <v>95</v>
      </c>
      <c r="AJ14" s="77" t="s">
        <v>111</v>
      </c>
      <c r="AK14" s="77" t="s">
        <v>59</v>
      </c>
      <c r="AL14" s="77" t="s">
        <v>60</v>
      </c>
      <c r="AM14" s="77" t="s">
        <v>61</v>
      </c>
      <c r="AN14" s="77"/>
      <c r="AO14" s="77" t="s">
        <v>62</v>
      </c>
      <c r="AP14" s="77" t="str">
        <f>CONCATENATE(AJ14, ".", AL14)</f>
        <v>LLN0.GrRef.setSrcRef</v>
      </c>
      <c r="AQ14" s="77" t="s">
        <v>63</v>
      </c>
      <c r="AR14" s="75">
        <v>0</v>
      </c>
      <c r="AS14" s="75">
        <v>0</v>
      </c>
      <c r="AT14" s="75">
        <v>0</v>
      </c>
      <c r="AU14" s="75">
        <v>0</v>
      </c>
      <c r="AV14" s="41">
        <v>0</v>
      </c>
      <c r="AW14" s="41">
        <v>0</v>
      </c>
      <c r="AX14" s="41">
        <v>0</v>
      </c>
      <c r="AY14" s="78"/>
      <c r="AZ14" s="67"/>
      <c r="BA14" s="67"/>
      <c r="BB14" s="67"/>
      <c r="BC14" s="67"/>
      <c r="BD14" s="67"/>
      <c r="BE14" s="67"/>
      <c r="BF14" s="67"/>
      <c r="BG14" s="79" t="str">
        <f t="shared" ref="BG14:BG16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17" customFormat="1" ht="15.75" x14ac:dyDescent="0.25">
      <c r="A15" s="43"/>
      <c r="B15" s="27" t="s">
        <v>50</v>
      </c>
      <c r="C15" s="44"/>
      <c r="D15" s="40"/>
      <c r="E15" s="42" t="s">
        <v>68</v>
      </c>
      <c r="F15" s="42" t="s">
        <v>69</v>
      </c>
      <c r="G15" s="42" t="s">
        <v>69</v>
      </c>
      <c r="H15" s="40"/>
      <c r="I15" s="30">
        <f t="shared" si="3"/>
        <v>8</v>
      </c>
      <c r="J15" s="30" t="str">
        <f t="shared" si="7"/>
        <v>Ош.крит.</v>
      </c>
      <c r="K15" s="45" t="s">
        <v>70</v>
      </c>
      <c r="L15" s="31" t="s">
        <v>54</v>
      </c>
      <c r="M15" s="28" t="s">
        <v>51</v>
      </c>
      <c r="N15" s="28" t="s">
        <v>52</v>
      </c>
      <c r="O15" s="28"/>
      <c r="P15" s="44"/>
      <c r="Q15" s="44"/>
      <c r="R15" s="28" t="s">
        <v>53</v>
      </c>
      <c r="S15" s="28" t="s">
        <v>53</v>
      </c>
      <c r="T15" s="28" t="s">
        <v>53</v>
      </c>
      <c r="U15" s="28" t="s">
        <v>53</v>
      </c>
      <c r="V15" s="44"/>
      <c r="W15" s="44"/>
      <c r="X15" s="28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9"/>
      <c r="AK15" s="39"/>
      <c r="AL15" s="39"/>
      <c r="AM15" s="39"/>
      <c r="AN15" s="39"/>
      <c r="AO15" s="39"/>
      <c r="AP15" s="39"/>
      <c r="AQ15" s="39"/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18"/>
      <c r="AZ15" s="19"/>
      <c r="BA15" s="19"/>
      <c r="BB15" s="19"/>
      <c r="BC15" s="19"/>
      <c r="BD15" s="19"/>
      <c r="BE15" s="19"/>
      <c r="BF15" s="19"/>
      <c r="BG15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80" customFormat="1" ht="15.75" x14ac:dyDescent="0.25">
      <c r="A16" s="65"/>
      <c r="B16" s="66" t="s">
        <v>50</v>
      </c>
      <c r="C16" s="67"/>
      <c r="D16" s="68"/>
      <c r="E16" s="69" t="s">
        <v>71</v>
      </c>
      <c r="F16" s="69" t="s">
        <v>72</v>
      </c>
      <c r="G16" s="69" t="s">
        <v>72</v>
      </c>
      <c r="H16" s="68"/>
      <c r="I16" s="70">
        <f t="shared" si="3"/>
        <v>6</v>
      </c>
      <c r="J16" s="70" t="str">
        <f t="shared" si="7"/>
        <v>Ошибка</v>
      </c>
      <c r="K16" s="71" t="s">
        <v>73</v>
      </c>
      <c r="L16" s="81" t="s">
        <v>54</v>
      </c>
      <c r="M16" s="73" t="s">
        <v>51</v>
      </c>
      <c r="N16" s="73" t="s">
        <v>52</v>
      </c>
      <c r="O16" s="73"/>
      <c r="P16" s="67"/>
      <c r="Q16" s="67"/>
      <c r="R16" s="73" t="s">
        <v>53</v>
      </c>
      <c r="S16" s="73" t="s">
        <v>53</v>
      </c>
      <c r="T16" s="73" t="s">
        <v>53</v>
      </c>
      <c r="U16" s="73" t="s">
        <v>53</v>
      </c>
      <c r="V16" s="67"/>
      <c r="W16" s="67"/>
      <c r="X16" s="73" t="s">
        <v>53</v>
      </c>
      <c r="Y16" s="74">
        <v>0</v>
      </c>
      <c r="Z16" s="6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76"/>
      <c r="AJ16" s="77"/>
      <c r="AK16" s="77"/>
      <c r="AL16" s="77"/>
      <c r="AM16" s="77"/>
      <c r="AN16" s="77"/>
      <c r="AO16" s="77"/>
      <c r="AP16" s="77"/>
      <c r="AQ16" s="77"/>
      <c r="AR16" s="75">
        <v>0</v>
      </c>
      <c r="AS16" s="75">
        <v>0</v>
      </c>
      <c r="AT16" s="75">
        <v>0</v>
      </c>
      <c r="AU16" s="75">
        <v>0</v>
      </c>
      <c r="AV16" s="41">
        <v>0</v>
      </c>
      <c r="AW16" s="75">
        <v>0</v>
      </c>
      <c r="AX16" s="41">
        <v>0</v>
      </c>
      <c r="AY16" s="78"/>
      <c r="AZ16" s="67"/>
      <c r="BA16" s="67"/>
      <c r="BB16" s="67"/>
      <c r="BC16" s="67"/>
      <c r="BD16" s="67"/>
      <c r="BE16" s="67"/>
      <c r="BF16" s="67"/>
      <c r="BG16" s="79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24" sqref="E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3" t="s">
        <v>0</v>
      </c>
      <c r="BA1" s="114"/>
      <c r="BB1" s="114"/>
      <c r="BC1" s="114"/>
      <c r="BD1" s="114"/>
      <c r="BE1" s="114"/>
      <c r="BF1" s="11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192</v>
      </c>
      <c r="AW2" s="104" t="s">
        <v>193</v>
      </c>
      <c r="AX2" s="104" t="s">
        <v>194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105" t="s">
        <v>195</v>
      </c>
      <c r="C3" s="44"/>
      <c r="D3" s="96" t="s">
        <v>137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143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105" t="s">
        <v>195</v>
      </c>
      <c r="C4" s="44"/>
      <c r="D4" s="96" t="s">
        <v>137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144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105" t="s">
        <v>195</v>
      </c>
      <c r="C5" s="44"/>
      <c r="D5" s="96" t="s">
        <v>137</v>
      </c>
      <c r="E5" s="42" t="s">
        <v>140</v>
      </c>
      <c r="F5" s="21" t="s">
        <v>142</v>
      </c>
      <c r="G5" s="21" t="s">
        <v>142</v>
      </c>
      <c r="H5" s="40"/>
      <c r="I5" s="42">
        <f>LEN(F5)</f>
        <v>17</v>
      </c>
      <c r="J5" s="42" t="str">
        <f>IF(LEN(F5)&lt;=$J$1,F5,"")</f>
        <v>Срабатывание сигн</v>
      </c>
      <c r="K5" s="45" t="s">
        <v>145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105" t="s">
        <v>195</v>
      </c>
      <c r="C6" s="44"/>
      <c r="D6" s="96" t="s">
        <v>137</v>
      </c>
      <c r="E6" s="42" t="s">
        <v>141</v>
      </c>
      <c r="F6" s="21" t="s">
        <v>141</v>
      </c>
      <c r="G6" s="21" t="s">
        <v>141</v>
      </c>
      <c r="H6" s="40"/>
      <c r="I6" s="42">
        <f>LEN(F6)</f>
        <v>12</v>
      </c>
      <c r="J6" s="42" t="str">
        <f>IF(LEN(F6)&lt;=$J$1,F6,"")</f>
        <v>Срабатывание</v>
      </c>
      <c r="K6" s="45" t="s">
        <v>146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180</v>
      </c>
      <c r="AJ6" s="39" t="s">
        <v>147</v>
      </c>
      <c r="AK6" s="39" t="s">
        <v>148</v>
      </c>
      <c r="AL6" s="39" t="s">
        <v>149</v>
      </c>
      <c r="AM6" s="39" t="s">
        <v>109</v>
      </c>
      <c r="AN6" s="39"/>
      <c r="AO6" s="39" t="s">
        <v>67</v>
      </c>
      <c r="AP6" s="39" t="str">
        <f>CONCATENATE(AJ6, ".", AL6)</f>
        <v>PRVLVPTRC1.Op.general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93" customFormat="1" ht="15.75" x14ac:dyDescent="0.25">
      <c r="A7" s="83"/>
      <c r="B7" s="105" t="s">
        <v>195</v>
      </c>
      <c r="C7" s="84"/>
      <c r="D7" s="97" t="s">
        <v>138</v>
      </c>
      <c r="E7" s="54" t="s">
        <v>75</v>
      </c>
      <c r="F7" s="85" t="s">
        <v>76</v>
      </c>
      <c r="G7" s="85" t="s">
        <v>76</v>
      </c>
      <c r="H7" s="86"/>
      <c r="I7" s="54">
        <f t="shared" ref="I7:I8" si="3">LEN(F7)</f>
        <v>4</v>
      </c>
      <c r="J7" s="54" t="str">
        <f>IF(LEN(F7)&lt;=$J$1,F7,"")</f>
        <v>Ввод</v>
      </c>
      <c r="K7" s="87" t="s">
        <v>150</v>
      </c>
      <c r="L7" s="88" t="s">
        <v>54</v>
      </c>
      <c r="M7" s="89" t="s">
        <v>51</v>
      </c>
      <c r="N7" s="89" t="s">
        <v>52</v>
      </c>
      <c r="O7" s="89"/>
      <c r="P7" s="56"/>
      <c r="Q7" s="56"/>
      <c r="R7" s="89" t="s">
        <v>53</v>
      </c>
      <c r="S7" s="89" t="s">
        <v>53</v>
      </c>
      <c r="T7" s="89" t="s">
        <v>53</v>
      </c>
      <c r="U7" s="89" t="s">
        <v>53</v>
      </c>
      <c r="V7" s="84"/>
      <c r="W7" s="84"/>
      <c r="X7" s="89" t="s">
        <v>53</v>
      </c>
      <c r="Y7" s="89">
        <v>2</v>
      </c>
      <c r="Z7" s="84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9"/>
      <c r="AJ7" s="90"/>
      <c r="AK7" s="90"/>
      <c r="AL7" s="90"/>
      <c r="AM7" s="90"/>
      <c r="AN7" s="90"/>
      <c r="AO7" s="90"/>
      <c r="AP7" s="90"/>
      <c r="AQ7" s="90"/>
      <c r="AR7" s="84">
        <v>0</v>
      </c>
      <c r="AS7" s="84">
        <v>1</v>
      </c>
      <c r="AT7" s="84">
        <v>0</v>
      </c>
      <c r="AU7" s="84">
        <v>1</v>
      </c>
      <c r="AV7" s="84">
        <v>1</v>
      </c>
      <c r="AW7" s="84">
        <v>1</v>
      </c>
      <c r="AX7" s="84">
        <v>1</v>
      </c>
      <c r="AY7" s="91"/>
      <c r="AZ7" s="84"/>
      <c r="BA7" s="84"/>
      <c r="BB7" s="84"/>
      <c r="BC7" s="84"/>
      <c r="BD7" s="84"/>
      <c r="BE7" s="84"/>
      <c r="BF7" s="84"/>
      <c r="BG7" s="92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93" customFormat="1" ht="15.75" x14ac:dyDescent="0.25">
      <c r="A8" s="83"/>
      <c r="B8" s="105" t="s">
        <v>195</v>
      </c>
      <c r="C8" s="84"/>
      <c r="D8" s="97" t="s">
        <v>138</v>
      </c>
      <c r="E8" s="54" t="s">
        <v>77</v>
      </c>
      <c r="F8" s="85" t="s">
        <v>108</v>
      </c>
      <c r="G8" s="85" t="s">
        <v>108</v>
      </c>
      <c r="H8" s="86"/>
      <c r="I8" s="54">
        <f t="shared" si="3"/>
        <v>17</v>
      </c>
      <c r="J8" s="54" t="str">
        <f t="shared" ref="J8" si="5">IF(LEN(F8)&lt;=$J$1,F8,"")</f>
        <v>Оперативный вывод</v>
      </c>
      <c r="K8" s="87" t="s">
        <v>151</v>
      </c>
      <c r="L8" s="88" t="s">
        <v>54</v>
      </c>
      <c r="M8" s="89" t="s">
        <v>51</v>
      </c>
      <c r="N8" s="89" t="s">
        <v>52</v>
      </c>
      <c r="O8" s="89"/>
      <c r="P8" s="56"/>
      <c r="Q8" s="56"/>
      <c r="R8" s="89" t="s">
        <v>53</v>
      </c>
      <c r="S8" s="89" t="s">
        <v>53</v>
      </c>
      <c r="T8" s="89" t="s">
        <v>53</v>
      </c>
      <c r="U8" s="89" t="s">
        <v>53</v>
      </c>
      <c r="V8" s="84"/>
      <c r="W8" s="84"/>
      <c r="X8" s="89" t="s">
        <v>53</v>
      </c>
      <c r="Y8" s="89">
        <v>2</v>
      </c>
      <c r="Z8" s="84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9"/>
      <c r="AJ8" s="90"/>
      <c r="AK8" s="90"/>
      <c r="AL8" s="90"/>
      <c r="AM8" s="90"/>
      <c r="AN8" s="90"/>
      <c r="AO8" s="90"/>
      <c r="AP8" s="90"/>
      <c r="AQ8" s="90"/>
      <c r="AR8" s="84">
        <v>0</v>
      </c>
      <c r="AS8" s="84">
        <v>1</v>
      </c>
      <c r="AT8" s="84">
        <v>0</v>
      </c>
      <c r="AU8" s="84">
        <v>1</v>
      </c>
      <c r="AV8" s="84">
        <v>1</v>
      </c>
      <c r="AW8" s="84">
        <v>1</v>
      </c>
      <c r="AX8" s="84">
        <v>1</v>
      </c>
      <c r="AY8" s="91"/>
      <c r="AZ8" s="84"/>
      <c r="BA8" s="84"/>
      <c r="BB8" s="84"/>
      <c r="BC8" s="84"/>
      <c r="BD8" s="84"/>
      <c r="BE8" s="84"/>
      <c r="BF8" s="84"/>
      <c r="BG8" s="92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93" customFormat="1" ht="15.75" x14ac:dyDescent="0.25">
      <c r="A9" s="83"/>
      <c r="B9" s="105" t="s">
        <v>195</v>
      </c>
      <c r="C9" s="84"/>
      <c r="D9" s="97" t="s">
        <v>138</v>
      </c>
      <c r="E9" s="54" t="s">
        <v>140</v>
      </c>
      <c r="F9" s="85" t="s">
        <v>142</v>
      </c>
      <c r="G9" s="85" t="s">
        <v>142</v>
      </c>
      <c r="H9" s="86"/>
      <c r="I9" s="54">
        <f>LEN(F9)</f>
        <v>17</v>
      </c>
      <c r="J9" s="54" t="str">
        <f>IF(LEN(F9)&lt;=$J$1,F9,"")</f>
        <v>Срабатывание сигн</v>
      </c>
      <c r="K9" s="87" t="s">
        <v>152</v>
      </c>
      <c r="L9" s="88" t="s">
        <v>54</v>
      </c>
      <c r="M9" s="89" t="s">
        <v>51</v>
      </c>
      <c r="N9" s="89" t="s">
        <v>52</v>
      </c>
      <c r="O9" s="89"/>
      <c r="P9" s="56"/>
      <c r="Q9" s="56"/>
      <c r="R9" s="89" t="s">
        <v>53</v>
      </c>
      <c r="S9" s="89" t="s">
        <v>53</v>
      </c>
      <c r="T9" s="89" t="s">
        <v>53</v>
      </c>
      <c r="U9" s="89" t="s">
        <v>53</v>
      </c>
      <c r="V9" s="84"/>
      <c r="W9" s="84"/>
      <c r="X9" s="89" t="s">
        <v>53</v>
      </c>
      <c r="Y9" s="89">
        <v>2</v>
      </c>
      <c r="Z9" s="84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9"/>
      <c r="AJ9" s="90"/>
      <c r="AK9" s="90"/>
      <c r="AL9" s="90"/>
      <c r="AM9" s="90"/>
      <c r="AN9" s="90"/>
      <c r="AO9" s="90"/>
      <c r="AP9" s="90"/>
      <c r="AQ9" s="90"/>
      <c r="AR9" s="84">
        <v>0</v>
      </c>
      <c r="AS9" s="84">
        <v>1</v>
      </c>
      <c r="AT9" s="84">
        <v>0</v>
      </c>
      <c r="AU9" s="84">
        <v>1</v>
      </c>
      <c r="AV9" s="84">
        <v>1</v>
      </c>
      <c r="AW9" s="84">
        <v>1</v>
      </c>
      <c r="AX9" s="84">
        <v>1</v>
      </c>
      <c r="AY9" s="91"/>
      <c r="AZ9" s="84"/>
      <c r="BA9" s="84"/>
      <c r="BB9" s="84"/>
      <c r="BC9" s="84"/>
      <c r="BD9" s="84"/>
      <c r="BE9" s="84"/>
      <c r="BF9" s="84"/>
      <c r="BG9" s="92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93" customFormat="1" ht="15.75" x14ac:dyDescent="0.25">
      <c r="A10" s="83"/>
      <c r="B10" s="105" t="s">
        <v>195</v>
      </c>
      <c r="C10" s="84"/>
      <c r="D10" s="97" t="s">
        <v>138</v>
      </c>
      <c r="E10" s="54" t="s">
        <v>141</v>
      </c>
      <c r="F10" s="85" t="s">
        <v>141</v>
      </c>
      <c r="G10" s="85" t="s">
        <v>141</v>
      </c>
      <c r="H10" s="86"/>
      <c r="I10" s="54">
        <f>LEN(F10)</f>
        <v>12</v>
      </c>
      <c r="J10" s="54" t="str">
        <f>IF(LEN(F10)&lt;=$J$1,F10,"")</f>
        <v>Срабатывание</v>
      </c>
      <c r="K10" s="87" t="s">
        <v>153</v>
      </c>
      <c r="L10" s="88" t="s">
        <v>54</v>
      </c>
      <c r="M10" s="89" t="s">
        <v>51</v>
      </c>
      <c r="N10" s="89" t="s">
        <v>52</v>
      </c>
      <c r="O10" s="89"/>
      <c r="P10" s="56"/>
      <c r="Q10" s="56"/>
      <c r="R10" s="89" t="s">
        <v>53</v>
      </c>
      <c r="S10" s="89" t="s">
        <v>53</v>
      </c>
      <c r="T10" s="89" t="s">
        <v>53</v>
      </c>
      <c r="U10" s="89" t="s">
        <v>53</v>
      </c>
      <c r="V10" s="84"/>
      <c r="W10" s="84"/>
      <c r="X10" s="89" t="s">
        <v>53</v>
      </c>
      <c r="Y10" s="89">
        <v>2</v>
      </c>
      <c r="Z10" s="84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9" t="s">
        <v>180</v>
      </c>
      <c r="AJ10" s="90" t="s">
        <v>158</v>
      </c>
      <c r="AK10" s="90" t="s">
        <v>148</v>
      </c>
      <c r="AL10" s="90" t="s">
        <v>149</v>
      </c>
      <c r="AM10" s="90" t="s">
        <v>109</v>
      </c>
      <c r="AN10" s="90"/>
      <c r="AO10" s="90" t="s">
        <v>67</v>
      </c>
      <c r="AP10" s="90" t="str">
        <f>CONCATENATE(AJ10, ".", AL10)</f>
        <v>SHVLVPTRC1.Op.general</v>
      </c>
      <c r="AQ10" s="90" t="s">
        <v>63</v>
      </c>
      <c r="AR10" s="84">
        <v>0</v>
      </c>
      <c r="AS10" s="84">
        <v>1</v>
      </c>
      <c r="AT10" s="84">
        <v>0</v>
      </c>
      <c r="AU10" s="84">
        <v>1</v>
      </c>
      <c r="AV10" s="84">
        <v>1</v>
      </c>
      <c r="AW10" s="84">
        <v>1</v>
      </c>
      <c r="AX10" s="84">
        <v>1</v>
      </c>
      <c r="AY10" s="91"/>
      <c r="AZ10" s="84"/>
      <c r="BA10" s="84"/>
      <c r="BB10" s="84"/>
      <c r="BC10" s="84"/>
      <c r="BD10" s="84"/>
      <c r="BE10" s="84"/>
      <c r="BF10" s="84"/>
      <c r="BG10" s="9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"Срабатывание", note: "Срабатывание",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105" t="s">
        <v>195</v>
      </c>
      <c r="C11" s="44"/>
      <c r="D11" s="96" t="s">
        <v>183</v>
      </c>
      <c r="E11" s="42" t="s">
        <v>75</v>
      </c>
      <c r="F11" s="21" t="s">
        <v>76</v>
      </c>
      <c r="G11" s="21" t="s">
        <v>76</v>
      </c>
      <c r="H11" s="40"/>
      <c r="I11" s="42">
        <f t="shared" ref="I11:I12" si="6">LEN(F11)</f>
        <v>4</v>
      </c>
      <c r="J11" s="42" t="str">
        <f>IF(LEN(F11)&lt;=$J$1,F11,"")</f>
        <v>Ввод</v>
      </c>
      <c r="K11" s="45" t="s">
        <v>154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49"/>
      <c r="AZ11" s="44"/>
      <c r="BA11" s="44"/>
      <c r="BB11" s="44"/>
      <c r="BC11" s="44"/>
      <c r="BD11" s="44"/>
      <c r="BE11" s="44"/>
      <c r="BF11" s="44"/>
      <c r="BG11" s="48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105" t="s">
        <v>195</v>
      </c>
      <c r="C12" s="44"/>
      <c r="D12" s="96" t="s">
        <v>183</v>
      </c>
      <c r="E12" s="42" t="s">
        <v>77</v>
      </c>
      <c r="F12" s="21" t="s">
        <v>108</v>
      </c>
      <c r="G12" s="21" t="s">
        <v>108</v>
      </c>
      <c r="H12" s="40"/>
      <c r="I12" s="42">
        <f t="shared" si="6"/>
        <v>17</v>
      </c>
      <c r="J12" s="42" t="str">
        <f t="shared" ref="J12" si="8">IF(LEN(F12)&lt;=$J$1,F12,"")</f>
        <v>Оперативный вывод</v>
      </c>
      <c r="K12" s="45" t="s">
        <v>155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9"/>
      <c r="AK12" s="39"/>
      <c r="AL12" s="39"/>
      <c r="AM12" s="39"/>
      <c r="AN12" s="39"/>
      <c r="AO12" s="39"/>
      <c r="AP12" s="39"/>
      <c r="AQ12" s="39"/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49"/>
      <c r="AZ12" s="44"/>
      <c r="BA12" s="44"/>
      <c r="BB12" s="44"/>
      <c r="BC12" s="44"/>
      <c r="BD12" s="44"/>
      <c r="BE12" s="44"/>
      <c r="BF12" s="44"/>
      <c r="BG12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17" customFormat="1" ht="15.75" x14ac:dyDescent="0.25">
      <c r="A13" s="43"/>
      <c r="B13" s="105" t="s">
        <v>195</v>
      </c>
      <c r="C13" s="44"/>
      <c r="D13" s="96" t="s">
        <v>183</v>
      </c>
      <c r="E13" s="42" t="s">
        <v>140</v>
      </c>
      <c r="F13" s="21" t="s">
        <v>142</v>
      </c>
      <c r="G13" s="21" t="s">
        <v>142</v>
      </c>
      <c r="H13" s="40"/>
      <c r="I13" s="42">
        <f>LEN(F13)</f>
        <v>17</v>
      </c>
      <c r="J13" s="42" t="str">
        <f>IF(LEN(F13)&lt;=$J$1,F13,"")</f>
        <v>Срабатывание сигн</v>
      </c>
      <c r="K13" s="45" t="s">
        <v>156</v>
      </c>
      <c r="L13" s="46" t="s">
        <v>54</v>
      </c>
      <c r="M13" s="47" t="s">
        <v>51</v>
      </c>
      <c r="N13" s="47" t="s">
        <v>52</v>
      </c>
      <c r="O13" s="47"/>
      <c r="P13" s="32"/>
      <c r="Q13" s="32"/>
      <c r="R13" s="47" t="s">
        <v>53</v>
      </c>
      <c r="S13" s="47" t="s">
        <v>53</v>
      </c>
      <c r="T13" s="47" t="s">
        <v>53</v>
      </c>
      <c r="U13" s="47" t="s">
        <v>53</v>
      </c>
      <c r="V13" s="44"/>
      <c r="W13" s="44"/>
      <c r="X13" s="47" t="s">
        <v>53</v>
      </c>
      <c r="Y13" s="47">
        <v>2</v>
      </c>
      <c r="Z13" s="44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9"/>
      <c r="AK13" s="39"/>
      <c r="AL13" s="39"/>
      <c r="AM13" s="39"/>
      <c r="AN13" s="39"/>
      <c r="AO13" s="39"/>
      <c r="AP13" s="39"/>
      <c r="AQ13" s="39"/>
      <c r="AR13" s="44">
        <v>0</v>
      </c>
      <c r="AS13" s="44">
        <v>1</v>
      </c>
      <c r="AT13" s="44">
        <v>0</v>
      </c>
      <c r="AU13" s="44">
        <v>1</v>
      </c>
      <c r="AV13" s="44">
        <v>1</v>
      </c>
      <c r="AW13" s="44">
        <v>1</v>
      </c>
      <c r="AX13" s="44">
        <v>1</v>
      </c>
      <c r="AY13" s="49"/>
      <c r="AZ13" s="44"/>
      <c r="BA13" s="44"/>
      <c r="BB13" s="44"/>
      <c r="BC13" s="44"/>
      <c r="BD13" s="44"/>
      <c r="BE13" s="44"/>
      <c r="BF13" s="44"/>
      <c r="BG13" s="48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17" customFormat="1" ht="15.75" x14ac:dyDescent="0.25">
      <c r="A14" s="43"/>
      <c r="B14" s="105" t="s">
        <v>195</v>
      </c>
      <c r="C14" s="44"/>
      <c r="D14" s="96" t="s">
        <v>183</v>
      </c>
      <c r="E14" s="42" t="s">
        <v>141</v>
      </c>
      <c r="F14" s="21" t="s">
        <v>141</v>
      </c>
      <c r="G14" s="21" t="s">
        <v>141</v>
      </c>
      <c r="H14" s="40"/>
      <c r="I14" s="42">
        <f>LEN(F14)</f>
        <v>12</v>
      </c>
      <c r="J14" s="42" t="str">
        <f>IF(LEN(F14)&lt;=$J$1,F14,"")</f>
        <v>Срабатывание</v>
      </c>
      <c r="K14" s="45" t="s">
        <v>157</v>
      </c>
      <c r="L14" s="46" t="s">
        <v>54</v>
      </c>
      <c r="M14" s="47" t="s">
        <v>51</v>
      </c>
      <c r="N14" s="47" t="s">
        <v>52</v>
      </c>
      <c r="O14" s="47"/>
      <c r="P14" s="32"/>
      <c r="Q14" s="32"/>
      <c r="R14" s="47" t="s">
        <v>53</v>
      </c>
      <c r="S14" s="47" t="s">
        <v>53</v>
      </c>
      <c r="T14" s="47" t="s">
        <v>53</v>
      </c>
      <c r="U14" s="47" t="s">
        <v>53</v>
      </c>
      <c r="V14" s="44"/>
      <c r="W14" s="44"/>
      <c r="X14" s="47" t="s">
        <v>53</v>
      </c>
      <c r="Y14" s="47">
        <v>2</v>
      </c>
      <c r="Z14" s="44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0" t="s">
        <v>180</v>
      </c>
      <c r="AJ14" s="39" t="s">
        <v>159</v>
      </c>
      <c r="AK14" s="39" t="s">
        <v>148</v>
      </c>
      <c r="AL14" s="39" t="s">
        <v>149</v>
      </c>
      <c r="AM14" s="39" t="s">
        <v>109</v>
      </c>
      <c r="AN14" s="39"/>
      <c r="AO14" s="39" t="s">
        <v>67</v>
      </c>
      <c r="AP14" s="39" t="str">
        <f>CONCATENATE(AJ14, ".", AL14)</f>
        <v>LEVPTRC1.Op.general</v>
      </c>
      <c r="AQ14" s="39" t="s">
        <v>63</v>
      </c>
      <c r="AR14" s="44">
        <v>0</v>
      </c>
      <c r="AS14" s="44">
        <v>1</v>
      </c>
      <c r="AT14" s="44">
        <v>0</v>
      </c>
      <c r="AU14" s="44">
        <v>1</v>
      </c>
      <c r="AV14" s="44">
        <v>1</v>
      </c>
      <c r="AW14" s="44">
        <v>1</v>
      </c>
      <c r="AX14" s="44">
        <v>1</v>
      </c>
      <c r="AY14" s="49"/>
      <c r="AZ14" s="44"/>
      <c r="BA14" s="44"/>
      <c r="BB14" s="44"/>
      <c r="BC14" s="44"/>
      <c r="BD14" s="44"/>
      <c r="BE14" s="44"/>
      <c r="BF14" s="44"/>
      <c r="BG14" s="4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80" customFormat="1" ht="15.75" x14ac:dyDescent="0.25">
      <c r="A15" s="65"/>
      <c r="B15" s="105" t="s">
        <v>195</v>
      </c>
      <c r="C15" s="67"/>
      <c r="D15" s="112"/>
      <c r="E15" s="69" t="s">
        <v>78</v>
      </c>
      <c r="F15" s="69" t="s">
        <v>79</v>
      </c>
      <c r="G15" s="69" t="s">
        <v>79</v>
      </c>
      <c r="H15" s="67"/>
      <c r="I15" s="69">
        <f t="shared" ref="I15:I22" si="9">LEN(F15)</f>
        <v>12</v>
      </c>
      <c r="J15" s="69" t="str">
        <f t="shared" ref="J15:J22" si="10">IF(LEN(F15)&lt;=$J$1,F15,"")</f>
        <v>Поведение LD</v>
      </c>
      <c r="K15" s="71" t="s">
        <v>80</v>
      </c>
      <c r="L15" s="72" t="s">
        <v>57</v>
      </c>
      <c r="M15" s="74" t="s">
        <v>51</v>
      </c>
      <c r="N15" s="74" t="s">
        <v>52</v>
      </c>
      <c r="O15" s="74"/>
      <c r="P15" s="67"/>
      <c r="Q15" s="67"/>
      <c r="R15" s="74" t="s">
        <v>53</v>
      </c>
      <c r="S15" s="74" t="s">
        <v>53</v>
      </c>
      <c r="T15" s="74" t="s">
        <v>53</v>
      </c>
      <c r="U15" s="74" t="s">
        <v>53</v>
      </c>
      <c r="V15" s="67"/>
      <c r="W15" s="67"/>
      <c r="X15" s="74" t="s">
        <v>53</v>
      </c>
      <c r="Y15" s="74">
        <v>0</v>
      </c>
      <c r="Z15" s="67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76" t="s">
        <v>95</v>
      </c>
      <c r="AJ15" s="77" t="s">
        <v>112</v>
      </c>
      <c r="AK15" s="77" t="s">
        <v>81</v>
      </c>
      <c r="AL15" s="77" t="s">
        <v>64</v>
      </c>
      <c r="AM15" s="77" t="s">
        <v>65</v>
      </c>
      <c r="AN15" s="77" t="s">
        <v>66</v>
      </c>
      <c r="AO15" s="77" t="s">
        <v>67</v>
      </c>
      <c r="AP15" s="77" t="str">
        <f t="shared" ref="AP15:AP18" si="11">CONCATENATE(AJ15, ".", AL15)</f>
        <v>LLN0.Beh.stVal</v>
      </c>
      <c r="AQ15" s="77" t="s">
        <v>63</v>
      </c>
      <c r="AR15" s="67">
        <v>0</v>
      </c>
      <c r="AS15" s="67">
        <v>0</v>
      </c>
      <c r="AT15" s="67">
        <v>0</v>
      </c>
      <c r="AU15" s="67">
        <v>0</v>
      </c>
      <c r="AV15" s="67">
        <f t="shared" ref="AV15:AV18" si="12">BIN2DEC(CONCATENATE(0,0,0,0,AR15,AS15,AT15,AU15))</f>
        <v>0</v>
      </c>
      <c r="AW15" s="67">
        <v>0</v>
      </c>
      <c r="AX15" s="67">
        <v>0</v>
      </c>
      <c r="AY15" s="78"/>
      <c r="AZ15" s="67"/>
      <c r="BA15" s="67"/>
      <c r="BB15" s="67"/>
      <c r="BC15" s="67"/>
      <c r="BD15" s="67"/>
      <c r="BE15" s="67"/>
      <c r="BF15" s="67"/>
      <c r="BG15" s="82" t="str">
        <f t="shared" ref="BG15:BG22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80" customFormat="1" ht="15.75" x14ac:dyDescent="0.25">
      <c r="A16" s="65"/>
      <c r="B16" s="105" t="s">
        <v>195</v>
      </c>
      <c r="C16" s="67"/>
      <c r="D16" s="105"/>
      <c r="E16" s="69" t="s">
        <v>82</v>
      </c>
      <c r="F16" s="69" t="s">
        <v>83</v>
      </c>
      <c r="G16" s="69" t="s">
        <v>83</v>
      </c>
      <c r="H16" s="67"/>
      <c r="I16" s="69">
        <f t="shared" si="9"/>
        <v>14</v>
      </c>
      <c r="J16" s="69" t="str">
        <f t="shared" si="10"/>
        <v>Исправность LD</v>
      </c>
      <c r="K16" s="71" t="s">
        <v>84</v>
      </c>
      <c r="L16" s="72" t="s">
        <v>57</v>
      </c>
      <c r="M16" s="74" t="s">
        <v>51</v>
      </c>
      <c r="N16" s="74" t="s">
        <v>52</v>
      </c>
      <c r="O16" s="74"/>
      <c r="P16" s="94"/>
      <c r="Q16" s="94"/>
      <c r="R16" s="74" t="s">
        <v>53</v>
      </c>
      <c r="S16" s="74" t="s">
        <v>53</v>
      </c>
      <c r="T16" s="74" t="s">
        <v>53</v>
      </c>
      <c r="U16" s="74" t="s">
        <v>53</v>
      </c>
      <c r="V16" s="67"/>
      <c r="W16" s="67"/>
      <c r="X16" s="74" t="s">
        <v>53</v>
      </c>
      <c r="Y16" s="74">
        <v>0</v>
      </c>
      <c r="Z16" s="6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76" t="s">
        <v>95</v>
      </c>
      <c r="AJ16" s="77" t="s">
        <v>113</v>
      </c>
      <c r="AK16" s="77" t="s">
        <v>81</v>
      </c>
      <c r="AL16" s="77" t="s">
        <v>64</v>
      </c>
      <c r="AM16" s="77" t="s">
        <v>65</v>
      </c>
      <c r="AN16" s="77" t="s">
        <v>85</v>
      </c>
      <c r="AO16" s="77" t="s">
        <v>67</v>
      </c>
      <c r="AP16" s="77" t="str">
        <f t="shared" si="11"/>
        <v>LLN0.Health.stVal</v>
      </c>
      <c r="AQ16" s="77" t="s">
        <v>63</v>
      </c>
      <c r="AR16" s="67">
        <v>0</v>
      </c>
      <c r="AS16" s="67">
        <v>0</v>
      </c>
      <c r="AT16" s="67">
        <v>0</v>
      </c>
      <c r="AU16" s="67">
        <v>0</v>
      </c>
      <c r="AV16" s="67">
        <f t="shared" si="12"/>
        <v>0</v>
      </c>
      <c r="AW16" s="67">
        <v>0</v>
      </c>
      <c r="AX16" s="67">
        <v>0</v>
      </c>
      <c r="AY16" s="78"/>
      <c r="AZ16" s="67"/>
      <c r="BA16" s="67"/>
      <c r="BB16" s="67"/>
      <c r="BC16" s="67"/>
      <c r="BD16" s="67"/>
      <c r="BE16" s="67"/>
      <c r="BF16" s="67"/>
      <c r="BG16" s="82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17" customFormat="1" ht="15.75" x14ac:dyDescent="0.25">
      <c r="A17" s="43"/>
      <c r="B17" s="105" t="s">
        <v>195</v>
      </c>
      <c r="C17" s="44"/>
      <c r="D17" s="96" t="s">
        <v>137</v>
      </c>
      <c r="E17" s="42" t="s">
        <v>160</v>
      </c>
      <c r="F17" s="42" t="s">
        <v>86</v>
      </c>
      <c r="G17" s="42" t="s">
        <v>86</v>
      </c>
      <c r="H17" s="44"/>
      <c r="I17" s="42">
        <f t="shared" si="9"/>
        <v>9</v>
      </c>
      <c r="J17" s="42" t="str">
        <f t="shared" si="10"/>
        <v>Поведение</v>
      </c>
      <c r="K17" s="45" t="s">
        <v>164</v>
      </c>
      <c r="L17" s="46" t="s">
        <v>57</v>
      </c>
      <c r="M17" s="47" t="s">
        <v>51</v>
      </c>
      <c r="N17" s="47" t="s">
        <v>52</v>
      </c>
      <c r="O17" s="47"/>
      <c r="P17" s="44"/>
      <c r="Q17" s="44"/>
      <c r="R17" s="47" t="s">
        <v>53</v>
      </c>
      <c r="S17" s="47" t="s">
        <v>53</v>
      </c>
      <c r="T17" s="47" t="s">
        <v>53</v>
      </c>
      <c r="U17" s="47" t="s">
        <v>53</v>
      </c>
      <c r="V17" s="44"/>
      <c r="W17" s="44"/>
      <c r="X17" s="47" t="s">
        <v>53</v>
      </c>
      <c r="Y17" s="47">
        <v>0</v>
      </c>
      <c r="Z17" s="44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 t="s">
        <v>180</v>
      </c>
      <c r="AJ17" s="39" t="s">
        <v>170</v>
      </c>
      <c r="AK17" s="39" t="s">
        <v>81</v>
      </c>
      <c r="AL17" s="39" t="s">
        <v>64</v>
      </c>
      <c r="AM17" s="39" t="s">
        <v>65</v>
      </c>
      <c r="AN17" s="39" t="s">
        <v>66</v>
      </c>
      <c r="AO17" s="39" t="s">
        <v>67</v>
      </c>
      <c r="AP17" s="39" t="str">
        <f t="shared" si="11"/>
        <v>PRVLVPTRC1.Beh.stVal</v>
      </c>
      <c r="AQ17" s="39" t="s">
        <v>63</v>
      </c>
      <c r="AR17" s="44">
        <v>0</v>
      </c>
      <c r="AS17" s="44">
        <v>0</v>
      </c>
      <c r="AT17" s="44">
        <v>0</v>
      </c>
      <c r="AU17" s="44">
        <v>0</v>
      </c>
      <c r="AV17" s="44">
        <f t="shared" si="12"/>
        <v>0</v>
      </c>
      <c r="AW17" s="44">
        <v>0</v>
      </c>
      <c r="AX17" s="44">
        <v>0</v>
      </c>
      <c r="AY17" s="49"/>
      <c r="AZ17" s="44"/>
      <c r="BA17" s="44"/>
      <c r="BB17" s="44"/>
      <c r="BC17" s="44"/>
      <c r="BD17" s="44"/>
      <c r="BE17" s="44"/>
      <c r="BF17" s="44"/>
      <c r="BG17" s="48" t="str">
        <f t="shared" si="13"/>
        <v>description: "Поведение", note: "Индикация поведения логического узла ЛО ПК", group: "status", minValue: null, maxValue: null, step: null, units: "null", defaultValue: null, eventRegistration: 0</v>
      </c>
    </row>
    <row r="18" spans="1:60" s="17" customFormat="1" ht="15.75" x14ac:dyDescent="0.25">
      <c r="A18" s="43"/>
      <c r="B18" s="105" t="s">
        <v>195</v>
      </c>
      <c r="C18" s="44"/>
      <c r="D18" s="96" t="s">
        <v>137</v>
      </c>
      <c r="E18" s="42" t="s">
        <v>161</v>
      </c>
      <c r="F18" s="42" t="s">
        <v>87</v>
      </c>
      <c r="G18" s="42" t="s">
        <v>87</v>
      </c>
      <c r="H18" s="44"/>
      <c r="I18" s="42">
        <f t="shared" si="9"/>
        <v>11</v>
      </c>
      <c r="J18" s="42" t="str">
        <f t="shared" si="10"/>
        <v>Исправность</v>
      </c>
      <c r="K18" s="45" t="s">
        <v>165</v>
      </c>
      <c r="L18" s="46" t="s">
        <v>57</v>
      </c>
      <c r="M18" s="47" t="s">
        <v>51</v>
      </c>
      <c r="N18" s="47" t="s">
        <v>52</v>
      </c>
      <c r="O18" s="47"/>
      <c r="P18" s="32"/>
      <c r="Q18" s="32"/>
      <c r="R18" s="47" t="s">
        <v>53</v>
      </c>
      <c r="S18" s="47" t="s">
        <v>53</v>
      </c>
      <c r="T18" s="47" t="s">
        <v>53</v>
      </c>
      <c r="U18" s="47" t="s">
        <v>53</v>
      </c>
      <c r="V18" s="44"/>
      <c r="W18" s="44"/>
      <c r="X18" s="47" t="s">
        <v>53</v>
      </c>
      <c r="Y18" s="47">
        <v>0</v>
      </c>
      <c r="Z18" s="44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0" t="s">
        <v>180</v>
      </c>
      <c r="AJ18" s="39" t="s">
        <v>171</v>
      </c>
      <c r="AK18" s="39" t="s">
        <v>81</v>
      </c>
      <c r="AL18" s="39" t="s">
        <v>64</v>
      </c>
      <c r="AM18" s="39" t="s">
        <v>65</v>
      </c>
      <c r="AN18" s="39" t="s">
        <v>85</v>
      </c>
      <c r="AO18" s="39" t="s">
        <v>67</v>
      </c>
      <c r="AP18" s="39" t="str">
        <f t="shared" si="11"/>
        <v>PRVLVPTRC1.Health.stVal</v>
      </c>
      <c r="AQ18" s="39" t="s">
        <v>63</v>
      </c>
      <c r="AR18" s="44">
        <v>0</v>
      </c>
      <c r="AS18" s="44">
        <v>0</v>
      </c>
      <c r="AT18" s="44">
        <v>0</v>
      </c>
      <c r="AU18" s="44">
        <v>0</v>
      </c>
      <c r="AV18" s="44">
        <f t="shared" si="12"/>
        <v>0</v>
      </c>
      <c r="AW18" s="44">
        <v>0</v>
      </c>
      <c r="AX18" s="44">
        <v>0</v>
      </c>
      <c r="AY18" s="49"/>
      <c r="AZ18" s="44"/>
      <c r="BA18" s="44"/>
      <c r="BB18" s="44"/>
      <c r="BC18" s="44"/>
      <c r="BD18" s="44"/>
      <c r="BE18" s="44"/>
      <c r="BF18" s="44"/>
      <c r="BG18" s="48" t="str">
        <f t="shared" si="13"/>
        <v>description: "Исправность", note: "Индикация исправности логического узла ЛО ПК", group: "status", minValue: null, maxValue: null, step: null, units: "null", defaultValue: null, eventRegistration: 0</v>
      </c>
    </row>
    <row r="19" spans="1:60" s="80" customFormat="1" ht="15.75" x14ac:dyDescent="0.25">
      <c r="A19" s="65"/>
      <c r="B19" s="105" t="s">
        <v>195</v>
      </c>
      <c r="C19" s="67"/>
      <c r="D19" s="99" t="s">
        <v>138</v>
      </c>
      <c r="E19" s="69" t="s">
        <v>162</v>
      </c>
      <c r="F19" s="69" t="s">
        <v>86</v>
      </c>
      <c r="G19" s="69" t="s">
        <v>86</v>
      </c>
      <c r="H19" s="67"/>
      <c r="I19" s="69">
        <f t="shared" si="9"/>
        <v>9</v>
      </c>
      <c r="J19" s="69" t="str">
        <f t="shared" si="10"/>
        <v>Поведение</v>
      </c>
      <c r="K19" s="71" t="s">
        <v>166</v>
      </c>
      <c r="L19" s="72" t="s">
        <v>57</v>
      </c>
      <c r="M19" s="74" t="s">
        <v>51</v>
      </c>
      <c r="N19" s="74" t="s">
        <v>52</v>
      </c>
      <c r="O19" s="74"/>
      <c r="P19" s="67"/>
      <c r="Q19" s="67"/>
      <c r="R19" s="74" t="s">
        <v>53</v>
      </c>
      <c r="S19" s="74" t="s">
        <v>53</v>
      </c>
      <c r="T19" s="74" t="s">
        <v>53</v>
      </c>
      <c r="U19" s="74" t="s">
        <v>53</v>
      </c>
      <c r="V19" s="67"/>
      <c r="W19" s="67"/>
      <c r="X19" s="74" t="s">
        <v>53</v>
      </c>
      <c r="Y19" s="74">
        <v>0</v>
      </c>
      <c r="Z19" s="67"/>
      <c r="AA19" s="75">
        <v>0</v>
      </c>
      <c r="AB19" s="75"/>
      <c r="AC19" s="75"/>
      <c r="AD19" s="75"/>
      <c r="AE19" s="75"/>
      <c r="AF19" s="75">
        <v>0</v>
      </c>
      <c r="AG19" s="75">
        <v>0</v>
      </c>
      <c r="AH19" s="75">
        <v>0</v>
      </c>
      <c r="AI19" s="76" t="s">
        <v>180</v>
      </c>
      <c r="AJ19" s="77" t="s">
        <v>172</v>
      </c>
      <c r="AK19" s="77" t="s">
        <v>81</v>
      </c>
      <c r="AL19" s="77" t="s">
        <v>64</v>
      </c>
      <c r="AM19" s="77" t="s">
        <v>65</v>
      </c>
      <c r="AN19" s="77" t="s">
        <v>66</v>
      </c>
      <c r="AO19" s="77" t="s">
        <v>67</v>
      </c>
      <c r="AP19" s="77" t="str">
        <f t="shared" ref="AP19:AP20" si="14">CONCATENATE(AJ19, ".", AL19)</f>
        <v>SHVLVPTRC1.Beh.stVal</v>
      </c>
      <c r="AQ19" s="77" t="s">
        <v>63</v>
      </c>
      <c r="AR19" s="67">
        <v>0</v>
      </c>
      <c r="AS19" s="67">
        <v>0</v>
      </c>
      <c r="AT19" s="67">
        <v>0</v>
      </c>
      <c r="AU19" s="67">
        <v>0</v>
      </c>
      <c r="AV19" s="67">
        <f t="shared" ref="AV19:AV20" si="15">BIN2DEC(CONCATENATE(0,0,0,0,AR19,AS19,AT19,AU19))</f>
        <v>0</v>
      </c>
      <c r="AW19" s="67">
        <v>0</v>
      </c>
      <c r="AX19" s="67">
        <v>0</v>
      </c>
      <c r="AY19" s="78"/>
      <c r="AZ19" s="67"/>
      <c r="BA19" s="67"/>
      <c r="BB19" s="67"/>
      <c r="BC19" s="67"/>
      <c r="BD19" s="67"/>
      <c r="BE19" s="67"/>
      <c r="BF19" s="67"/>
      <c r="BG19" s="82" t="str">
        <f t="shared" si="13"/>
        <v>description: "Поведение", note: "Индикация поведения логического узла ЛО ОК", group: "status", minValue: null, maxValue: null, step: null, units: "null", defaultValue: null, eventRegistration: 0</v>
      </c>
    </row>
    <row r="20" spans="1:60" s="80" customFormat="1" ht="15.75" x14ac:dyDescent="0.25">
      <c r="A20" s="65"/>
      <c r="B20" s="105" t="s">
        <v>195</v>
      </c>
      <c r="C20" s="67"/>
      <c r="D20" s="99" t="s">
        <v>138</v>
      </c>
      <c r="E20" s="69" t="s">
        <v>163</v>
      </c>
      <c r="F20" s="69" t="s">
        <v>87</v>
      </c>
      <c r="G20" s="69" t="s">
        <v>87</v>
      </c>
      <c r="H20" s="67"/>
      <c r="I20" s="69">
        <f t="shared" si="9"/>
        <v>11</v>
      </c>
      <c r="J20" s="69" t="str">
        <f t="shared" si="10"/>
        <v>Исправность</v>
      </c>
      <c r="K20" s="71" t="s">
        <v>167</v>
      </c>
      <c r="L20" s="72" t="s">
        <v>57</v>
      </c>
      <c r="M20" s="74" t="s">
        <v>51</v>
      </c>
      <c r="N20" s="74" t="s">
        <v>52</v>
      </c>
      <c r="O20" s="74"/>
      <c r="P20" s="94"/>
      <c r="Q20" s="94"/>
      <c r="R20" s="74" t="s">
        <v>53</v>
      </c>
      <c r="S20" s="74" t="s">
        <v>53</v>
      </c>
      <c r="T20" s="74" t="s">
        <v>53</v>
      </c>
      <c r="U20" s="74" t="s">
        <v>53</v>
      </c>
      <c r="V20" s="67"/>
      <c r="W20" s="67"/>
      <c r="X20" s="74" t="s">
        <v>53</v>
      </c>
      <c r="Y20" s="74">
        <v>0</v>
      </c>
      <c r="Z20" s="67"/>
      <c r="AA20" s="75">
        <v>0</v>
      </c>
      <c r="AB20" s="75"/>
      <c r="AC20" s="75"/>
      <c r="AD20" s="75"/>
      <c r="AE20" s="75"/>
      <c r="AF20" s="75">
        <v>0</v>
      </c>
      <c r="AG20" s="75">
        <v>0</v>
      </c>
      <c r="AH20" s="75">
        <v>0</v>
      </c>
      <c r="AI20" s="76" t="s">
        <v>180</v>
      </c>
      <c r="AJ20" s="77" t="s">
        <v>173</v>
      </c>
      <c r="AK20" s="77" t="s">
        <v>81</v>
      </c>
      <c r="AL20" s="77" t="s">
        <v>64</v>
      </c>
      <c r="AM20" s="77" t="s">
        <v>65</v>
      </c>
      <c r="AN20" s="77" t="s">
        <v>85</v>
      </c>
      <c r="AO20" s="77" t="s">
        <v>67</v>
      </c>
      <c r="AP20" s="77" t="str">
        <f t="shared" si="14"/>
        <v>SHVLVPTRC1.Health.stVal</v>
      </c>
      <c r="AQ20" s="77" t="s">
        <v>63</v>
      </c>
      <c r="AR20" s="67">
        <v>0</v>
      </c>
      <c r="AS20" s="67">
        <v>0</v>
      </c>
      <c r="AT20" s="67">
        <v>0</v>
      </c>
      <c r="AU20" s="67">
        <v>0</v>
      </c>
      <c r="AV20" s="67">
        <f t="shared" si="15"/>
        <v>0</v>
      </c>
      <c r="AW20" s="67">
        <v>0</v>
      </c>
      <c r="AX20" s="67">
        <v>0</v>
      </c>
      <c r="AY20" s="78"/>
      <c r="AZ20" s="67"/>
      <c r="BA20" s="67"/>
      <c r="BB20" s="67"/>
      <c r="BC20" s="67"/>
      <c r="BD20" s="67"/>
      <c r="BE20" s="67"/>
      <c r="BF20" s="67"/>
      <c r="BG20" s="82" t="str">
        <f t="shared" si="13"/>
        <v>description: "Исправность", note: "Индикация исправности логического узла ЛО ОК", group: "status", minValue: null, maxValue: null, step: null, units: "null", defaultValue: null, eventRegistration: 0</v>
      </c>
    </row>
    <row r="21" spans="1:60" s="17" customFormat="1" ht="15.75" x14ac:dyDescent="0.25">
      <c r="A21" s="43"/>
      <c r="B21" s="105" t="s">
        <v>195</v>
      </c>
      <c r="C21" s="44"/>
      <c r="D21" s="96" t="s">
        <v>183</v>
      </c>
      <c r="E21" s="42" t="s">
        <v>187</v>
      </c>
      <c r="F21" s="42" t="s">
        <v>86</v>
      </c>
      <c r="G21" s="42" t="s">
        <v>86</v>
      </c>
      <c r="H21" s="44"/>
      <c r="I21" s="42">
        <f t="shared" si="9"/>
        <v>9</v>
      </c>
      <c r="J21" s="42" t="str">
        <f t="shared" si="10"/>
        <v>Поведение</v>
      </c>
      <c r="K21" s="45" t="s">
        <v>168</v>
      </c>
      <c r="L21" s="46" t="s">
        <v>57</v>
      </c>
      <c r="M21" s="47" t="s">
        <v>51</v>
      </c>
      <c r="N21" s="47" t="s">
        <v>52</v>
      </c>
      <c r="O21" s="47"/>
      <c r="P21" s="44"/>
      <c r="Q21" s="44"/>
      <c r="R21" s="47" t="s">
        <v>53</v>
      </c>
      <c r="S21" s="47" t="s">
        <v>53</v>
      </c>
      <c r="T21" s="47" t="s">
        <v>53</v>
      </c>
      <c r="U21" s="47" t="s">
        <v>53</v>
      </c>
      <c r="V21" s="44"/>
      <c r="W21" s="44"/>
      <c r="X21" s="47" t="s">
        <v>53</v>
      </c>
      <c r="Y21" s="47">
        <v>0</v>
      </c>
      <c r="Z21" s="44"/>
      <c r="AA21" s="41">
        <v>0</v>
      </c>
      <c r="AB21" s="41"/>
      <c r="AC21" s="41"/>
      <c r="AD21" s="41"/>
      <c r="AE21" s="41"/>
      <c r="AF21" s="41">
        <v>0</v>
      </c>
      <c r="AG21" s="41">
        <v>0</v>
      </c>
      <c r="AH21" s="41">
        <v>0</v>
      </c>
      <c r="AI21" s="50" t="s">
        <v>180</v>
      </c>
      <c r="AJ21" s="39" t="s">
        <v>174</v>
      </c>
      <c r="AK21" s="39" t="s">
        <v>81</v>
      </c>
      <c r="AL21" s="39" t="s">
        <v>64</v>
      </c>
      <c r="AM21" s="39" t="s">
        <v>65</v>
      </c>
      <c r="AN21" s="39" t="s">
        <v>66</v>
      </c>
      <c r="AO21" s="39" t="s">
        <v>67</v>
      </c>
      <c r="AP21" s="39" t="str">
        <f t="shared" ref="AP21:AP22" si="16">CONCATENATE(AJ21, ".", AL21)</f>
        <v>LEVPTRC1.Beh.stVal</v>
      </c>
      <c r="AQ21" s="39" t="s">
        <v>63</v>
      </c>
      <c r="AR21" s="44">
        <v>0</v>
      </c>
      <c r="AS21" s="44">
        <v>0</v>
      </c>
      <c r="AT21" s="44">
        <v>0</v>
      </c>
      <c r="AU21" s="44">
        <v>0</v>
      </c>
      <c r="AV21" s="44">
        <f t="shared" ref="AV21:AV22" si="17">BIN2DEC(CONCATENATE(0,0,0,0,AR21,AS21,AT21,AU21))</f>
        <v>0</v>
      </c>
      <c r="AW21" s="44">
        <v>0</v>
      </c>
      <c r="AX21" s="44">
        <v>0</v>
      </c>
      <c r="AY21" s="49"/>
      <c r="AZ21" s="44"/>
      <c r="BA21" s="44"/>
      <c r="BB21" s="44"/>
      <c r="BC21" s="44"/>
      <c r="BD21" s="44"/>
      <c r="BE21" s="44"/>
      <c r="BF21" s="44"/>
      <c r="BG21" s="48" t="str">
        <f t="shared" si="13"/>
        <v>description: "Поведение", note: "Индикация поведения логического узла ЛО ДУм расширителя", group: "status", minValue: null, maxValue: null, step: null, units: "null", defaultValue: null, eventRegistration: 0</v>
      </c>
    </row>
    <row r="22" spans="1:60" s="17" customFormat="1" ht="15.75" x14ac:dyDescent="0.25">
      <c r="A22" s="43"/>
      <c r="B22" s="105" t="s">
        <v>195</v>
      </c>
      <c r="C22" s="44"/>
      <c r="D22" s="96" t="s">
        <v>183</v>
      </c>
      <c r="E22" s="42" t="s">
        <v>188</v>
      </c>
      <c r="F22" s="42" t="s">
        <v>87</v>
      </c>
      <c r="G22" s="42" t="s">
        <v>87</v>
      </c>
      <c r="H22" s="44"/>
      <c r="I22" s="42">
        <f t="shared" si="9"/>
        <v>11</v>
      </c>
      <c r="J22" s="42" t="str">
        <f t="shared" si="10"/>
        <v>Исправность</v>
      </c>
      <c r="K22" s="45" t="s">
        <v>169</v>
      </c>
      <c r="L22" s="46" t="s">
        <v>57</v>
      </c>
      <c r="M22" s="47" t="s">
        <v>51</v>
      </c>
      <c r="N22" s="47" t="s">
        <v>52</v>
      </c>
      <c r="O22" s="47"/>
      <c r="P22" s="32"/>
      <c r="Q22" s="32"/>
      <c r="R22" s="47" t="s">
        <v>53</v>
      </c>
      <c r="S22" s="47" t="s">
        <v>53</v>
      </c>
      <c r="T22" s="47" t="s">
        <v>53</v>
      </c>
      <c r="U22" s="47" t="s">
        <v>53</v>
      </c>
      <c r="V22" s="44"/>
      <c r="W22" s="44"/>
      <c r="X22" s="47" t="s">
        <v>53</v>
      </c>
      <c r="Y22" s="47">
        <v>0</v>
      </c>
      <c r="Z22" s="44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50" t="s">
        <v>180</v>
      </c>
      <c r="AJ22" s="39" t="s">
        <v>175</v>
      </c>
      <c r="AK22" s="39" t="s">
        <v>81</v>
      </c>
      <c r="AL22" s="39" t="s">
        <v>64</v>
      </c>
      <c r="AM22" s="39" t="s">
        <v>65</v>
      </c>
      <c r="AN22" s="39" t="s">
        <v>85</v>
      </c>
      <c r="AO22" s="39" t="s">
        <v>67</v>
      </c>
      <c r="AP22" s="39" t="str">
        <f t="shared" si="16"/>
        <v>LEVPTRC1.Health.stVal</v>
      </c>
      <c r="AQ22" s="39" t="s">
        <v>63</v>
      </c>
      <c r="AR22" s="44">
        <v>0</v>
      </c>
      <c r="AS22" s="44">
        <v>0</v>
      </c>
      <c r="AT22" s="44">
        <v>0</v>
      </c>
      <c r="AU22" s="44">
        <v>0</v>
      </c>
      <c r="AV22" s="44">
        <f t="shared" si="17"/>
        <v>0</v>
      </c>
      <c r="AW22" s="44">
        <v>0</v>
      </c>
      <c r="AX22" s="44">
        <v>0</v>
      </c>
      <c r="AY22" s="49"/>
      <c r="AZ22" s="44"/>
      <c r="BA22" s="44"/>
      <c r="BB22" s="44"/>
      <c r="BC22" s="44"/>
      <c r="BD22" s="44"/>
      <c r="BE22" s="44"/>
      <c r="BF22" s="44"/>
      <c r="BG22" s="48" t="str">
        <f t="shared" si="13"/>
        <v>description: "Исправность", note: "Индикация исправности логического узла ЛО ДУм расширителя", group: "status",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5"/>
  <sheetViews>
    <sheetView zoomScale="80" zoomScaleNormal="80" workbookViewId="0">
      <selection activeCell="G12" sqref="G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1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SUM(AB4:AB12)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113" t="s">
        <v>0</v>
      </c>
      <c r="BB1" s="114"/>
      <c r="BC1" s="114"/>
      <c r="BD1" s="114"/>
      <c r="BE1" s="114"/>
      <c r="BF1" s="114"/>
      <c r="BG1" s="114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109" t="s">
        <v>206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5" customFormat="1" ht="15.75" x14ac:dyDescent="0.25">
      <c r="A3" s="43"/>
      <c r="B3" s="43" t="s">
        <v>88</v>
      </c>
      <c r="C3" s="47"/>
      <c r="D3" s="96" t="s">
        <v>137</v>
      </c>
      <c r="E3" s="42" t="s">
        <v>176</v>
      </c>
      <c r="F3" s="42" t="s">
        <v>110</v>
      </c>
      <c r="G3" s="42" t="s">
        <v>114</v>
      </c>
      <c r="H3" s="110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177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8" customFormat="1" ht="15.75" x14ac:dyDescent="0.25">
      <c r="A4" s="83"/>
      <c r="B4" s="83" t="s">
        <v>88</v>
      </c>
      <c r="C4" s="89"/>
      <c r="D4" s="97" t="s">
        <v>138</v>
      </c>
      <c r="E4" s="54" t="s">
        <v>176</v>
      </c>
      <c r="F4" s="54" t="s">
        <v>110</v>
      </c>
      <c r="G4" s="54" t="s">
        <v>114</v>
      </c>
      <c r="H4" s="110" t="s">
        <v>114</v>
      </c>
      <c r="I4" s="54" t="s">
        <v>104</v>
      </c>
      <c r="J4" s="54">
        <f>LEN(F4)</f>
        <v>12</v>
      </c>
      <c r="K4" s="54" t="str">
        <f>IF(LEN(F4)&lt;=$K$1,F4,"")</f>
        <v>Ввод_функции</v>
      </c>
      <c r="L4" s="83" t="s">
        <v>178</v>
      </c>
      <c r="M4" s="88" t="s">
        <v>54</v>
      </c>
      <c r="N4" s="89" t="s">
        <v>52</v>
      </c>
      <c r="O4" s="89" t="s">
        <v>52</v>
      </c>
      <c r="P4" s="89"/>
      <c r="Q4" s="91">
        <v>0</v>
      </c>
      <c r="R4" s="91"/>
      <c r="S4" s="89" t="s">
        <v>53</v>
      </c>
      <c r="T4" s="89">
        <v>0</v>
      </c>
      <c r="U4" s="89">
        <v>1</v>
      </c>
      <c r="V4" s="89">
        <v>1</v>
      </c>
      <c r="W4" s="89"/>
      <c r="X4" s="89"/>
      <c r="Y4" s="89">
        <v>0</v>
      </c>
      <c r="Z4" s="89">
        <v>0</v>
      </c>
      <c r="AA4" s="87"/>
      <c r="AB4" s="58">
        <v>0</v>
      </c>
      <c r="AC4" s="58"/>
      <c r="AD4" s="58"/>
      <c r="AE4" s="58"/>
      <c r="AF4" s="58"/>
      <c r="AG4" s="58">
        <v>0</v>
      </c>
      <c r="AH4" s="58">
        <v>0</v>
      </c>
      <c r="AI4" s="58">
        <v>0</v>
      </c>
      <c r="AJ4" s="58"/>
      <c r="AK4" s="84"/>
      <c r="AL4" s="84"/>
      <c r="AM4" s="84"/>
      <c r="AN4" s="84"/>
      <c r="AO4" s="84"/>
      <c r="AP4" s="84"/>
      <c r="AQ4" s="84"/>
      <c r="AR4" s="84"/>
      <c r="AS4" s="84">
        <v>0</v>
      </c>
      <c r="AT4" s="84">
        <v>0</v>
      </c>
      <c r="AU4" s="84">
        <v>0</v>
      </c>
      <c r="AV4" s="84">
        <v>0</v>
      </c>
      <c r="AW4" s="84">
        <f>BIN2DEC(CONCATENATE(0,0,0,0,AS4,AT4,AU4,AV4))</f>
        <v>0</v>
      </c>
      <c r="AX4" s="84" t="s">
        <v>105</v>
      </c>
      <c r="AY4" s="84"/>
      <c r="AZ4" s="91"/>
      <c r="BA4" s="84"/>
      <c r="BB4" s="84"/>
      <c r="BC4" s="84"/>
      <c r="BD4" s="84"/>
      <c r="BE4" s="84"/>
      <c r="BF4" s="84"/>
      <c r="BG4" s="84"/>
      <c r="BH4" s="92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95" customFormat="1" ht="15.75" x14ac:dyDescent="0.25">
      <c r="A5" s="43"/>
      <c r="B5" s="43" t="s">
        <v>88</v>
      </c>
      <c r="C5" s="47"/>
      <c r="D5" s="96" t="s">
        <v>183</v>
      </c>
      <c r="E5" s="42" t="s">
        <v>176</v>
      </c>
      <c r="F5" s="42" t="s">
        <v>110</v>
      </c>
      <c r="G5" s="42" t="s">
        <v>114</v>
      </c>
      <c r="H5" s="110" t="s">
        <v>114</v>
      </c>
      <c r="I5" s="42" t="s">
        <v>104</v>
      </c>
      <c r="J5" s="42">
        <f>LEN(F5)</f>
        <v>12</v>
      </c>
      <c r="K5" s="42" t="str">
        <f>IF(LEN(F5)&lt;=$K$1,F5,"")</f>
        <v>Ввод_функции</v>
      </c>
      <c r="L5" s="43" t="s">
        <v>179</v>
      </c>
      <c r="M5" s="46" t="s">
        <v>54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/>
      <c r="AK5" s="44"/>
      <c r="AL5" s="44"/>
      <c r="AM5" s="44"/>
      <c r="AN5" s="44"/>
      <c r="AO5" s="44"/>
      <c r="AP5" s="44"/>
      <c r="AQ5" s="44"/>
      <c r="AR5" s="44"/>
      <c r="AS5" s="44">
        <v>0</v>
      </c>
      <c r="AT5" s="44">
        <v>0</v>
      </c>
      <c r="AU5" s="44">
        <v>0</v>
      </c>
      <c r="AV5" s="44">
        <v>0</v>
      </c>
      <c r="AW5" s="44">
        <f>BIN2DEC(CONCATENATE(0,0,0,0,AS5,AT5,AU5,AV5))</f>
        <v>0</v>
      </c>
      <c r="AX5" s="44" t="s">
        <v>105</v>
      </c>
      <c r="AY5" s="44"/>
      <c r="AZ5" s="49"/>
      <c r="BA5" s="44"/>
      <c r="BB5" s="44"/>
      <c r="BC5" s="44"/>
      <c r="BD5" s="44"/>
      <c r="BE5" s="44"/>
      <c r="BF5" s="44"/>
      <c r="BG5" s="44"/>
      <c r="BH5" s="4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0"/>
      <c r="BD6" s="4"/>
      <c r="BE6" s="2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tabSelected="1" workbookViewId="0">
      <selection activeCell="B19" sqref="B19"/>
    </sheetView>
  </sheetViews>
  <sheetFormatPr defaultRowHeight="15.75" x14ac:dyDescent="0.25"/>
  <cols>
    <col min="1" max="1" width="22.42578125" style="100" customWidth="1"/>
    <col min="2" max="2" width="68.28515625" style="100" customWidth="1"/>
    <col min="3" max="16384" width="9.140625" style="100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101" t="s">
        <v>139</v>
      </c>
    </row>
    <row r="4" spans="1:2" x14ac:dyDescent="0.25">
      <c r="A4" s="22" t="s">
        <v>92</v>
      </c>
      <c r="B4" s="24">
        <v>536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182</v>
      </c>
    </row>
    <row r="7" spans="1:2" x14ac:dyDescent="0.25">
      <c r="A7" s="25" t="s">
        <v>189</v>
      </c>
      <c r="B7" s="23">
        <v>1</v>
      </c>
    </row>
    <row r="8" spans="1:2" x14ac:dyDescent="0.25">
      <c r="A8" s="106" t="s">
        <v>196</v>
      </c>
      <c r="B8" t="s">
        <v>198</v>
      </c>
    </row>
    <row r="9" spans="1:2" x14ac:dyDescent="0.25">
      <c r="A9" s="106" t="s">
        <v>197</v>
      </c>
      <c r="B9" s="106"/>
    </row>
    <row r="10" spans="1:2" x14ac:dyDescent="0.25">
      <c r="A10" s="106" t="s">
        <v>139</v>
      </c>
      <c r="B10" s="106" t="s">
        <v>198</v>
      </c>
    </row>
    <row r="11" spans="1:2" x14ac:dyDescent="0.25">
      <c r="A11" s="96" t="s">
        <v>137</v>
      </c>
      <c r="B11" t="s">
        <v>199</v>
      </c>
    </row>
    <row r="12" spans="1:2" x14ac:dyDescent="0.25">
      <c r="A12" s="97" t="s">
        <v>138</v>
      </c>
      <c r="B12" t="s">
        <v>200</v>
      </c>
    </row>
    <row r="13" spans="1:2" x14ac:dyDescent="0.25">
      <c r="A13" s="96" t="s">
        <v>183</v>
      </c>
      <c r="B13" t="s">
        <v>201</v>
      </c>
    </row>
    <row r="14" spans="1:2" x14ac:dyDescent="0.25">
      <c r="A14" s="106" t="s">
        <v>197</v>
      </c>
      <c r="B14" s="10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2025-10-11T07:21:01Z</dcterms:modified>
</cp:coreProperties>
</file>