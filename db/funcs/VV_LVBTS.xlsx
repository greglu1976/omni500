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7" i="2" l="1"/>
  <c r="AV11" i="2"/>
  <c r="BG6" i="4" l="1"/>
  <c r="BG23" i="2" l="1"/>
  <c r="BG24" i="2"/>
  <c r="BG17" i="2"/>
  <c r="BG18" i="2"/>
  <c r="BG10" i="2"/>
  <c r="BG11" i="2"/>
  <c r="BG12" i="2"/>
  <c r="BG5" i="2"/>
  <c r="BG6" i="2"/>
  <c r="BG7" i="2"/>
  <c r="BG8" i="2"/>
  <c r="AV17" i="2"/>
  <c r="AV18" i="2"/>
  <c r="I18" i="2"/>
  <c r="J18" i="2"/>
  <c r="I17" i="2"/>
  <c r="J17" i="2"/>
  <c r="AV5" i="2"/>
  <c r="AV6" i="2"/>
  <c r="AV8" i="2"/>
  <c r="AV9" i="2"/>
  <c r="AV10" i="2"/>
  <c r="AV12" i="2"/>
  <c r="AV13" i="2"/>
  <c r="J11" i="2"/>
  <c r="J12" i="2"/>
  <c r="I11" i="2"/>
  <c r="I12" i="2"/>
  <c r="I10" i="2"/>
  <c r="J10" i="2"/>
  <c r="J5" i="2"/>
  <c r="J6" i="2"/>
  <c r="J7" i="2"/>
  <c r="J8" i="2"/>
  <c r="I5" i="2"/>
  <c r="I6" i="2"/>
  <c r="I7" i="2"/>
  <c r="I8" i="2"/>
  <c r="AV9" i="4"/>
  <c r="AV10" i="4"/>
  <c r="AV6" i="4"/>
  <c r="BG10" i="4"/>
  <c r="BG9" i="4"/>
  <c r="J6" i="4"/>
  <c r="J10" i="4"/>
  <c r="J9" i="4"/>
  <c r="I9" i="4"/>
  <c r="I10" i="4"/>
  <c r="I6" i="4"/>
  <c r="J22" i="2" l="1"/>
  <c r="J21" i="2"/>
  <c r="J20" i="2"/>
  <c r="J19" i="2"/>
  <c r="J16" i="2"/>
  <c r="J15" i="2"/>
  <c r="BG15" i="2"/>
  <c r="BG16" i="2"/>
  <c r="BG19" i="2"/>
  <c r="BG20" i="2"/>
  <c r="BG21" i="2"/>
  <c r="BG22" i="2"/>
  <c r="AV15" i="2"/>
  <c r="AV16" i="2"/>
  <c r="AV19" i="2"/>
  <c r="AV20" i="2"/>
  <c r="AV21" i="2"/>
  <c r="AV22" i="2"/>
  <c r="I15" i="2"/>
  <c r="I16" i="2"/>
  <c r="I19" i="2"/>
  <c r="I20" i="2"/>
  <c r="I21" i="2"/>
  <c r="I22" i="2"/>
  <c r="AP8" i="3"/>
  <c r="AP9" i="3"/>
  <c r="AP15" i="3"/>
  <c r="AP14" i="3"/>
  <c r="I9" i="3"/>
  <c r="J9" i="3"/>
  <c r="BG14" i="3"/>
  <c r="BG15" i="3"/>
  <c r="AV14" i="3"/>
  <c r="AV15" i="3"/>
  <c r="J14" i="3"/>
  <c r="J15" i="3"/>
  <c r="I14" i="3"/>
  <c r="I15" i="3"/>
  <c r="BG9" i="3"/>
  <c r="AP8" i="4"/>
  <c r="AP5" i="4"/>
  <c r="BG14" i="2" l="1"/>
  <c r="J13" i="2"/>
  <c r="J14" i="2"/>
  <c r="I14" i="2"/>
  <c r="AV14" i="2"/>
  <c r="I13" i="2"/>
  <c r="BG13" i="2"/>
  <c r="AP6" i="3"/>
  <c r="AP11" i="4"/>
  <c r="J5" i="3" l="1"/>
  <c r="BG8" i="4" l="1"/>
  <c r="AV8" i="4"/>
  <c r="J8" i="4"/>
  <c r="I8" i="4"/>
  <c r="BG11" i="4"/>
  <c r="AV11" i="4"/>
  <c r="J11" i="4"/>
  <c r="I11" i="4"/>
  <c r="BG7" i="4"/>
  <c r="AV7" i="4"/>
  <c r="J7" i="4"/>
  <c r="I7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10" i="3"/>
  <c r="AV10" i="3"/>
  <c r="AP10" i="3"/>
  <c r="J10" i="3"/>
  <c r="I10" i="3"/>
  <c r="BG8" i="3"/>
  <c r="J8" i="3"/>
  <c r="I8" i="3"/>
  <c r="BG7" i="3"/>
  <c r="J7" i="3"/>
  <c r="I7" i="3"/>
  <c r="BG6" i="3"/>
  <c r="J6" i="3"/>
  <c r="I6" i="3"/>
  <c r="BG5" i="3"/>
  <c r="I5" i="3"/>
  <c r="BG4" i="3"/>
  <c r="J4" i="3"/>
  <c r="I4" i="3"/>
  <c r="BG3" i="3"/>
  <c r="J3" i="3"/>
  <c r="I3" i="3"/>
  <c r="AH1" i="3"/>
  <c r="BG25" i="2"/>
  <c r="AV25" i="2"/>
  <c r="J25" i="2"/>
  <c r="I25" i="2"/>
  <c r="AV24" i="2"/>
  <c r="J24" i="2"/>
  <c r="I24" i="2"/>
  <c r="AV23" i="2"/>
  <c r="AP23" i="2"/>
  <c r="J23" i="2"/>
  <c r="I23" i="2"/>
  <c r="BG9" i="2"/>
  <c r="J9" i="2"/>
  <c r="I9" i="2"/>
  <c r="BG4" i="2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<sst xmlns="http://schemas.openxmlformats.org/spreadsheetml/2006/main" count="878" uniqueCount="256">
  <si>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</si>
  <si>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</si>
  <si>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</si>
  <si>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</si>
  <si>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</si>
  <si>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</si>
  <si>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</si>
  <si>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</si>
  <si>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</si>
  <si>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</si>
  <si>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</si>
  <si>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</si>
  <si>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</si>
  <si>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</si>
  <si>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</si>
  <si>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</si>
  <si>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</si>
  <si>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</si>
  <si>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</si>
  <si>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</si>
  <si>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</si>
  <si>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</si>
  <si>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</si>
  <si>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</si>
  <si>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</si>
  <si>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</si>
  <si>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</si>
  <si>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</si>
  <si>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</si>
  <si>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</si>
  <si>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</si>
  <si>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</si>
  <si>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</si>
  <si>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</si>
  <si>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</si>
  <si>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</si>
  <si>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</si>
  <si>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</si>
  <si>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</si>
  <si>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</si>
  <si>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</si>
  <si>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</si>
  <si>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</si>
  <si>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</si>
  <si>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</si>
  <si>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</si>
  <si>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</si>
  <si>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</si>
  <si>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</si>
  <si>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</si>
  <si>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</si>
  <si>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</si>
  <si>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</si>
  <si>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</si>
  <si>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</si>
  <si>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</si>
  <si>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</si>
  <si>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</si>
  <si>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</si>
  <si>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</si>
  <si>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</si>
  <si>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</si>
  <si>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</si>
  <si>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</si>
  <si>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</si>
  <si>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</si>
  <si>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</si>
  <si>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</si>
  <si>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</si>
  <si>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</si>
  <si>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</si>
  <si>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</si>
  <si>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</si>
  <si>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</si>
  <si>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</si>
  <si>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</si>
  <si>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</si>
  <si>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</si>
  <si>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</si>
  <si>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</si>
  <si>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</si>
  <si>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</si>
  <si>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</si>
  <si>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</si>
  <si>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</si>
  <si>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</si>
  <si>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</si>
  <si>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general</t>
  </si>
  <si>
    <t>BOOLEAN</t>
  </si>
  <si>
    <t>ST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</si>
  <si>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</si>
  <si>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</si>
  <si>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</si>
  <si>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</si>
  <si>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</si>
  <si>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</si>
  <si>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</si>
  <si>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</si>
  <si>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</si>
  <si>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</si>
  <si>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</si>
  <si>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</si>
  <si>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</si>
  <si>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</si>
  <si>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</si>
  <si>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</si>
  <si>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</si>
  <si>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</si>
  <si>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</si>
  <si>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</si>
  <si>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</si>
  <si>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</si>
  <si>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SG</t>
  </si>
  <si>
    <t>SGF3</t>
  </si>
  <si>
    <t>SGF2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</si>
  <si>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</si>
  <si>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</si>
  <si>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</si>
  <si>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</si>
  <si>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</si>
  <si>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</si>
  <si>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</si>
  <si>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</si>
  <si>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</si>
  <si>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</si>
  <si>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</si>
  <si>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</si>
  <si>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</si>
  <si>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</si>
  <si>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</si>
  <si>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T2</t>
  </si>
  <si>
    <t>Включить</t>
  </si>
  <si>
    <t>Блокировка включения от КСВ</t>
  </si>
  <si>
    <t>Реле фиксации включенного положения выключателя</t>
  </si>
  <si>
    <t>В Отключен</t>
  </si>
  <si>
    <t>Блокировка Вкл</t>
  </si>
  <si>
    <t>РФК</t>
  </si>
  <si>
    <t>CBPosOpnFrmCB</t>
  </si>
  <si>
    <t>BlkToClsFrmCBSUP</t>
  </si>
  <si>
    <t>FixContacts</t>
  </si>
  <si>
    <t>StrFrmUV1</t>
  </si>
  <si>
    <t>StrFrmOV2</t>
  </si>
  <si>
    <t>АВР</t>
  </si>
  <si>
    <t>ЗАВР</t>
  </si>
  <si>
    <t>Режим контроля отсутствия напряжения на секции</t>
  </si>
  <si>
    <t>Выдержка времени готовности</t>
  </si>
  <si>
    <t>Режим запрета от СЗЗ</t>
  </si>
  <si>
    <t>Реж_КОН</t>
  </si>
  <si>
    <t>Тгот</t>
  </si>
  <si>
    <t>ЗапАВР_СЗЗ</t>
  </si>
  <si>
    <t>0 - Без контроля, 1 - С контролем</t>
  </si>
  <si>
    <t>ABTS1_EnaDis</t>
  </si>
  <si>
    <t>ABTS1_VCtlMod</t>
  </si>
  <si>
    <t>ABTS1_Tready</t>
  </si>
  <si>
    <t>ABTS1_Top</t>
  </si>
  <si>
    <t>BTSRBLC1_StpSetMod</t>
  </si>
  <si>
    <t>BTS2RBLC</t>
  </si>
  <si>
    <t>BTSRBLC1.StpSetMod</t>
  </si>
  <si>
    <t>SPG</t>
  </si>
  <si>
    <t>ABTS1.VCtlMod</t>
  </si>
  <si>
    <t>ABTS1.OpDlTmms</t>
  </si>
  <si>
    <t>Индикация поведения логического узла АВР</t>
  </si>
  <si>
    <t>Индикация исправности логического узла АВР</t>
  </si>
  <si>
    <t>Индикация поведения логического узла ЗАВР</t>
  </si>
  <si>
    <t>Индикация исправности логического узла ЗАВР</t>
  </si>
  <si>
    <t>ABTS1_Beh</t>
  </si>
  <si>
    <t>ABTS1_Health</t>
  </si>
  <si>
    <t>BTSRBLC1_Beh</t>
  </si>
  <si>
    <t>BTSRBLC1_Health</t>
  </si>
  <si>
    <t>Готовность</t>
  </si>
  <si>
    <t>Запрет АВР</t>
  </si>
  <si>
    <t>ABTS1_FuncEnabled</t>
  </si>
  <si>
    <t>ABTS1_FuncOperDisabled</t>
  </si>
  <si>
    <t>ABTS1_Ready</t>
  </si>
  <si>
    <t>ABTS1_OpCls</t>
  </si>
  <si>
    <t>BTSRBLC1_BlkOp</t>
  </si>
  <si>
    <t>ABTS1.Beh</t>
  </si>
  <si>
    <t>ABTS1.Health</t>
  </si>
  <si>
    <t>BTSRBLC1.Beh</t>
  </si>
  <si>
    <t>BTSRBLC1.Health</t>
  </si>
  <si>
    <t>BTSRBLC1.BlkOp</t>
  </si>
  <si>
    <t>ABTS1.OpCls</t>
  </si>
  <si>
    <t>ABTS1.TrPrm1</t>
  </si>
  <si>
    <t>Оперативный вывод функции АВР</t>
  </si>
  <si>
    <t>ОВ АВР</t>
  </si>
  <si>
    <t>LVBTS_operOutFunction</t>
  </si>
  <si>
    <t>StrFrmOV1</t>
  </si>
  <si>
    <t>Запрет АВР от ЛО</t>
  </si>
  <si>
    <t>Откл от КП</t>
  </si>
  <si>
    <t>Опер. отключить В</t>
  </si>
  <si>
    <t>Сраб. СЗЗ ТН 1сш</t>
  </si>
  <si>
    <t>Сраб. СЗЗ ТН 2сш</t>
  </si>
  <si>
    <t>Отключить от КП</t>
  </si>
  <si>
    <t>Отключить В оперативно</t>
  </si>
  <si>
    <t>Срабатывание сигнализации о наличии замыкания на землю ТН 1 секции шин</t>
  </si>
  <si>
    <t>Срабатывание сигнализации о наличии замыкания на землю ТН 2 секции шин</t>
  </si>
  <si>
    <t>BlkOpFrmOFFLGC</t>
  </si>
  <si>
    <t>OpOpnFrmSWCTRL</t>
  </si>
  <si>
    <t>OperOpnCB</t>
  </si>
  <si>
    <t>GrndFaultSignVT1</t>
  </si>
  <si>
    <t>GrndFaultSignVT2</t>
  </si>
  <si>
    <t>SPS</t>
  </si>
  <si>
    <t>WithoutWithControl</t>
  </si>
  <si>
    <t>SGF4</t>
  </si>
  <si>
    <t>0 - Рабочий, 1 - Резервный</t>
  </si>
  <si>
    <t>0 - Ввод, 1 - Секция</t>
  </si>
  <si>
    <t>Тип_ввода</t>
  </si>
  <si>
    <t>Тип ввода</t>
  </si>
  <si>
    <t>Контр_встреч_U</t>
  </si>
  <si>
    <t>Контроль встречного напряжения</t>
  </si>
  <si>
    <t>ЗапАВР_сам_откл</t>
  </si>
  <si>
    <t>ЗапАВР_неиспр_В</t>
  </si>
  <si>
    <t>Режим запрета АВР от самопроизвольного отключения</t>
  </si>
  <si>
    <t>Режим запрета АВР от неисправности выключателя</t>
  </si>
  <si>
    <t>ABTS1_InputType</t>
  </si>
  <si>
    <t>ABTS1_CounterVoltCtrl</t>
  </si>
  <si>
    <t>BTSRBLC1_UnpromOpnCtrl</t>
  </si>
  <si>
    <t>BTSRBLC1_FailureCBCtrl</t>
  </si>
  <si>
    <t>LVABTS_UIRZ</t>
  </si>
  <si>
    <t>Разрешение</t>
  </si>
  <si>
    <t>ABTS1_TrPrm</t>
  </si>
  <si>
    <t>Вкл. рез.ВВ или СВ</t>
  </si>
  <si>
    <t>Включить резервный ввод или секционный выключатель</t>
  </si>
  <si>
    <t>ABTS1_ClsReserveCB</t>
  </si>
  <si>
    <t>В Включен</t>
  </si>
  <si>
    <t>Разрешение АВР</t>
  </si>
  <si>
    <t>В аварийно отключен</t>
  </si>
  <si>
    <t>Включение от АВР</t>
  </si>
  <si>
    <t>Пуск от КОНш</t>
  </si>
  <si>
    <t>Пуск от КННш</t>
  </si>
  <si>
    <t>Пуск от КННвв</t>
  </si>
  <si>
    <t>CBPosClsFrmCB</t>
  </si>
  <si>
    <t>ABTSpermission</t>
  </si>
  <si>
    <t>CBFailureTrip</t>
  </si>
  <si>
    <t>ClsFrmOutABTS</t>
  </si>
  <si>
    <t>В самопр. отключен</t>
  </si>
  <si>
    <t>Выключатель самопроизвольно отключен</t>
  </si>
  <si>
    <t>Неисправность В</t>
  </si>
  <si>
    <t>Неисправность выключателя</t>
  </si>
  <si>
    <t>Внешний запрет АВР</t>
  </si>
  <si>
    <t>FailureLVCBSUP</t>
  </si>
  <si>
    <t>OutBlkOp</t>
  </si>
  <si>
    <t>Input_Section</t>
  </si>
  <si>
    <t>UnpromptedCBopening</t>
  </si>
  <si>
    <t>VV_LVBTS</t>
  </si>
  <si>
    <t>DescriptionFB</t>
  </si>
  <si>
    <t>DescriptionFuncList</t>
  </si>
  <si>
    <t>Автоматический ввод резерва</t>
  </si>
  <si>
    <t>status</t>
  </si>
  <si>
    <t>Logger</t>
  </si>
  <si>
    <t>Disturber</t>
  </si>
  <si>
    <t>StartDisturber</t>
  </si>
  <si>
    <t>control</t>
  </si>
  <si>
    <t>input</t>
  </si>
  <si>
    <t>Выключатель «Включен»</t>
  </si>
  <si>
    <t>Выключатель «Отключен»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</si>
</sst>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04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0" xfId="1" applyFont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3" fillId="0" borderId="2" xfId="1" applyFont="1" applyBorder="1" applyAlignment="1">
      <alignment vertical="center" wrapText="1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4" fillId="0" borderId="1" xfId="2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0" xfId="0" applyFont="1" applyFill="1"/>
    <xf numFmtId="0" fontId="3" fillId="0" borderId="0" xfId="0" applyFont="1"/>
    <xf numFmtId="0" fontId="4" fillId="8" borderId="2" xfId="0" applyFont="1" applyFill="1" applyBorder="1"/>
    <xf numFmtId="0" fontId="4" fillId="7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1" applyFont="1" applyFill="1" applyBorder="1" applyAlignment="1">
      <alignment vertical="center"/>
    </xf>
    <xf numFmtId="0" fontId="4" fillId="10" borderId="2" xfId="1" applyFont="1" applyFill="1" applyBorder="1" applyAlignment="1">
      <alignment horizontal="left" vertical="center" wrapText="1"/>
    </xf>
    <xf numFmtId="0" fontId="4" fillId="10" borderId="1" xfId="1" applyFont="1" applyFill="1" applyBorder="1" applyAlignment="1">
      <alignment horizontal="left" vertical="center" wrapText="1"/>
    </xf>
    <xf numFmtId="0" fontId="4" fillId="10" borderId="1" xfId="1" applyFont="1" applyFill="1" applyBorder="1" applyAlignment="1">
      <alignment vertical="center" wrapText="1"/>
    </xf>
    <xf numFmtId="0" fontId="4" fillId="10" borderId="2" xfId="1" applyFont="1" applyFill="1" applyBorder="1" applyAlignment="1">
      <alignment horizontal="right" vertical="center" wrapText="1"/>
    </xf>
    <xf numFmtId="0" fontId="4" fillId="10" borderId="2" xfId="1" applyFont="1" applyFill="1" applyBorder="1" applyAlignment="1">
      <alignment horizontal="center" vertical="center" wrapText="1"/>
    </xf>
    <xf numFmtId="0" fontId="4" fillId="10" borderId="2" xfId="1" applyFont="1" applyFill="1" applyBorder="1" applyAlignment="1">
      <alignment horizontal="left" vertical="center"/>
    </xf>
    <xf numFmtId="0" fontId="4" fillId="10" borderId="2" xfId="1" applyFont="1" applyFill="1" applyBorder="1" applyAlignment="1">
      <alignment horizontal="center" vertical="center"/>
    </xf>
    <xf numFmtId="0" fontId="4" fillId="10" borderId="1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 wrapText="1"/>
    </xf>
    <xf numFmtId="0" fontId="8" fillId="10" borderId="2" xfId="1" applyFont="1" applyFill="1" applyBorder="1" applyAlignment="1">
      <alignment horizontal="center" vertical="center"/>
    </xf>
    <xf numFmtId="0" fontId="9" fillId="10" borderId="2" xfId="1" applyFont="1" applyFill="1" applyBorder="1" applyAlignment="1">
      <alignment horizontal="center" vertical="center"/>
    </xf>
    <xf numFmtId="0" fontId="4" fillId="10" borderId="2" xfId="1" applyFont="1" applyFill="1" applyBorder="1" applyAlignment="1">
      <alignment vertical="center" wrapText="1"/>
    </xf>
    <xf numFmtId="0" fontId="4" fillId="10" borderId="0" xfId="1" applyFont="1" applyFill="1" applyBorder="1" applyAlignment="1">
      <alignment vertical="center" wrapText="1"/>
    </xf>
    <xf numFmtId="0" fontId="3" fillId="10" borderId="0" xfId="1" applyFont="1" applyFill="1"/>
    <xf numFmtId="0" fontId="4" fillId="10" borderId="1" xfId="1" applyFont="1" applyFill="1" applyBorder="1" applyAlignment="1">
      <alignment horizontal="left" vertical="center"/>
    </xf>
    <xf numFmtId="0" fontId="4" fillId="6" borderId="1" xfId="1" applyFont="1" applyFill="1" applyBorder="1" applyAlignment="1">
      <alignment vertical="center" wrapText="1"/>
    </xf>
    <xf numFmtId="0" fontId="4" fillId="7" borderId="1" xfId="1" applyFont="1" applyFill="1" applyBorder="1" applyAlignment="1">
      <alignment vertical="center" wrapText="1"/>
    </xf>
    <xf numFmtId="0" fontId="4" fillId="6" borderId="2" xfId="1" applyFont="1" applyFill="1" applyBorder="1" applyAlignment="1">
      <alignment vertical="center"/>
    </xf>
    <xf numFmtId="0" fontId="4" fillId="6" borderId="2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left" vertical="center"/>
    </xf>
    <xf numFmtId="0" fontId="4" fillId="6" borderId="2" xfId="1" applyFont="1" applyFill="1" applyBorder="1" applyAlignment="1">
      <alignment horizontal="right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left" vertical="center"/>
    </xf>
    <xf numFmtId="0" fontId="4" fillId="6" borderId="2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 wrapText="1"/>
    </xf>
    <xf numFmtId="0" fontId="8" fillId="6" borderId="2" xfId="1" applyFont="1" applyFill="1" applyBorder="1" applyAlignment="1">
      <alignment horizontal="center" vertical="center"/>
    </xf>
    <xf numFmtId="0" fontId="9" fillId="6" borderId="2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vertical="center" wrapText="1"/>
    </xf>
    <xf numFmtId="0" fontId="4" fillId="6" borderId="0" xfId="1" applyFont="1" applyFill="1" applyBorder="1" applyAlignment="1">
      <alignment vertical="center" wrapText="1"/>
    </xf>
    <xf numFmtId="0" fontId="3" fillId="6" borderId="0" xfId="1" applyFont="1" applyFill="1"/>
    <xf numFmtId="0" fontId="4" fillId="6" borderId="1" xfId="1" applyFont="1" applyFill="1" applyBorder="1" applyAlignment="1">
      <alignment horizontal="left" vertical="center" wrapText="1"/>
    </xf>
    <xf numFmtId="0" fontId="4" fillId="11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/>
    </xf>
    <xf numFmtId="0" fontId="3" fillId="6" borderId="0" xfId="1" applyFont="1" applyFill="1" applyAlignment="1">
      <alignment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abSelected="1" topLeftCell="C1" zoomScale="115" zoomScaleNormal="115" workbookViewId="0">
      <selection activeCell="E10" sqref="E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73.5703125" style="2" customWidth="1"/>
    <col min="6" max="6" width="27.7109375" style="2" customWidth="1" outlineLevel="1"/>
    <col min="7" max="7" width="23.5703125" style="2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5.8554687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2" t="s">
        <v>0</v>
      </c>
      <c r="BA1" s="103"/>
      <c r="BB1" s="103"/>
      <c r="BC1" s="103"/>
      <c r="BD1" s="103"/>
      <c r="BE1" s="103"/>
      <c r="BF1" s="103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59" t="s">
        <v>249</v>
      </c>
      <c r="AW2" s="59" t="s">
        <v>250</v>
      </c>
      <c r="AX2" s="59" t="s">
        <v>251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7" customFormat="1" ht="15.75" customHeight="1" x14ac:dyDescent="0.25">
      <c r="A3" s="63"/>
      <c r="B3" s="63" t="s">
        <v>252</v>
      </c>
      <c r="C3" s="64"/>
      <c r="D3" s="65"/>
      <c r="E3" s="66" t="s">
        <v>63</v>
      </c>
      <c r="F3" s="66" t="s">
        <v>63</v>
      </c>
      <c r="G3" s="66" t="s">
        <v>63</v>
      </c>
      <c r="H3" s="66"/>
      <c r="I3" s="66">
        <f t="shared" ref="I3:I12" si="0">LEN(F3)</f>
        <v>15</v>
      </c>
      <c r="J3" s="66" t="str">
        <f t="shared" ref="J3:J12" si="1">IF(LEN(F3)&lt;=$J$1,F3,"")</f>
        <v>Вывод терминала</v>
      </c>
      <c r="K3" s="63" t="s">
        <v>64</v>
      </c>
      <c r="L3" s="67" t="s">
        <v>65</v>
      </c>
      <c r="M3" s="64" t="s">
        <v>60</v>
      </c>
      <c r="N3" s="64" t="s">
        <v>61</v>
      </c>
      <c r="O3" s="64"/>
      <c r="P3" s="68"/>
      <c r="Q3" s="68"/>
      <c r="R3" s="64" t="s">
        <v>62</v>
      </c>
      <c r="S3" s="64" t="s">
        <v>62</v>
      </c>
      <c r="T3" s="64" t="s">
        <v>62</v>
      </c>
      <c r="U3" s="64" t="s">
        <v>62</v>
      </c>
      <c r="V3" s="64"/>
      <c r="W3" s="64"/>
      <c r="X3" s="64" t="s">
        <v>62</v>
      </c>
      <c r="Y3" s="64">
        <v>0</v>
      </c>
      <c r="Z3" s="69"/>
      <c r="AA3" s="70">
        <v>0</v>
      </c>
      <c r="AB3" s="70"/>
      <c r="AC3" s="70"/>
      <c r="AD3" s="70"/>
      <c r="AE3" s="70"/>
      <c r="AF3" s="70">
        <v>0</v>
      </c>
      <c r="AG3" s="70">
        <v>0</v>
      </c>
      <c r="AH3" s="70">
        <v>0</v>
      </c>
      <c r="AI3" s="71"/>
      <c r="AJ3" s="72"/>
      <c r="AK3" s="72"/>
      <c r="AL3" s="72"/>
      <c r="AM3" s="72"/>
      <c r="AN3" s="72"/>
      <c r="AO3" s="72"/>
      <c r="AP3" s="72"/>
      <c r="AQ3" s="72"/>
      <c r="AR3" s="70">
        <v>0</v>
      </c>
      <c r="AS3" s="70">
        <v>0</v>
      </c>
      <c r="AT3" s="96">
        <v>1</v>
      </c>
      <c r="AU3" s="26">
        <v>0</v>
      </c>
      <c r="AV3" s="96">
        <v>1</v>
      </c>
      <c r="AW3" s="96">
        <v>1</v>
      </c>
      <c r="AX3" s="96">
        <v>1</v>
      </c>
      <c r="AY3" s="70"/>
      <c r="AZ3" s="68"/>
      <c r="BA3" s="70"/>
      <c r="BB3" s="70"/>
      <c r="BC3" s="73"/>
      <c r="BD3" s="70"/>
      <c r="BE3" s="74"/>
      <c r="BF3" s="70"/>
      <c r="BG3" s="75" t="str">
        <f t="shared" ref="BG3:BG12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76"/>
    </row>
    <row r="4" spans="1:16379" s="77" customFormat="1" ht="15.75" customHeight="1" x14ac:dyDescent="0.25">
      <c r="A4" s="63"/>
      <c r="B4" s="63" t="s">
        <v>252</v>
      </c>
      <c r="C4" s="64"/>
      <c r="D4" s="78" t="s">
        <v>142</v>
      </c>
      <c r="E4" s="66" t="s">
        <v>183</v>
      </c>
      <c r="F4" s="66" t="s">
        <v>184</v>
      </c>
      <c r="G4" s="66" t="s">
        <v>184</v>
      </c>
      <c r="H4" s="66"/>
      <c r="I4" s="66">
        <f t="shared" si="0"/>
        <v>6</v>
      </c>
      <c r="J4" s="66" t="str">
        <f t="shared" si="1"/>
        <v>ОВ АВР</v>
      </c>
      <c r="K4" s="63" t="s">
        <v>185</v>
      </c>
      <c r="L4" s="67" t="s">
        <v>65</v>
      </c>
      <c r="M4" s="64" t="s">
        <v>60</v>
      </c>
      <c r="N4" s="64" t="s">
        <v>61</v>
      </c>
      <c r="O4" s="64"/>
      <c r="P4" s="68"/>
      <c r="Q4" s="68"/>
      <c r="R4" s="64" t="s">
        <v>62</v>
      </c>
      <c r="S4" s="64" t="s">
        <v>62</v>
      </c>
      <c r="T4" s="64" t="s">
        <v>62</v>
      </c>
      <c r="U4" s="64" t="s">
        <v>62</v>
      </c>
      <c r="V4" s="64"/>
      <c r="W4" s="64"/>
      <c r="X4" s="64" t="s">
        <v>62</v>
      </c>
      <c r="Y4" s="64">
        <v>0</v>
      </c>
      <c r="Z4" s="69"/>
      <c r="AA4" s="70">
        <v>0</v>
      </c>
      <c r="AB4" s="70"/>
      <c r="AC4" s="70"/>
      <c r="AD4" s="70"/>
      <c r="AE4" s="70"/>
      <c r="AF4" s="70">
        <v>0</v>
      </c>
      <c r="AG4" s="70">
        <v>0</v>
      </c>
      <c r="AH4" s="70">
        <v>0</v>
      </c>
      <c r="AI4" s="71"/>
      <c r="AJ4" s="72"/>
      <c r="AK4" s="72"/>
      <c r="AL4" s="72"/>
      <c r="AM4" s="72"/>
      <c r="AN4" s="72"/>
      <c r="AO4" s="72"/>
      <c r="AP4" s="72"/>
      <c r="AQ4" s="72"/>
      <c r="AR4" s="70">
        <v>0</v>
      </c>
      <c r="AS4" s="70">
        <v>0</v>
      </c>
      <c r="AT4" s="96">
        <v>1</v>
      </c>
      <c r="AU4" s="26">
        <v>0</v>
      </c>
      <c r="AV4" s="96">
        <v>1</v>
      </c>
      <c r="AW4" s="96">
        <v>1</v>
      </c>
      <c r="AX4" s="96">
        <v>1</v>
      </c>
      <c r="AY4" s="70"/>
      <c r="AZ4" s="68"/>
      <c r="BA4" s="70"/>
      <c r="BB4" s="70"/>
      <c r="BC4" s="73"/>
      <c r="BD4" s="70"/>
      <c r="BE4" s="74"/>
      <c r="BF4" s="70"/>
      <c r="BG4" s="75" t="str">
        <f t="shared" si="2"/>
        <v>description: "ОВ АВР", note: "Оперативный вывод функции АВР", group: "control", minValue: null, maxValue: null, step: null, units: "null", defaultValue: null, eventRegistration: 0</v>
      </c>
      <c r="BH4" s="76"/>
    </row>
    <row r="5" spans="1:16379" s="31" customFormat="1" ht="15.75" customHeight="1" x14ac:dyDescent="0.25">
      <c r="A5" s="18"/>
      <c r="B5" s="18" t="s">
        <v>59</v>
      </c>
      <c r="C5" s="19"/>
      <c r="D5" s="32"/>
      <c r="E5" s="80" t="s">
        <v>254</v>
      </c>
      <c r="F5" s="21" t="s">
        <v>224</v>
      </c>
      <c r="G5" s="21" t="s">
        <v>224</v>
      </c>
      <c r="H5" s="21"/>
      <c r="I5" s="21">
        <f t="shared" si="0"/>
        <v>9</v>
      </c>
      <c r="J5" s="21" t="str">
        <f t="shared" si="1"/>
        <v>В Включен</v>
      </c>
      <c r="K5" s="18" t="s">
        <v>231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ref="AV5:AV13" si="3">BIN2DEC(CONCATENATE(0,0,0,0,AR5,AS5,AT5,AU5))</f>
        <v>0</v>
      </c>
      <c r="AW5" s="26">
        <v>0</v>
      </c>
      <c r="AX5" s="26">
        <v>0</v>
      </c>
      <c r="AY5" s="26"/>
      <c r="AZ5" s="23"/>
      <c r="BA5" s="26"/>
      <c r="BB5" s="26"/>
      <c r="BC5" s="28"/>
      <c r="BD5" s="26"/>
      <c r="BE5" s="29"/>
      <c r="BF5" s="26"/>
      <c r="BG5" s="24" t="str">
        <f t="shared" si="2"/>
        <v>description: "В Включен", note: "Выключатель «Включен»", group: "measurement", minValue: null, maxValue: null, step: null, units: "null", defaultValue: null, eventRegistration: 0</v>
      </c>
      <c r="BH5" s="30"/>
    </row>
    <row r="6" spans="1:16379" s="31" customFormat="1" ht="15.75" customHeight="1" x14ac:dyDescent="0.25">
      <c r="A6" s="18"/>
      <c r="B6" s="18" t="s">
        <v>59</v>
      </c>
      <c r="C6" s="19"/>
      <c r="D6" s="32"/>
      <c r="E6" s="80" t="s">
        <v>255</v>
      </c>
      <c r="F6" s="21" t="s">
        <v>134</v>
      </c>
      <c r="G6" s="21" t="s">
        <v>134</v>
      </c>
      <c r="H6" s="21"/>
      <c r="I6" s="21">
        <f t="shared" si="0"/>
        <v>10</v>
      </c>
      <c r="J6" s="21" t="str">
        <f t="shared" si="1"/>
        <v>В Отключен</v>
      </c>
      <c r="K6" s="18" t="s">
        <v>137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3"/>
        <v>0</v>
      </c>
      <c r="AW6" s="26">
        <v>0</v>
      </c>
      <c r="AX6" s="26">
        <v>0</v>
      </c>
      <c r="AY6" s="26"/>
      <c r="AZ6" s="23"/>
      <c r="BA6" s="26"/>
      <c r="BB6" s="26"/>
      <c r="BC6" s="28"/>
      <c r="BD6" s="26"/>
      <c r="BE6" s="29"/>
      <c r="BF6" s="26"/>
      <c r="BG6" s="24" t="str">
        <f t="shared" si="2"/>
        <v>description: "В Отключен", note: "Выключатель «Отключен»", group: "measurement", minValue: null, maxValue: null, step: null, units: "null", defaultValue: null, eventRegistration: 0</v>
      </c>
      <c r="BH6" s="30"/>
    </row>
    <row r="7" spans="1:16379" s="94" customFormat="1" ht="15.75" customHeight="1" x14ac:dyDescent="0.25">
      <c r="A7" s="81"/>
      <c r="B7" s="81" t="s">
        <v>253</v>
      </c>
      <c r="C7" s="82"/>
      <c r="D7" s="83"/>
      <c r="E7" s="79" t="s">
        <v>225</v>
      </c>
      <c r="F7" s="79" t="s">
        <v>225</v>
      </c>
      <c r="G7" s="79" t="s">
        <v>225</v>
      </c>
      <c r="H7" s="79"/>
      <c r="I7" s="79">
        <f t="shared" si="0"/>
        <v>14</v>
      </c>
      <c r="J7" s="79" t="str">
        <f t="shared" si="1"/>
        <v>Разрешение АВР</v>
      </c>
      <c r="K7" s="81" t="s">
        <v>232</v>
      </c>
      <c r="L7" s="84" t="s">
        <v>65</v>
      </c>
      <c r="M7" s="82" t="s">
        <v>60</v>
      </c>
      <c r="N7" s="82" t="s">
        <v>61</v>
      </c>
      <c r="O7" s="82"/>
      <c r="P7" s="85"/>
      <c r="Q7" s="85"/>
      <c r="R7" s="82" t="s">
        <v>62</v>
      </c>
      <c r="S7" s="82" t="s">
        <v>62</v>
      </c>
      <c r="T7" s="82" t="s">
        <v>62</v>
      </c>
      <c r="U7" s="82" t="s">
        <v>62</v>
      </c>
      <c r="V7" s="82"/>
      <c r="W7" s="82"/>
      <c r="X7" s="82" t="s">
        <v>62</v>
      </c>
      <c r="Y7" s="82">
        <v>0</v>
      </c>
      <c r="Z7" s="86"/>
      <c r="AA7" s="87">
        <v>0</v>
      </c>
      <c r="AB7" s="87"/>
      <c r="AC7" s="87"/>
      <c r="AD7" s="87"/>
      <c r="AE7" s="87"/>
      <c r="AF7" s="87">
        <v>0</v>
      </c>
      <c r="AG7" s="87">
        <v>0</v>
      </c>
      <c r="AH7" s="87">
        <v>0</v>
      </c>
      <c r="AI7" s="88"/>
      <c r="AJ7" s="89"/>
      <c r="AK7" s="89"/>
      <c r="AL7" s="89"/>
      <c r="AM7" s="89"/>
      <c r="AN7" s="89"/>
      <c r="AO7" s="89"/>
      <c r="AP7" s="89"/>
      <c r="AQ7" s="89"/>
      <c r="AR7" s="87">
        <v>0</v>
      </c>
      <c r="AS7" s="87">
        <v>0</v>
      </c>
      <c r="AT7" s="87">
        <v>0</v>
      </c>
      <c r="AU7" s="87">
        <v>0</v>
      </c>
      <c r="AV7" s="87">
        <f t="shared" si="3"/>
        <v>0</v>
      </c>
      <c r="AW7" s="87">
        <v>0</v>
      </c>
      <c r="AX7" s="87">
        <v>0</v>
      </c>
      <c r="AY7" s="87"/>
      <c r="AZ7" s="85"/>
      <c r="BA7" s="87"/>
      <c r="BB7" s="87"/>
      <c r="BC7" s="90"/>
      <c r="BD7" s="87"/>
      <c r="BE7" s="91"/>
      <c r="BF7" s="87"/>
      <c r="BG7" s="92" t="str">
        <f t="shared" si="2"/>
        <v>description: "Разрешение АВР", note: "Разрешение АВР", group: "input", minValue: null, maxValue: null, step: null, units: "null", defaultValue: null, eventRegistration: 0</v>
      </c>
      <c r="BH7" s="93"/>
    </row>
    <row r="8" spans="1:16379" s="31" customFormat="1" ht="15.75" customHeight="1" x14ac:dyDescent="0.25">
      <c r="A8" s="18"/>
      <c r="B8" s="18" t="s">
        <v>59</v>
      </c>
      <c r="C8" s="19"/>
      <c r="D8" s="32"/>
      <c r="E8" s="21" t="s">
        <v>226</v>
      </c>
      <c r="F8" s="21" t="s">
        <v>226</v>
      </c>
      <c r="G8" s="21" t="s">
        <v>226</v>
      </c>
      <c r="H8" s="21"/>
      <c r="I8" s="21">
        <f t="shared" si="0"/>
        <v>19</v>
      </c>
      <c r="J8" s="21" t="str">
        <f t="shared" si="1"/>
        <v>В аварийно отключен</v>
      </c>
      <c r="K8" s="18" t="s">
        <v>233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3"/>
        <v>0</v>
      </c>
      <c r="AW8" s="26">
        <v>0</v>
      </c>
      <c r="AX8" s="26">
        <v>0</v>
      </c>
      <c r="AY8" s="26"/>
      <c r="AZ8" s="23"/>
      <c r="BA8" s="26"/>
      <c r="BB8" s="26"/>
      <c r="BC8" s="28"/>
      <c r="BD8" s="26"/>
      <c r="BE8" s="29"/>
      <c r="BF8" s="26"/>
      <c r="BG8" s="24" t="str">
        <f t="shared" si="2"/>
        <v>description: "В аварийно отключен", note: "В аварийно отключен", group: "measurement", minValue: null, maxValue: null, step: null, units: "null", defaultValue: null, eventRegistration: 0</v>
      </c>
      <c r="BH8" s="30"/>
    </row>
    <row r="9" spans="1:16379" s="31" customFormat="1" ht="15.75" customHeight="1" x14ac:dyDescent="0.25">
      <c r="A9" s="18"/>
      <c r="B9" s="18" t="s">
        <v>59</v>
      </c>
      <c r="C9" s="19"/>
      <c r="D9" s="20"/>
      <c r="E9" s="21" t="s">
        <v>133</v>
      </c>
      <c r="F9" s="21" t="s">
        <v>136</v>
      </c>
      <c r="G9" s="21" t="s">
        <v>136</v>
      </c>
      <c r="H9" s="21"/>
      <c r="I9" s="21">
        <f t="shared" si="0"/>
        <v>3</v>
      </c>
      <c r="J9" s="21" t="str">
        <f t="shared" si="1"/>
        <v>РФК</v>
      </c>
      <c r="K9" s="18" t="s">
        <v>139</v>
      </c>
      <c r="L9" s="22" t="s">
        <v>65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27"/>
      <c r="AK9" s="27"/>
      <c r="AL9" s="27"/>
      <c r="AM9" s="27"/>
      <c r="AN9" s="27"/>
      <c r="AO9" s="27"/>
      <c r="AP9" s="27"/>
      <c r="AQ9" s="27"/>
      <c r="AR9" s="26">
        <v>0</v>
      </c>
      <c r="AS9" s="26">
        <v>0</v>
      </c>
      <c r="AT9" s="26">
        <v>0</v>
      </c>
      <c r="AU9" s="26">
        <v>0</v>
      </c>
      <c r="AV9" s="26">
        <f t="shared" si="3"/>
        <v>0</v>
      </c>
      <c r="AW9" s="26">
        <v>0</v>
      </c>
      <c r="AX9" s="26">
        <v>0</v>
      </c>
      <c r="AY9" s="26"/>
      <c r="AZ9" s="23"/>
      <c r="BA9" s="26"/>
      <c r="BB9" s="26"/>
      <c r="BC9" s="28"/>
      <c r="BD9" s="26"/>
      <c r="BE9" s="29"/>
      <c r="BF9" s="26"/>
      <c r="BG9" s="24" t="str">
        <f t="shared" si="2"/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9" s="30"/>
    </row>
    <row r="10" spans="1:16379" s="31" customFormat="1" ht="15.75" customHeight="1" x14ac:dyDescent="0.25">
      <c r="A10" s="18"/>
      <c r="B10" s="18" t="s">
        <v>59</v>
      </c>
      <c r="C10" s="19"/>
      <c r="D10" s="20"/>
      <c r="E10" s="21" t="s">
        <v>132</v>
      </c>
      <c r="F10" s="21" t="s">
        <v>135</v>
      </c>
      <c r="G10" s="21" t="s">
        <v>135</v>
      </c>
      <c r="H10" s="21"/>
      <c r="I10" s="21">
        <f t="shared" si="0"/>
        <v>14</v>
      </c>
      <c r="J10" s="21" t="str">
        <f t="shared" si="1"/>
        <v>Блокировка Вкл</v>
      </c>
      <c r="K10" s="18" t="s">
        <v>138</v>
      </c>
      <c r="L10" s="22" t="s">
        <v>65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27"/>
      <c r="AK10" s="27"/>
      <c r="AL10" s="27"/>
      <c r="AM10" s="27"/>
      <c r="AN10" s="27"/>
      <c r="AO10" s="27"/>
      <c r="AP10" s="27"/>
      <c r="AQ10" s="27"/>
      <c r="AR10" s="26">
        <v>0</v>
      </c>
      <c r="AS10" s="26">
        <v>0</v>
      </c>
      <c r="AT10" s="26">
        <v>0</v>
      </c>
      <c r="AU10" s="26">
        <v>0</v>
      </c>
      <c r="AV10" s="26">
        <f t="shared" si="3"/>
        <v>0</v>
      </c>
      <c r="AW10" s="26">
        <v>0</v>
      </c>
      <c r="AX10" s="26">
        <v>0</v>
      </c>
      <c r="AY10" s="26"/>
      <c r="AZ10" s="23"/>
      <c r="BA10" s="26"/>
      <c r="BB10" s="26"/>
      <c r="BC10" s="28"/>
      <c r="BD10" s="26"/>
      <c r="BE10" s="29"/>
      <c r="BF10" s="26"/>
      <c r="BG10" s="24" t="str">
        <f t="shared" si="2"/>
        <v>description: "Блокировка Вкл", note: "Блокировка включения от КСВ", group: "measurement", minValue: null, maxValue: null, step: null, units: "null", defaultValue: null, eventRegistration: 0</v>
      </c>
      <c r="BH10" s="30"/>
    </row>
    <row r="11" spans="1:16379" s="94" customFormat="1" ht="15.75" customHeight="1" x14ac:dyDescent="0.25">
      <c r="A11" s="81"/>
      <c r="B11" s="81" t="s">
        <v>253</v>
      </c>
      <c r="C11" s="82"/>
      <c r="D11" s="95"/>
      <c r="E11" s="79" t="s">
        <v>227</v>
      </c>
      <c r="F11" s="79" t="s">
        <v>227</v>
      </c>
      <c r="G11" s="79" t="s">
        <v>227</v>
      </c>
      <c r="H11" s="79"/>
      <c r="I11" s="79">
        <f t="shared" si="0"/>
        <v>16</v>
      </c>
      <c r="J11" s="79" t="str">
        <f t="shared" si="1"/>
        <v>Включение от АВР</v>
      </c>
      <c r="K11" s="81" t="s">
        <v>234</v>
      </c>
      <c r="L11" s="84" t="s">
        <v>65</v>
      </c>
      <c r="M11" s="82" t="s">
        <v>60</v>
      </c>
      <c r="N11" s="82" t="s">
        <v>61</v>
      </c>
      <c r="O11" s="82"/>
      <c r="P11" s="85"/>
      <c r="Q11" s="85"/>
      <c r="R11" s="82" t="s">
        <v>62</v>
      </c>
      <c r="S11" s="82" t="s">
        <v>62</v>
      </c>
      <c r="T11" s="82" t="s">
        <v>62</v>
      </c>
      <c r="U11" s="82" t="s">
        <v>62</v>
      </c>
      <c r="V11" s="82"/>
      <c r="W11" s="82"/>
      <c r="X11" s="82" t="s">
        <v>62</v>
      </c>
      <c r="Y11" s="82">
        <v>0</v>
      </c>
      <c r="Z11" s="86"/>
      <c r="AA11" s="87">
        <v>0</v>
      </c>
      <c r="AB11" s="87"/>
      <c r="AC11" s="87"/>
      <c r="AD11" s="87"/>
      <c r="AE11" s="87"/>
      <c r="AF11" s="87">
        <v>0</v>
      </c>
      <c r="AG11" s="87">
        <v>0</v>
      </c>
      <c r="AH11" s="87">
        <v>0</v>
      </c>
      <c r="AI11" s="88"/>
      <c r="AJ11" s="89"/>
      <c r="AK11" s="89"/>
      <c r="AL11" s="89"/>
      <c r="AM11" s="89"/>
      <c r="AN11" s="89"/>
      <c r="AO11" s="89"/>
      <c r="AP11" s="89"/>
      <c r="AQ11" s="89"/>
      <c r="AR11" s="87">
        <v>0</v>
      </c>
      <c r="AS11" s="87">
        <v>0</v>
      </c>
      <c r="AT11" s="87">
        <v>0</v>
      </c>
      <c r="AU11" s="87">
        <v>0</v>
      </c>
      <c r="AV11" s="87">
        <f t="shared" si="3"/>
        <v>0</v>
      </c>
      <c r="AW11" s="87">
        <v>0</v>
      </c>
      <c r="AX11" s="87">
        <v>0</v>
      </c>
      <c r="AY11" s="87"/>
      <c r="AZ11" s="85"/>
      <c r="BA11" s="87"/>
      <c r="BB11" s="87"/>
      <c r="BC11" s="90"/>
      <c r="BD11" s="87"/>
      <c r="BE11" s="91"/>
      <c r="BF11" s="87"/>
      <c r="BG11" s="92" t="str">
        <f t="shared" si="2"/>
        <v>description: "Включение от АВР", note: "Включение от АВР", group: "input", minValue: null, maxValue: null, step: null, units: "null", defaultValue: null, eventRegistration: 0</v>
      </c>
      <c r="BH11" s="93"/>
    </row>
    <row r="12" spans="1:16379" s="31" customFormat="1" ht="15.75" customHeight="1" x14ac:dyDescent="0.25">
      <c r="A12" s="18"/>
      <c r="B12" s="18" t="s">
        <v>59</v>
      </c>
      <c r="C12" s="19"/>
      <c r="D12" s="20"/>
      <c r="E12" s="21" t="s">
        <v>228</v>
      </c>
      <c r="F12" s="21" t="s">
        <v>228</v>
      </c>
      <c r="G12" s="21" t="s">
        <v>228</v>
      </c>
      <c r="H12" s="21"/>
      <c r="I12" s="21">
        <f t="shared" si="0"/>
        <v>12</v>
      </c>
      <c r="J12" s="21" t="str">
        <f t="shared" si="1"/>
        <v>Пуск от КОНш</v>
      </c>
      <c r="K12" s="18" t="s">
        <v>140</v>
      </c>
      <c r="L12" s="22" t="s">
        <v>65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3"/>
        <v>0</v>
      </c>
      <c r="AW12" s="26">
        <v>0</v>
      </c>
      <c r="AX12" s="26">
        <v>0</v>
      </c>
      <c r="AY12" s="26"/>
      <c r="AZ12" s="23"/>
      <c r="BA12" s="26"/>
      <c r="BB12" s="26"/>
      <c r="BC12" s="28"/>
      <c r="BD12" s="26"/>
      <c r="BE12" s="29"/>
      <c r="BF12" s="26"/>
      <c r="BG12" s="24" t="str">
        <f t="shared" si="2"/>
        <v>description: "Пуск от КОНш", note: "Пуск от КОНш", group: "measurement", minValue: null, maxValue: null, step: null, units: "null", defaultValue: null, eventRegistration: 0</v>
      </c>
      <c r="BH12" s="30"/>
    </row>
    <row r="13" spans="1:16379" s="34" customFormat="1" ht="15.75" x14ac:dyDescent="0.25">
      <c r="A13" s="18"/>
      <c r="B13" s="18" t="s">
        <v>59</v>
      </c>
      <c r="C13" s="26"/>
      <c r="D13" s="8"/>
      <c r="E13" s="21" t="s">
        <v>229</v>
      </c>
      <c r="F13" s="21" t="s">
        <v>229</v>
      </c>
      <c r="G13" s="21" t="s">
        <v>229</v>
      </c>
      <c r="H13" s="18"/>
      <c r="I13" s="21">
        <f>LEN(F13)</f>
        <v>12</v>
      </c>
      <c r="J13" s="21" t="str">
        <f t="shared" ref="J13:J22" si="4">IF(LEN(F13)&lt;=$J$1,F13,"")</f>
        <v>Пуск от КННш</v>
      </c>
      <c r="K13" s="18" t="s">
        <v>186</v>
      </c>
      <c r="L13" s="22" t="s">
        <v>65</v>
      </c>
      <c r="M13" s="18" t="s">
        <v>60</v>
      </c>
      <c r="N13" s="18" t="s">
        <v>61</v>
      </c>
      <c r="O13" s="18"/>
      <c r="P13" s="18"/>
      <c r="Q13" s="18"/>
      <c r="R13" s="18" t="s">
        <v>62</v>
      </c>
      <c r="S13" s="18" t="s">
        <v>62</v>
      </c>
      <c r="T13" s="18" t="s">
        <v>62</v>
      </c>
      <c r="U13" s="18" t="s">
        <v>62</v>
      </c>
      <c r="V13" s="18"/>
      <c r="W13" s="18"/>
      <c r="X13" s="18" t="s">
        <v>62</v>
      </c>
      <c r="Y13" s="19">
        <v>0</v>
      </c>
      <c r="Z13" s="18"/>
      <c r="AA13" s="26">
        <v>0</v>
      </c>
      <c r="AB13" s="18"/>
      <c r="AC13" s="18"/>
      <c r="AD13" s="18"/>
      <c r="AE13" s="18"/>
      <c r="AF13" s="26">
        <v>0</v>
      </c>
      <c r="AG13" s="26">
        <v>0</v>
      </c>
      <c r="AH13" s="26">
        <v>0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26">
        <v>0</v>
      </c>
      <c r="AS13" s="26">
        <v>0</v>
      </c>
      <c r="AT13" s="26">
        <v>0</v>
      </c>
      <c r="AU13" s="26">
        <v>0</v>
      </c>
      <c r="AV13" s="26">
        <f t="shared" si="3"/>
        <v>0</v>
      </c>
      <c r="AW13" s="26">
        <v>0</v>
      </c>
      <c r="AX13" s="26">
        <v>0</v>
      </c>
      <c r="AY13" s="18"/>
      <c r="AZ13" s="18"/>
      <c r="BA13" s="18"/>
      <c r="BB13" s="18"/>
      <c r="BC13" s="18"/>
      <c r="BD13" s="18"/>
      <c r="BE13" s="18"/>
      <c r="BF13" s="18"/>
      <c r="BG13" s="24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 от КННш", note: "Пуск от КННш", group: "measurement", minValue: null, maxValue: null, step: null, units: "null", defaultValue: null, eventRegistration: 0</v>
      </c>
    </row>
    <row r="14" spans="1:16379" s="2" customFormat="1" ht="17.25" customHeight="1" x14ac:dyDescent="0.25">
      <c r="A14" s="42"/>
      <c r="B14" s="18" t="s">
        <v>59</v>
      </c>
      <c r="C14" s="42"/>
      <c r="D14" s="42"/>
      <c r="E14" s="24" t="s">
        <v>230</v>
      </c>
      <c r="F14" s="24" t="s">
        <v>230</v>
      </c>
      <c r="G14" s="24" t="s">
        <v>230</v>
      </c>
      <c r="H14" s="46"/>
      <c r="I14" s="21">
        <f>LEN(F14)</f>
        <v>13</v>
      </c>
      <c r="J14" s="21" t="str">
        <f t="shared" si="4"/>
        <v>Пуск от КННвв</v>
      </c>
      <c r="K14" s="18" t="s">
        <v>141</v>
      </c>
      <c r="L14" s="22" t="s">
        <v>65</v>
      </c>
      <c r="M14" s="18" t="s">
        <v>60</v>
      </c>
      <c r="N14" s="18" t="s">
        <v>61</v>
      </c>
      <c r="O14" s="46"/>
      <c r="P14" s="46"/>
      <c r="Q14" s="46"/>
      <c r="R14" s="18" t="s">
        <v>62</v>
      </c>
      <c r="S14" s="18" t="s">
        <v>62</v>
      </c>
      <c r="T14" s="18" t="s">
        <v>62</v>
      </c>
      <c r="U14" s="18" t="s">
        <v>62</v>
      </c>
      <c r="V14" s="46"/>
      <c r="W14" s="46"/>
      <c r="X14" s="18" t="s">
        <v>62</v>
      </c>
      <c r="Y14" s="19">
        <v>0</v>
      </c>
      <c r="Z14" s="46"/>
      <c r="AA14" s="26">
        <v>0</v>
      </c>
      <c r="AB14" s="46"/>
      <c r="AC14" s="46"/>
      <c r="AD14" s="46"/>
      <c r="AE14" s="46"/>
      <c r="AF14" s="26">
        <v>0</v>
      </c>
      <c r="AG14" s="26">
        <v>0</v>
      </c>
      <c r="AH14" s="26">
        <v>0</v>
      </c>
      <c r="AI14" s="46"/>
      <c r="AJ14" s="46"/>
      <c r="AK14" s="46"/>
      <c r="AL14" s="46"/>
      <c r="AM14" s="46"/>
      <c r="AN14" s="46"/>
      <c r="AO14" s="46"/>
      <c r="AP14" s="46"/>
      <c r="AQ14" s="46"/>
      <c r="AR14" s="26">
        <v>0</v>
      </c>
      <c r="AS14" s="26">
        <v>0</v>
      </c>
      <c r="AT14" s="26">
        <v>0</v>
      </c>
      <c r="AU14" s="26">
        <v>0</v>
      </c>
      <c r="AV14" s="26">
        <f t="shared" ref="AV14" si="5">BIN2DEC(CONCATENATE(0,0,0,0,AR14,AS14,AT14,AU14))</f>
        <v>0</v>
      </c>
      <c r="AW14" s="26">
        <v>0</v>
      </c>
      <c r="AX14" s="26">
        <v>0</v>
      </c>
      <c r="AY14" s="46"/>
      <c r="AZ14" s="46"/>
      <c r="BA14" s="46"/>
      <c r="BB14" s="46"/>
      <c r="BC14" s="46"/>
      <c r="BD14" s="46"/>
      <c r="BE14" s="46"/>
      <c r="BF14" s="46"/>
      <c r="BG14" s="24" t="str">
        <f t="shared" ref="BG14:BG24" si="6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"Пуск от КННвв", note: "Пуск от КННвв", group: "measurement", minValue: null, maxValue: null, step: null, units: "null", defaultValue: null, eventRegistration: 0</v>
      </c>
      <c r="BH14" s="1"/>
    </row>
    <row r="15" spans="1:16379" s="2" customFormat="1" ht="15.75" x14ac:dyDescent="0.25">
      <c r="A15" s="42"/>
      <c r="B15" s="42" t="s">
        <v>59</v>
      </c>
      <c r="C15" s="42"/>
      <c r="D15" s="42"/>
      <c r="E15" s="21" t="s">
        <v>187</v>
      </c>
      <c r="F15" s="21" t="s">
        <v>187</v>
      </c>
      <c r="G15" s="21" t="s">
        <v>187</v>
      </c>
      <c r="H15" s="53"/>
      <c r="I15" s="21">
        <f t="shared" ref="I15:I22" si="7">LEN(F15)</f>
        <v>16</v>
      </c>
      <c r="J15" s="21" t="str">
        <f t="shared" si="4"/>
        <v>Запрет АВР от ЛО</v>
      </c>
      <c r="K15" s="18" t="s">
        <v>196</v>
      </c>
      <c r="L15" s="22" t="s">
        <v>65</v>
      </c>
      <c r="M15" s="18" t="s">
        <v>60</v>
      </c>
      <c r="N15" s="18" t="s">
        <v>61</v>
      </c>
      <c r="O15" s="46"/>
      <c r="P15" s="46"/>
      <c r="Q15" s="46"/>
      <c r="R15" s="18" t="s">
        <v>62</v>
      </c>
      <c r="S15" s="18" t="s">
        <v>62</v>
      </c>
      <c r="T15" s="18" t="s">
        <v>62</v>
      </c>
      <c r="U15" s="18" t="s">
        <v>62</v>
      </c>
      <c r="V15" s="46"/>
      <c r="W15" s="46"/>
      <c r="X15" s="18" t="s">
        <v>62</v>
      </c>
      <c r="Y15" s="19">
        <v>0</v>
      </c>
      <c r="Z15" s="46"/>
      <c r="AA15" s="26">
        <v>0</v>
      </c>
      <c r="AB15" s="46"/>
      <c r="AC15" s="46"/>
      <c r="AD15" s="46"/>
      <c r="AE15" s="46"/>
      <c r="AF15" s="26">
        <v>0</v>
      </c>
      <c r="AG15" s="26">
        <v>0</v>
      </c>
      <c r="AH15" s="26">
        <v>0</v>
      </c>
      <c r="AI15" s="53"/>
      <c r="AJ15" s="53"/>
      <c r="AK15" s="53"/>
      <c r="AL15" s="53"/>
      <c r="AM15" s="53"/>
      <c r="AN15" s="53"/>
      <c r="AO15" s="53"/>
      <c r="AP15" s="53"/>
      <c r="AQ15" s="53"/>
      <c r="AR15" s="26">
        <v>0</v>
      </c>
      <c r="AS15" s="26">
        <v>0</v>
      </c>
      <c r="AT15" s="26">
        <v>0</v>
      </c>
      <c r="AU15" s="26">
        <v>0</v>
      </c>
      <c r="AV15" s="26">
        <f t="shared" ref="AV15:AV22" si="8">BIN2DEC(CONCATENATE(0,0,0,0,AR15,AS15,AT15,AU15))</f>
        <v>0</v>
      </c>
      <c r="AW15" s="26">
        <v>0</v>
      </c>
      <c r="AX15" s="26">
        <v>0</v>
      </c>
      <c r="AY15" s="46"/>
      <c r="AZ15" s="46"/>
      <c r="BA15" s="46"/>
      <c r="BB15" s="46"/>
      <c r="BC15" s="46"/>
      <c r="BD15" s="46"/>
      <c r="BE15" s="46"/>
      <c r="BF15" s="46"/>
      <c r="BG15" s="24" t="str">
        <f t="shared" si="6"/>
        <v>description: "Запрет АВР от ЛО", note: "Запрет АВР от ЛО", group: "measurement", minValue: null, maxValue: null, step: null, units: "null", defaultValue: null, eventRegistration: 0</v>
      </c>
      <c r="BH15" s="1"/>
    </row>
    <row r="16" spans="1:16379" s="2" customFormat="1" ht="15.75" x14ac:dyDescent="0.25">
      <c r="A16" s="42"/>
      <c r="B16" s="42" t="s">
        <v>59</v>
      </c>
      <c r="C16" s="42"/>
      <c r="D16" s="42"/>
      <c r="E16" s="21" t="s">
        <v>192</v>
      </c>
      <c r="F16" s="21" t="s">
        <v>188</v>
      </c>
      <c r="G16" s="21" t="s">
        <v>188</v>
      </c>
      <c r="H16" s="53"/>
      <c r="I16" s="21">
        <f t="shared" si="7"/>
        <v>10</v>
      </c>
      <c r="J16" s="21" t="str">
        <f t="shared" si="4"/>
        <v>Откл от КП</v>
      </c>
      <c r="K16" s="18" t="s">
        <v>197</v>
      </c>
      <c r="L16" s="22" t="s">
        <v>65</v>
      </c>
      <c r="M16" s="18" t="s">
        <v>60</v>
      </c>
      <c r="N16" s="18" t="s">
        <v>61</v>
      </c>
      <c r="O16" s="46"/>
      <c r="P16" s="46"/>
      <c r="Q16" s="46"/>
      <c r="R16" s="18" t="s">
        <v>62</v>
      </c>
      <c r="S16" s="18" t="s">
        <v>62</v>
      </c>
      <c r="T16" s="18" t="s">
        <v>62</v>
      </c>
      <c r="U16" s="18" t="s">
        <v>62</v>
      </c>
      <c r="V16" s="46"/>
      <c r="W16" s="46"/>
      <c r="X16" s="18" t="s">
        <v>62</v>
      </c>
      <c r="Y16" s="19">
        <v>0</v>
      </c>
      <c r="Z16" s="46"/>
      <c r="AA16" s="26">
        <v>0</v>
      </c>
      <c r="AB16" s="46"/>
      <c r="AC16" s="46"/>
      <c r="AD16" s="46"/>
      <c r="AE16" s="46"/>
      <c r="AF16" s="26">
        <v>0</v>
      </c>
      <c r="AG16" s="26">
        <v>0</v>
      </c>
      <c r="AH16" s="26">
        <v>0</v>
      </c>
      <c r="AI16" s="53"/>
      <c r="AJ16" s="53"/>
      <c r="AK16" s="53"/>
      <c r="AL16" s="53"/>
      <c r="AM16" s="53"/>
      <c r="AN16" s="53"/>
      <c r="AO16" s="53"/>
      <c r="AP16" s="53"/>
      <c r="AQ16" s="53"/>
      <c r="AR16" s="26">
        <v>0</v>
      </c>
      <c r="AS16" s="26">
        <v>0</v>
      </c>
      <c r="AT16" s="26">
        <v>0</v>
      </c>
      <c r="AU16" s="26">
        <v>0</v>
      </c>
      <c r="AV16" s="26">
        <f t="shared" si="8"/>
        <v>0</v>
      </c>
      <c r="AW16" s="26">
        <v>0</v>
      </c>
      <c r="AX16" s="26">
        <v>0</v>
      </c>
      <c r="AY16" s="46"/>
      <c r="AZ16" s="46"/>
      <c r="BA16" s="46"/>
      <c r="BB16" s="46"/>
      <c r="BC16" s="46"/>
      <c r="BD16" s="46"/>
      <c r="BE16" s="46"/>
      <c r="BF16" s="46"/>
      <c r="BG16" s="24" t="str">
        <f t="shared" si="6"/>
        <v>description: "Откл от КП", note: "Отключить от КП", group: "measurement", minValue: null, maxValue: null, step: null, units: "null", defaultValue: null, eventRegistration: 0</v>
      </c>
      <c r="BH16" s="1"/>
    </row>
    <row r="17" spans="1:60" s="2" customFormat="1" ht="15.75" x14ac:dyDescent="0.25">
      <c r="A17" s="42"/>
      <c r="B17" s="42" t="s">
        <v>59</v>
      </c>
      <c r="C17" s="42"/>
      <c r="D17" s="42"/>
      <c r="E17" s="21" t="s">
        <v>236</v>
      </c>
      <c r="F17" s="21" t="s">
        <v>235</v>
      </c>
      <c r="G17" s="21" t="s">
        <v>235</v>
      </c>
      <c r="H17" s="53"/>
      <c r="I17" s="21">
        <f t="shared" si="7"/>
        <v>18</v>
      </c>
      <c r="J17" s="21" t="str">
        <f t="shared" si="4"/>
        <v>В самопр. отключен</v>
      </c>
      <c r="K17" s="18" t="s">
        <v>243</v>
      </c>
      <c r="L17" s="22" t="s">
        <v>65</v>
      </c>
      <c r="M17" s="18" t="s">
        <v>60</v>
      </c>
      <c r="N17" s="18" t="s">
        <v>61</v>
      </c>
      <c r="O17" s="46"/>
      <c r="P17" s="46"/>
      <c r="Q17" s="46"/>
      <c r="R17" s="18" t="s">
        <v>62</v>
      </c>
      <c r="S17" s="18" t="s">
        <v>62</v>
      </c>
      <c r="T17" s="18" t="s">
        <v>62</v>
      </c>
      <c r="U17" s="18" t="s">
        <v>62</v>
      </c>
      <c r="V17" s="46"/>
      <c r="W17" s="46"/>
      <c r="X17" s="18" t="s">
        <v>62</v>
      </c>
      <c r="Y17" s="19">
        <v>0</v>
      </c>
      <c r="Z17" s="46"/>
      <c r="AA17" s="26">
        <v>0</v>
      </c>
      <c r="AB17" s="46"/>
      <c r="AC17" s="46"/>
      <c r="AD17" s="46"/>
      <c r="AE17" s="46"/>
      <c r="AF17" s="26">
        <v>0</v>
      </c>
      <c r="AG17" s="26">
        <v>0</v>
      </c>
      <c r="AH17" s="26">
        <v>0</v>
      </c>
      <c r="AI17" s="53"/>
      <c r="AJ17" s="53"/>
      <c r="AK17" s="53"/>
      <c r="AL17" s="53"/>
      <c r="AM17" s="53"/>
      <c r="AN17" s="53"/>
      <c r="AO17" s="53"/>
      <c r="AP17" s="53"/>
      <c r="AQ17" s="53"/>
      <c r="AR17" s="26">
        <v>0</v>
      </c>
      <c r="AS17" s="26">
        <v>0</v>
      </c>
      <c r="AT17" s="26">
        <v>0</v>
      </c>
      <c r="AU17" s="26">
        <v>0</v>
      </c>
      <c r="AV17" s="26">
        <f t="shared" ref="AV17:AV18" si="9">BIN2DEC(CONCATENATE(0,0,0,0,AR17,AS17,AT17,AU17))</f>
        <v>0</v>
      </c>
      <c r="AW17" s="26">
        <v>0</v>
      </c>
      <c r="AX17" s="26">
        <v>0</v>
      </c>
      <c r="AY17" s="46"/>
      <c r="AZ17" s="46"/>
      <c r="BA17" s="46"/>
      <c r="BB17" s="46"/>
      <c r="BC17" s="46"/>
      <c r="BD17" s="46"/>
      <c r="BE17" s="46"/>
      <c r="BF17" s="46"/>
      <c r="BG17" s="24" t="str">
        <f t="shared" si="6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17" s="1"/>
    </row>
    <row r="18" spans="1:60" s="2" customFormat="1" ht="15.75" x14ac:dyDescent="0.25">
      <c r="A18" s="42"/>
      <c r="B18" s="42" t="s">
        <v>59</v>
      </c>
      <c r="C18" s="42"/>
      <c r="D18" s="42"/>
      <c r="E18" s="21" t="s">
        <v>238</v>
      </c>
      <c r="F18" s="21" t="s">
        <v>237</v>
      </c>
      <c r="G18" s="21" t="s">
        <v>237</v>
      </c>
      <c r="H18" s="53"/>
      <c r="I18" s="21">
        <f t="shared" si="7"/>
        <v>15</v>
      </c>
      <c r="J18" s="21" t="str">
        <f t="shared" si="4"/>
        <v>Неисправность В</v>
      </c>
      <c r="K18" s="18" t="s">
        <v>240</v>
      </c>
      <c r="L18" s="22" t="s">
        <v>65</v>
      </c>
      <c r="M18" s="18" t="s">
        <v>60</v>
      </c>
      <c r="N18" s="18" t="s">
        <v>61</v>
      </c>
      <c r="O18" s="46"/>
      <c r="P18" s="46"/>
      <c r="Q18" s="46"/>
      <c r="R18" s="18" t="s">
        <v>62</v>
      </c>
      <c r="S18" s="18" t="s">
        <v>62</v>
      </c>
      <c r="T18" s="18" t="s">
        <v>62</v>
      </c>
      <c r="U18" s="18" t="s">
        <v>62</v>
      </c>
      <c r="V18" s="46"/>
      <c r="W18" s="46"/>
      <c r="X18" s="18" t="s">
        <v>62</v>
      </c>
      <c r="Y18" s="19">
        <v>0</v>
      </c>
      <c r="Z18" s="46"/>
      <c r="AA18" s="26">
        <v>0</v>
      </c>
      <c r="AB18" s="46"/>
      <c r="AC18" s="46"/>
      <c r="AD18" s="46"/>
      <c r="AE18" s="46"/>
      <c r="AF18" s="26">
        <v>0</v>
      </c>
      <c r="AG18" s="26">
        <v>0</v>
      </c>
      <c r="AH18" s="26">
        <v>0</v>
      </c>
      <c r="AI18" s="53"/>
      <c r="AJ18" s="53"/>
      <c r="AK18" s="53"/>
      <c r="AL18" s="53"/>
      <c r="AM18" s="53"/>
      <c r="AN18" s="53"/>
      <c r="AO18" s="53"/>
      <c r="AP18" s="53"/>
      <c r="AQ18" s="53"/>
      <c r="AR18" s="26">
        <v>0</v>
      </c>
      <c r="AS18" s="26">
        <v>0</v>
      </c>
      <c r="AT18" s="26">
        <v>0</v>
      </c>
      <c r="AU18" s="26">
        <v>0</v>
      </c>
      <c r="AV18" s="26">
        <f t="shared" si="9"/>
        <v>0</v>
      </c>
      <c r="AW18" s="26">
        <v>0</v>
      </c>
      <c r="AX18" s="26">
        <v>0</v>
      </c>
      <c r="AY18" s="46"/>
      <c r="AZ18" s="46"/>
      <c r="BA18" s="46"/>
      <c r="BB18" s="46"/>
      <c r="BC18" s="46"/>
      <c r="BD18" s="46"/>
      <c r="BE18" s="46"/>
      <c r="BF18" s="46"/>
      <c r="BG18" s="24" t="str">
        <f t="shared" si="6"/>
        <v>description: "Неисправность В", note: "Неисправность выключателя", group: "measurement", minValue: null, maxValue: null, step: null, units: "null", defaultValue: null, eventRegistration: 0</v>
      </c>
      <c r="BH18" s="1"/>
    </row>
    <row r="19" spans="1:60" s="101" customFormat="1" ht="17.25" customHeight="1" x14ac:dyDescent="0.25">
      <c r="A19" s="97"/>
      <c r="B19" s="81" t="s">
        <v>253</v>
      </c>
      <c r="C19" s="97"/>
      <c r="D19" s="97"/>
      <c r="E19" s="79" t="s">
        <v>194</v>
      </c>
      <c r="F19" s="79" t="s">
        <v>190</v>
      </c>
      <c r="G19" s="79" t="s">
        <v>190</v>
      </c>
      <c r="H19" s="98"/>
      <c r="I19" s="79">
        <f t="shared" si="7"/>
        <v>16</v>
      </c>
      <c r="J19" s="79" t="str">
        <f t="shared" si="4"/>
        <v>Сраб. СЗЗ ТН 1сш</v>
      </c>
      <c r="K19" s="81" t="s">
        <v>199</v>
      </c>
      <c r="L19" s="84" t="s">
        <v>65</v>
      </c>
      <c r="M19" s="81" t="s">
        <v>60</v>
      </c>
      <c r="N19" s="81" t="s">
        <v>61</v>
      </c>
      <c r="O19" s="99"/>
      <c r="P19" s="99"/>
      <c r="Q19" s="99"/>
      <c r="R19" s="81" t="s">
        <v>62</v>
      </c>
      <c r="S19" s="81" t="s">
        <v>62</v>
      </c>
      <c r="T19" s="81" t="s">
        <v>62</v>
      </c>
      <c r="U19" s="81" t="s">
        <v>62</v>
      </c>
      <c r="V19" s="99"/>
      <c r="W19" s="99"/>
      <c r="X19" s="81" t="s">
        <v>62</v>
      </c>
      <c r="Y19" s="82">
        <v>0</v>
      </c>
      <c r="Z19" s="99"/>
      <c r="AA19" s="87">
        <v>0</v>
      </c>
      <c r="AB19" s="99"/>
      <c r="AC19" s="99"/>
      <c r="AD19" s="99"/>
      <c r="AE19" s="99"/>
      <c r="AF19" s="87">
        <v>0</v>
      </c>
      <c r="AG19" s="87">
        <v>0</v>
      </c>
      <c r="AH19" s="87">
        <v>0</v>
      </c>
      <c r="AI19" s="98"/>
      <c r="AJ19" s="98"/>
      <c r="AK19" s="98"/>
      <c r="AL19" s="98"/>
      <c r="AM19" s="98"/>
      <c r="AN19" s="98"/>
      <c r="AO19" s="98"/>
      <c r="AP19" s="98"/>
      <c r="AQ19" s="98"/>
      <c r="AR19" s="87">
        <v>0</v>
      </c>
      <c r="AS19" s="87">
        <v>0</v>
      </c>
      <c r="AT19" s="87">
        <v>0</v>
      </c>
      <c r="AU19" s="87">
        <v>0</v>
      </c>
      <c r="AV19" s="87">
        <f t="shared" si="8"/>
        <v>0</v>
      </c>
      <c r="AW19" s="87">
        <v>0</v>
      </c>
      <c r="AX19" s="87">
        <v>0</v>
      </c>
      <c r="AY19" s="99"/>
      <c r="AZ19" s="99"/>
      <c r="BA19" s="99"/>
      <c r="BB19" s="99"/>
      <c r="BC19" s="99"/>
      <c r="BD19" s="99"/>
      <c r="BE19" s="99"/>
      <c r="BF19" s="99"/>
      <c r="BG19" s="92" t="str">
        <f t="shared" si="6"/>
        <v>description: "Сраб. СЗЗ ТН 1сш", note: "Срабатывание сигнализации о наличии замыкания на землю ТН 1 секции шин", group: "input", minValue: null, maxValue: null, step: null, units: "null", defaultValue: null, eventRegistration: 0</v>
      </c>
      <c r="BH19" s="100"/>
    </row>
    <row r="20" spans="1:60" s="101" customFormat="1" ht="15.75" customHeight="1" x14ac:dyDescent="0.25">
      <c r="A20" s="97"/>
      <c r="B20" s="81" t="s">
        <v>253</v>
      </c>
      <c r="C20" s="97"/>
      <c r="D20" s="97"/>
      <c r="E20" s="79" t="s">
        <v>195</v>
      </c>
      <c r="F20" s="79" t="s">
        <v>191</v>
      </c>
      <c r="G20" s="79" t="s">
        <v>191</v>
      </c>
      <c r="H20" s="98"/>
      <c r="I20" s="79">
        <f t="shared" si="7"/>
        <v>16</v>
      </c>
      <c r="J20" s="79" t="str">
        <f t="shared" si="4"/>
        <v>Сраб. СЗЗ ТН 2сш</v>
      </c>
      <c r="K20" s="81" t="s">
        <v>200</v>
      </c>
      <c r="L20" s="84" t="s">
        <v>65</v>
      </c>
      <c r="M20" s="81" t="s">
        <v>60</v>
      </c>
      <c r="N20" s="81" t="s">
        <v>61</v>
      </c>
      <c r="O20" s="99"/>
      <c r="P20" s="99"/>
      <c r="Q20" s="99"/>
      <c r="R20" s="81" t="s">
        <v>62</v>
      </c>
      <c r="S20" s="81" t="s">
        <v>62</v>
      </c>
      <c r="T20" s="81" t="s">
        <v>62</v>
      </c>
      <c r="U20" s="81" t="s">
        <v>62</v>
      </c>
      <c r="V20" s="99"/>
      <c r="W20" s="99"/>
      <c r="X20" s="81" t="s">
        <v>62</v>
      </c>
      <c r="Y20" s="82">
        <v>0</v>
      </c>
      <c r="Z20" s="99"/>
      <c r="AA20" s="87">
        <v>0</v>
      </c>
      <c r="AB20" s="99"/>
      <c r="AC20" s="99"/>
      <c r="AD20" s="99"/>
      <c r="AE20" s="99"/>
      <c r="AF20" s="87">
        <v>0</v>
      </c>
      <c r="AG20" s="87">
        <v>0</v>
      </c>
      <c r="AH20" s="87">
        <v>0</v>
      </c>
      <c r="AI20" s="98"/>
      <c r="AJ20" s="98"/>
      <c r="AK20" s="98"/>
      <c r="AL20" s="98"/>
      <c r="AM20" s="98"/>
      <c r="AN20" s="98"/>
      <c r="AO20" s="98"/>
      <c r="AP20" s="98"/>
      <c r="AQ20" s="98"/>
      <c r="AR20" s="87">
        <v>0</v>
      </c>
      <c r="AS20" s="87">
        <v>0</v>
      </c>
      <c r="AT20" s="87">
        <v>0</v>
      </c>
      <c r="AU20" s="87">
        <v>0</v>
      </c>
      <c r="AV20" s="87">
        <f t="shared" si="8"/>
        <v>0</v>
      </c>
      <c r="AW20" s="87">
        <v>0</v>
      </c>
      <c r="AX20" s="87">
        <v>0</v>
      </c>
      <c r="AY20" s="99"/>
      <c r="AZ20" s="99"/>
      <c r="BA20" s="99"/>
      <c r="BB20" s="99"/>
      <c r="BC20" s="99"/>
      <c r="BD20" s="99"/>
      <c r="BE20" s="99"/>
      <c r="BF20" s="99"/>
      <c r="BG20" s="92" t="str">
        <f t="shared" si="6"/>
        <v>description: "Сраб. СЗЗ ТН 2сш", note: "Срабатывание сигнализации о наличии замыкания на землю ТН 2 секции шин", group: "input", minValue: null, maxValue: null, step: null, units: "null", defaultValue: null, eventRegistration: 0</v>
      </c>
      <c r="BH20" s="100"/>
    </row>
    <row r="21" spans="1:60" s="101" customFormat="1" ht="15.75" x14ac:dyDescent="0.25">
      <c r="A21" s="97"/>
      <c r="B21" s="81" t="s">
        <v>253</v>
      </c>
      <c r="C21" s="97"/>
      <c r="D21" s="97"/>
      <c r="E21" s="79" t="s">
        <v>193</v>
      </c>
      <c r="F21" s="79" t="s">
        <v>189</v>
      </c>
      <c r="G21" s="79" t="s">
        <v>189</v>
      </c>
      <c r="H21" s="98"/>
      <c r="I21" s="79">
        <f t="shared" si="7"/>
        <v>17</v>
      </c>
      <c r="J21" s="79" t="str">
        <f t="shared" si="4"/>
        <v>Опер. отключить В</v>
      </c>
      <c r="K21" s="81" t="s">
        <v>198</v>
      </c>
      <c r="L21" s="84" t="s">
        <v>65</v>
      </c>
      <c r="M21" s="81" t="s">
        <v>60</v>
      </c>
      <c r="N21" s="81" t="s">
        <v>61</v>
      </c>
      <c r="O21" s="99"/>
      <c r="P21" s="99"/>
      <c r="Q21" s="99"/>
      <c r="R21" s="81" t="s">
        <v>62</v>
      </c>
      <c r="S21" s="81" t="s">
        <v>62</v>
      </c>
      <c r="T21" s="81" t="s">
        <v>62</v>
      </c>
      <c r="U21" s="81" t="s">
        <v>62</v>
      </c>
      <c r="V21" s="99"/>
      <c r="W21" s="99"/>
      <c r="X21" s="81" t="s">
        <v>62</v>
      </c>
      <c r="Y21" s="82">
        <v>0</v>
      </c>
      <c r="Z21" s="99"/>
      <c r="AA21" s="87">
        <v>0</v>
      </c>
      <c r="AB21" s="99"/>
      <c r="AC21" s="99"/>
      <c r="AD21" s="99"/>
      <c r="AE21" s="99"/>
      <c r="AF21" s="87">
        <v>0</v>
      </c>
      <c r="AG21" s="87">
        <v>0</v>
      </c>
      <c r="AH21" s="87">
        <v>0</v>
      </c>
      <c r="AI21" s="98"/>
      <c r="AJ21" s="98"/>
      <c r="AK21" s="98"/>
      <c r="AL21" s="98"/>
      <c r="AM21" s="98"/>
      <c r="AN21" s="98"/>
      <c r="AO21" s="98"/>
      <c r="AP21" s="98"/>
      <c r="AQ21" s="98"/>
      <c r="AR21" s="87">
        <v>0</v>
      </c>
      <c r="AS21" s="87">
        <v>0</v>
      </c>
      <c r="AT21" s="87">
        <v>0</v>
      </c>
      <c r="AU21" s="87">
        <v>0</v>
      </c>
      <c r="AV21" s="87">
        <f t="shared" si="8"/>
        <v>0</v>
      </c>
      <c r="AW21" s="87">
        <v>0</v>
      </c>
      <c r="AX21" s="87">
        <v>0</v>
      </c>
      <c r="AY21" s="99"/>
      <c r="AZ21" s="99"/>
      <c r="BA21" s="99"/>
      <c r="BB21" s="99"/>
      <c r="BC21" s="99"/>
      <c r="BD21" s="99"/>
      <c r="BE21" s="99"/>
      <c r="BF21" s="99"/>
      <c r="BG21" s="92" t="str">
        <f t="shared" si="6"/>
        <v>description: "Опер. отключить В", note: "Отключить В оперативно", group: "input", minValue: null, maxValue: null, step: null, units: "null", defaultValue: null, eventRegistration: 0</v>
      </c>
      <c r="BH21" s="100"/>
    </row>
    <row r="22" spans="1:60" s="101" customFormat="1" ht="15.75" x14ac:dyDescent="0.25">
      <c r="A22" s="97"/>
      <c r="B22" s="81" t="s">
        <v>253</v>
      </c>
      <c r="C22" s="97"/>
      <c r="D22" s="97"/>
      <c r="E22" s="79" t="s">
        <v>239</v>
      </c>
      <c r="F22" s="79" t="s">
        <v>239</v>
      </c>
      <c r="G22" s="79" t="s">
        <v>239</v>
      </c>
      <c r="H22" s="98"/>
      <c r="I22" s="79">
        <f t="shared" si="7"/>
        <v>18</v>
      </c>
      <c r="J22" s="79" t="str">
        <f t="shared" si="4"/>
        <v>Внешний запрет АВР</v>
      </c>
      <c r="K22" s="81" t="s">
        <v>241</v>
      </c>
      <c r="L22" s="84" t="s">
        <v>65</v>
      </c>
      <c r="M22" s="81" t="s">
        <v>60</v>
      </c>
      <c r="N22" s="81" t="s">
        <v>61</v>
      </c>
      <c r="O22" s="99"/>
      <c r="P22" s="99"/>
      <c r="Q22" s="99"/>
      <c r="R22" s="81" t="s">
        <v>62</v>
      </c>
      <c r="S22" s="81" t="s">
        <v>62</v>
      </c>
      <c r="T22" s="81" t="s">
        <v>62</v>
      </c>
      <c r="U22" s="81" t="s">
        <v>62</v>
      </c>
      <c r="V22" s="99"/>
      <c r="W22" s="99"/>
      <c r="X22" s="81" t="s">
        <v>62</v>
      </c>
      <c r="Y22" s="82">
        <v>0</v>
      </c>
      <c r="Z22" s="99"/>
      <c r="AA22" s="87">
        <v>0</v>
      </c>
      <c r="AB22" s="99"/>
      <c r="AC22" s="99"/>
      <c r="AD22" s="99"/>
      <c r="AE22" s="99"/>
      <c r="AF22" s="87">
        <v>0</v>
      </c>
      <c r="AG22" s="87">
        <v>0</v>
      </c>
      <c r="AH22" s="87">
        <v>0</v>
      </c>
      <c r="AI22" s="98"/>
      <c r="AJ22" s="98"/>
      <c r="AK22" s="98"/>
      <c r="AL22" s="98"/>
      <c r="AM22" s="98"/>
      <c r="AN22" s="98"/>
      <c r="AO22" s="98"/>
      <c r="AP22" s="98"/>
      <c r="AQ22" s="98"/>
      <c r="AR22" s="87">
        <v>0</v>
      </c>
      <c r="AS22" s="87">
        <v>0</v>
      </c>
      <c r="AT22" s="87">
        <v>0</v>
      </c>
      <c r="AU22" s="87">
        <v>0</v>
      </c>
      <c r="AV22" s="87">
        <f t="shared" si="8"/>
        <v>0</v>
      </c>
      <c r="AW22" s="87">
        <v>0</v>
      </c>
      <c r="AX22" s="87">
        <v>0</v>
      </c>
      <c r="AY22" s="99"/>
      <c r="AZ22" s="99"/>
      <c r="BA22" s="99"/>
      <c r="BB22" s="99"/>
      <c r="BC22" s="99"/>
      <c r="BD22" s="99"/>
      <c r="BE22" s="99"/>
      <c r="BF22" s="99"/>
      <c r="BG22" s="92" t="str">
        <f t="shared" si="6"/>
        <v>description: "Внешний запрет АВР", note: "Внешний запрет АВР", group: "input", minValue: null, maxValue: null, step: null, units: "null", defaultValue: null, eventRegistration: 0</v>
      </c>
      <c r="BH22" s="100"/>
    </row>
    <row r="23" spans="1:60" s="2" customFormat="1" ht="15.75" x14ac:dyDescent="0.25">
      <c r="A23" s="42"/>
      <c r="B23" s="42" t="s">
        <v>59</v>
      </c>
      <c r="C23" s="42"/>
      <c r="D23" s="42"/>
      <c r="E23" s="50" t="s">
        <v>66</v>
      </c>
      <c r="F23" s="21" t="s">
        <v>67</v>
      </c>
      <c r="G23" s="21" t="s">
        <v>67</v>
      </c>
      <c r="H23" s="8"/>
      <c r="I23" s="21">
        <f>LEN(F23)</f>
        <v>10</v>
      </c>
      <c r="J23" s="21" t="str">
        <f>IF(LEN(F23)&lt;=$J$1,F23,"")</f>
        <v>Насл.режим</v>
      </c>
      <c r="K23" s="25" t="s">
        <v>68</v>
      </c>
      <c r="L23" s="22" t="s">
        <v>69</v>
      </c>
      <c r="M23" s="19" t="s">
        <v>60</v>
      </c>
      <c r="N23" s="19" t="s">
        <v>61</v>
      </c>
      <c r="O23" s="19"/>
      <c r="P23" s="26"/>
      <c r="Q23" s="26"/>
      <c r="R23" s="19" t="s">
        <v>62</v>
      </c>
      <c r="S23" s="19" t="s">
        <v>62</v>
      </c>
      <c r="T23" s="19" t="s">
        <v>62</v>
      </c>
      <c r="U23" s="19" t="s">
        <v>62</v>
      </c>
      <c r="V23" s="26"/>
      <c r="W23" s="26"/>
      <c r="X23" s="19" t="s">
        <v>62</v>
      </c>
      <c r="Y23" s="19">
        <v>0</v>
      </c>
      <c r="Z23" s="26"/>
      <c r="AA23" s="26">
        <v>0</v>
      </c>
      <c r="AB23" s="26"/>
      <c r="AC23" s="26"/>
      <c r="AD23" s="26"/>
      <c r="AE23" s="26"/>
      <c r="AF23" s="26">
        <v>0</v>
      </c>
      <c r="AG23" s="26">
        <v>0</v>
      </c>
      <c r="AH23" s="26">
        <v>0</v>
      </c>
      <c r="AI23" s="8" t="s">
        <v>70</v>
      </c>
      <c r="AJ23" s="33" t="s">
        <v>71</v>
      </c>
      <c r="AK23" s="33" t="s">
        <v>72</v>
      </c>
      <c r="AL23" s="33" t="s">
        <v>73</v>
      </c>
      <c r="AM23" s="33" t="s">
        <v>74</v>
      </c>
      <c r="AN23" s="33"/>
      <c r="AO23" s="33" t="s">
        <v>75</v>
      </c>
      <c r="AP23" s="33" t="str">
        <f>CONCATENATE(AJ23, ".", AL23)</f>
        <v>LLN0.GrRef.setSrcRef</v>
      </c>
      <c r="AQ23" s="33" t="s">
        <v>76</v>
      </c>
      <c r="AR23" s="26">
        <v>0</v>
      </c>
      <c r="AS23" s="26">
        <v>0</v>
      </c>
      <c r="AT23" s="26">
        <v>0</v>
      </c>
      <c r="AU23" s="26">
        <v>0</v>
      </c>
      <c r="AV23" s="26">
        <f>BIN2DEC(CONCATENATE(0,0,0,0,AR23,AS23,AT23,AU23))</f>
        <v>0</v>
      </c>
      <c r="AW23" s="26">
        <v>0</v>
      </c>
      <c r="AX23" s="26">
        <v>0</v>
      </c>
      <c r="AY23" s="23"/>
      <c r="AZ23" s="26"/>
      <c r="BA23" s="26"/>
      <c r="BB23" s="26"/>
      <c r="BC23" s="26"/>
      <c r="BD23" s="26"/>
      <c r="BE23" s="26"/>
      <c r="BF23" s="26"/>
      <c r="BG23" s="24" t="str">
        <f t="shared" si="6"/>
        <v>description: "Насл.режим", note: "Наследуемый режим работы", group: "measurement", minValue: null, maxValue: null, step: null, units: "null", defaultValue: null, eventRegistration: 0</v>
      </c>
      <c r="BH23" s="1"/>
    </row>
    <row r="24" spans="1:60" s="2" customFormat="1" ht="15.75" x14ac:dyDescent="0.25">
      <c r="A24" s="42"/>
      <c r="B24" s="42" t="s">
        <v>59</v>
      </c>
      <c r="C24" s="42"/>
      <c r="D24" s="42"/>
      <c r="E24" s="51" t="s">
        <v>77</v>
      </c>
      <c r="F24" s="21" t="s">
        <v>78</v>
      </c>
      <c r="G24" s="21" t="s">
        <v>78</v>
      </c>
      <c r="H24" s="8"/>
      <c r="I24" s="21">
        <f>LEN(F24)</f>
        <v>8</v>
      </c>
      <c r="J24" s="21" t="str">
        <f>IF(LEN(F24)&lt;=$J$1,F24,"")</f>
        <v>Ош.крит.</v>
      </c>
      <c r="K24" s="25" t="s">
        <v>79</v>
      </c>
      <c r="L24" s="22" t="s">
        <v>65</v>
      </c>
      <c r="M24" s="19" t="s">
        <v>60</v>
      </c>
      <c r="N24" s="19" t="s">
        <v>61</v>
      </c>
      <c r="O24" s="19"/>
      <c r="P24" s="26"/>
      <c r="Q24" s="26"/>
      <c r="R24" s="19" t="s">
        <v>62</v>
      </c>
      <c r="S24" s="19" t="s">
        <v>62</v>
      </c>
      <c r="T24" s="19" t="s">
        <v>62</v>
      </c>
      <c r="U24" s="19" t="s">
        <v>62</v>
      </c>
      <c r="V24" s="26"/>
      <c r="W24" s="26"/>
      <c r="X24" s="19" t="s">
        <v>62</v>
      </c>
      <c r="Y24" s="19">
        <v>0</v>
      </c>
      <c r="Z24" s="26"/>
      <c r="AA24" s="26">
        <v>0</v>
      </c>
      <c r="AB24" s="26"/>
      <c r="AC24" s="26"/>
      <c r="AD24" s="26"/>
      <c r="AE24" s="26"/>
      <c r="AF24" s="26">
        <v>0</v>
      </c>
      <c r="AG24" s="26">
        <v>0</v>
      </c>
      <c r="AH24" s="26">
        <v>0</v>
      </c>
      <c r="AI24" s="35"/>
      <c r="AJ24" s="33"/>
      <c r="AK24" s="33"/>
      <c r="AL24" s="33"/>
      <c r="AM24" s="33"/>
      <c r="AN24" s="33"/>
      <c r="AO24" s="33"/>
      <c r="AP24" s="33"/>
      <c r="AQ24" s="33"/>
      <c r="AR24" s="26">
        <v>0</v>
      </c>
      <c r="AS24" s="26">
        <v>0</v>
      </c>
      <c r="AT24" s="26">
        <v>0</v>
      </c>
      <c r="AU24" s="26">
        <v>0</v>
      </c>
      <c r="AV24" s="26">
        <f>BIN2DEC(CONCATENATE(0,0,0,0,AR24,AS24,AT24,AU24))</f>
        <v>0</v>
      </c>
      <c r="AW24" s="26">
        <v>0</v>
      </c>
      <c r="AX24" s="26">
        <v>0</v>
      </c>
      <c r="AY24" s="36"/>
      <c r="AZ24" s="37"/>
      <c r="BA24" s="37"/>
      <c r="BB24" s="37"/>
      <c r="BC24" s="37"/>
      <c r="BD24" s="37"/>
      <c r="BE24" s="37"/>
      <c r="BF24" s="37"/>
      <c r="BG24" s="24" t="str">
        <f t="shared" si="6"/>
        <v>description: "Ош.крит.", note: "Наличие критической неисправности", group: "measurement", minValue: null, maxValue: null, step: null, units: "null", defaultValue: null, eventRegistration: 0</v>
      </c>
      <c r="BH24" s="1"/>
    </row>
    <row r="25" spans="1:60" s="2" customFormat="1" ht="15.75" x14ac:dyDescent="0.25">
      <c r="A25" s="42"/>
      <c r="B25" s="42" t="s">
        <v>59</v>
      </c>
      <c r="C25" s="42"/>
      <c r="D25" s="42"/>
      <c r="E25" s="52" t="s">
        <v>80</v>
      </c>
      <c r="F25" s="21" t="s">
        <v>81</v>
      </c>
      <c r="G25" s="21" t="s">
        <v>81</v>
      </c>
      <c r="H25" s="8"/>
      <c r="I25" s="21">
        <f>LEN(F25)</f>
        <v>6</v>
      </c>
      <c r="J25" s="21" t="str">
        <f>IF(LEN(F25)&lt;=$J$1,F25,"")</f>
        <v>Ошибка</v>
      </c>
      <c r="K25" s="25" t="s">
        <v>82</v>
      </c>
      <c r="L25" s="22" t="s">
        <v>65</v>
      </c>
      <c r="M25" s="19" t="s">
        <v>60</v>
      </c>
      <c r="N25" s="19" t="s">
        <v>61</v>
      </c>
      <c r="O25" s="19"/>
      <c r="P25" s="26"/>
      <c r="Q25" s="26"/>
      <c r="R25" s="19" t="s">
        <v>62</v>
      </c>
      <c r="S25" s="19" t="s">
        <v>62</v>
      </c>
      <c r="T25" s="19" t="s">
        <v>62</v>
      </c>
      <c r="U25" s="19" t="s">
        <v>62</v>
      </c>
      <c r="V25" s="26"/>
      <c r="W25" s="26"/>
      <c r="X25" s="19" t="s">
        <v>62</v>
      </c>
      <c r="Y25" s="19">
        <v>0</v>
      </c>
      <c r="Z25" s="26"/>
      <c r="AA25" s="26">
        <v>0</v>
      </c>
      <c r="AB25" s="26"/>
      <c r="AC25" s="26"/>
      <c r="AD25" s="26"/>
      <c r="AE25" s="26"/>
      <c r="AF25" s="26">
        <v>0</v>
      </c>
      <c r="AG25" s="26">
        <v>0</v>
      </c>
      <c r="AH25" s="26">
        <v>0</v>
      </c>
      <c r="AI25" s="35"/>
      <c r="AJ25" s="33"/>
      <c r="AK25" s="33"/>
      <c r="AL25" s="33"/>
      <c r="AM25" s="33"/>
      <c r="AN25" s="33"/>
      <c r="AO25" s="33"/>
      <c r="AP25" s="33"/>
      <c r="AQ25" s="33"/>
      <c r="AR25" s="26">
        <v>0</v>
      </c>
      <c r="AS25" s="26">
        <v>0</v>
      </c>
      <c r="AT25" s="26">
        <v>0</v>
      </c>
      <c r="AU25" s="26">
        <v>0</v>
      </c>
      <c r="AV25" s="26">
        <f>BIN2DEC(CONCATENATE(0,0,0,0,AR25,AS25,AT25,AU25))</f>
        <v>0</v>
      </c>
      <c r="AW25" s="26">
        <v>0</v>
      </c>
      <c r="AX25" s="26">
        <v>0</v>
      </c>
      <c r="AY25" s="36"/>
      <c r="AZ25" s="37"/>
      <c r="BA25" s="37"/>
      <c r="BB25" s="37"/>
      <c r="BC25" s="37"/>
      <c r="BD25" s="37"/>
      <c r="BE25" s="37"/>
      <c r="BF25" s="37"/>
      <c r="BG25" s="24" t="str">
        <f>CONCATENATE("description: """,F25,"""", ", ", "note: """,E13,"""",", ","group: """, B13, """",", ","minValue: ", S25,", ","maxValue: ", T25,", ","step: ", U25,", ","units: """, R25, """",", ","defaultValue: ", X25,", ","eventRegistration: ", Y25,)</f>
        <v>description: "Ошибка", note: "Пуск от КННш", group: "measurement", minValue: null, maxValue: null, step: null, units: "null", defaultValue: null, eventRegistration: 0</v>
      </c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8"/>
      <c r="BC201" s="4"/>
      <c r="BD201" s="3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8"/>
      <c r="BC202" s="4"/>
      <c r="BD202" s="3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8"/>
      <c r="BC203" s="4"/>
      <c r="BD203" s="3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8"/>
      <c r="BC204" s="4"/>
      <c r="BD204" s="3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8"/>
      <c r="BC205" s="4"/>
      <c r="BD205" s="3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8"/>
      <c r="BC206" s="4"/>
      <c r="BD206" s="3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8"/>
      <c r="BC207" s="4"/>
      <c r="BD207" s="3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8"/>
      <c r="BC208" s="4"/>
      <c r="BD208" s="3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8"/>
      <c r="BC209" s="4"/>
      <c r="BD209" s="3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8"/>
      <c r="BC210" s="4"/>
      <c r="BD210" s="3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8"/>
      <c r="BC211" s="4"/>
      <c r="BD211" s="3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8"/>
      <c r="BC212" s="4"/>
      <c r="BD212" s="3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8"/>
      <c r="BC213" s="4"/>
      <c r="BD213" s="3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8"/>
      <c r="BC214" s="4"/>
      <c r="BD214" s="38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AV3" sqref="AV3:AX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53.85546875" style="2" customWidth="1"/>
    <col min="6" max="7" width="20.28515625" style="2" bestFit="1" customWidth="1" outlineLevel="1"/>
    <col min="8" max="8" width="31.28515625" style="2" bestFit="1" customWidth="1" outlineLevel="1"/>
    <col min="9" max="9" width="7.28515625" style="2" bestFit="1" customWidth="1"/>
    <col min="10" max="10" width="31" style="2" bestFit="1" customWidth="1"/>
    <col min="11" max="11" width="25.7109375" style="2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2" t="s">
        <v>0</v>
      </c>
      <c r="BA1" s="103"/>
      <c r="BB1" s="103"/>
      <c r="BC1" s="103"/>
      <c r="BD1" s="103"/>
      <c r="BE1" s="103"/>
      <c r="BF1" s="103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59" t="s">
        <v>249</v>
      </c>
      <c r="AW2" s="59" t="s">
        <v>250</v>
      </c>
      <c r="AX2" s="59" t="s">
        <v>251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x14ac:dyDescent="0.25">
      <c r="A3" s="18"/>
      <c r="B3" s="58" t="s">
        <v>248</v>
      </c>
      <c r="C3" s="26"/>
      <c r="D3" s="32" t="s">
        <v>142</v>
      </c>
      <c r="E3" s="21" t="s">
        <v>83</v>
      </c>
      <c r="F3" s="39" t="s">
        <v>84</v>
      </c>
      <c r="G3" s="39" t="s">
        <v>84</v>
      </c>
      <c r="H3" s="8"/>
      <c r="I3" s="21">
        <f t="shared" ref="I3:I9" si="0">LEN(F3)</f>
        <v>4</v>
      </c>
      <c r="J3" s="21" t="str">
        <f>IF(LEN(F3)&lt;=$J$1,F3,"")</f>
        <v>Ввод</v>
      </c>
      <c r="K3" s="25" t="s">
        <v>171</v>
      </c>
      <c r="L3" s="22" t="s">
        <v>65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26"/>
      <c r="W3" s="26"/>
      <c r="X3" s="19" t="s">
        <v>62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3"/>
      <c r="AK3" s="33"/>
      <c r="AL3" s="33"/>
      <c r="AM3" s="33"/>
      <c r="AN3" s="33"/>
      <c r="AO3" s="33"/>
      <c r="AP3" s="33"/>
      <c r="AQ3" s="33"/>
      <c r="AR3" s="26">
        <v>0</v>
      </c>
      <c r="AS3" s="26">
        <v>1</v>
      </c>
      <c r="AT3" s="26">
        <v>0</v>
      </c>
      <c r="AU3" s="26">
        <v>1</v>
      </c>
      <c r="AV3" s="60">
        <v>1</v>
      </c>
      <c r="AW3" s="61">
        <v>1</v>
      </c>
      <c r="AX3" s="62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 t="shared" ref="BG3:BG9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4" customFormat="1" ht="15.75" x14ac:dyDescent="0.25">
      <c r="A4" s="18"/>
      <c r="B4" s="58" t="s">
        <v>248</v>
      </c>
      <c r="C4" s="26"/>
      <c r="D4" s="32" t="s">
        <v>142</v>
      </c>
      <c r="E4" s="21" t="s">
        <v>85</v>
      </c>
      <c r="F4" s="39" t="s">
        <v>86</v>
      </c>
      <c r="G4" s="39" t="s">
        <v>86</v>
      </c>
      <c r="H4" s="8"/>
      <c r="I4" s="21">
        <f t="shared" si="0"/>
        <v>17</v>
      </c>
      <c r="J4" s="21" t="str">
        <f t="shared" ref="J4:J9" si="2">IF(LEN(F4)&lt;=$J$1,F4,"")</f>
        <v>Оперативный вывод</v>
      </c>
      <c r="K4" s="25" t="s">
        <v>172</v>
      </c>
      <c r="L4" s="22" t="s">
        <v>65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26"/>
      <c r="W4" s="26"/>
      <c r="X4" s="19" t="s">
        <v>62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3"/>
      <c r="AK4" s="33"/>
      <c r="AL4" s="33"/>
      <c r="AM4" s="33"/>
      <c r="AN4" s="33"/>
      <c r="AO4" s="33"/>
      <c r="AP4" s="33"/>
      <c r="AQ4" s="33"/>
      <c r="AR4" s="26">
        <v>0</v>
      </c>
      <c r="AS4" s="26">
        <v>1</v>
      </c>
      <c r="AT4" s="26">
        <v>0</v>
      </c>
      <c r="AU4" s="26">
        <v>1</v>
      </c>
      <c r="AV4" s="60">
        <v>1</v>
      </c>
      <c r="AW4" s="61">
        <v>1</v>
      </c>
      <c r="AX4" s="62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4" customFormat="1" ht="15.75" x14ac:dyDescent="0.25">
      <c r="A5" s="18"/>
      <c r="B5" s="58" t="s">
        <v>248</v>
      </c>
      <c r="C5" s="26"/>
      <c r="D5" s="32" t="s">
        <v>142</v>
      </c>
      <c r="E5" s="21" t="s">
        <v>169</v>
      </c>
      <c r="F5" s="39" t="s">
        <v>169</v>
      </c>
      <c r="G5" s="39" t="s">
        <v>169</v>
      </c>
      <c r="H5" s="8"/>
      <c r="I5" s="21">
        <f t="shared" si="0"/>
        <v>10</v>
      </c>
      <c r="J5" s="21" t="str">
        <f>IF(LEN(F5)&lt;=$J$1,F5,"")</f>
        <v>Готовность</v>
      </c>
      <c r="K5" s="25" t="s">
        <v>173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26"/>
      <c r="W5" s="26"/>
      <c r="X5" s="19" t="s">
        <v>62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3"/>
      <c r="AK5" s="33"/>
      <c r="AL5" s="33"/>
      <c r="AM5" s="33"/>
      <c r="AN5" s="33"/>
      <c r="AO5" s="33"/>
      <c r="AP5" s="33"/>
      <c r="AQ5" s="33"/>
      <c r="AR5" s="26">
        <v>0</v>
      </c>
      <c r="AS5" s="26">
        <v>1</v>
      </c>
      <c r="AT5" s="26">
        <v>0</v>
      </c>
      <c r="AU5" s="26">
        <v>1</v>
      </c>
      <c r="AV5" s="60">
        <v>1</v>
      </c>
      <c r="AW5" s="61">
        <v>1</v>
      </c>
      <c r="AX5" s="62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"Готовность", note: "Готовность", group: "status", minValue: null, maxValue: null, step: null, units: "null", defaultValue: null, eventRegistration: 2</v>
      </c>
    </row>
    <row r="6" spans="1:16379" s="34" customFormat="1" ht="15.75" x14ac:dyDescent="0.25">
      <c r="A6" s="18"/>
      <c r="B6" s="58" t="s">
        <v>248</v>
      </c>
      <c r="C6" s="26"/>
      <c r="D6" s="32" t="s">
        <v>142</v>
      </c>
      <c r="E6" s="21" t="s">
        <v>219</v>
      </c>
      <c r="F6" s="39" t="s">
        <v>219</v>
      </c>
      <c r="G6" s="39" t="s">
        <v>219</v>
      </c>
      <c r="H6" s="8"/>
      <c r="I6" s="21">
        <f t="shared" si="0"/>
        <v>10</v>
      </c>
      <c r="J6" s="21" t="str">
        <f t="shared" si="2"/>
        <v>Разрешение</v>
      </c>
      <c r="K6" s="25" t="s">
        <v>220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26"/>
      <c r="W6" s="26"/>
      <c r="X6" s="19" t="s">
        <v>62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 t="s">
        <v>218</v>
      </c>
      <c r="AJ6" s="33" t="s">
        <v>182</v>
      </c>
      <c r="AK6" s="33" t="s">
        <v>90</v>
      </c>
      <c r="AL6" s="33" t="s">
        <v>87</v>
      </c>
      <c r="AM6" s="33" t="s">
        <v>88</v>
      </c>
      <c r="AN6" s="33"/>
      <c r="AO6" s="33" t="s">
        <v>89</v>
      </c>
      <c r="AP6" s="33" t="str">
        <f t="shared" ref="AP6" si="3">CONCATENATE(AJ6, ".", AL6)</f>
        <v>ABTS1.TrPrm1.general</v>
      </c>
      <c r="AQ6" s="33" t="s">
        <v>76</v>
      </c>
      <c r="AR6" s="26">
        <v>0</v>
      </c>
      <c r="AS6" s="26">
        <v>1</v>
      </c>
      <c r="AT6" s="26">
        <v>0</v>
      </c>
      <c r="AU6" s="26">
        <v>1</v>
      </c>
      <c r="AV6" s="60">
        <v>1</v>
      </c>
      <c r="AW6" s="61">
        <v>1</v>
      </c>
      <c r="AX6" s="62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"Разрешение", note: "Разрешение", group: "status", minValue: null, maxValue: null, step: null, units: "null", defaultValue: null, eventRegistration: 2</v>
      </c>
    </row>
    <row r="7" spans="1:16379" s="34" customFormat="1" ht="15.75" customHeight="1" x14ac:dyDescent="0.25">
      <c r="A7" s="18"/>
      <c r="B7" s="58" t="s">
        <v>248</v>
      </c>
      <c r="C7" s="26"/>
      <c r="D7" s="32" t="s">
        <v>142</v>
      </c>
      <c r="E7" s="21" t="s">
        <v>222</v>
      </c>
      <c r="F7" s="39" t="s">
        <v>221</v>
      </c>
      <c r="G7" s="39" t="s">
        <v>221</v>
      </c>
      <c r="H7" s="8"/>
      <c r="I7" s="21">
        <f t="shared" si="0"/>
        <v>18</v>
      </c>
      <c r="J7" s="21" t="str">
        <f t="shared" si="2"/>
        <v>Вкл. рез.ВВ или СВ</v>
      </c>
      <c r="K7" s="25" t="s">
        <v>223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26"/>
      <c r="W7" s="26"/>
      <c r="X7" s="19" t="s">
        <v>62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33"/>
      <c r="AK7" s="33"/>
      <c r="AL7" s="33"/>
      <c r="AM7" s="33"/>
      <c r="AN7" s="33"/>
      <c r="AO7" s="33"/>
      <c r="AP7" s="33"/>
      <c r="AQ7" s="33"/>
      <c r="AR7" s="26">
        <v>0</v>
      </c>
      <c r="AS7" s="26">
        <v>1</v>
      </c>
      <c r="AT7" s="26">
        <v>0</v>
      </c>
      <c r="AU7" s="26">
        <v>1</v>
      </c>
      <c r="AV7" s="60">
        <v>1</v>
      </c>
      <c r="AW7" s="61">
        <v>1</v>
      </c>
      <c r="AX7" s="62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 t="shared" si="1"/>
        <v>description: "Вкл. рез.ВВ или СВ", note: "Включить резервный ввод или секционный выключатель", group: "status", minValue: null, maxValue: null, step: null, units: "null", defaultValue: null, eventRegistration: 2</v>
      </c>
    </row>
    <row r="8" spans="1:16379" s="34" customFormat="1" ht="15.75" x14ac:dyDescent="0.25">
      <c r="A8" s="18"/>
      <c r="B8" s="58" t="s">
        <v>248</v>
      </c>
      <c r="C8" s="26"/>
      <c r="D8" s="32" t="s">
        <v>142</v>
      </c>
      <c r="E8" s="21" t="s">
        <v>131</v>
      </c>
      <c r="F8" s="39" t="s">
        <v>131</v>
      </c>
      <c r="G8" s="39" t="s">
        <v>131</v>
      </c>
      <c r="H8" s="8"/>
      <c r="I8" s="21">
        <f t="shared" si="0"/>
        <v>8</v>
      </c>
      <c r="J8" s="21" t="str">
        <f t="shared" si="2"/>
        <v>Включить</v>
      </c>
      <c r="K8" s="25" t="s">
        <v>174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26"/>
      <c r="W8" s="26"/>
      <c r="X8" s="19" t="s">
        <v>62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 t="s">
        <v>218</v>
      </c>
      <c r="AJ8" s="33" t="s">
        <v>181</v>
      </c>
      <c r="AK8" s="33" t="s">
        <v>90</v>
      </c>
      <c r="AL8" s="33" t="s">
        <v>87</v>
      </c>
      <c r="AM8" s="33" t="s">
        <v>88</v>
      </c>
      <c r="AN8" s="33"/>
      <c r="AO8" s="33" t="s">
        <v>89</v>
      </c>
      <c r="AP8" s="23" t="str">
        <f t="shared" ref="AP8:AP15" si="4">CONCATENATE(AJ8, ".", AL8)</f>
        <v>ABTS1.OpCls.general</v>
      </c>
      <c r="AQ8" s="33" t="s">
        <v>76</v>
      </c>
      <c r="AR8" s="26">
        <v>0</v>
      </c>
      <c r="AS8" s="26">
        <v>1</v>
      </c>
      <c r="AT8" s="26">
        <v>0</v>
      </c>
      <c r="AU8" s="26">
        <v>1</v>
      </c>
      <c r="AV8" s="60">
        <v>1</v>
      </c>
      <c r="AW8" s="61">
        <v>1</v>
      </c>
      <c r="AX8" s="62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"Включить", note: "Включить", group: "status", minValue: null, maxValue: null, step: null, units: "null", defaultValue: null, eventRegistration: 2</v>
      </c>
    </row>
    <row r="9" spans="1:16379" ht="18" customHeight="1" x14ac:dyDescent="0.25">
      <c r="A9" s="42"/>
      <c r="B9" s="58" t="s">
        <v>248</v>
      </c>
      <c r="C9" s="42"/>
      <c r="D9" s="42" t="s">
        <v>143</v>
      </c>
      <c r="E9" s="21" t="s">
        <v>170</v>
      </c>
      <c r="F9" s="46" t="s">
        <v>170</v>
      </c>
      <c r="G9" s="46" t="s">
        <v>170</v>
      </c>
      <c r="H9" s="46"/>
      <c r="I9" s="46">
        <f t="shared" si="0"/>
        <v>10</v>
      </c>
      <c r="J9" s="46" t="str">
        <f t="shared" si="2"/>
        <v>Запрет АВР</v>
      </c>
      <c r="K9" s="25" t="s">
        <v>175</v>
      </c>
      <c r="L9" s="22" t="s">
        <v>65</v>
      </c>
      <c r="M9" s="46" t="s">
        <v>60</v>
      </c>
      <c r="N9" s="46" t="s">
        <v>61</v>
      </c>
      <c r="O9" s="46"/>
      <c r="P9" s="46"/>
      <c r="Q9" s="46"/>
      <c r="R9" s="47" t="s">
        <v>62</v>
      </c>
      <c r="S9" s="19" t="s">
        <v>62</v>
      </c>
      <c r="T9" s="19" t="s">
        <v>62</v>
      </c>
      <c r="U9" s="19" t="s">
        <v>62</v>
      </c>
      <c r="V9" s="48"/>
      <c r="W9" s="48"/>
      <c r="X9" s="19" t="s">
        <v>62</v>
      </c>
      <c r="Y9" s="19">
        <v>2</v>
      </c>
      <c r="Z9" s="42"/>
      <c r="AA9" s="26">
        <v>0</v>
      </c>
      <c r="AB9" s="42"/>
      <c r="AC9" s="42"/>
      <c r="AD9" s="42"/>
      <c r="AE9" s="42"/>
      <c r="AF9" s="26">
        <v>0</v>
      </c>
      <c r="AG9" s="26">
        <v>0</v>
      </c>
      <c r="AH9" s="26">
        <v>0</v>
      </c>
      <c r="AI9" s="26" t="s">
        <v>156</v>
      </c>
      <c r="AJ9" s="23" t="s">
        <v>180</v>
      </c>
      <c r="AK9" s="23" t="s">
        <v>201</v>
      </c>
      <c r="AL9" s="23" t="s">
        <v>96</v>
      </c>
      <c r="AM9" s="23" t="s">
        <v>88</v>
      </c>
      <c r="AN9" s="46"/>
      <c r="AO9" s="23" t="s">
        <v>89</v>
      </c>
      <c r="AP9" s="23" t="str">
        <f t="shared" si="4"/>
        <v>BTSRBLC1.BlkOp.stVal</v>
      </c>
      <c r="AQ9" s="23" t="s">
        <v>76</v>
      </c>
      <c r="AR9" s="26">
        <v>0</v>
      </c>
      <c r="AS9" s="26">
        <v>1</v>
      </c>
      <c r="AT9" s="26">
        <v>0</v>
      </c>
      <c r="AU9" s="26">
        <v>1</v>
      </c>
      <c r="AV9" s="60">
        <v>1</v>
      </c>
      <c r="AW9" s="61">
        <v>1</v>
      </c>
      <c r="AX9" s="62">
        <v>1</v>
      </c>
      <c r="AY9" s="48"/>
      <c r="AZ9" s="48"/>
      <c r="BA9" s="48"/>
      <c r="BB9" s="49"/>
      <c r="BC9" s="48"/>
      <c r="BD9" s="49"/>
      <c r="BE9" s="48"/>
      <c r="BF9" s="48"/>
      <c r="BG9" s="24" t="str">
        <f t="shared" si="1"/>
        <v>description: "Запрет АВР", note: "Запрет АВР", group: "status", minValue: null, maxValue: null, step: null, units: "null", defaultValue: null, eventRegistration: 2</v>
      </c>
    </row>
    <row r="10" spans="1:16379" s="34" customFormat="1" ht="15.75" x14ac:dyDescent="0.25">
      <c r="A10" s="18"/>
      <c r="B10" s="58" t="s">
        <v>248</v>
      </c>
      <c r="C10" s="26"/>
      <c r="D10" s="25"/>
      <c r="E10" s="24" t="s">
        <v>91</v>
      </c>
      <c r="F10" s="24" t="s">
        <v>92</v>
      </c>
      <c r="G10" s="24" t="s">
        <v>92</v>
      </c>
      <c r="H10" s="26"/>
      <c r="I10" s="24">
        <f>LEN(F10)</f>
        <v>12</v>
      </c>
      <c r="J10" s="24" t="str">
        <f>IF(LEN(F10)&lt;=$J$1,F10,"")</f>
        <v>Поведение LD</v>
      </c>
      <c r="K10" s="25" t="s">
        <v>93</v>
      </c>
      <c r="L10" s="22" t="s">
        <v>69</v>
      </c>
      <c r="M10" s="19" t="s">
        <v>60</v>
      </c>
      <c r="N10" s="19" t="s">
        <v>61</v>
      </c>
      <c r="O10" s="19"/>
      <c r="P10" s="26"/>
      <c r="Q10" s="26"/>
      <c r="R10" s="19" t="s">
        <v>62</v>
      </c>
      <c r="S10" s="19" t="s">
        <v>62</v>
      </c>
      <c r="T10" s="19" t="s">
        <v>62</v>
      </c>
      <c r="U10" s="19" t="s">
        <v>62</v>
      </c>
      <c r="V10" s="26"/>
      <c r="W10" s="26"/>
      <c r="X10" s="19" t="s">
        <v>62</v>
      </c>
      <c r="Y10" s="19">
        <v>0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26" t="s">
        <v>70</v>
      </c>
      <c r="AJ10" s="23" t="s">
        <v>94</v>
      </c>
      <c r="AK10" s="23" t="s">
        <v>95</v>
      </c>
      <c r="AL10" s="23" t="s">
        <v>96</v>
      </c>
      <c r="AM10" s="23" t="s">
        <v>97</v>
      </c>
      <c r="AN10" s="23" t="s">
        <v>98</v>
      </c>
      <c r="AO10" s="23" t="s">
        <v>89</v>
      </c>
      <c r="AP10" s="23" t="str">
        <f t="shared" si="4"/>
        <v>LLN0.Beh.stVal</v>
      </c>
      <c r="AQ10" s="23" t="s">
        <v>76</v>
      </c>
      <c r="AR10" s="26">
        <v>0</v>
      </c>
      <c r="AS10" s="26">
        <v>0</v>
      </c>
      <c r="AT10" s="26">
        <v>0</v>
      </c>
      <c r="AU10" s="26">
        <v>0</v>
      </c>
      <c r="AV10" s="26">
        <f>BIN2DEC(CONCATENATE(0,0,0,0,AR10,AS10,AT10,AU10))</f>
        <v>0</v>
      </c>
      <c r="AW10" s="26">
        <v>0</v>
      </c>
      <c r="AX10" s="26">
        <v>0</v>
      </c>
      <c r="AY10" s="23"/>
      <c r="AZ10" s="26"/>
      <c r="BA10" s="26"/>
      <c r="BB10" s="26"/>
      <c r="BC10" s="26"/>
      <c r="BD10" s="26"/>
      <c r="BE10" s="26"/>
      <c r="BF10" s="26"/>
      <c r="BG10" s="24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34" customFormat="1" ht="15.75" x14ac:dyDescent="0.25">
      <c r="A11" s="18"/>
      <c r="B11" s="58" t="s">
        <v>248</v>
      </c>
      <c r="C11" s="26"/>
      <c r="D11" s="25"/>
      <c r="E11" s="24" t="s">
        <v>99</v>
      </c>
      <c r="F11" s="24" t="s">
        <v>100</v>
      </c>
      <c r="G11" s="24" t="s">
        <v>100</v>
      </c>
      <c r="H11" s="26"/>
      <c r="I11" s="24">
        <f>LEN(F11)</f>
        <v>14</v>
      </c>
      <c r="J11" s="24" t="str">
        <f>IF(LEN(F11)&lt;=$J$1,F11,"")</f>
        <v>Исправность LD</v>
      </c>
      <c r="K11" s="25" t="s">
        <v>101</v>
      </c>
      <c r="L11" s="22" t="s">
        <v>69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26"/>
      <c r="W11" s="26"/>
      <c r="X11" s="19" t="s">
        <v>62</v>
      </c>
      <c r="Y11" s="19">
        <v>0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26" t="s">
        <v>70</v>
      </c>
      <c r="AJ11" s="23" t="s">
        <v>102</v>
      </c>
      <c r="AK11" s="23" t="s">
        <v>95</v>
      </c>
      <c r="AL11" s="23" t="s">
        <v>96</v>
      </c>
      <c r="AM11" s="23" t="s">
        <v>97</v>
      </c>
      <c r="AN11" s="23" t="s">
        <v>103</v>
      </c>
      <c r="AO11" s="23" t="s">
        <v>89</v>
      </c>
      <c r="AP11" s="23" t="str">
        <f t="shared" si="4"/>
        <v>LLN0.Health.stVal</v>
      </c>
      <c r="AQ11" s="23" t="s">
        <v>76</v>
      </c>
      <c r="AR11" s="26">
        <v>0</v>
      </c>
      <c r="AS11" s="26">
        <v>0</v>
      </c>
      <c r="AT11" s="26">
        <v>0</v>
      </c>
      <c r="AU11" s="26">
        <v>0</v>
      </c>
      <c r="AV11" s="26">
        <f>BIN2DEC(CONCATENATE(0,0,0,0,AR11,AS11,AT11,AU11))</f>
        <v>0</v>
      </c>
      <c r="AW11" s="26">
        <v>0</v>
      </c>
      <c r="AX11" s="26">
        <v>0</v>
      </c>
      <c r="AY11" s="23"/>
      <c r="AZ11" s="26"/>
      <c r="BA11" s="26"/>
      <c r="BB11" s="26"/>
      <c r="BC11" s="26"/>
      <c r="BD11" s="26"/>
      <c r="BE11" s="26"/>
      <c r="BF11" s="26"/>
      <c r="BG11" s="2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34" customFormat="1" ht="15.75" x14ac:dyDescent="0.25">
      <c r="A12" s="18"/>
      <c r="B12" s="58" t="s">
        <v>248</v>
      </c>
      <c r="C12" s="26"/>
      <c r="D12" s="25" t="s">
        <v>142</v>
      </c>
      <c r="E12" s="24" t="s">
        <v>161</v>
      </c>
      <c r="F12" s="24" t="s">
        <v>104</v>
      </c>
      <c r="G12" s="24" t="s">
        <v>104</v>
      </c>
      <c r="H12" s="26"/>
      <c r="I12" s="24">
        <f>LEN(F12)</f>
        <v>9</v>
      </c>
      <c r="J12" s="24" t="str">
        <f>IF(LEN(F12)&lt;=$J$1,F12,"")</f>
        <v>Поведение</v>
      </c>
      <c r="K12" s="25" t="s">
        <v>165</v>
      </c>
      <c r="L12" s="22" t="s">
        <v>69</v>
      </c>
      <c r="M12" s="19" t="s">
        <v>60</v>
      </c>
      <c r="N12" s="19" t="s">
        <v>61</v>
      </c>
      <c r="O12" s="19"/>
      <c r="P12" s="26"/>
      <c r="Q12" s="26"/>
      <c r="R12" s="19" t="s">
        <v>62</v>
      </c>
      <c r="S12" s="19" t="s">
        <v>62</v>
      </c>
      <c r="T12" s="19" t="s">
        <v>62</v>
      </c>
      <c r="U12" s="19" t="s">
        <v>62</v>
      </c>
      <c r="V12" s="26"/>
      <c r="W12" s="26"/>
      <c r="X12" s="19" t="s">
        <v>62</v>
      </c>
      <c r="Y12" s="19">
        <v>0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26" t="s">
        <v>218</v>
      </c>
      <c r="AJ12" s="23" t="s">
        <v>176</v>
      </c>
      <c r="AK12" s="23" t="s">
        <v>95</v>
      </c>
      <c r="AL12" s="23" t="s">
        <v>96</v>
      </c>
      <c r="AM12" s="23" t="s">
        <v>97</v>
      </c>
      <c r="AN12" s="23" t="s">
        <v>98</v>
      </c>
      <c r="AO12" s="23" t="s">
        <v>89</v>
      </c>
      <c r="AP12" s="23" t="str">
        <f t="shared" si="4"/>
        <v>ABTS1.Beh.stVal</v>
      </c>
      <c r="AQ12" s="23" t="s">
        <v>76</v>
      </c>
      <c r="AR12" s="26">
        <v>0</v>
      </c>
      <c r="AS12" s="26">
        <v>0</v>
      </c>
      <c r="AT12" s="26">
        <v>0</v>
      </c>
      <c r="AU12" s="26">
        <v>0</v>
      </c>
      <c r="AV12" s="26">
        <f>BIN2DEC(CONCATENATE(0,0,0,0,AR12,AS12,AT12,AU12))</f>
        <v>0</v>
      </c>
      <c r="AW12" s="26">
        <v>0</v>
      </c>
      <c r="AX12" s="26">
        <v>0</v>
      </c>
      <c r="AY12" s="23"/>
      <c r="AZ12" s="26"/>
      <c r="BA12" s="26"/>
      <c r="BB12" s="26"/>
      <c r="BC12" s="26"/>
      <c r="BD12" s="26"/>
      <c r="BE12" s="26"/>
      <c r="BF12" s="26"/>
      <c r="BG12" s="24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"Поведение", note: "Индикация поведения логического узла АВР", group: "status", minValue: null, maxValue: null, step: null, units: "null", defaultValue: null, eventRegistration: 0</v>
      </c>
    </row>
    <row r="13" spans="1:16379" s="34" customFormat="1" ht="15.75" x14ac:dyDescent="0.25">
      <c r="A13" s="18"/>
      <c r="B13" s="58" t="s">
        <v>248</v>
      </c>
      <c r="C13" s="26"/>
      <c r="D13" s="25" t="s">
        <v>142</v>
      </c>
      <c r="E13" s="24" t="s">
        <v>162</v>
      </c>
      <c r="F13" s="24" t="s">
        <v>105</v>
      </c>
      <c r="G13" s="24" t="s">
        <v>105</v>
      </c>
      <c r="H13" s="26"/>
      <c r="I13" s="24">
        <f>LEN(F13)</f>
        <v>11</v>
      </c>
      <c r="J13" s="24" t="str">
        <f>IF(LEN(F13)&lt;=$J$1,F13,"")</f>
        <v>Исправность</v>
      </c>
      <c r="K13" s="25" t="s">
        <v>166</v>
      </c>
      <c r="L13" s="22" t="s">
        <v>69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26"/>
      <c r="W13" s="26"/>
      <c r="X13" s="19" t="s">
        <v>62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26" t="s">
        <v>218</v>
      </c>
      <c r="AJ13" s="23" t="s">
        <v>177</v>
      </c>
      <c r="AK13" s="23" t="s">
        <v>95</v>
      </c>
      <c r="AL13" s="23" t="s">
        <v>96</v>
      </c>
      <c r="AM13" s="23" t="s">
        <v>97</v>
      </c>
      <c r="AN13" s="23" t="s">
        <v>103</v>
      </c>
      <c r="AO13" s="23" t="s">
        <v>89</v>
      </c>
      <c r="AP13" s="23" t="str">
        <f t="shared" si="4"/>
        <v>ABTS1.Health.stVal</v>
      </c>
      <c r="AQ13" s="23" t="s">
        <v>76</v>
      </c>
      <c r="AR13" s="26">
        <v>0</v>
      </c>
      <c r="AS13" s="26">
        <v>0</v>
      </c>
      <c r="AT13" s="26">
        <v>0</v>
      </c>
      <c r="AU13" s="26">
        <v>0</v>
      </c>
      <c r="AV13" s="26">
        <f>BIN2DEC(CONCATENATE(0,0,0,0,AR13,AS13,AT13,AU13))</f>
        <v>0</v>
      </c>
      <c r="AW13" s="26">
        <v>0</v>
      </c>
      <c r="AX13" s="26">
        <v>0</v>
      </c>
      <c r="AY13" s="23"/>
      <c r="AZ13" s="26"/>
      <c r="BA13" s="26"/>
      <c r="BB13" s="26"/>
      <c r="BC13" s="26"/>
      <c r="BD13" s="26"/>
      <c r="BE13" s="26"/>
      <c r="BF13" s="26"/>
      <c r="BG13" s="24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"Исправность", note: "Индикация исправности логического узла АВР", group: "status", minValue: null, maxValue: null, step: null, units: "null", defaultValue: null, eventRegistration: 0</v>
      </c>
    </row>
    <row r="14" spans="1:16379" s="2" customFormat="1" ht="15.75" x14ac:dyDescent="0.25">
      <c r="A14" s="42"/>
      <c r="B14" s="58" t="s">
        <v>248</v>
      </c>
      <c r="C14" s="42"/>
      <c r="D14" s="42" t="s">
        <v>143</v>
      </c>
      <c r="E14" s="46" t="s">
        <v>163</v>
      </c>
      <c r="F14" s="24" t="s">
        <v>104</v>
      </c>
      <c r="G14" s="24" t="s">
        <v>104</v>
      </c>
      <c r="H14" s="46"/>
      <c r="I14" s="24">
        <f t="shared" ref="I14:I15" si="5">LEN(F14)</f>
        <v>9</v>
      </c>
      <c r="J14" s="24" t="str">
        <f t="shared" ref="J14:J15" si="6">IF(LEN(F14)&lt;=$J$1,F14,"")</f>
        <v>Поведение</v>
      </c>
      <c r="K14" s="25" t="s">
        <v>167</v>
      </c>
      <c r="L14" s="22" t="s">
        <v>69</v>
      </c>
      <c r="M14" s="46" t="s">
        <v>60</v>
      </c>
      <c r="N14" s="46" t="s">
        <v>61</v>
      </c>
      <c r="O14" s="46"/>
      <c r="P14" s="46"/>
      <c r="Q14" s="46"/>
      <c r="R14" s="47" t="s">
        <v>62</v>
      </c>
      <c r="S14" s="19" t="s">
        <v>62</v>
      </c>
      <c r="T14" s="19" t="s">
        <v>62</v>
      </c>
      <c r="U14" s="19" t="s">
        <v>62</v>
      </c>
      <c r="V14" s="48"/>
      <c r="W14" s="48"/>
      <c r="X14" s="19" t="s">
        <v>62</v>
      </c>
      <c r="Y14" s="19">
        <v>0</v>
      </c>
      <c r="Z14" s="42"/>
      <c r="AA14" s="26">
        <v>0</v>
      </c>
      <c r="AB14" s="48"/>
      <c r="AC14" s="48"/>
      <c r="AD14" s="48"/>
      <c r="AE14" s="48"/>
      <c r="AF14" s="26">
        <v>0</v>
      </c>
      <c r="AG14" s="26">
        <v>0</v>
      </c>
      <c r="AH14" s="26">
        <v>0</v>
      </c>
      <c r="AI14" s="26" t="s">
        <v>156</v>
      </c>
      <c r="AJ14" s="23" t="s">
        <v>178</v>
      </c>
      <c r="AK14" s="23" t="s">
        <v>95</v>
      </c>
      <c r="AL14" s="23" t="s">
        <v>96</v>
      </c>
      <c r="AM14" s="23" t="s">
        <v>97</v>
      </c>
      <c r="AN14" s="23" t="s">
        <v>98</v>
      </c>
      <c r="AO14" s="23" t="s">
        <v>89</v>
      </c>
      <c r="AP14" s="23" t="str">
        <f t="shared" si="4"/>
        <v>BTSRBLC1.Beh.stVal</v>
      </c>
      <c r="AQ14" s="23" t="s">
        <v>76</v>
      </c>
      <c r="AR14" s="26">
        <v>0</v>
      </c>
      <c r="AS14" s="26">
        <v>0</v>
      </c>
      <c r="AT14" s="26">
        <v>0</v>
      </c>
      <c r="AU14" s="26">
        <v>0</v>
      </c>
      <c r="AV14" s="26">
        <f t="shared" ref="AV14:AV15" si="7">BIN2DEC(CONCATENATE(0,0,0,0,AR14,AS14,AT14,AU14))</f>
        <v>0</v>
      </c>
      <c r="AW14" s="26">
        <v>0</v>
      </c>
      <c r="AX14" s="26">
        <v>0</v>
      </c>
      <c r="AY14" s="48"/>
      <c r="AZ14" s="48"/>
      <c r="BA14" s="48"/>
      <c r="BB14" s="49"/>
      <c r="BC14" s="48"/>
      <c r="BD14" s="49"/>
      <c r="BE14" s="48"/>
      <c r="BF14" s="48"/>
      <c r="BG14" s="24" t="str">
        <f t="shared" ref="BG14:BG15" si="8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"Поведение", note: "Индикация поведения логического узла ЗАВР", group: "status", minValue: null, maxValue: null, step: null, units: "null", defaultValue: null, eventRegistration: 0</v>
      </c>
      <c r="BH14" s="1"/>
    </row>
    <row r="15" spans="1:16379" s="2" customFormat="1" ht="15.75" x14ac:dyDescent="0.25">
      <c r="A15" s="42"/>
      <c r="B15" s="58" t="s">
        <v>248</v>
      </c>
      <c r="C15" s="42"/>
      <c r="D15" s="42" t="s">
        <v>143</v>
      </c>
      <c r="E15" s="46" t="s">
        <v>164</v>
      </c>
      <c r="F15" s="24" t="s">
        <v>105</v>
      </c>
      <c r="G15" s="24" t="s">
        <v>105</v>
      </c>
      <c r="H15" s="46"/>
      <c r="I15" s="24">
        <f t="shared" si="5"/>
        <v>11</v>
      </c>
      <c r="J15" s="24" t="str">
        <f t="shared" si="6"/>
        <v>Исправность</v>
      </c>
      <c r="K15" s="25" t="s">
        <v>168</v>
      </c>
      <c r="L15" s="22" t="s">
        <v>69</v>
      </c>
      <c r="M15" s="46" t="s">
        <v>60</v>
      </c>
      <c r="N15" s="46" t="s">
        <v>61</v>
      </c>
      <c r="O15" s="46"/>
      <c r="P15" s="46"/>
      <c r="Q15" s="46"/>
      <c r="R15" s="47" t="s">
        <v>62</v>
      </c>
      <c r="S15" s="19" t="s">
        <v>62</v>
      </c>
      <c r="T15" s="19" t="s">
        <v>62</v>
      </c>
      <c r="U15" s="19" t="s">
        <v>62</v>
      </c>
      <c r="V15" s="48"/>
      <c r="W15" s="48"/>
      <c r="X15" s="19" t="s">
        <v>62</v>
      </c>
      <c r="Y15" s="19">
        <v>0</v>
      </c>
      <c r="Z15" s="42"/>
      <c r="AA15" s="26">
        <v>0</v>
      </c>
      <c r="AB15" s="48"/>
      <c r="AC15" s="48"/>
      <c r="AD15" s="48"/>
      <c r="AE15" s="48"/>
      <c r="AF15" s="26">
        <v>0</v>
      </c>
      <c r="AG15" s="26">
        <v>0</v>
      </c>
      <c r="AH15" s="26">
        <v>0</v>
      </c>
      <c r="AI15" s="26" t="s">
        <v>156</v>
      </c>
      <c r="AJ15" s="23" t="s">
        <v>179</v>
      </c>
      <c r="AK15" s="23" t="s">
        <v>95</v>
      </c>
      <c r="AL15" s="23" t="s">
        <v>96</v>
      </c>
      <c r="AM15" s="23" t="s">
        <v>97</v>
      </c>
      <c r="AN15" s="23" t="s">
        <v>103</v>
      </c>
      <c r="AO15" s="23" t="s">
        <v>89</v>
      </c>
      <c r="AP15" s="23" t="str">
        <f t="shared" si="4"/>
        <v>BTSRBLC1.Health.stVal</v>
      </c>
      <c r="AQ15" s="23" t="s">
        <v>76</v>
      </c>
      <c r="AR15" s="26">
        <v>0</v>
      </c>
      <c r="AS15" s="26">
        <v>0</v>
      </c>
      <c r="AT15" s="26">
        <v>0</v>
      </c>
      <c r="AU15" s="26">
        <v>0</v>
      </c>
      <c r="AV15" s="26">
        <f t="shared" si="7"/>
        <v>0</v>
      </c>
      <c r="AW15" s="26">
        <v>0</v>
      </c>
      <c r="AX15" s="26">
        <v>0</v>
      </c>
      <c r="AY15" s="48"/>
      <c r="AZ15" s="48"/>
      <c r="BA15" s="48"/>
      <c r="BB15" s="49"/>
      <c r="BC15" s="48"/>
      <c r="BD15" s="49"/>
      <c r="BE15" s="48"/>
      <c r="BF15" s="48"/>
      <c r="BG15" s="24" t="str">
        <f t="shared" si="8"/>
        <v>description: "Исправность", note: "Индикация исправности логического узла ЗАВР", group: "status", minValue: null, maxValue: null, step: null, units: "null", defaultValue: null, eventRegistration: 0</v>
      </c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8"/>
      <c r="BC201" s="4"/>
      <c r="BD201" s="3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8"/>
      <c r="BC202" s="4"/>
      <c r="BD202" s="3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8"/>
      <c r="BC203" s="4"/>
      <c r="BD203" s="3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8"/>
      <c r="BC204" s="4"/>
      <c r="BD204" s="3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8"/>
      <c r="BC205" s="4"/>
      <c r="BD205" s="3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8"/>
      <c r="BC206" s="4"/>
      <c r="BD206" s="3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8"/>
      <c r="BC207" s="4"/>
      <c r="BD207" s="3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8"/>
      <c r="BC208" s="4"/>
      <c r="BD208" s="3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8"/>
      <c r="BC209" s="4"/>
      <c r="BD209" s="3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8"/>
      <c r="BC210" s="4"/>
      <c r="BD210" s="3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8"/>
      <c r="BC211" s="4"/>
      <c r="BD211" s="3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8"/>
      <c r="BC212" s="4"/>
      <c r="BD212" s="3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8"/>
      <c r="BC213" s="4"/>
      <c r="BD213" s="3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8"/>
      <c r="BC214" s="4"/>
      <c r="BD214" s="3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8"/>
      <c r="BC215" s="4"/>
      <c r="BD215" s="3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8"/>
      <c r="BC216" s="4"/>
      <c r="BD216" s="3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8"/>
      <c r="BC217" s="4"/>
      <c r="BD217" s="3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8"/>
      <c r="BC218" s="4"/>
      <c r="BD218" s="3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8"/>
      <c r="BC219" s="4"/>
      <c r="BD219" s="3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8"/>
      <c r="BC220" s="4"/>
      <c r="BD220" s="38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zoomScale="80" zoomScaleNormal="80" workbookViewId="0">
      <selection activeCell="H17" sqref="H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6.7109375" style="2" customWidth="1"/>
    <col min="6" max="6" width="22.140625" style="2" customWidth="1" outlineLevel="1"/>
    <col min="7" max="7" width="21" style="2" customWidth="1" outlineLevel="1"/>
    <col min="8" max="8" width="55.85546875" style="2" customWidth="1" outlineLevel="1"/>
    <col min="9" max="9" width="10" style="2" customWidth="1"/>
    <col min="10" max="10" width="35.140625" style="2" bestFit="1" customWidth="1"/>
    <col min="11" max="11" width="25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140625" style="2" customWidth="1" outlineLevel="1"/>
    <col min="17" max="17" width="24.85546875" style="2" customWidth="1" outlineLevel="1"/>
    <col min="18" max="18" width="8.42578125" style="3" customWidth="1" outlineLevel="1"/>
    <col min="19" max="19" width="9.5703125" style="4" customWidth="1" outlineLevel="1"/>
    <col min="20" max="20" width="12.5703125" style="4" customWidth="1" outlineLevel="1"/>
    <col min="21" max="21" width="8.140625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7109375" style="2" customWidth="1"/>
    <col min="38" max="38" width="22.85546875" style="2" customWidth="1"/>
    <col min="39" max="39" width="20.42578125" style="2" customWidth="1"/>
    <col min="40" max="40" width="22" style="2" customWidth="1"/>
    <col min="41" max="41" width="10.28515625" style="2" customWidth="1"/>
    <col min="42" max="42" width="27.2851562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SUM(AA3:AA55)</f>
        <v>0</v>
      </c>
      <c r="AI1" s="40"/>
      <c r="AJ1" s="7"/>
      <c r="AK1" s="7"/>
      <c r="AL1" s="7"/>
      <c r="AM1" s="7"/>
      <c r="AN1" s="7"/>
      <c r="AO1" s="7"/>
      <c r="AP1" s="7"/>
      <c r="AQ1" s="7"/>
      <c r="AR1" s="40"/>
      <c r="AS1" s="6"/>
      <c r="AT1" s="6"/>
      <c r="AU1" s="6"/>
      <c r="AV1" s="6"/>
      <c r="AW1" s="6"/>
      <c r="AX1" s="6"/>
      <c r="AY1" s="8"/>
      <c r="AZ1" s="102" t="s">
        <v>0</v>
      </c>
      <c r="BA1" s="103"/>
      <c r="BB1" s="103"/>
      <c r="BC1" s="103"/>
      <c r="BD1" s="103"/>
      <c r="BE1" s="103"/>
      <c r="BF1" s="103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8"/>
      <c r="B3" s="18" t="s">
        <v>106</v>
      </c>
      <c r="C3" s="19"/>
      <c r="D3" s="32" t="s">
        <v>142</v>
      </c>
      <c r="E3" s="21" t="s">
        <v>107</v>
      </c>
      <c r="F3" s="21" t="s">
        <v>108</v>
      </c>
      <c r="G3" s="21" t="s">
        <v>109</v>
      </c>
      <c r="H3" s="21" t="s">
        <v>110</v>
      </c>
      <c r="I3" s="21">
        <f t="shared" ref="I3:I11" si="0">LEN(F3)</f>
        <v>12</v>
      </c>
      <c r="J3" s="21" t="str">
        <f t="shared" ref="J3:J11" si="1">IF(LEN(F3)&lt;=$J$1,F3,"")</f>
        <v>Ввод_функции</v>
      </c>
      <c r="K3" s="18" t="s">
        <v>151</v>
      </c>
      <c r="L3" s="22" t="s">
        <v>65</v>
      </c>
      <c r="M3" s="19" t="s">
        <v>61</v>
      </c>
      <c r="N3" s="19" t="s">
        <v>61</v>
      </c>
      <c r="O3" s="19"/>
      <c r="P3" s="23">
        <v>0</v>
      </c>
      <c r="Q3" s="23"/>
      <c r="R3" s="19" t="s">
        <v>62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 t="shared" ref="AV3:AV11" si="2">BIN2DEC(CONCATENATE(0,0,0,0,AR3,AS3,AT3,AU3))</f>
        <v>0</v>
      </c>
      <c r="AW3" s="26" t="s">
        <v>111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11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1" customFormat="1" ht="15.75" x14ac:dyDescent="0.25">
      <c r="A4" s="18"/>
      <c r="B4" s="18" t="s">
        <v>106</v>
      </c>
      <c r="C4" s="19"/>
      <c r="D4" s="32" t="s">
        <v>142</v>
      </c>
      <c r="E4" s="21" t="s">
        <v>207</v>
      </c>
      <c r="F4" s="21" t="s">
        <v>206</v>
      </c>
      <c r="G4" s="21" t="s">
        <v>114</v>
      </c>
      <c r="H4" s="21" t="s">
        <v>204</v>
      </c>
      <c r="I4" s="21">
        <f t="shared" si="0"/>
        <v>9</v>
      </c>
      <c r="J4" s="21" t="str">
        <f t="shared" si="1"/>
        <v>Тип_ввода</v>
      </c>
      <c r="K4" s="18" t="s">
        <v>214</v>
      </c>
      <c r="L4" s="22" t="s">
        <v>65</v>
      </c>
      <c r="M4" s="19" t="s">
        <v>61</v>
      </c>
      <c r="N4" s="19" t="s">
        <v>61</v>
      </c>
      <c r="O4" s="19"/>
      <c r="P4" s="23">
        <v>0</v>
      </c>
      <c r="Q4" s="23"/>
      <c r="R4" s="19" t="s">
        <v>62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/>
      <c r="AJ4" s="26"/>
      <c r="AK4" s="26"/>
      <c r="AL4" s="26"/>
      <c r="AM4" s="26"/>
      <c r="AN4" s="26"/>
      <c r="AO4" s="26"/>
      <c r="AP4" s="8"/>
      <c r="AQ4" s="33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214</v>
      </c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"Тип_ввода", note: "Тип ввода", group: "setting", minValue: 0, maxValue: 1, step: 1, units: "null", defaultValue: 0, eventRegistration: 0</v>
      </c>
    </row>
    <row r="5" spans="1:16379" s="31" customFormat="1" ht="15.75" x14ac:dyDescent="0.25">
      <c r="A5" s="18"/>
      <c r="B5" s="18" t="s">
        <v>106</v>
      </c>
      <c r="C5" s="19"/>
      <c r="D5" s="32" t="s">
        <v>142</v>
      </c>
      <c r="E5" s="21" t="s">
        <v>144</v>
      </c>
      <c r="F5" s="21" t="s">
        <v>147</v>
      </c>
      <c r="G5" s="21" t="s">
        <v>113</v>
      </c>
      <c r="H5" s="21" t="s">
        <v>150</v>
      </c>
      <c r="I5" s="21">
        <f t="shared" si="0"/>
        <v>7</v>
      </c>
      <c r="J5" s="21" t="str">
        <f t="shared" si="1"/>
        <v>Реж_КОН</v>
      </c>
      <c r="K5" s="18" t="s">
        <v>152</v>
      </c>
      <c r="L5" s="22" t="s">
        <v>65</v>
      </c>
      <c r="M5" s="19" t="s">
        <v>61</v>
      </c>
      <c r="N5" s="19" t="s">
        <v>61</v>
      </c>
      <c r="O5" s="19"/>
      <c r="P5" s="23">
        <v>0</v>
      </c>
      <c r="Q5" s="23"/>
      <c r="R5" s="19" t="s">
        <v>62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 t="s">
        <v>218</v>
      </c>
      <c r="AJ5" s="26" t="s">
        <v>159</v>
      </c>
      <c r="AK5" s="26" t="s">
        <v>158</v>
      </c>
      <c r="AL5" s="26" t="s">
        <v>122</v>
      </c>
      <c r="AM5" s="26" t="s">
        <v>88</v>
      </c>
      <c r="AN5" s="26"/>
      <c r="AO5" s="26" t="s">
        <v>112</v>
      </c>
      <c r="AP5" s="8" t="str">
        <f t="shared" ref="AP5" si="4" xml:space="preserve"> CONCATENATE(AJ5, ".",AL5)</f>
        <v>ABTS1.VCtlMod.setVal</v>
      </c>
      <c r="AQ5" s="33" t="s">
        <v>76</v>
      </c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 t="s">
        <v>202</v>
      </c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3"/>
        <v>description: "Реж_КОН", note: "Режим контроля отсутствия напряжения на секции", group: "setting", minValue: 0, maxValue: 1, step: 1, units: "null", defaultValue: 0, eventRegistration: 0</v>
      </c>
    </row>
    <row r="6" spans="1:16379" s="31" customFormat="1" ht="15.75" x14ac:dyDescent="0.25">
      <c r="A6" s="18"/>
      <c r="B6" s="18" t="s">
        <v>106</v>
      </c>
      <c r="C6" s="19"/>
      <c r="D6" s="32" t="s">
        <v>142</v>
      </c>
      <c r="E6" s="21" t="s">
        <v>209</v>
      </c>
      <c r="F6" s="21" t="s">
        <v>208</v>
      </c>
      <c r="G6" s="21" t="s">
        <v>203</v>
      </c>
      <c r="H6" s="21" t="s">
        <v>205</v>
      </c>
      <c r="I6" s="21">
        <f t="shared" si="0"/>
        <v>14</v>
      </c>
      <c r="J6" s="21" t="str">
        <f t="shared" si="1"/>
        <v>Контр_встреч_U</v>
      </c>
      <c r="K6" s="18" t="s">
        <v>215</v>
      </c>
      <c r="L6" s="22" t="s">
        <v>65</v>
      </c>
      <c r="M6" s="19" t="s">
        <v>61</v>
      </c>
      <c r="N6" s="19" t="s">
        <v>61</v>
      </c>
      <c r="O6" s="19"/>
      <c r="P6" s="23">
        <v>0</v>
      </c>
      <c r="Q6" s="23"/>
      <c r="R6" s="19" t="s">
        <v>62</v>
      </c>
      <c r="S6" s="19">
        <v>0</v>
      </c>
      <c r="T6" s="19">
        <v>1</v>
      </c>
      <c r="U6" s="19">
        <v>1</v>
      </c>
      <c r="V6" s="19"/>
      <c r="W6" s="19"/>
      <c r="X6" s="19">
        <v>1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8"/>
      <c r="AQ6" s="33"/>
      <c r="AR6" s="26">
        <v>0</v>
      </c>
      <c r="AS6" s="26">
        <v>0</v>
      </c>
      <c r="AT6" s="26">
        <v>0</v>
      </c>
      <c r="AU6" s="26">
        <v>0</v>
      </c>
      <c r="AV6" s="26">
        <f t="shared" ref="AV6" si="5">BIN2DEC(CONCATENATE(0,0,0,0,AR6,AS6,AT6,AU6))</f>
        <v>0</v>
      </c>
      <c r="AW6" s="26" t="s">
        <v>242</v>
      </c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3"/>
        <v>description: "Контр_встреч_U", note: "Контроль встречного напряжения", group: "setting", minValue: 0, maxValue: 1, step: 1, units: "null", defaultValue: 1, eventRegistration: 0</v>
      </c>
    </row>
    <row r="7" spans="1:16379" s="31" customFormat="1" ht="17.25" customHeight="1" x14ac:dyDescent="0.25">
      <c r="A7" s="18"/>
      <c r="B7" s="18" t="s">
        <v>106</v>
      </c>
      <c r="C7" s="19"/>
      <c r="D7" s="32" t="s">
        <v>142</v>
      </c>
      <c r="E7" s="21" t="s">
        <v>145</v>
      </c>
      <c r="F7" s="21" t="s">
        <v>148</v>
      </c>
      <c r="G7" s="21" t="s">
        <v>130</v>
      </c>
      <c r="H7" s="21"/>
      <c r="I7" s="21">
        <f t="shared" si="0"/>
        <v>4</v>
      </c>
      <c r="J7" s="21" t="str">
        <f t="shared" si="1"/>
        <v>Тгот</v>
      </c>
      <c r="K7" s="18" t="s">
        <v>153</v>
      </c>
      <c r="L7" s="22" t="s">
        <v>118</v>
      </c>
      <c r="M7" s="19" t="s">
        <v>61</v>
      </c>
      <c r="N7" s="19" t="s">
        <v>61</v>
      </c>
      <c r="O7" s="19"/>
      <c r="P7" s="23">
        <v>2</v>
      </c>
      <c r="Q7" s="23" t="s">
        <v>119</v>
      </c>
      <c r="R7" s="19" t="s">
        <v>120</v>
      </c>
      <c r="S7" s="19">
        <v>100</v>
      </c>
      <c r="T7" s="19">
        <v>100000</v>
      </c>
      <c r="U7" s="19">
        <v>10</v>
      </c>
      <c r="V7" s="19"/>
      <c r="W7" s="19"/>
      <c r="X7" s="19">
        <v>10000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26"/>
      <c r="AK7" s="26"/>
      <c r="AL7" s="26"/>
      <c r="AM7" s="26"/>
      <c r="AN7" s="26"/>
      <c r="AO7" s="26"/>
      <c r="AP7" s="8"/>
      <c r="AQ7" s="33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3"/>
        <v>description: "Тгот", note: "Выдержка времени готовности", group: "setting", minValue: 100, maxValue: 100000, step: 10, units: "мс", defaultValue: 10000, eventRegistration: 0</v>
      </c>
    </row>
    <row r="8" spans="1:16379" s="31" customFormat="1" ht="16.5" customHeight="1" x14ac:dyDescent="0.25">
      <c r="A8" s="18"/>
      <c r="B8" s="18" t="s">
        <v>106</v>
      </c>
      <c r="C8" s="19"/>
      <c r="D8" s="32" t="s">
        <v>142</v>
      </c>
      <c r="E8" s="21" t="s">
        <v>115</v>
      </c>
      <c r="F8" s="21" t="s">
        <v>116</v>
      </c>
      <c r="G8" s="21" t="s">
        <v>117</v>
      </c>
      <c r="H8" s="21"/>
      <c r="I8" s="21">
        <f t="shared" ref="I8:I10" si="6">LEN(F8)</f>
        <v>3</v>
      </c>
      <c r="J8" s="21" t="str">
        <f t="shared" ref="J8:J10" si="7">IF(LEN(F8)&lt;=$J$1,F8,"")</f>
        <v>Tср</v>
      </c>
      <c r="K8" s="18" t="s">
        <v>154</v>
      </c>
      <c r="L8" s="22" t="s">
        <v>118</v>
      </c>
      <c r="M8" s="19" t="s">
        <v>61</v>
      </c>
      <c r="N8" s="19" t="s">
        <v>61</v>
      </c>
      <c r="O8" s="19"/>
      <c r="P8" s="23">
        <v>2</v>
      </c>
      <c r="Q8" s="23" t="s">
        <v>119</v>
      </c>
      <c r="R8" s="19" t="s">
        <v>120</v>
      </c>
      <c r="S8" s="19">
        <v>100</v>
      </c>
      <c r="T8" s="19">
        <v>10000</v>
      </c>
      <c r="U8" s="19">
        <v>10</v>
      </c>
      <c r="V8" s="19"/>
      <c r="W8" s="19"/>
      <c r="X8" s="19">
        <v>5000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 t="s">
        <v>218</v>
      </c>
      <c r="AJ8" s="26" t="s">
        <v>160</v>
      </c>
      <c r="AK8" s="26" t="s">
        <v>121</v>
      </c>
      <c r="AL8" s="26" t="s">
        <v>122</v>
      </c>
      <c r="AM8" s="26" t="s">
        <v>118</v>
      </c>
      <c r="AN8" s="26"/>
      <c r="AO8" s="26" t="s">
        <v>112</v>
      </c>
      <c r="AP8" s="8" t="str">
        <f t="shared" ref="AP8" si="8" xml:space="preserve"> CONCATENATE(AJ8, ".",AL8)</f>
        <v>ABTS1.OpDlTmms.setVal</v>
      </c>
      <c r="AQ8" s="33" t="s">
        <v>76</v>
      </c>
      <c r="AR8" s="26">
        <v>0</v>
      </c>
      <c r="AS8" s="26">
        <v>0</v>
      </c>
      <c r="AT8" s="26">
        <v>0</v>
      </c>
      <c r="AU8" s="26">
        <v>0</v>
      </c>
      <c r="AV8" s="26">
        <f t="shared" ref="AV8" si="9">BIN2DEC(CONCATENATE(0,0,0,0,AR8,AS8,AT8,AU8))</f>
        <v>0</v>
      </c>
      <c r="AW8" s="26"/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ref="BG8:BG10" si="10">CONCATENATE("description: """,F8,"""", ", ", "note: """,E8,"""",", ","group: """, B8, """",", ","minValue: ", S8,", ","maxValue: ", T8,", ","step: ", U8,", ","units: """, R8, """",", ","defaultValue: ", X8,", ","eventRegistration: ", Y8,)</f>
        <v>description: "Tср", note: "Выдержка времени срабатывания", group: "setting", minValue: 100, maxValue: 10000, step: 10, units: "мс", defaultValue: 5000, eventRegistration: 0</v>
      </c>
    </row>
    <row r="9" spans="1:16379" s="31" customFormat="1" ht="16.5" customHeight="1" x14ac:dyDescent="0.25">
      <c r="A9" s="18"/>
      <c r="B9" s="18" t="s">
        <v>106</v>
      </c>
      <c r="C9" s="19"/>
      <c r="D9" s="32" t="s">
        <v>143</v>
      </c>
      <c r="E9" s="21" t="s">
        <v>212</v>
      </c>
      <c r="F9" s="21" t="s">
        <v>210</v>
      </c>
      <c r="G9" s="21" t="s">
        <v>109</v>
      </c>
      <c r="H9" s="21" t="s">
        <v>110</v>
      </c>
      <c r="I9" s="21">
        <f t="shared" si="6"/>
        <v>15</v>
      </c>
      <c r="J9" s="21" t="str">
        <f t="shared" si="7"/>
        <v>ЗапАВР_сам_откл</v>
      </c>
      <c r="K9" s="18" t="s">
        <v>216</v>
      </c>
      <c r="L9" s="22" t="s">
        <v>65</v>
      </c>
      <c r="M9" s="19" t="s">
        <v>61</v>
      </c>
      <c r="N9" s="19" t="s">
        <v>61</v>
      </c>
      <c r="O9" s="19"/>
      <c r="P9" s="23">
        <v>0</v>
      </c>
      <c r="Q9" s="23"/>
      <c r="R9" s="19" t="s">
        <v>62</v>
      </c>
      <c r="S9" s="19">
        <v>0</v>
      </c>
      <c r="T9" s="19">
        <v>1</v>
      </c>
      <c r="U9" s="19">
        <v>1</v>
      </c>
      <c r="V9" s="19"/>
      <c r="W9" s="19"/>
      <c r="X9" s="19">
        <v>0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/>
      <c r="AJ9" s="26"/>
      <c r="AK9" s="26"/>
      <c r="AL9" s="26"/>
      <c r="AM9" s="26"/>
      <c r="AN9" s="26"/>
      <c r="AO9" s="26"/>
      <c r="AP9" s="8"/>
      <c r="AQ9" s="33"/>
      <c r="AR9" s="26">
        <v>0</v>
      </c>
      <c r="AS9" s="26">
        <v>0</v>
      </c>
      <c r="AT9" s="26">
        <v>0</v>
      </c>
      <c r="AU9" s="26">
        <v>0</v>
      </c>
      <c r="AV9" s="26">
        <f t="shared" ref="AV9:AV10" si="11">BIN2DEC(CONCATENATE(0,0,0,0,AR9,AS9,AT9,AU9))</f>
        <v>0</v>
      </c>
      <c r="AW9" s="26" t="s">
        <v>111</v>
      </c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10"/>
        <v>description: "ЗапАВР_сам_откл", note: "Режим запрета АВР от самопроизвольного отключения", group: "setting", minValue: 0, maxValue: 1, step: 1, units: "null", defaultValue: 0, eventRegistration: 0</v>
      </c>
    </row>
    <row r="10" spans="1:16379" s="31" customFormat="1" ht="16.5" customHeight="1" x14ac:dyDescent="0.25">
      <c r="A10" s="18"/>
      <c r="B10" s="18" t="s">
        <v>106</v>
      </c>
      <c r="C10" s="19"/>
      <c r="D10" s="32" t="s">
        <v>143</v>
      </c>
      <c r="E10" s="21" t="s">
        <v>213</v>
      </c>
      <c r="F10" s="21" t="s">
        <v>211</v>
      </c>
      <c r="G10" s="21" t="s">
        <v>114</v>
      </c>
      <c r="H10" s="21" t="s">
        <v>110</v>
      </c>
      <c r="I10" s="21">
        <f t="shared" si="6"/>
        <v>15</v>
      </c>
      <c r="J10" s="21" t="str">
        <f t="shared" si="7"/>
        <v>ЗапАВР_неиспр_В</v>
      </c>
      <c r="K10" s="18" t="s">
        <v>217</v>
      </c>
      <c r="L10" s="22" t="s">
        <v>65</v>
      </c>
      <c r="M10" s="19" t="s">
        <v>61</v>
      </c>
      <c r="N10" s="19" t="s">
        <v>61</v>
      </c>
      <c r="O10" s="19"/>
      <c r="P10" s="23">
        <v>0</v>
      </c>
      <c r="Q10" s="23"/>
      <c r="R10" s="19" t="s">
        <v>62</v>
      </c>
      <c r="S10" s="19">
        <v>0</v>
      </c>
      <c r="T10" s="19">
        <v>1</v>
      </c>
      <c r="U10" s="19">
        <v>1</v>
      </c>
      <c r="V10" s="19"/>
      <c r="W10" s="19"/>
      <c r="X10" s="19">
        <v>0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26"/>
      <c r="AJ10" s="26"/>
      <c r="AK10" s="26"/>
      <c r="AL10" s="26"/>
      <c r="AM10" s="26"/>
      <c r="AN10" s="26"/>
      <c r="AO10" s="26"/>
      <c r="AP10" s="8"/>
      <c r="AQ10" s="33"/>
      <c r="AR10" s="26">
        <v>0</v>
      </c>
      <c r="AS10" s="26">
        <v>0</v>
      </c>
      <c r="AT10" s="26">
        <v>0</v>
      </c>
      <c r="AU10" s="26">
        <v>0</v>
      </c>
      <c r="AV10" s="26">
        <f t="shared" si="11"/>
        <v>0</v>
      </c>
      <c r="AW10" s="26" t="s">
        <v>111</v>
      </c>
      <c r="AX10" s="26"/>
      <c r="AY10" s="23"/>
      <c r="AZ10" s="26"/>
      <c r="BA10" s="26"/>
      <c r="BB10" s="26"/>
      <c r="BC10" s="26"/>
      <c r="BD10" s="26"/>
      <c r="BE10" s="26"/>
      <c r="BF10" s="26"/>
      <c r="BG10" s="24" t="str">
        <f t="shared" si="10"/>
        <v>description: "ЗапАВР_неиспр_В", note: "Режим запрета АВР от неисправности выключателя", group: "setting", minValue: 0, maxValue: 1, step: 1, units: "null", defaultValue: 0, eventRegistration: 0</v>
      </c>
    </row>
    <row r="11" spans="1:16379" s="31" customFormat="1" ht="18" customHeight="1" x14ac:dyDescent="0.25">
      <c r="A11" s="18"/>
      <c r="B11" s="18" t="s">
        <v>106</v>
      </c>
      <c r="C11" s="19"/>
      <c r="D11" s="32" t="s">
        <v>143</v>
      </c>
      <c r="E11" s="21" t="s">
        <v>146</v>
      </c>
      <c r="F11" s="21" t="s">
        <v>149</v>
      </c>
      <c r="G11" s="21" t="s">
        <v>113</v>
      </c>
      <c r="H11" s="21" t="s">
        <v>110</v>
      </c>
      <c r="I11" s="21">
        <f t="shared" si="0"/>
        <v>10</v>
      </c>
      <c r="J11" s="21" t="str">
        <f t="shared" si="1"/>
        <v>ЗапАВР_СЗЗ</v>
      </c>
      <c r="K11" s="18" t="s">
        <v>155</v>
      </c>
      <c r="L11" s="22" t="s">
        <v>65</v>
      </c>
      <c r="M11" s="19" t="s">
        <v>61</v>
      </c>
      <c r="N11" s="19" t="s">
        <v>61</v>
      </c>
      <c r="O11" s="19"/>
      <c r="P11" s="23">
        <v>0</v>
      </c>
      <c r="Q11" s="23"/>
      <c r="R11" s="19" t="s">
        <v>62</v>
      </c>
      <c r="S11" s="19">
        <v>0</v>
      </c>
      <c r="T11" s="19">
        <v>1</v>
      </c>
      <c r="U11" s="19">
        <v>1</v>
      </c>
      <c r="V11" s="19"/>
      <c r="W11" s="19"/>
      <c r="X11" s="19">
        <v>0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26" t="s">
        <v>156</v>
      </c>
      <c r="AJ11" s="26" t="s">
        <v>157</v>
      </c>
      <c r="AK11" s="26" t="s">
        <v>158</v>
      </c>
      <c r="AL11" s="26" t="s">
        <v>122</v>
      </c>
      <c r="AM11" s="26" t="s">
        <v>88</v>
      </c>
      <c r="AN11" s="26"/>
      <c r="AO11" s="26" t="s">
        <v>112</v>
      </c>
      <c r="AP11" s="8" t="str">
        <f xml:space="preserve"> CONCATENATE(AJ11, ".",AL11)</f>
        <v>BTSRBLC1.StpSetMod.setVal</v>
      </c>
      <c r="AQ11" s="33" t="s">
        <v>76</v>
      </c>
      <c r="AR11" s="26">
        <v>0</v>
      </c>
      <c r="AS11" s="26">
        <v>0</v>
      </c>
      <c r="AT11" s="26">
        <v>0</v>
      </c>
      <c r="AU11" s="26">
        <v>0</v>
      </c>
      <c r="AV11" s="26">
        <f t="shared" si="2"/>
        <v>0</v>
      </c>
      <c r="AW11" s="26" t="s">
        <v>111</v>
      </c>
      <c r="AX11" s="26"/>
      <c r="AY11" s="23"/>
      <c r="AZ11" s="26"/>
      <c r="BA11" s="26"/>
      <c r="BB11" s="26"/>
      <c r="BC11" s="26"/>
      <c r="BD11" s="26"/>
      <c r="BE11" s="26"/>
      <c r="BF11" s="26"/>
      <c r="BG11" s="24" t="str">
        <f t="shared" si="3"/>
        <v>description: "ЗапАВР_СЗЗ", note: "Режим запрета от СЗЗ", group: "setting", minValue: 0, maxValue: 1, step: 1, units: "null", defaultValue: 0,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8"/>
      <c r="BC12" s="4"/>
      <c r="BD12" s="3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8"/>
      <c r="BC13" s="4"/>
      <c r="BD13" s="3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A8" sqref="A8:XFD12"/>
    </sheetView>
  </sheetViews>
  <sheetFormatPr defaultRowHeight="15.75" x14ac:dyDescent="0.25"/>
  <cols>
    <col min="1" max="1" width="22.42578125" style="41" customWidth="1"/>
    <col min="2" max="2" width="62" style="41" customWidth="1"/>
    <col min="3" max="16384" width="9.140625" style="41"/>
  </cols>
  <sheetData>
    <row r="2" spans="1:2" x14ac:dyDescent="0.25">
      <c r="A2" s="9" t="s">
        <v>123</v>
      </c>
      <c r="B2" s="9" t="s">
        <v>124</v>
      </c>
    </row>
    <row r="3" spans="1:2" x14ac:dyDescent="0.25">
      <c r="A3" s="42" t="s">
        <v>125</v>
      </c>
      <c r="B3" s="43" t="s">
        <v>142</v>
      </c>
    </row>
    <row r="4" spans="1:2" x14ac:dyDescent="0.25">
      <c r="A4" s="42" t="s">
        <v>126</v>
      </c>
      <c r="B4" s="44">
        <v>490</v>
      </c>
    </row>
    <row r="5" spans="1:2" x14ac:dyDescent="0.25">
      <c r="A5" s="42" t="s">
        <v>127</v>
      </c>
      <c r="B5" s="43" t="s">
        <v>61</v>
      </c>
    </row>
    <row r="6" spans="1:2" x14ac:dyDescent="0.25">
      <c r="A6" s="45" t="s">
        <v>128</v>
      </c>
      <c r="B6" s="54" t="s">
        <v>244</v>
      </c>
    </row>
    <row r="7" spans="1:2" x14ac:dyDescent="0.25">
      <c r="A7" s="45" t="s">
        <v>129</v>
      </c>
      <c r="B7" s="43">
        <v>1</v>
      </c>
    </row>
    <row r="8" spans="1:2" s="56" customFormat="1" x14ac:dyDescent="0.25">
      <c r="A8" s="55" t="s">
        <v>245</v>
      </c>
      <c r="B8" s="55" t="s">
        <v>247</v>
      </c>
    </row>
    <row r="9" spans="1:2" s="56" customFormat="1" x14ac:dyDescent="0.25">
      <c r="A9" s="55" t="s">
        <v>246</v>
      </c>
      <c r="B9" s="55"/>
    </row>
    <row r="10" spans="1:2" s="56" customFormat="1" x14ac:dyDescent="0.25">
      <c r="A10" s="57" t="s">
        <v>142</v>
      </c>
      <c r="B10" s="56" t="s">
        <v>247</v>
      </c>
    </row>
    <row r="11" spans="1:2" s="56" customFormat="1" x14ac:dyDescent="0.25">
      <c r="A11" s="57" t="s">
        <v>143</v>
      </c>
      <c r="B11" s="56" t="s">
        <v>170</v>
      </c>
    </row>
    <row r="12" spans="1:2" s="56" customFormat="1" x14ac:dyDescent="0.25">
      <c r="A12" s="55" t="s">
        <v>246</v>
      </c>
      <c r="B12" s="5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2025-10-17T05:49:56Z</dcterms:modified>
</cp:coreProperties>
</file>