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8" i="4"/>
  <c r="AX7" i="4"/>
  <c r="AX6" i="4"/>
  <c r="AX5" i="4"/>
  <c r="AV7" i="5" l="1"/>
  <c r="AV8" i="5"/>
  <c r="AV9" i="5"/>
  <c r="AV10" i="5"/>
  <c r="BH5" i="6" l="1"/>
  <c r="AW5" i="6"/>
  <c r="K5" i="6"/>
  <c r="J5" i="6"/>
  <c r="BH4" i="6"/>
  <c r="AW4" i="6"/>
  <c r="K4" i="6"/>
  <c r="J4" i="6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J4" i="4"/>
  <c r="I4" i="4"/>
  <c r="BG3" i="4"/>
  <c r="J3" i="4"/>
  <c r="I3" i="4"/>
  <c r="BG10" i="5"/>
  <c r="BG9" i="5"/>
  <c r="BG8" i="5"/>
  <c r="BG7" i="5"/>
  <c r="AP10" i="5"/>
  <c r="J10" i="5"/>
  <c r="I10" i="5"/>
  <c r="AP9" i="5"/>
  <c r="J9" i="5"/>
  <c r="I9" i="5"/>
  <c r="AP9" i="4"/>
  <c r="J8" i="5" l="1"/>
  <c r="J7" i="5"/>
  <c r="I7" i="5"/>
  <c r="I8" i="5"/>
  <c r="BG11" i="4" l="1"/>
  <c r="AV11" i="4"/>
  <c r="I11" i="4"/>
  <c r="BG10" i="4"/>
  <c r="AV10" i="4"/>
  <c r="I10" i="4"/>
  <c r="BG9" i="4"/>
  <c r="AV9" i="4"/>
  <c r="I9" i="4"/>
  <c r="BG3" i="5"/>
  <c r="BG4" i="5"/>
  <c r="J3" i="5"/>
  <c r="J4" i="5"/>
  <c r="I3" i="5"/>
  <c r="I4" i="5"/>
  <c r="BH6" i="6"/>
  <c r="AW6" i="6"/>
  <c r="K6" i="6"/>
  <c r="J6" i="6"/>
  <c r="BH3" i="6"/>
  <c r="AW3" i="6"/>
  <c r="K3" i="6"/>
  <c r="J3" i="6"/>
  <c r="AI1" i="6"/>
  <c r="BG6" i="5"/>
  <c r="AP6" i="5"/>
  <c r="J6" i="5"/>
  <c r="I6" i="5"/>
  <c r="BG5" i="5"/>
  <c r="AP5" i="5"/>
  <c r="J5" i="5"/>
  <c r="I5" i="5"/>
  <c r="AP8" i="5"/>
  <c r="AP7" i="5"/>
  <c r="AH1" i="5"/>
  <c r="AH1" i="4"/>
</calcChain>
</file>

<file path=xl/sharedStrings.xml><?xml version="1.0" encoding="utf-8"?>
<sst xmlns="http://schemas.openxmlformats.org/spreadsheetml/2006/main" count="529" uniqueCount="177">
  <si>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</si>
  <si>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</si>
  <si>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</si>
  <si>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</si>
  <si>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</si>
  <si>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</si>
  <si>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</si>
  <si>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</si>
  <si>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</si>
  <si>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</si>
  <si>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</si>
  <si>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</si>
  <si>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</si>
  <si>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</si>
  <si>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</si>
  <si>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</si>
  <si>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</si>
  <si>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</si>
  <si>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</si>
  <si>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</si>
  <si>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</si>
  <si>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</si>
  <si>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</si>
  <si>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</si>
  <si>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</si>
  <si>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</si>
  <si>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</si>
  <si>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</si>
  <si>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</si>
  <si>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</si>
  <si>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</si>
  <si>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</si>
  <si>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</si>
  <si>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</si>
  <si>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</si>
  <si>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</si>
  <si>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</si>
  <si>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</si>
  <si>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</si>
  <si>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</si>
  <si>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</si>
  <si>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</si>
  <si>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</si>
  <si>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</si>
  <si>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</si>
  <si>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</si>
  <si>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</si>
  <si>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</si>
  <si>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</si>
  <si>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</si>
  <si>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</si>
  <si>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</si>
  <si>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</si>
  <si>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</si>
  <si>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</si>
  <si>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</si>
  <si>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</si>
  <si>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</si>
  <si>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</si>
  <si>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</si>
  <si>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</si>
  <si>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</si>
  <si>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</si>
  <si>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Пуск</t>
  </si>
  <si>
    <t>ACD</t>
  </si>
  <si>
    <t>general</t>
  </si>
  <si>
    <t>BOOLEAN</t>
  </si>
  <si>
    <t>Срабатывание</t>
  </si>
  <si>
    <t>ACT</t>
  </si>
  <si>
    <t>setting</t>
  </si>
  <si>
    <t>Ввод функции в работу</t>
  </si>
  <si>
    <t>SP</t>
  </si>
  <si>
    <t>Tср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</si>
  <si>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</si>
  <si>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</si>
  <si>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</si>
  <si>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</si>
  <si>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</si>
  <si>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</si>
  <si>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</si>
  <si>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Выдержка времени срабатывания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</si>
  <si>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</si>
  <si>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</si>
  <si>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</si>
  <si>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</si>
  <si>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</si>
  <si>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</si>
  <si>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</si>
  <si>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</si>
  <si>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</si>
  <si>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</si>
  <si>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</si>
  <si>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</si>
  <si>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</si>
  <si>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</si>
  <si>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</si>
  <si>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</si>
  <si>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</si>
  <si>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</si>
  <si>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</si>
  <si>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</si>
  <si>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</si>
  <si>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</si>
  <si>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</si>
  <si>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</si>
  <si>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</si>
  <si>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</si>
  <si>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</si>
  <si>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</si>
  <si>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</si>
  <si>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</si>
  <si>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</si>
  <si>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</si>
  <si>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</si>
  <si>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</si>
  <si>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</si>
  <si>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</si>
  <si>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</si>
  <si>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</si>
  <si>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</si>
  <si>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0.01</t>
  </si>
  <si>
    <t>SGF1</t>
  </si>
  <si>
    <t>SGF2</t>
  </si>
  <si>
    <t>SGF3</t>
  </si>
  <si>
    <t>T1</t>
  </si>
  <si>
    <t>LLN0.GrRef</t>
  </si>
  <si>
    <t>LLN0.Beh</t>
  </si>
  <si>
    <t>LLN0.Health</t>
  </si>
  <si>
    <t>Оперативный вывод функции ЛЗТ</t>
  </si>
  <si>
    <t>ОВ ЛЗТ</t>
  </si>
  <si>
    <t>ЛЗТ</t>
  </si>
  <si>
    <t>TTOCLGC_UIRZ_operOutFunction</t>
  </si>
  <si>
    <t>Внешний пуск ЛЗТ</t>
  </si>
  <si>
    <t>Внеш. пуск ЛЗТ</t>
  </si>
  <si>
    <t>ExtTLGCPTRCStr</t>
  </si>
  <si>
    <t>Пуск 2 ступени МТЗ</t>
  </si>
  <si>
    <t>Пуск МТЗ 2 ст.</t>
  </si>
  <si>
    <t>StrLVTPTOC2</t>
  </si>
  <si>
    <t>Пуск 3 ступени МТЗ</t>
  </si>
  <si>
    <t>Пуск МТЗ 3 ст.</t>
  </si>
  <si>
    <t>StrLVTPTOC3</t>
  </si>
  <si>
    <t>Блокировка ЛЗТ</t>
  </si>
  <si>
    <t>BlkLPT</t>
  </si>
  <si>
    <t>Индикация поведения логического узла ЛЗТ</t>
  </si>
  <si>
    <t>Индикация исправности логического узла ЛЗТ</t>
  </si>
  <si>
    <t>PTRC1_FuncEnabled</t>
  </si>
  <si>
    <t>PTRC1_FuncOperDisabled</t>
  </si>
  <si>
    <t>PTRC1_Str</t>
  </si>
  <si>
    <t>PTRC1_Op</t>
  </si>
  <si>
    <t>PTRC1_Beh</t>
  </si>
  <si>
    <t>PTRC1_Health</t>
  </si>
  <si>
    <t>PTRC1.Beh</t>
  </si>
  <si>
    <t>PTRC1.Health</t>
  </si>
  <si>
    <t>PTRC1.Str</t>
  </si>
  <si>
    <t>PTRC1.Op</t>
  </si>
  <si>
    <t>TLGCPTRC_UIRZ</t>
  </si>
  <si>
    <t>PTRC1_EnaDis</t>
  </si>
  <si>
    <t>PTRC1_Top</t>
  </si>
  <si>
    <t>Пуск от МТЗ 2 ступени</t>
  </si>
  <si>
    <t>Пуск_МТЗ_ст2</t>
  </si>
  <si>
    <t>PTRC1_LVTPTOC2_Ctrl</t>
  </si>
  <si>
    <t>Пуск от МТЗ 3 ступени</t>
  </si>
  <si>
    <t>Пуск_МТЗ_ст3</t>
  </si>
  <si>
    <t>PTRC1_LVTPTOC3_Ctrl</t>
  </si>
  <si>
    <t>с</t>
  </si>
  <si>
    <t>TTOCLGC_UIRZ</t>
  </si>
  <si>
    <t>FbVersion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</si>
  <si>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</si>
  <si>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</si>
  <si>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</si>
  <si>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</si>
  <si>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</si>
  <si>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</si>
  <si>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</si>
  <si>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</si>
  <si>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Логическая защита трансформатора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</si>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</sst>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0" xfId="0" applyFill="1"/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2" fillId="0" borderId="0" xfId="0" applyFont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K1" zoomScale="80" zoomScaleNormal="80" workbookViewId="0">
      <selection activeCell="AT3" sqref="AT3:AX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4.42578125" style="2" customWidth="1" outlineLevel="1"/>
    <col min="7" max="7" width="23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32.140625" style="2" bestFit="1" customWidth="1"/>
    <col min="12" max="12" width="9.42578125" style="2" customWidth="1"/>
    <col min="13" max="13" width="15" style="2" customWidth="1" outlineLevel="1"/>
    <col min="14" max="14" width="16.140625" style="2" customWidth="1" outlineLevel="1"/>
    <col min="15" max="15" width="8.85546875" style="56" bestFit="1" customWidth="1" outlineLevel="1"/>
    <col min="16" max="16" width="16.85546875" style="2" customWidth="1" outlineLevel="1"/>
    <col min="17" max="17" width="17.85546875" style="2" customWidth="1" outlineLevel="1"/>
    <col min="18" max="18" width="8.140625" style="3" customWidth="1" outlineLevel="1"/>
    <col min="19" max="19" width="9.5703125" style="4" customWidth="1" outlineLevel="1"/>
    <col min="20" max="20" width="11" style="4" customWidth="1" outlineLevel="1"/>
    <col min="21" max="21" width="9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100</v>
      </c>
      <c r="E2" s="10" t="s">
        <v>4</v>
      </c>
      <c r="F2" s="59" t="s">
        <v>112</v>
      </c>
      <c r="G2" s="10" t="s">
        <v>5</v>
      </c>
      <c r="H2" s="10" t="s">
        <v>6</v>
      </c>
      <c r="I2" s="10" t="s">
        <v>7</v>
      </c>
      <c r="J2" s="59" t="s">
        <v>113</v>
      </c>
      <c r="K2" s="13" t="s">
        <v>8</v>
      </c>
      <c r="L2" s="13" t="s">
        <v>9</v>
      </c>
      <c r="M2" s="13" t="s">
        <v>10</v>
      </c>
      <c r="N2" s="13" t="s">
        <v>11</v>
      </c>
      <c r="O2" s="60" t="s">
        <v>111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1" t="s">
        <v>107</v>
      </c>
      <c r="AC2" s="61" t="s">
        <v>108</v>
      </c>
      <c r="AD2" s="61" t="s">
        <v>109</v>
      </c>
      <c r="AE2" s="61" t="s">
        <v>110</v>
      </c>
      <c r="AF2" s="14" t="s">
        <v>23</v>
      </c>
      <c r="AG2" s="14" t="s">
        <v>24</v>
      </c>
      <c r="AH2" s="13" t="s">
        <v>25</v>
      </c>
      <c r="AI2" s="53" t="s">
        <v>105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67" t="s">
        <v>169</v>
      </c>
      <c r="AW2" s="67" t="s">
        <v>170</v>
      </c>
      <c r="AX2" s="67" t="s">
        <v>171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0" customFormat="1" ht="15.75" x14ac:dyDescent="0.25">
      <c r="A3" s="75"/>
      <c r="B3" s="75" t="s">
        <v>167</v>
      </c>
      <c r="C3" s="76"/>
      <c r="D3" s="77"/>
      <c r="E3" s="78" t="s">
        <v>116</v>
      </c>
      <c r="F3" s="79" t="s">
        <v>116</v>
      </c>
      <c r="G3" s="79" t="s">
        <v>116</v>
      </c>
      <c r="H3" s="78"/>
      <c r="I3" s="78">
        <f t="shared" ref="I3" si="0">LEN(F3)</f>
        <v>15</v>
      </c>
      <c r="J3" s="78" t="str">
        <f t="shared" ref="J3" si="1">IF(LEN(F3)&lt;=$J$1,F3,"")</f>
        <v>Вывод терминала</v>
      </c>
      <c r="K3" s="75" t="s">
        <v>117</v>
      </c>
      <c r="L3" s="80" t="s">
        <v>57</v>
      </c>
      <c r="M3" s="76" t="s">
        <v>49</v>
      </c>
      <c r="N3" s="76" t="s">
        <v>50</v>
      </c>
      <c r="O3" s="76"/>
      <c r="P3" s="81"/>
      <c r="Q3" s="81"/>
      <c r="R3" s="76" t="s">
        <v>58</v>
      </c>
      <c r="S3" s="76" t="s">
        <v>58</v>
      </c>
      <c r="T3" s="76" t="s">
        <v>58</v>
      </c>
      <c r="U3" s="76" t="s">
        <v>58</v>
      </c>
      <c r="V3" s="76"/>
      <c r="W3" s="76"/>
      <c r="X3" s="76" t="s">
        <v>58</v>
      </c>
      <c r="Y3" s="76">
        <v>0</v>
      </c>
      <c r="Z3" s="82"/>
      <c r="AA3" s="83">
        <v>0</v>
      </c>
      <c r="AB3" s="83"/>
      <c r="AC3" s="83"/>
      <c r="AD3" s="83"/>
      <c r="AE3" s="83"/>
      <c r="AF3" s="83">
        <v>0</v>
      </c>
      <c r="AG3" s="83">
        <v>0</v>
      </c>
      <c r="AH3" s="83">
        <v>0</v>
      </c>
      <c r="AI3" s="84"/>
      <c r="AJ3" s="85"/>
      <c r="AK3" s="85"/>
      <c r="AL3" s="85"/>
      <c r="AM3" s="85"/>
      <c r="AN3" s="85"/>
      <c r="AO3" s="85"/>
      <c r="AP3" s="85"/>
      <c r="AQ3" s="85"/>
      <c r="AR3" s="83">
        <v>0</v>
      </c>
      <c r="AS3" s="83">
        <v>0</v>
      </c>
      <c r="AT3" s="91">
        <v>1</v>
      </c>
      <c r="AU3" s="63">
        <v>0</v>
      </c>
      <c r="AV3" s="91">
        <v>1</v>
      </c>
      <c r="AW3" s="91">
        <v>1</v>
      </c>
      <c r="AX3" s="91">
        <v>1</v>
      </c>
      <c r="AY3" s="83"/>
      <c r="AZ3" s="81"/>
      <c r="BA3" s="83"/>
      <c r="BB3" s="83"/>
      <c r="BC3" s="86"/>
      <c r="BD3" s="83"/>
      <c r="BE3" s="87"/>
      <c r="BF3" s="83"/>
      <c r="BG3" s="88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89"/>
    </row>
    <row r="4" spans="1:16379" s="90" customFormat="1" ht="15.75" x14ac:dyDescent="0.25">
      <c r="A4" s="75"/>
      <c r="B4" s="75" t="s">
        <v>167</v>
      </c>
      <c r="C4" s="76"/>
      <c r="D4" s="77" t="s">
        <v>130</v>
      </c>
      <c r="E4" s="78" t="s">
        <v>128</v>
      </c>
      <c r="F4" s="79" t="s">
        <v>129</v>
      </c>
      <c r="G4" s="79" t="s">
        <v>129</v>
      </c>
      <c r="H4" s="78"/>
      <c r="I4" s="78">
        <f t="shared" ref="I4" si="3">LEN(F4)</f>
        <v>6</v>
      </c>
      <c r="J4" s="78" t="str">
        <f t="shared" ref="J4" si="4">IF(LEN(F4)&lt;=$J$1,F4,"")</f>
        <v>ОВ ЛЗТ</v>
      </c>
      <c r="K4" s="75" t="s">
        <v>131</v>
      </c>
      <c r="L4" s="80" t="s">
        <v>57</v>
      </c>
      <c r="M4" s="76" t="s">
        <v>49</v>
      </c>
      <c r="N4" s="76" t="s">
        <v>50</v>
      </c>
      <c r="O4" s="76"/>
      <c r="P4" s="81"/>
      <c r="Q4" s="81"/>
      <c r="R4" s="76" t="s">
        <v>58</v>
      </c>
      <c r="S4" s="76" t="s">
        <v>58</v>
      </c>
      <c r="T4" s="76" t="s">
        <v>58</v>
      </c>
      <c r="U4" s="76" t="s">
        <v>58</v>
      </c>
      <c r="V4" s="76"/>
      <c r="W4" s="76"/>
      <c r="X4" s="76" t="s">
        <v>58</v>
      </c>
      <c r="Y4" s="76">
        <v>0</v>
      </c>
      <c r="Z4" s="82"/>
      <c r="AA4" s="83">
        <v>0</v>
      </c>
      <c r="AB4" s="83"/>
      <c r="AC4" s="83"/>
      <c r="AD4" s="83"/>
      <c r="AE4" s="83"/>
      <c r="AF4" s="83">
        <v>0</v>
      </c>
      <c r="AG4" s="83">
        <v>0</v>
      </c>
      <c r="AH4" s="83">
        <v>0</v>
      </c>
      <c r="AI4" s="84"/>
      <c r="AJ4" s="85"/>
      <c r="AK4" s="85"/>
      <c r="AL4" s="85"/>
      <c r="AM4" s="85"/>
      <c r="AN4" s="85"/>
      <c r="AO4" s="85"/>
      <c r="AP4" s="85"/>
      <c r="AQ4" s="85"/>
      <c r="AR4" s="83">
        <v>0</v>
      </c>
      <c r="AS4" s="83">
        <v>0</v>
      </c>
      <c r="AT4" s="91">
        <v>1</v>
      </c>
      <c r="AU4" s="63">
        <v>0</v>
      </c>
      <c r="AV4" s="91">
        <v>1</v>
      </c>
      <c r="AW4" s="91">
        <v>1</v>
      </c>
      <c r="AX4" s="91">
        <v>1</v>
      </c>
      <c r="AY4" s="83"/>
      <c r="AZ4" s="81"/>
      <c r="BA4" s="83"/>
      <c r="BB4" s="83"/>
      <c r="BC4" s="86"/>
      <c r="BD4" s="83"/>
      <c r="BE4" s="87"/>
      <c r="BF4" s="83"/>
      <c r="BG4" s="88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"ОВ ЛЗТ", note: "Оперативный вывод функции ЛЗТ", group: "control", minValue: null, maxValue: null, step: null, units: "null", defaultValue: null, eventRegistration: 0</v>
      </c>
      <c r="BH4" s="89"/>
    </row>
    <row r="5" spans="1:16379" s="44" customFormat="1" ht="15.75" x14ac:dyDescent="0.25">
      <c r="A5" s="26"/>
      <c r="B5" s="66" t="s">
        <v>168</v>
      </c>
      <c r="C5" s="62"/>
      <c r="D5" s="48"/>
      <c r="E5" s="27" t="s">
        <v>132</v>
      </c>
      <c r="F5" s="19" t="s">
        <v>133</v>
      </c>
      <c r="G5" s="19" t="s">
        <v>133</v>
      </c>
      <c r="H5" s="27"/>
      <c r="I5" s="27">
        <f t="shared" ref="I5" si="6">LEN(F5)</f>
        <v>14</v>
      </c>
      <c r="J5" s="27" t="str">
        <f t="shared" ref="J5" si="7">IF(LEN(F5)&lt;=$J$1,F5,"")</f>
        <v>Внеш. пуск ЛЗТ</v>
      </c>
      <c r="K5" s="26" t="s">
        <v>134</v>
      </c>
      <c r="L5" s="28" t="s">
        <v>57</v>
      </c>
      <c r="M5" s="62" t="s">
        <v>49</v>
      </c>
      <c r="N5" s="62" t="s">
        <v>50</v>
      </c>
      <c r="O5" s="62"/>
      <c r="P5" s="29"/>
      <c r="Q5" s="29"/>
      <c r="R5" s="62" t="s">
        <v>58</v>
      </c>
      <c r="S5" s="62" t="s">
        <v>58</v>
      </c>
      <c r="T5" s="62" t="s">
        <v>58</v>
      </c>
      <c r="U5" s="62" t="s">
        <v>58</v>
      </c>
      <c r="V5" s="62"/>
      <c r="W5" s="62"/>
      <c r="X5" s="62" t="s">
        <v>58</v>
      </c>
      <c r="Y5" s="62">
        <v>0</v>
      </c>
      <c r="Z5" s="30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54"/>
      <c r="AJ5" s="33"/>
      <c r="AK5" s="33"/>
      <c r="AL5" s="33"/>
      <c r="AM5" s="33"/>
      <c r="AN5" s="33"/>
      <c r="AO5" s="33"/>
      <c r="AP5" s="33"/>
      <c r="AQ5" s="33"/>
      <c r="AR5" s="63">
        <v>0</v>
      </c>
      <c r="AS5" s="63">
        <v>0</v>
      </c>
      <c r="AT5" s="63">
        <v>0</v>
      </c>
      <c r="AU5" s="63">
        <v>0</v>
      </c>
      <c r="AV5" s="63">
        <f t="shared" ref="AV5" si="8">BIN2DEC(CONCATENATE(0,0,0,0,AR5,AS5,AT5,AU5))</f>
        <v>0</v>
      </c>
      <c r="AW5" s="63">
        <v>0</v>
      </c>
      <c r="AX5" s="63">
        <f t="shared" ref="AX3:AX11" si="9">BIN2DEC(CONCATENATE(0,0,0,0,AT5,AU5,AV5,AW5))</f>
        <v>0</v>
      </c>
      <c r="AY5" s="63"/>
      <c r="AZ5" s="29"/>
      <c r="BA5" s="63"/>
      <c r="BB5" s="63"/>
      <c r="BC5" s="32"/>
      <c r="BD5" s="63"/>
      <c r="BE5" s="42"/>
      <c r="BF5" s="63"/>
      <c r="BG5" s="35" t="str">
        <f t="shared" ref="BG5" si="10">CONCATENATE("description: """,F5,"""", ", ", "note: """,E5,"""",", ","group: """, B5, """",", ","minValue: ", S5,", ","maxValue: ", T5,", ","step: ", U5,", ","units: """, R5, """",", ","defaultValue: ", X5,", ","eventRegistration: ", Y5,)</f>
        <v>description: "Внеш. пуск ЛЗТ", note: "Внешний пуск ЛЗТ", group: "input", minValue: null, maxValue: null, step: null, units: "null", defaultValue: null, eventRegistration: 0</v>
      </c>
      <c r="BH5" s="43"/>
    </row>
    <row r="6" spans="1:16379" s="44" customFormat="1" ht="15.75" x14ac:dyDescent="0.25">
      <c r="A6" s="26"/>
      <c r="B6" s="26" t="s">
        <v>56</v>
      </c>
      <c r="C6" s="62"/>
      <c r="D6" s="48"/>
      <c r="E6" s="27" t="s">
        <v>135</v>
      </c>
      <c r="F6" s="19" t="s">
        <v>136</v>
      </c>
      <c r="G6" s="19" t="s">
        <v>136</v>
      </c>
      <c r="H6" s="27"/>
      <c r="I6" s="27">
        <f t="shared" ref="I6" si="11">LEN(F6)</f>
        <v>14</v>
      </c>
      <c r="J6" s="27" t="str">
        <f t="shared" ref="J6" si="12">IF(LEN(F6)&lt;=$J$1,F6,"")</f>
        <v>Пуск МТЗ 2 ст.</v>
      </c>
      <c r="K6" s="26" t="s">
        <v>137</v>
      </c>
      <c r="L6" s="28" t="s">
        <v>57</v>
      </c>
      <c r="M6" s="62" t="s">
        <v>49</v>
      </c>
      <c r="N6" s="62" t="s">
        <v>50</v>
      </c>
      <c r="O6" s="62"/>
      <c r="P6" s="29"/>
      <c r="Q6" s="29"/>
      <c r="R6" s="62" t="s">
        <v>58</v>
      </c>
      <c r="S6" s="62" t="s">
        <v>58</v>
      </c>
      <c r="T6" s="62" t="s">
        <v>58</v>
      </c>
      <c r="U6" s="62" t="s">
        <v>58</v>
      </c>
      <c r="V6" s="62"/>
      <c r="W6" s="62"/>
      <c r="X6" s="62" t="s">
        <v>58</v>
      </c>
      <c r="Y6" s="62">
        <v>0</v>
      </c>
      <c r="Z6" s="30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54"/>
      <c r="AJ6" s="33"/>
      <c r="AK6" s="33"/>
      <c r="AL6" s="33"/>
      <c r="AM6" s="33"/>
      <c r="AN6" s="33"/>
      <c r="AO6" s="33"/>
      <c r="AP6" s="33"/>
      <c r="AQ6" s="33"/>
      <c r="AR6" s="63">
        <v>0</v>
      </c>
      <c r="AS6" s="63">
        <v>0</v>
      </c>
      <c r="AT6" s="63">
        <v>0</v>
      </c>
      <c r="AU6" s="63">
        <v>0</v>
      </c>
      <c r="AV6" s="63">
        <f t="shared" ref="AV6" si="13">BIN2DEC(CONCATENATE(0,0,0,0,AR6,AS6,AT6,AU6))</f>
        <v>0</v>
      </c>
      <c r="AW6" s="63">
        <v>0</v>
      </c>
      <c r="AX6" s="63">
        <f t="shared" si="9"/>
        <v>0</v>
      </c>
      <c r="AY6" s="63"/>
      <c r="AZ6" s="29"/>
      <c r="BA6" s="63"/>
      <c r="BB6" s="63"/>
      <c r="BC6" s="32"/>
      <c r="BD6" s="63"/>
      <c r="BE6" s="42"/>
      <c r="BF6" s="63"/>
      <c r="BG6" s="35" t="str">
        <f t="shared" ref="BG6" si="14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МТЗ 2 ст.", note: "Пуск 2 ступени МТЗ", group: "measurement", minValue: null, maxValue: null, step: null, units: "null", defaultValue: null, eventRegistration: 0</v>
      </c>
      <c r="BH6" s="43"/>
    </row>
    <row r="7" spans="1:16379" s="44" customFormat="1" ht="15.75" x14ac:dyDescent="0.25">
      <c r="A7" s="26"/>
      <c r="B7" s="26" t="s">
        <v>56</v>
      </c>
      <c r="C7" s="62"/>
      <c r="D7" s="48"/>
      <c r="E7" s="27" t="s">
        <v>138</v>
      </c>
      <c r="F7" s="19" t="s">
        <v>139</v>
      </c>
      <c r="G7" s="19" t="s">
        <v>139</v>
      </c>
      <c r="H7" s="27"/>
      <c r="I7" s="27">
        <f t="shared" ref="I7" si="15">LEN(F7)</f>
        <v>14</v>
      </c>
      <c r="J7" s="27" t="str">
        <f t="shared" ref="J7" si="16">IF(LEN(F7)&lt;=$J$1,F7,"")</f>
        <v>Пуск МТЗ 3 ст.</v>
      </c>
      <c r="K7" s="26" t="s">
        <v>140</v>
      </c>
      <c r="L7" s="28" t="s">
        <v>57</v>
      </c>
      <c r="M7" s="62" t="s">
        <v>49</v>
      </c>
      <c r="N7" s="62" t="s">
        <v>50</v>
      </c>
      <c r="O7" s="62"/>
      <c r="P7" s="29"/>
      <c r="Q7" s="29"/>
      <c r="R7" s="62" t="s">
        <v>58</v>
      </c>
      <c r="S7" s="62" t="s">
        <v>58</v>
      </c>
      <c r="T7" s="62" t="s">
        <v>58</v>
      </c>
      <c r="U7" s="62" t="s">
        <v>58</v>
      </c>
      <c r="V7" s="62"/>
      <c r="W7" s="62"/>
      <c r="X7" s="62" t="s">
        <v>58</v>
      </c>
      <c r="Y7" s="62">
        <v>0</v>
      </c>
      <c r="Z7" s="30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54"/>
      <c r="AJ7" s="33"/>
      <c r="AK7" s="33"/>
      <c r="AL7" s="33"/>
      <c r="AM7" s="33"/>
      <c r="AN7" s="33"/>
      <c r="AO7" s="33"/>
      <c r="AP7" s="33"/>
      <c r="AQ7" s="33"/>
      <c r="AR7" s="63">
        <v>0</v>
      </c>
      <c r="AS7" s="63">
        <v>0</v>
      </c>
      <c r="AT7" s="63">
        <v>0</v>
      </c>
      <c r="AU7" s="63">
        <v>0</v>
      </c>
      <c r="AV7" s="63">
        <f t="shared" ref="AV7" si="17">BIN2DEC(CONCATENATE(0,0,0,0,AR7,AS7,AT7,AU7))</f>
        <v>0</v>
      </c>
      <c r="AW7" s="63">
        <v>0</v>
      </c>
      <c r="AX7" s="63">
        <f t="shared" si="9"/>
        <v>0</v>
      </c>
      <c r="AY7" s="63"/>
      <c r="AZ7" s="29"/>
      <c r="BA7" s="63"/>
      <c r="BB7" s="63"/>
      <c r="BC7" s="32"/>
      <c r="BD7" s="63"/>
      <c r="BE7" s="42"/>
      <c r="BF7" s="63"/>
      <c r="BG7" s="35" t="str">
        <f t="shared" ref="BG7" si="18">CONCATENATE("description: """,F7,"""", ", ", "note: """,E7,"""",", ","group: """, B7, """",", ","minValue: ", S7,", ","maxValue: ", T7,", ","step: ", U7,", ","units: """, R7, """",", ","defaultValue: ", X7,", ","eventRegistration: ", Y7,)</f>
        <v>description: "Пуск МТЗ 3 ст.", note: "Пуск 3 ступени МТЗ", group: "measurement", minValue: null, maxValue: null, step: null, units: "null", defaultValue: null, eventRegistration: 0</v>
      </c>
      <c r="BH7" s="43"/>
    </row>
    <row r="8" spans="1:16379" s="44" customFormat="1" ht="15.75" x14ac:dyDescent="0.25">
      <c r="A8" s="26"/>
      <c r="B8" s="66" t="s">
        <v>168</v>
      </c>
      <c r="C8" s="62"/>
      <c r="D8" s="48"/>
      <c r="E8" s="27" t="s">
        <v>141</v>
      </c>
      <c r="F8" s="19" t="s">
        <v>141</v>
      </c>
      <c r="G8" s="19" t="s">
        <v>141</v>
      </c>
      <c r="H8" s="27"/>
      <c r="I8" s="27">
        <f t="shared" ref="I8" si="19">LEN(F8)</f>
        <v>14</v>
      </c>
      <c r="J8" s="27" t="str">
        <f t="shared" ref="J8" si="20">IF(LEN(F8)&lt;=$J$1,F8,"")</f>
        <v>Блокировка ЛЗТ</v>
      </c>
      <c r="K8" s="26" t="s">
        <v>142</v>
      </c>
      <c r="L8" s="28" t="s">
        <v>57</v>
      </c>
      <c r="M8" s="62" t="s">
        <v>49</v>
      </c>
      <c r="N8" s="62" t="s">
        <v>50</v>
      </c>
      <c r="O8" s="62"/>
      <c r="P8" s="29"/>
      <c r="Q8" s="29"/>
      <c r="R8" s="62" t="s">
        <v>58</v>
      </c>
      <c r="S8" s="62" t="s">
        <v>58</v>
      </c>
      <c r="T8" s="62" t="s">
        <v>58</v>
      </c>
      <c r="U8" s="62" t="s">
        <v>58</v>
      </c>
      <c r="V8" s="62"/>
      <c r="W8" s="62"/>
      <c r="X8" s="62" t="s">
        <v>58</v>
      </c>
      <c r="Y8" s="62">
        <v>0</v>
      </c>
      <c r="Z8" s="30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54"/>
      <c r="AJ8" s="33"/>
      <c r="AK8" s="33"/>
      <c r="AL8" s="33"/>
      <c r="AM8" s="33"/>
      <c r="AN8" s="33"/>
      <c r="AO8" s="33"/>
      <c r="AP8" s="33"/>
      <c r="AQ8" s="33"/>
      <c r="AR8" s="63">
        <v>0</v>
      </c>
      <c r="AS8" s="63">
        <v>0</v>
      </c>
      <c r="AT8" s="63">
        <v>0</v>
      </c>
      <c r="AU8" s="63">
        <v>0</v>
      </c>
      <c r="AV8" s="63">
        <f t="shared" ref="AV8" si="21">BIN2DEC(CONCATENATE(0,0,0,0,AR8,AS8,AT8,AU8))</f>
        <v>0</v>
      </c>
      <c r="AW8" s="63">
        <v>0</v>
      </c>
      <c r="AX8" s="63">
        <f t="shared" si="9"/>
        <v>0</v>
      </c>
      <c r="AY8" s="63"/>
      <c r="AZ8" s="29"/>
      <c r="BA8" s="63"/>
      <c r="BB8" s="63"/>
      <c r="BC8" s="32"/>
      <c r="BD8" s="63"/>
      <c r="BE8" s="42"/>
      <c r="BF8" s="63"/>
      <c r="BG8" s="35" t="str">
        <f t="shared" ref="BG8" si="22">CONCATENATE("description: """,F8,"""", ", ", "note: """,E8,"""",", ","group: """, B8, """",", ","minValue: ", S8,", ","maxValue: ", T8,", ","step: ", U8,", ","units: """, R8, """",", ","defaultValue: ", X8,", ","eventRegistration: ", Y8,)</f>
        <v>description: "Блокировка ЛЗТ", note: "Блокировка ЛЗТ", group: "input", minValue: null, maxValue: null, step: null, units: "null", defaultValue: null, eventRegistration: 0</v>
      </c>
      <c r="BH8" s="43"/>
    </row>
    <row r="9" spans="1:16379" s="25" customFormat="1" ht="15.75" x14ac:dyDescent="0.25">
      <c r="A9" s="17"/>
      <c r="B9" s="26" t="s">
        <v>56</v>
      </c>
      <c r="C9" s="18"/>
      <c r="D9" s="9"/>
      <c r="E9" s="19" t="s">
        <v>81</v>
      </c>
      <c r="F9" s="19" t="s">
        <v>82</v>
      </c>
      <c r="G9" s="19" t="s">
        <v>82</v>
      </c>
      <c r="H9" s="9"/>
      <c r="I9" s="27">
        <f>LEN(F9)</f>
        <v>10</v>
      </c>
      <c r="J9" s="19" t="s">
        <v>82</v>
      </c>
      <c r="K9" s="20" t="s">
        <v>93</v>
      </c>
      <c r="L9" s="38" t="s">
        <v>103</v>
      </c>
      <c r="M9" s="62" t="s">
        <v>49</v>
      </c>
      <c r="N9" s="62" t="s">
        <v>50</v>
      </c>
      <c r="O9" s="62"/>
      <c r="P9" s="18"/>
      <c r="Q9" s="18"/>
      <c r="R9" s="62" t="s">
        <v>58</v>
      </c>
      <c r="S9" s="62" t="s">
        <v>58</v>
      </c>
      <c r="T9" s="62" t="s">
        <v>58</v>
      </c>
      <c r="U9" s="62" t="s">
        <v>58</v>
      </c>
      <c r="V9" s="18"/>
      <c r="W9" s="18"/>
      <c r="X9" s="62" t="s">
        <v>58</v>
      </c>
      <c r="Y9" s="64">
        <v>0</v>
      </c>
      <c r="Z9" s="18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54" t="s">
        <v>106</v>
      </c>
      <c r="AJ9" s="21" t="s">
        <v>125</v>
      </c>
      <c r="AK9" s="21" t="s">
        <v>90</v>
      </c>
      <c r="AL9" s="21" t="s">
        <v>91</v>
      </c>
      <c r="AM9" s="21" t="s">
        <v>92</v>
      </c>
      <c r="AN9" s="21"/>
      <c r="AO9" s="21" t="s">
        <v>71</v>
      </c>
      <c r="AP9" s="21" t="str">
        <f>CONCATENATE(AJ9, ".", AL9)</f>
        <v>LLN0.GrRef.setSrcRef</v>
      </c>
      <c r="AQ9" s="21" t="s">
        <v>55</v>
      </c>
      <c r="AR9" s="63">
        <v>0</v>
      </c>
      <c r="AS9" s="63">
        <v>0</v>
      </c>
      <c r="AT9" s="63">
        <v>0</v>
      </c>
      <c r="AU9" s="63">
        <v>0</v>
      </c>
      <c r="AV9" s="63">
        <f t="shared" ref="AV9" si="23">BIN2DEC(CONCATENATE(0,0,0,0,AR9,AS9,AT9,AU9))</f>
        <v>0</v>
      </c>
      <c r="AW9" s="63">
        <v>0</v>
      </c>
      <c r="AX9" s="63">
        <f t="shared" si="9"/>
        <v>0</v>
      </c>
      <c r="AY9" s="39"/>
      <c r="AZ9" s="18"/>
      <c r="BA9" s="18"/>
      <c r="BB9" s="18"/>
      <c r="BC9" s="18"/>
      <c r="BD9" s="18"/>
      <c r="BE9" s="18"/>
      <c r="BF9" s="18"/>
      <c r="BG9" s="35" t="str">
        <f t="shared" ref="BG9:BG11" si="24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25" customFormat="1" ht="15.75" x14ac:dyDescent="0.25">
      <c r="A10" s="17"/>
      <c r="B10" s="26" t="s">
        <v>56</v>
      </c>
      <c r="C10" s="18"/>
      <c r="D10" s="9"/>
      <c r="E10" s="19" t="s">
        <v>83</v>
      </c>
      <c r="F10" s="19" t="s">
        <v>84</v>
      </c>
      <c r="G10" s="19" t="s">
        <v>84</v>
      </c>
      <c r="H10" s="9"/>
      <c r="I10" s="27">
        <f>LEN(F10)</f>
        <v>8</v>
      </c>
      <c r="J10" s="19" t="s">
        <v>84</v>
      </c>
      <c r="K10" s="20" t="s">
        <v>85</v>
      </c>
      <c r="L10" s="28" t="s">
        <v>57</v>
      </c>
      <c r="M10" s="62" t="s">
        <v>49</v>
      </c>
      <c r="N10" s="62" t="s">
        <v>50</v>
      </c>
      <c r="O10" s="62"/>
      <c r="P10" s="18"/>
      <c r="Q10" s="18"/>
      <c r="R10" s="62" t="s">
        <v>58</v>
      </c>
      <c r="S10" s="62" t="s">
        <v>58</v>
      </c>
      <c r="T10" s="62" t="s">
        <v>58</v>
      </c>
      <c r="U10" s="62" t="s">
        <v>58</v>
      </c>
      <c r="V10" s="18"/>
      <c r="W10" s="18"/>
      <c r="X10" s="62" t="s">
        <v>58</v>
      </c>
      <c r="Y10" s="64">
        <v>0</v>
      </c>
      <c r="Z10" s="18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52"/>
      <c r="AJ10" s="21"/>
      <c r="AK10" s="21"/>
      <c r="AL10" s="21"/>
      <c r="AM10" s="21"/>
      <c r="AN10" s="21"/>
      <c r="AO10" s="21"/>
      <c r="AP10" s="21"/>
      <c r="AQ10" s="21"/>
      <c r="AR10" s="63">
        <v>0</v>
      </c>
      <c r="AS10" s="63">
        <v>0</v>
      </c>
      <c r="AT10" s="63">
        <v>0</v>
      </c>
      <c r="AU10" s="63">
        <v>0</v>
      </c>
      <c r="AV10" s="63">
        <f t="shared" ref="AV10" si="25">BIN2DEC(CONCATENATE(0,0,0,0,AR10,AS10,AT10,AU10))</f>
        <v>0</v>
      </c>
      <c r="AW10" s="63">
        <v>0</v>
      </c>
      <c r="AX10" s="63">
        <f t="shared" si="9"/>
        <v>0</v>
      </c>
      <c r="AY10" s="39"/>
      <c r="AZ10" s="18"/>
      <c r="BA10" s="18"/>
      <c r="BB10" s="18"/>
      <c r="BC10" s="18"/>
      <c r="BD10" s="18"/>
      <c r="BE10" s="18"/>
      <c r="BF10" s="18"/>
      <c r="BG10" s="35" t="str">
        <f t="shared" si="2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25" customFormat="1" ht="15.75" x14ac:dyDescent="0.25">
      <c r="A11" s="17"/>
      <c r="B11" s="26" t="s">
        <v>56</v>
      </c>
      <c r="C11" s="18"/>
      <c r="D11" s="9"/>
      <c r="E11" s="19" t="s">
        <v>86</v>
      </c>
      <c r="F11" s="19" t="s">
        <v>87</v>
      </c>
      <c r="G11" s="19" t="s">
        <v>87</v>
      </c>
      <c r="H11" s="9"/>
      <c r="I11" s="27">
        <f>LEN(F11)</f>
        <v>6</v>
      </c>
      <c r="J11" s="19" t="s">
        <v>87</v>
      </c>
      <c r="K11" s="20" t="s">
        <v>88</v>
      </c>
      <c r="L11" s="28" t="s">
        <v>57</v>
      </c>
      <c r="M11" s="62" t="s">
        <v>49</v>
      </c>
      <c r="N11" s="62" t="s">
        <v>50</v>
      </c>
      <c r="O11" s="62"/>
      <c r="P11" s="18"/>
      <c r="Q11" s="18"/>
      <c r="R11" s="62" t="s">
        <v>58</v>
      </c>
      <c r="S11" s="62" t="s">
        <v>58</v>
      </c>
      <c r="T11" s="62" t="s">
        <v>58</v>
      </c>
      <c r="U11" s="62" t="s">
        <v>58</v>
      </c>
      <c r="V11" s="18"/>
      <c r="W11" s="18"/>
      <c r="X11" s="62" t="s">
        <v>58</v>
      </c>
      <c r="Y11" s="64">
        <v>0</v>
      </c>
      <c r="Z11" s="18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52"/>
      <c r="AJ11" s="21"/>
      <c r="AK11" s="21"/>
      <c r="AL11" s="21"/>
      <c r="AM11" s="21"/>
      <c r="AN11" s="21"/>
      <c r="AO11" s="21"/>
      <c r="AP11" s="21"/>
      <c r="AQ11" s="21"/>
      <c r="AR11" s="63">
        <v>0</v>
      </c>
      <c r="AS11" s="63">
        <v>0</v>
      </c>
      <c r="AT11" s="63">
        <v>0</v>
      </c>
      <c r="AU11" s="63">
        <v>0</v>
      </c>
      <c r="AV11" s="63">
        <f t="shared" ref="AV11" si="26">BIN2DEC(CONCATENATE(0,0,0,0,AR11,AS11,AT11,AU11))</f>
        <v>0</v>
      </c>
      <c r="AW11" s="63">
        <v>0</v>
      </c>
      <c r="AX11" s="63">
        <f t="shared" si="9"/>
        <v>0</v>
      </c>
      <c r="AY11" s="39"/>
      <c r="AZ11" s="18"/>
      <c r="BA11" s="18"/>
      <c r="BB11" s="18"/>
      <c r="BC11" s="18"/>
      <c r="BD11" s="18"/>
      <c r="BE11" s="18"/>
      <c r="BF11" s="18"/>
      <c r="BG11" s="35" t="str">
        <f t="shared" si="24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O12" s="56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6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6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6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6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6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6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6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6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6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6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6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6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6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6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6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6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6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6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6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6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6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6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6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6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6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6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6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6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6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6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6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6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6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6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6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6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6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6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6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6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6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6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6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6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6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6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6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6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6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6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6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6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6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6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6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6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6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6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6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6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6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6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6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6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6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6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6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6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6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6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6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6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6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6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6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6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6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6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6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6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6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6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6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6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6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6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6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6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6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6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6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6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6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6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6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6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6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6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6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6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6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6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6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6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6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6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6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6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6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6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6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6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6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6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6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6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6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6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6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6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6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6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6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6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6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6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6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6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6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6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6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6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6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6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6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6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6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6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6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6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6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6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6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6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6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6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6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6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6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6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6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6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6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6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6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6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6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6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6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6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6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6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6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6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6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6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6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6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6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6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6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6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6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6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6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6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6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6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6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6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6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6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6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6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6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6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6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6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6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6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6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6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6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6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6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6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M1" zoomScale="80" zoomScaleNormal="80" workbookViewId="0">
      <selection activeCell="AV19" sqref="AV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85546875" style="2" customWidth="1" outlineLevel="1"/>
    <col min="7" max="7" width="25.140625" style="2" customWidth="1" outlineLevel="1"/>
    <col min="8" max="8" width="34.42578125" style="2" customWidth="1" outlineLevel="1"/>
    <col min="9" max="9" width="15.7109375" style="2" customWidth="1"/>
    <col min="10" max="10" width="39" style="2" customWidth="1"/>
    <col min="11" max="11" width="29.7109375" style="2" customWidth="1"/>
    <col min="12" max="12" width="9.42578125" style="2" customWidth="1"/>
    <col min="13" max="14" width="19" style="2" customWidth="1" outlineLevel="1"/>
    <col min="15" max="15" width="8.85546875" style="56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55" bestFit="1" customWidth="1"/>
    <col min="29" max="29" width="16.7109375" style="55" bestFit="1" customWidth="1"/>
    <col min="30" max="30" width="7.7109375" style="55" bestFit="1" customWidth="1"/>
    <col min="31" max="31" width="33" style="55" bestFit="1" customWidth="1"/>
    <col min="32" max="33" width="12.7109375" style="1" customWidth="1"/>
    <col min="34" max="34" width="9.28515625" style="1" bestFit="1" customWidth="1"/>
    <col min="35" max="35" width="17.71093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8"/>
      <c r="AC1" s="58"/>
      <c r="AD1" s="58"/>
      <c r="AE1" s="58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100</v>
      </c>
      <c r="E2" s="10" t="s">
        <v>4</v>
      </c>
      <c r="F2" s="59" t="s">
        <v>112</v>
      </c>
      <c r="G2" s="10" t="s">
        <v>5</v>
      </c>
      <c r="H2" s="10" t="s">
        <v>6</v>
      </c>
      <c r="I2" s="10" t="s">
        <v>7</v>
      </c>
      <c r="J2" s="59" t="s">
        <v>113</v>
      </c>
      <c r="K2" s="13" t="s">
        <v>8</v>
      </c>
      <c r="L2" s="13" t="s">
        <v>9</v>
      </c>
      <c r="M2" s="13" t="s">
        <v>10</v>
      </c>
      <c r="N2" s="13" t="s">
        <v>11</v>
      </c>
      <c r="O2" s="60" t="s">
        <v>111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1" t="s">
        <v>107</v>
      </c>
      <c r="AC2" s="61" t="s">
        <v>108</v>
      </c>
      <c r="AD2" s="61" t="s">
        <v>109</v>
      </c>
      <c r="AE2" s="61" t="s">
        <v>110</v>
      </c>
      <c r="AF2" s="14" t="s">
        <v>23</v>
      </c>
      <c r="AG2" s="14" t="s">
        <v>24</v>
      </c>
      <c r="AH2" s="13" t="s">
        <v>25</v>
      </c>
      <c r="AI2" s="53" t="s">
        <v>105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67" t="s">
        <v>169</v>
      </c>
      <c r="AW2" s="67" t="s">
        <v>170</v>
      </c>
      <c r="AX2" s="67" t="s">
        <v>171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5" customFormat="1" ht="15.75" x14ac:dyDescent="0.25">
      <c r="A3" s="17"/>
      <c r="B3" s="68" t="s">
        <v>172</v>
      </c>
      <c r="C3" s="18"/>
      <c r="D3" s="48" t="s">
        <v>130</v>
      </c>
      <c r="E3" s="19" t="s">
        <v>77</v>
      </c>
      <c r="F3" s="45" t="s">
        <v>78</v>
      </c>
      <c r="G3" s="45" t="s">
        <v>78</v>
      </c>
      <c r="H3" s="9"/>
      <c r="I3" s="19">
        <f t="shared" ref="I3:I8" si="0">LEN(F3)</f>
        <v>4</v>
      </c>
      <c r="J3" s="19" t="str">
        <f t="shared" ref="J3:J8" si="1">IF(LEN(F3)&lt;=$J$1,F3,"")</f>
        <v>Ввод</v>
      </c>
      <c r="K3" s="20" t="s">
        <v>145</v>
      </c>
      <c r="L3" s="38" t="s">
        <v>57</v>
      </c>
      <c r="M3" s="37" t="s">
        <v>49</v>
      </c>
      <c r="N3" s="37" t="s">
        <v>50</v>
      </c>
      <c r="O3" s="64"/>
      <c r="P3" s="29"/>
      <c r="Q3" s="29"/>
      <c r="R3" s="37" t="s">
        <v>58</v>
      </c>
      <c r="S3" s="37" t="s">
        <v>58</v>
      </c>
      <c r="T3" s="37" t="s">
        <v>58</v>
      </c>
      <c r="U3" s="37" t="s">
        <v>58</v>
      </c>
      <c r="V3" s="18"/>
      <c r="W3" s="18"/>
      <c r="X3" s="37" t="s">
        <v>58</v>
      </c>
      <c r="Y3" s="37">
        <v>2</v>
      </c>
      <c r="Z3" s="18"/>
      <c r="AA3" s="31">
        <v>0</v>
      </c>
      <c r="AB3" s="63"/>
      <c r="AC3" s="63"/>
      <c r="AD3" s="63"/>
      <c r="AE3" s="63"/>
      <c r="AF3" s="31">
        <v>0</v>
      </c>
      <c r="AG3" s="31">
        <v>0</v>
      </c>
      <c r="AH3" s="31">
        <v>0</v>
      </c>
      <c r="AI3" s="54"/>
      <c r="AJ3" s="21"/>
      <c r="AK3" s="21"/>
      <c r="AL3" s="21"/>
      <c r="AM3" s="21"/>
      <c r="AN3" s="21"/>
      <c r="AO3" s="21"/>
      <c r="AP3" s="21"/>
      <c r="AQ3" s="21"/>
      <c r="AR3" s="18">
        <v>0</v>
      </c>
      <c r="AS3" s="18">
        <v>1</v>
      </c>
      <c r="AT3" s="18">
        <v>0</v>
      </c>
      <c r="AU3" s="18">
        <v>1</v>
      </c>
      <c r="AV3" s="18">
        <v>1</v>
      </c>
      <c r="AW3" s="18">
        <v>1</v>
      </c>
      <c r="AX3" s="18">
        <v>1</v>
      </c>
      <c r="AY3" s="39"/>
      <c r="AZ3" s="18"/>
      <c r="BA3" s="18"/>
      <c r="BB3" s="18"/>
      <c r="BC3" s="18"/>
      <c r="BD3" s="18"/>
      <c r="BE3" s="18"/>
      <c r="BF3" s="18"/>
      <c r="BG3" s="24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5" customFormat="1" ht="15.75" x14ac:dyDescent="0.25">
      <c r="A4" s="17"/>
      <c r="B4" s="68" t="s">
        <v>172</v>
      </c>
      <c r="C4" s="18"/>
      <c r="D4" s="48" t="s">
        <v>130</v>
      </c>
      <c r="E4" s="19" t="s">
        <v>79</v>
      </c>
      <c r="F4" s="45" t="s">
        <v>118</v>
      </c>
      <c r="G4" s="46" t="s">
        <v>118</v>
      </c>
      <c r="H4" s="9"/>
      <c r="I4" s="19">
        <f t="shared" si="0"/>
        <v>17</v>
      </c>
      <c r="J4" s="19" t="str">
        <f t="shared" si="1"/>
        <v>Оперативный вывод</v>
      </c>
      <c r="K4" s="20" t="s">
        <v>146</v>
      </c>
      <c r="L4" s="38" t="s">
        <v>57</v>
      </c>
      <c r="M4" s="37" t="s">
        <v>49</v>
      </c>
      <c r="N4" s="37" t="s">
        <v>50</v>
      </c>
      <c r="O4" s="64"/>
      <c r="P4" s="29"/>
      <c r="Q4" s="29"/>
      <c r="R4" s="37" t="s">
        <v>58</v>
      </c>
      <c r="S4" s="37" t="s">
        <v>58</v>
      </c>
      <c r="T4" s="37" t="s">
        <v>58</v>
      </c>
      <c r="U4" s="37" t="s">
        <v>58</v>
      </c>
      <c r="V4" s="18"/>
      <c r="W4" s="18"/>
      <c r="X4" s="37" t="s">
        <v>58</v>
      </c>
      <c r="Y4" s="37">
        <v>2</v>
      </c>
      <c r="Z4" s="18"/>
      <c r="AA4" s="31">
        <v>0</v>
      </c>
      <c r="AB4" s="63"/>
      <c r="AC4" s="63"/>
      <c r="AD4" s="63"/>
      <c r="AE4" s="63"/>
      <c r="AF4" s="31">
        <v>0</v>
      </c>
      <c r="AG4" s="31">
        <v>0</v>
      </c>
      <c r="AH4" s="31">
        <v>0</v>
      </c>
      <c r="AI4" s="54"/>
      <c r="AJ4" s="21"/>
      <c r="AK4" s="21"/>
      <c r="AL4" s="21"/>
      <c r="AM4" s="21"/>
      <c r="AN4" s="21"/>
      <c r="AO4" s="21"/>
      <c r="AP4" s="21"/>
      <c r="AQ4" s="21"/>
      <c r="AR4" s="18">
        <v>0</v>
      </c>
      <c r="AS4" s="18">
        <v>1</v>
      </c>
      <c r="AT4" s="18">
        <v>0</v>
      </c>
      <c r="AU4" s="18">
        <v>1</v>
      </c>
      <c r="AV4" s="18">
        <v>1</v>
      </c>
      <c r="AW4" s="18">
        <v>1</v>
      </c>
      <c r="AX4" s="18">
        <v>1</v>
      </c>
      <c r="AY4" s="39"/>
      <c r="AZ4" s="18"/>
      <c r="BA4" s="18"/>
      <c r="BB4" s="18"/>
      <c r="BC4" s="18"/>
      <c r="BD4" s="18"/>
      <c r="BE4" s="18"/>
      <c r="BF4" s="18"/>
      <c r="BG4" s="24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5" customFormat="1" ht="15.75" x14ac:dyDescent="0.25">
      <c r="A5" s="17"/>
      <c r="B5" s="68" t="s">
        <v>172</v>
      </c>
      <c r="C5" s="37"/>
      <c r="D5" s="48" t="s">
        <v>130</v>
      </c>
      <c r="E5" s="19" t="s">
        <v>63</v>
      </c>
      <c r="F5" s="19" t="s">
        <v>63</v>
      </c>
      <c r="G5" s="19" t="s">
        <v>63</v>
      </c>
      <c r="H5" s="19"/>
      <c r="I5" s="19">
        <f t="shared" si="0"/>
        <v>4</v>
      </c>
      <c r="J5" s="19" t="str">
        <f t="shared" si="1"/>
        <v>Пуск</v>
      </c>
      <c r="K5" s="17" t="s">
        <v>147</v>
      </c>
      <c r="L5" s="38" t="s">
        <v>57</v>
      </c>
      <c r="M5" s="37" t="s">
        <v>49</v>
      </c>
      <c r="N5" s="37" t="s">
        <v>50</v>
      </c>
      <c r="O5" s="64"/>
      <c r="P5" s="39"/>
      <c r="Q5" s="39"/>
      <c r="R5" s="37" t="s">
        <v>58</v>
      </c>
      <c r="S5" s="37" t="s">
        <v>58</v>
      </c>
      <c r="T5" s="37" t="s">
        <v>58</v>
      </c>
      <c r="U5" s="37" t="s">
        <v>58</v>
      </c>
      <c r="V5" s="37"/>
      <c r="W5" s="37"/>
      <c r="X5" s="37" t="s">
        <v>58</v>
      </c>
      <c r="Y5" s="37">
        <v>2</v>
      </c>
      <c r="Z5" s="20"/>
      <c r="AA5" s="31">
        <v>0</v>
      </c>
      <c r="AB5" s="63"/>
      <c r="AC5" s="63"/>
      <c r="AD5" s="63"/>
      <c r="AE5" s="63"/>
      <c r="AF5" s="31">
        <v>0</v>
      </c>
      <c r="AG5" s="31">
        <v>0</v>
      </c>
      <c r="AH5" s="31">
        <v>0</v>
      </c>
      <c r="AI5" s="54" t="s">
        <v>155</v>
      </c>
      <c r="AJ5" s="21" t="s">
        <v>153</v>
      </c>
      <c r="AK5" s="21" t="s">
        <v>64</v>
      </c>
      <c r="AL5" s="21" t="s">
        <v>65</v>
      </c>
      <c r="AM5" s="21" t="s">
        <v>66</v>
      </c>
      <c r="AN5" s="21"/>
      <c r="AO5" s="21" t="s">
        <v>54</v>
      </c>
      <c r="AP5" s="21" t="str">
        <f t="shared" ref="AP5:AP6" si="3">CONCATENATE(AJ5, ".", AL5)</f>
        <v>PTRC1.Str.general</v>
      </c>
      <c r="AQ5" s="21" t="s">
        <v>55</v>
      </c>
      <c r="AR5" s="18">
        <v>0</v>
      </c>
      <c r="AS5" s="18">
        <v>1</v>
      </c>
      <c r="AT5" s="18">
        <v>0</v>
      </c>
      <c r="AU5" s="18">
        <v>1</v>
      </c>
      <c r="AV5" s="18">
        <v>1</v>
      </c>
      <c r="AW5" s="18">
        <v>1</v>
      </c>
      <c r="AX5" s="18">
        <v>1</v>
      </c>
      <c r="AY5" s="39"/>
      <c r="AZ5" s="18"/>
      <c r="BA5" s="18"/>
      <c r="BB5" s="18"/>
      <c r="BC5" s="18"/>
      <c r="BD5" s="18"/>
      <c r="BE5" s="18"/>
      <c r="BF5" s="18"/>
      <c r="BG5" s="24" t="str">
        <f t="shared" ref="BG5:BG10" si="4"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"status", minValue: null, maxValue: null, step: null, units: "null", defaultValue: null, eventRegistration: 2</v>
      </c>
    </row>
    <row r="6" spans="1:16379" s="25" customFormat="1" ht="15.75" x14ac:dyDescent="0.25">
      <c r="A6" s="17"/>
      <c r="B6" s="68" t="s">
        <v>172</v>
      </c>
      <c r="C6" s="37"/>
      <c r="D6" s="48" t="s">
        <v>130</v>
      </c>
      <c r="E6" s="19" t="s">
        <v>67</v>
      </c>
      <c r="F6" s="19" t="s">
        <v>67</v>
      </c>
      <c r="G6" s="19" t="s">
        <v>67</v>
      </c>
      <c r="H6" s="19"/>
      <c r="I6" s="19">
        <f t="shared" si="0"/>
        <v>12</v>
      </c>
      <c r="J6" s="19" t="str">
        <f t="shared" si="1"/>
        <v>Срабатывание</v>
      </c>
      <c r="K6" s="17" t="s">
        <v>148</v>
      </c>
      <c r="L6" s="38" t="s">
        <v>57</v>
      </c>
      <c r="M6" s="37" t="s">
        <v>49</v>
      </c>
      <c r="N6" s="37" t="s">
        <v>50</v>
      </c>
      <c r="O6" s="64"/>
      <c r="P6" s="39"/>
      <c r="Q6" s="39"/>
      <c r="R6" s="37" t="s">
        <v>58</v>
      </c>
      <c r="S6" s="37" t="s">
        <v>58</v>
      </c>
      <c r="T6" s="37" t="s">
        <v>58</v>
      </c>
      <c r="U6" s="37" t="s">
        <v>58</v>
      </c>
      <c r="V6" s="37"/>
      <c r="W6" s="37"/>
      <c r="X6" s="37" t="s">
        <v>58</v>
      </c>
      <c r="Y6" s="37">
        <v>2</v>
      </c>
      <c r="Z6" s="20"/>
      <c r="AA6" s="31">
        <v>0</v>
      </c>
      <c r="AB6" s="63"/>
      <c r="AC6" s="63"/>
      <c r="AD6" s="63"/>
      <c r="AE6" s="63"/>
      <c r="AF6" s="31">
        <v>0</v>
      </c>
      <c r="AG6" s="31">
        <v>0</v>
      </c>
      <c r="AH6" s="31">
        <v>0</v>
      </c>
      <c r="AI6" s="54" t="s">
        <v>155</v>
      </c>
      <c r="AJ6" s="21" t="s">
        <v>154</v>
      </c>
      <c r="AK6" s="21" t="s">
        <v>68</v>
      </c>
      <c r="AL6" s="21" t="s">
        <v>65</v>
      </c>
      <c r="AM6" s="21" t="s">
        <v>66</v>
      </c>
      <c r="AN6" s="21"/>
      <c r="AO6" s="21" t="s">
        <v>54</v>
      </c>
      <c r="AP6" s="21" t="str">
        <f t="shared" si="3"/>
        <v>PTRC1.Op.general</v>
      </c>
      <c r="AQ6" s="21" t="s">
        <v>55</v>
      </c>
      <c r="AR6" s="18">
        <v>0</v>
      </c>
      <c r="AS6" s="18">
        <v>1</v>
      </c>
      <c r="AT6" s="18">
        <v>0</v>
      </c>
      <c r="AU6" s="18">
        <v>1</v>
      </c>
      <c r="AV6" s="18">
        <v>1</v>
      </c>
      <c r="AW6" s="18">
        <v>1</v>
      </c>
      <c r="AX6" s="18">
        <v>1</v>
      </c>
      <c r="AY6" s="39"/>
      <c r="AZ6" s="18"/>
      <c r="BA6" s="18"/>
      <c r="BB6" s="18"/>
      <c r="BC6" s="18"/>
      <c r="BD6" s="18"/>
      <c r="BE6" s="18"/>
      <c r="BF6" s="18"/>
      <c r="BG6" s="24" t="str">
        <f t="shared" si="4"/>
        <v>description: "Срабатывание", note: "Срабатывание", group: "status", minValue: null, maxValue: null, step: null, units: "null", defaultValue: null, eventRegistration: 2</v>
      </c>
    </row>
    <row r="7" spans="1:16379" s="25" customFormat="1" ht="15.75" x14ac:dyDescent="0.25">
      <c r="A7" s="17"/>
      <c r="B7" s="68" t="s">
        <v>172</v>
      </c>
      <c r="C7" s="18"/>
      <c r="D7" s="46"/>
      <c r="E7" s="19" t="s">
        <v>96</v>
      </c>
      <c r="F7" s="19" t="s">
        <v>98</v>
      </c>
      <c r="G7" s="19" t="s">
        <v>98</v>
      </c>
      <c r="H7" s="18"/>
      <c r="I7" s="19">
        <f t="shared" si="0"/>
        <v>12</v>
      </c>
      <c r="J7" s="19" t="str">
        <f t="shared" si="1"/>
        <v>Поведение LD</v>
      </c>
      <c r="K7" s="20" t="s">
        <v>94</v>
      </c>
      <c r="L7" s="38" t="s">
        <v>103</v>
      </c>
      <c r="M7" s="37" t="s">
        <v>49</v>
      </c>
      <c r="N7" s="37" t="s">
        <v>50</v>
      </c>
      <c r="O7" s="64"/>
      <c r="P7" s="18"/>
      <c r="Q7" s="18"/>
      <c r="R7" s="37" t="s">
        <v>58</v>
      </c>
      <c r="S7" s="37" t="s">
        <v>58</v>
      </c>
      <c r="T7" s="37" t="s">
        <v>58</v>
      </c>
      <c r="U7" s="37" t="s">
        <v>58</v>
      </c>
      <c r="V7" s="18"/>
      <c r="W7" s="18"/>
      <c r="X7" s="37" t="s">
        <v>58</v>
      </c>
      <c r="Y7" s="37">
        <v>0</v>
      </c>
      <c r="Z7" s="18"/>
      <c r="AA7" s="31">
        <v>0</v>
      </c>
      <c r="AB7" s="63"/>
      <c r="AC7" s="63"/>
      <c r="AD7" s="63"/>
      <c r="AE7" s="63"/>
      <c r="AF7" s="31">
        <v>0</v>
      </c>
      <c r="AG7" s="31">
        <v>0</v>
      </c>
      <c r="AH7" s="31">
        <v>0</v>
      </c>
      <c r="AI7" s="54" t="s">
        <v>106</v>
      </c>
      <c r="AJ7" s="21" t="s">
        <v>126</v>
      </c>
      <c r="AK7" s="21" t="s">
        <v>61</v>
      </c>
      <c r="AL7" s="21" t="s">
        <v>51</v>
      </c>
      <c r="AM7" s="21" t="s">
        <v>52</v>
      </c>
      <c r="AN7" s="21" t="s">
        <v>53</v>
      </c>
      <c r="AO7" s="21" t="s">
        <v>54</v>
      </c>
      <c r="AP7" s="21" t="str">
        <f>CONCATENATE(AJ7, ".", AL7)</f>
        <v>LLN0.Beh.stVal</v>
      </c>
      <c r="AQ7" s="21" t="s">
        <v>55</v>
      </c>
      <c r="AR7" s="18">
        <v>0</v>
      </c>
      <c r="AS7" s="18">
        <v>0</v>
      </c>
      <c r="AT7" s="18">
        <v>0</v>
      </c>
      <c r="AU7" s="18">
        <v>0</v>
      </c>
      <c r="AV7" s="18">
        <f t="shared" ref="AV7:AV10" si="5">BIN2DEC(CONCATENATE(0,0,0,0,AR7,AS7,AT7,AU7))</f>
        <v>0</v>
      </c>
      <c r="AW7" s="18">
        <v>0</v>
      </c>
      <c r="AX7" s="18">
        <v>0</v>
      </c>
      <c r="AY7" s="22"/>
      <c r="AZ7" s="23"/>
      <c r="BA7" s="23"/>
      <c r="BB7" s="23"/>
      <c r="BC7" s="23"/>
      <c r="BD7" s="23"/>
      <c r="BE7" s="23"/>
      <c r="BF7" s="23"/>
      <c r="BG7" s="24" t="str">
        <f t="shared" si="4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25" customFormat="1" ht="15.75" x14ac:dyDescent="0.25">
      <c r="A8" s="17"/>
      <c r="B8" s="68" t="s">
        <v>172</v>
      </c>
      <c r="C8" s="18"/>
      <c r="D8" s="46"/>
      <c r="E8" s="19" t="s">
        <v>97</v>
      </c>
      <c r="F8" s="19" t="s">
        <v>99</v>
      </c>
      <c r="G8" s="19" t="s">
        <v>99</v>
      </c>
      <c r="H8" s="18"/>
      <c r="I8" s="19">
        <f t="shared" si="0"/>
        <v>14</v>
      </c>
      <c r="J8" s="19" t="str">
        <f t="shared" si="1"/>
        <v>Исправность LD</v>
      </c>
      <c r="K8" s="20" t="s">
        <v>95</v>
      </c>
      <c r="L8" s="38" t="s">
        <v>103</v>
      </c>
      <c r="M8" s="37" t="s">
        <v>49</v>
      </c>
      <c r="N8" s="37" t="s">
        <v>50</v>
      </c>
      <c r="O8" s="64"/>
      <c r="P8" s="29"/>
      <c r="Q8" s="29"/>
      <c r="R8" s="37" t="s">
        <v>58</v>
      </c>
      <c r="S8" s="37" t="s">
        <v>58</v>
      </c>
      <c r="T8" s="37" t="s">
        <v>58</v>
      </c>
      <c r="U8" s="37" t="s">
        <v>58</v>
      </c>
      <c r="V8" s="18"/>
      <c r="W8" s="18"/>
      <c r="X8" s="37" t="s">
        <v>58</v>
      </c>
      <c r="Y8" s="37">
        <v>0</v>
      </c>
      <c r="Z8" s="18"/>
      <c r="AA8" s="31">
        <v>0</v>
      </c>
      <c r="AB8" s="63"/>
      <c r="AC8" s="63"/>
      <c r="AD8" s="63"/>
      <c r="AE8" s="63"/>
      <c r="AF8" s="31">
        <v>0</v>
      </c>
      <c r="AG8" s="31">
        <v>0</v>
      </c>
      <c r="AH8" s="31">
        <v>0</v>
      </c>
      <c r="AI8" s="54" t="s">
        <v>106</v>
      </c>
      <c r="AJ8" s="21" t="s">
        <v>127</v>
      </c>
      <c r="AK8" s="21" t="s">
        <v>61</v>
      </c>
      <c r="AL8" s="21" t="s">
        <v>51</v>
      </c>
      <c r="AM8" s="21" t="s">
        <v>52</v>
      </c>
      <c r="AN8" s="21" t="s">
        <v>62</v>
      </c>
      <c r="AO8" s="21" t="s">
        <v>54</v>
      </c>
      <c r="AP8" s="21" t="str">
        <f>CONCATENATE(AJ8, ".", AL8)</f>
        <v>LLN0.Health.stVal</v>
      </c>
      <c r="AQ8" s="21" t="s">
        <v>55</v>
      </c>
      <c r="AR8" s="18">
        <v>0</v>
      </c>
      <c r="AS8" s="18">
        <v>0</v>
      </c>
      <c r="AT8" s="18">
        <v>0</v>
      </c>
      <c r="AU8" s="18">
        <v>0</v>
      </c>
      <c r="AV8" s="18">
        <f t="shared" si="5"/>
        <v>0</v>
      </c>
      <c r="AW8" s="18">
        <v>0</v>
      </c>
      <c r="AX8" s="18">
        <v>0</v>
      </c>
      <c r="AY8" s="22"/>
      <c r="AZ8" s="23"/>
      <c r="BA8" s="23"/>
      <c r="BB8" s="23"/>
      <c r="BC8" s="23"/>
      <c r="BD8" s="23"/>
      <c r="BE8" s="23"/>
      <c r="BF8" s="23"/>
      <c r="BG8" s="24" t="str">
        <f t="shared" si="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25" customFormat="1" ht="15.75" x14ac:dyDescent="0.25">
      <c r="A9" s="17"/>
      <c r="B9" s="68" t="s">
        <v>172</v>
      </c>
      <c r="C9" s="18"/>
      <c r="D9" s="48" t="s">
        <v>130</v>
      </c>
      <c r="E9" s="19" t="s">
        <v>143</v>
      </c>
      <c r="F9" s="19" t="s">
        <v>101</v>
      </c>
      <c r="G9" s="19" t="s">
        <v>101</v>
      </c>
      <c r="H9" s="18"/>
      <c r="I9" s="19">
        <f t="shared" ref="I9:I10" si="6">LEN(F9)</f>
        <v>9</v>
      </c>
      <c r="J9" s="19" t="str">
        <f t="shared" ref="J9:J10" si="7">IF(LEN(F9)&lt;=$J$1,F9,"")</f>
        <v>Поведение</v>
      </c>
      <c r="K9" s="20" t="s">
        <v>149</v>
      </c>
      <c r="L9" s="38" t="s">
        <v>103</v>
      </c>
      <c r="M9" s="37" t="s">
        <v>49</v>
      </c>
      <c r="N9" s="37" t="s">
        <v>50</v>
      </c>
      <c r="O9" s="64"/>
      <c r="P9" s="18"/>
      <c r="Q9" s="18"/>
      <c r="R9" s="37" t="s">
        <v>58</v>
      </c>
      <c r="S9" s="37" t="s">
        <v>58</v>
      </c>
      <c r="T9" s="37" t="s">
        <v>58</v>
      </c>
      <c r="U9" s="37" t="s">
        <v>58</v>
      </c>
      <c r="V9" s="18"/>
      <c r="W9" s="18"/>
      <c r="X9" s="37" t="s">
        <v>58</v>
      </c>
      <c r="Y9" s="37">
        <v>0</v>
      </c>
      <c r="Z9" s="18"/>
      <c r="AA9" s="31">
        <v>0</v>
      </c>
      <c r="AB9" s="63"/>
      <c r="AC9" s="63"/>
      <c r="AD9" s="63"/>
      <c r="AE9" s="63"/>
      <c r="AF9" s="31">
        <v>0</v>
      </c>
      <c r="AG9" s="31">
        <v>0</v>
      </c>
      <c r="AH9" s="31">
        <v>0</v>
      </c>
      <c r="AI9" s="54" t="s">
        <v>155</v>
      </c>
      <c r="AJ9" s="21" t="s">
        <v>151</v>
      </c>
      <c r="AK9" s="21" t="s">
        <v>61</v>
      </c>
      <c r="AL9" s="21" t="s">
        <v>51</v>
      </c>
      <c r="AM9" s="21" t="s">
        <v>52</v>
      </c>
      <c r="AN9" s="21" t="s">
        <v>53</v>
      </c>
      <c r="AO9" s="21" t="s">
        <v>54</v>
      </c>
      <c r="AP9" s="21" t="str">
        <f>CONCATENATE(AJ9, ".", AL9)</f>
        <v>PTRC1.Beh.stVal</v>
      </c>
      <c r="AQ9" s="21" t="s">
        <v>55</v>
      </c>
      <c r="AR9" s="18">
        <v>0</v>
      </c>
      <c r="AS9" s="18">
        <v>0</v>
      </c>
      <c r="AT9" s="18">
        <v>0</v>
      </c>
      <c r="AU9" s="18">
        <v>0</v>
      </c>
      <c r="AV9" s="18">
        <f t="shared" si="5"/>
        <v>0</v>
      </c>
      <c r="AW9" s="18">
        <v>0</v>
      </c>
      <c r="AX9" s="18">
        <v>0</v>
      </c>
      <c r="AY9" s="22"/>
      <c r="AZ9" s="23"/>
      <c r="BA9" s="23"/>
      <c r="BB9" s="23"/>
      <c r="BC9" s="23"/>
      <c r="BD9" s="23"/>
      <c r="BE9" s="23"/>
      <c r="BF9" s="23"/>
      <c r="BG9" s="24" t="str">
        <f t="shared" si="4"/>
        <v>description: "Поведение", note: "Индикация поведения логического узла ЛЗТ", group: "status", minValue: null, maxValue: null, step: null, units: "null", defaultValue: null, eventRegistration: 0</v>
      </c>
    </row>
    <row r="10" spans="1:16379" s="25" customFormat="1" ht="15.75" x14ac:dyDescent="0.25">
      <c r="A10" s="17"/>
      <c r="B10" s="68" t="s">
        <v>172</v>
      </c>
      <c r="C10" s="18"/>
      <c r="D10" s="48" t="s">
        <v>130</v>
      </c>
      <c r="E10" s="19" t="s">
        <v>144</v>
      </c>
      <c r="F10" s="19" t="s">
        <v>102</v>
      </c>
      <c r="G10" s="19" t="s">
        <v>102</v>
      </c>
      <c r="H10" s="18"/>
      <c r="I10" s="19">
        <f t="shared" si="6"/>
        <v>11</v>
      </c>
      <c r="J10" s="19" t="str">
        <f t="shared" si="7"/>
        <v>Исправность</v>
      </c>
      <c r="K10" s="20" t="s">
        <v>150</v>
      </c>
      <c r="L10" s="38" t="s">
        <v>103</v>
      </c>
      <c r="M10" s="37" t="s">
        <v>49</v>
      </c>
      <c r="N10" s="37" t="s">
        <v>50</v>
      </c>
      <c r="O10" s="64"/>
      <c r="P10" s="29"/>
      <c r="Q10" s="29"/>
      <c r="R10" s="37" t="s">
        <v>58</v>
      </c>
      <c r="S10" s="37" t="s">
        <v>58</v>
      </c>
      <c r="T10" s="37" t="s">
        <v>58</v>
      </c>
      <c r="U10" s="37" t="s">
        <v>58</v>
      </c>
      <c r="V10" s="18"/>
      <c r="W10" s="18"/>
      <c r="X10" s="37" t="s">
        <v>58</v>
      </c>
      <c r="Y10" s="37">
        <v>0</v>
      </c>
      <c r="Z10" s="18"/>
      <c r="AA10" s="31">
        <v>0</v>
      </c>
      <c r="AB10" s="63"/>
      <c r="AC10" s="63"/>
      <c r="AD10" s="63"/>
      <c r="AE10" s="63"/>
      <c r="AF10" s="31">
        <v>0</v>
      </c>
      <c r="AG10" s="31">
        <v>0</v>
      </c>
      <c r="AH10" s="31">
        <v>0</v>
      </c>
      <c r="AI10" s="54" t="s">
        <v>155</v>
      </c>
      <c r="AJ10" s="21" t="s">
        <v>152</v>
      </c>
      <c r="AK10" s="21" t="s">
        <v>61</v>
      </c>
      <c r="AL10" s="21" t="s">
        <v>51</v>
      </c>
      <c r="AM10" s="21" t="s">
        <v>52</v>
      </c>
      <c r="AN10" s="21" t="s">
        <v>62</v>
      </c>
      <c r="AO10" s="21" t="s">
        <v>54</v>
      </c>
      <c r="AP10" s="21" t="str">
        <f>CONCATENATE(AJ10, ".", AL10)</f>
        <v>PTRC1.Health.stVal</v>
      </c>
      <c r="AQ10" s="21" t="s">
        <v>55</v>
      </c>
      <c r="AR10" s="18">
        <v>0</v>
      </c>
      <c r="AS10" s="18">
        <v>0</v>
      </c>
      <c r="AT10" s="18">
        <v>0</v>
      </c>
      <c r="AU10" s="18">
        <v>0</v>
      </c>
      <c r="AV10" s="18">
        <f t="shared" si="5"/>
        <v>0</v>
      </c>
      <c r="AW10" s="18">
        <v>0</v>
      </c>
      <c r="AX10" s="18">
        <v>0</v>
      </c>
      <c r="AY10" s="22"/>
      <c r="AZ10" s="23"/>
      <c r="BA10" s="23"/>
      <c r="BB10" s="23"/>
      <c r="BC10" s="23"/>
      <c r="BD10" s="23"/>
      <c r="BE10" s="23"/>
      <c r="BF10" s="23"/>
      <c r="BG10" s="24" t="str">
        <f t="shared" si="4"/>
        <v>description: "Исправность", note: "Индикация исправности логического узла ЛЗТ",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O11" s="56"/>
      <c r="R11" s="3"/>
      <c r="S11" s="4"/>
      <c r="T11" s="4"/>
      <c r="U11" s="4"/>
      <c r="V11" s="4"/>
      <c r="W11" s="4"/>
      <c r="X11" s="4"/>
      <c r="Y11" s="4"/>
      <c r="Z11" s="1"/>
      <c r="AA11" s="4"/>
      <c r="AB11" s="57"/>
      <c r="AC11" s="57"/>
      <c r="AD11" s="57"/>
      <c r="AE11" s="57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6"/>
      <c r="BC11" s="4"/>
      <c r="BD11" s="3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56"/>
      <c r="R12" s="3"/>
      <c r="S12" s="4"/>
      <c r="T12" s="4"/>
      <c r="U12" s="4"/>
      <c r="V12" s="4"/>
      <c r="W12" s="4"/>
      <c r="X12" s="4"/>
      <c r="Y12" s="4"/>
      <c r="Z12" s="1"/>
      <c r="AA12" s="4"/>
      <c r="AB12" s="57"/>
      <c r="AC12" s="57"/>
      <c r="AD12" s="57"/>
      <c r="AE12" s="57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6"/>
      <c r="R13" s="3"/>
      <c r="S13" s="4"/>
      <c r="T13" s="4"/>
      <c r="U13" s="4"/>
      <c r="V13" s="4"/>
      <c r="W13" s="4"/>
      <c r="X13" s="4"/>
      <c r="Y13" s="4"/>
      <c r="Z13" s="1"/>
      <c r="AA13" s="4"/>
      <c r="AB13" s="57"/>
      <c r="AC13" s="57"/>
      <c r="AD13" s="57"/>
      <c r="AE13" s="57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6"/>
      <c r="R14" s="3"/>
      <c r="S14" s="4"/>
      <c r="T14" s="4"/>
      <c r="U14" s="4"/>
      <c r="V14" s="4"/>
      <c r="W14" s="4"/>
      <c r="X14" s="4"/>
      <c r="Y14" s="4"/>
      <c r="Z14" s="1"/>
      <c r="AA14" s="4"/>
      <c r="AB14" s="57"/>
      <c r="AC14" s="57"/>
      <c r="AD14" s="57"/>
      <c r="AE14" s="57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6"/>
      <c r="R15" s="3"/>
      <c r="S15" s="4"/>
      <c r="T15" s="4"/>
      <c r="U15" s="4"/>
      <c r="V15" s="4"/>
      <c r="W15" s="4"/>
      <c r="X15" s="4"/>
      <c r="Y15" s="4"/>
      <c r="Z15" s="1"/>
      <c r="AA15" s="4"/>
      <c r="AB15" s="57"/>
      <c r="AC15" s="57"/>
      <c r="AD15" s="57"/>
      <c r="AE15" s="57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6"/>
      <c r="R16" s="3"/>
      <c r="S16" s="4"/>
      <c r="T16" s="4"/>
      <c r="U16" s="4"/>
      <c r="V16" s="4"/>
      <c r="W16" s="4"/>
      <c r="X16" s="4"/>
      <c r="Y16" s="4"/>
      <c r="Z16" s="1"/>
      <c r="AA16" s="4"/>
      <c r="AB16" s="57"/>
      <c r="AC16" s="57"/>
      <c r="AD16" s="57"/>
      <c r="AE16" s="57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6"/>
      <c r="R17" s="3"/>
      <c r="S17" s="4"/>
      <c r="T17" s="4"/>
      <c r="U17" s="4"/>
      <c r="V17" s="4"/>
      <c r="W17" s="4"/>
      <c r="X17" s="4"/>
      <c r="Y17" s="4"/>
      <c r="Z17" s="1"/>
      <c r="AA17" s="4"/>
      <c r="AB17" s="57"/>
      <c r="AC17" s="57"/>
      <c r="AD17" s="57"/>
      <c r="AE17" s="57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6"/>
      <c r="R18" s="3"/>
      <c r="S18" s="4"/>
      <c r="T18" s="4"/>
      <c r="U18" s="4"/>
      <c r="V18" s="4"/>
      <c r="W18" s="4"/>
      <c r="X18" s="4"/>
      <c r="Y18" s="4"/>
      <c r="Z18" s="1"/>
      <c r="AA18" s="4"/>
      <c r="AB18" s="57"/>
      <c r="AC18" s="57"/>
      <c r="AD18" s="57"/>
      <c r="AE18" s="57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6"/>
      <c r="R19" s="3"/>
      <c r="S19" s="4"/>
      <c r="T19" s="4"/>
      <c r="U19" s="4"/>
      <c r="V19" s="4"/>
      <c r="W19" s="4"/>
      <c r="X19" s="4"/>
      <c r="Y19" s="4"/>
      <c r="Z19" s="1"/>
      <c r="AA19" s="4"/>
      <c r="AB19" s="57"/>
      <c r="AC19" s="57"/>
      <c r="AD19" s="57"/>
      <c r="AE19" s="57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6"/>
      <c r="R20" s="3"/>
      <c r="S20" s="4"/>
      <c r="T20" s="4"/>
      <c r="U20" s="4"/>
      <c r="V20" s="4"/>
      <c r="W20" s="4"/>
      <c r="X20" s="4"/>
      <c r="Y20" s="4"/>
      <c r="Z20" s="1"/>
      <c r="AA20" s="4"/>
      <c r="AB20" s="57"/>
      <c r="AC20" s="57"/>
      <c r="AD20" s="57"/>
      <c r="AE20" s="57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6"/>
      <c r="R21" s="3"/>
      <c r="S21" s="4"/>
      <c r="T21" s="4"/>
      <c r="U21" s="4"/>
      <c r="V21" s="4"/>
      <c r="W21" s="4"/>
      <c r="X21" s="4"/>
      <c r="Y21" s="4"/>
      <c r="Z21" s="1"/>
      <c r="AA21" s="4"/>
      <c r="AB21" s="57"/>
      <c r="AC21" s="57"/>
      <c r="AD21" s="57"/>
      <c r="AE21" s="57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6"/>
      <c r="R22" s="3"/>
      <c r="S22" s="4"/>
      <c r="T22" s="4"/>
      <c r="U22" s="4"/>
      <c r="V22" s="4"/>
      <c r="W22" s="4"/>
      <c r="X22" s="4"/>
      <c r="Y22" s="4"/>
      <c r="Z22" s="1"/>
      <c r="AA22" s="4"/>
      <c r="AB22" s="57"/>
      <c r="AC22" s="57"/>
      <c r="AD22" s="57"/>
      <c r="AE22" s="57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6"/>
      <c r="R23" s="3"/>
      <c r="S23" s="4"/>
      <c r="T23" s="4"/>
      <c r="U23" s="4"/>
      <c r="V23" s="4"/>
      <c r="W23" s="4"/>
      <c r="X23" s="4"/>
      <c r="Y23" s="4"/>
      <c r="Z23" s="1"/>
      <c r="AA23" s="4"/>
      <c r="AB23" s="57"/>
      <c r="AC23" s="57"/>
      <c r="AD23" s="57"/>
      <c r="AE23" s="57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6"/>
      <c r="R24" s="3"/>
      <c r="S24" s="4"/>
      <c r="T24" s="4"/>
      <c r="U24" s="4"/>
      <c r="V24" s="4"/>
      <c r="W24" s="4"/>
      <c r="X24" s="4"/>
      <c r="Y24" s="4"/>
      <c r="Z24" s="1"/>
      <c r="AA24" s="4"/>
      <c r="AB24" s="57"/>
      <c r="AC24" s="57"/>
      <c r="AD24" s="57"/>
      <c r="AE24" s="57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6"/>
      <c r="R25" s="3"/>
      <c r="S25" s="4"/>
      <c r="T25" s="4"/>
      <c r="U25" s="4"/>
      <c r="V25" s="4"/>
      <c r="W25" s="4"/>
      <c r="X25" s="4"/>
      <c r="Y25" s="4"/>
      <c r="Z25" s="1"/>
      <c r="AA25" s="4"/>
      <c r="AB25" s="57"/>
      <c r="AC25" s="57"/>
      <c r="AD25" s="57"/>
      <c r="AE25" s="57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6"/>
      <c r="R26" s="3"/>
      <c r="S26" s="4"/>
      <c r="T26" s="4"/>
      <c r="U26" s="4"/>
      <c r="V26" s="4"/>
      <c r="W26" s="4"/>
      <c r="X26" s="4"/>
      <c r="Y26" s="4"/>
      <c r="Z26" s="1"/>
      <c r="AA26" s="4"/>
      <c r="AB26" s="57"/>
      <c r="AC26" s="57"/>
      <c r="AD26" s="57"/>
      <c r="AE26" s="57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6"/>
      <c r="R27" s="3"/>
      <c r="S27" s="4"/>
      <c r="T27" s="4"/>
      <c r="U27" s="4"/>
      <c r="V27" s="4"/>
      <c r="W27" s="4"/>
      <c r="X27" s="4"/>
      <c r="Y27" s="4"/>
      <c r="Z27" s="1"/>
      <c r="AA27" s="4"/>
      <c r="AB27" s="57"/>
      <c r="AC27" s="57"/>
      <c r="AD27" s="57"/>
      <c r="AE27" s="57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6"/>
      <c r="R28" s="3"/>
      <c r="S28" s="4"/>
      <c r="T28" s="4"/>
      <c r="U28" s="4"/>
      <c r="V28" s="4"/>
      <c r="W28" s="4"/>
      <c r="X28" s="4"/>
      <c r="Y28" s="4"/>
      <c r="Z28" s="1"/>
      <c r="AA28" s="4"/>
      <c r="AB28" s="57"/>
      <c r="AC28" s="57"/>
      <c r="AD28" s="57"/>
      <c r="AE28" s="57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6"/>
      <c r="R29" s="3"/>
      <c r="S29" s="4"/>
      <c r="T29" s="4"/>
      <c r="U29" s="4"/>
      <c r="V29" s="4"/>
      <c r="W29" s="4"/>
      <c r="X29" s="4"/>
      <c r="Y29" s="4"/>
      <c r="Z29" s="1"/>
      <c r="AA29" s="4"/>
      <c r="AB29" s="57"/>
      <c r="AC29" s="57"/>
      <c r="AD29" s="57"/>
      <c r="AE29" s="57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6"/>
      <c r="R30" s="3"/>
      <c r="S30" s="4"/>
      <c r="T30" s="4"/>
      <c r="U30" s="4"/>
      <c r="V30" s="4"/>
      <c r="W30" s="4"/>
      <c r="X30" s="4"/>
      <c r="Y30" s="4"/>
      <c r="Z30" s="1"/>
      <c r="AA30" s="4"/>
      <c r="AB30" s="57"/>
      <c r="AC30" s="57"/>
      <c r="AD30" s="57"/>
      <c r="AE30" s="57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6"/>
      <c r="R31" s="3"/>
      <c r="S31" s="4"/>
      <c r="T31" s="4"/>
      <c r="U31" s="4"/>
      <c r="V31" s="4"/>
      <c r="W31" s="4"/>
      <c r="X31" s="4"/>
      <c r="Y31" s="4"/>
      <c r="Z31" s="1"/>
      <c r="AA31" s="4"/>
      <c r="AB31" s="57"/>
      <c r="AC31" s="57"/>
      <c r="AD31" s="57"/>
      <c r="AE31" s="57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6"/>
      <c r="R32" s="3"/>
      <c r="S32" s="4"/>
      <c r="T32" s="4"/>
      <c r="U32" s="4"/>
      <c r="V32" s="4"/>
      <c r="W32" s="4"/>
      <c r="X32" s="4"/>
      <c r="Y32" s="4"/>
      <c r="Z32" s="1"/>
      <c r="AA32" s="4"/>
      <c r="AB32" s="57"/>
      <c r="AC32" s="57"/>
      <c r="AD32" s="57"/>
      <c r="AE32" s="57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6"/>
      <c r="R33" s="3"/>
      <c r="S33" s="4"/>
      <c r="T33" s="4"/>
      <c r="U33" s="4"/>
      <c r="V33" s="4"/>
      <c r="W33" s="4"/>
      <c r="X33" s="4"/>
      <c r="Y33" s="4"/>
      <c r="Z33" s="1"/>
      <c r="AA33" s="4"/>
      <c r="AB33" s="57"/>
      <c r="AC33" s="57"/>
      <c r="AD33" s="57"/>
      <c r="AE33" s="57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6"/>
      <c r="R34" s="3"/>
      <c r="S34" s="4"/>
      <c r="T34" s="4"/>
      <c r="U34" s="4"/>
      <c r="V34" s="4"/>
      <c r="W34" s="4"/>
      <c r="X34" s="4"/>
      <c r="Y34" s="4"/>
      <c r="Z34" s="1"/>
      <c r="AA34" s="4"/>
      <c r="AB34" s="57"/>
      <c r="AC34" s="57"/>
      <c r="AD34" s="57"/>
      <c r="AE34" s="57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6"/>
      <c r="R35" s="3"/>
      <c r="S35" s="4"/>
      <c r="T35" s="4"/>
      <c r="U35" s="4"/>
      <c r="V35" s="4"/>
      <c r="W35" s="4"/>
      <c r="X35" s="4"/>
      <c r="Y35" s="4"/>
      <c r="Z35" s="1"/>
      <c r="AA35" s="4"/>
      <c r="AB35" s="57"/>
      <c r="AC35" s="57"/>
      <c r="AD35" s="57"/>
      <c r="AE35" s="57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6"/>
      <c r="R36" s="3"/>
      <c r="S36" s="4"/>
      <c r="T36" s="4"/>
      <c r="U36" s="4"/>
      <c r="V36" s="4"/>
      <c r="W36" s="4"/>
      <c r="X36" s="4"/>
      <c r="Y36" s="4"/>
      <c r="Z36" s="1"/>
      <c r="AA36" s="4"/>
      <c r="AB36" s="57"/>
      <c r="AC36" s="57"/>
      <c r="AD36" s="57"/>
      <c r="AE36" s="57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6"/>
      <c r="R37" s="3"/>
      <c r="S37" s="4"/>
      <c r="T37" s="4"/>
      <c r="U37" s="4"/>
      <c r="V37" s="4"/>
      <c r="W37" s="4"/>
      <c r="X37" s="4"/>
      <c r="Y37" s="4"/>
      <c r="Z37" s="1"/>
      <c r="AA37" s="4"/>
      <c r="AB37" s="57"/>
      <c r="AC37" s="57"/>
      <c r="AD37" s="57"/>
      <c r="AE37" s="57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6"/>
      <c r="R38" s="3"/>
      <c r="S38" s="4"/>
      <c r="T38" s="4"/>
      <c r="U38" s="4"/>
      <c r="V38" s="4"/>
      <c r="W38" s="4"/>
      <c r="X38" s="4"/>
      <c r="Y38" s="4"/>
      <c r="Z38" s="1"/>
      <c r="AA38" s="4"/>
      <c r="AB38" s="57"/>
      <c r="AC38" s="57"/>
      <c r="AD38" s="57"/>
      <c r="AE38" s="57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6"/>
      <c r="R39" s="3"/>
      <c r="S39" s="4"/>
      <c r="T39" s="4"/>
      <c r="U39" s="4"/>
      <c r="V39" s="4"/>
      <c r="W39" s="4"/>
      <c r="X39" s="4"/>
      <c r="Y39" s="4"/>
      <c r="Z39" s="1"/>
      <c r="AA39" s="4"/>
      <c r="AB39" s="57"/>
      <c r="AC39" s="57"/>
      <c r="AD39" s="57"/>
      <c r="AE39" s="57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6"/>
      <c r="R40" s="3"/>
      <c r="S40" s="4"/>
      <c r="T40" s="4"/>
      <c r="U40" s="4"/>
      <c r="V40" s="4"/>
      <c r="W40" s="4"/>
      <c r="X40" s="4"/>
      <c r="Y40" s="4"/>
      <c r="Z40" s="1"/>
      <c r="AA40" s="4"/>
      <c r="AB40" s="57"/>
      <c r="AC40" s="57"/>
      <c r="AD40" s="57"/>
      <c r="AE40" s="57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6"/>
      <c r="R41" s="3"/>
      <c r="S41" s="4"/>
      <c r="T41" s="4"/>
      <c r="U41" s="4"/>
      <c r="V41" s="4"/>
      <c r="W41" s="4"/>
      <c r="X41" s="4"/>
      <c r="Y41" s="4"/>
      <c r="Z41" s="1"/>
      <c r="AA41" s="4"/>
      <c r="AB41" s="57"/>
      <c r="AC41" s="57"/>
      <c r="AD41" s="57"/>
      <c r="AE41" s="57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6"/>
      <c r="R42" s="3"/>
      <c r="S42" s="4"/>
      <c r="T42" s="4"/>
      <c r="U42" s="4"/>
      <c r="V42" s="4"/>
      <c r="W42" s="4"/>
      <c r="X42" s="4"/>
      <c r="Y42" s="4"/>
      <c r="Z42" s="1"/>
      <c r="AA42" s="4"/>
      <c r="AB42" s="57"/>
      <c r="AC42" s="57"/>
      <c r="AD42" s="57"/>
      <c r="AE42" s="57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6"/>
      <c r="R43" s="3"/>
      <c r="S43" s="4"/>
      <c r="T43" s="4"/>
      <c r="U43" s="4"/>
      <c r="V43" s="4"/>
      <c r="W43" s="4"/>
      <c r="X43" s="4"/>
      <c r="Y43" s="4"/>
      <c r="Z43" s="1"/>
      <c r="AA43" s="4"/>
      <c r="AB43" s="57"/>
      <c r="AC43" s="57"/>
      <c r="AD43" s="57"/>
      <c r="AE43" s="57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6"/>
      <c r="R44" s="3"/>
      <c r="S44" s="4"/>
      <c r="T44" s="4"/>
      <c r="U44" s="4"/>
      <c r="V44" s="4"/>
      <c r="W44" s="4"/>
      <c r="X44" s="4"/>
      <c r="Y44" s="4"/>
      <c r="Z44" s="1"/>
      <c r="AA44" s="4"/>
      <c r="AB44" s="57"/>
      <c r="AC44" s="57"/>
      <c r="AD44" s="57"/>
      <c r="AE44" s="57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6"/>
      <c r="R45" s="3"/>
      <c r="S45" s="4"/>
      <c r="T45" s="4"/>
      <c r="U45" s="4"/>
      <c r="V45" s="4"/>
      <c r="W45" s="4"/>
      <c r="X45" s="4"/>
      <c r="Y45" s="4"/>
      <c r="Z45" s="1"/>
      <c r="AA45" s="4"/>
      <c r="AB45" s="57"/>
      <c r="AC45" s="57"/>
      <c r="AD45" s="57"/>
      <c r="AE45" s="57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6"/>
      <c r="R46" s="3"/>
      <c r="S46" s="4"/>
      <c r="T46" s="4"/>
      <c r="U46" s="4"/>
      <c r="V46" s="4"/>
      <c r="W46" s="4"/>
      <c r="X46" s="4"/>
      <c r="Y46" s="4"/>
      <c r="Z46" s="1"/>
      <c r="AA46" s="4"/>
      <c r="AB46" s="57"/>
      <c r="AC46" s="57"/>
      <c r="AD46" s="57"/>
      <c r="AE46" s="57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6"/>
      <c r="R47" s="3"/>
      <c r="S47" s="4"/>
      <c r="T47" s="4"/>
      <c r="U47" s="4"/>
      <c r="V47" s="4"/>
      <c r="W47" s="4"/>
      <c r="X47" s="4"/>
      <c r="Y47" s="4"/>
      <c r="Z47" s="1"/>
      <c r="AA47" s="4"/>
      <c r="AB47" s="57"/>
      <c r="AC47" s="57"/>
      <c r="AD47" s="57"/>
      <c r="AE47" s="57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6"/>
      <c r="R48" s="3"/>
      <c r="S48" s="4"/>
      <c r="T48" s="4"/>
      <c r="U48" s="4"/>
      <c r="V48" s="4"/>
      <c r="W48" s="4"/>
      <c r="X48" s="4"/>
      <c r="Y48" s="4"/>
      <c r="Z48" s="1"/>
      <c r="AA48" s="4"/>
      <c r="AB48" s="57"/>
      <c r="AC48" s="57"/>
      <c r="AD48" s="57"/>
      <c r="AE48" s="57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6"/>
      <c r="R49" s="3"/>
      <c r="S49" s="4"/>
      <c r="T49" s="4"/>
      <c r="U49" s="4"/>
      <c r="V49" s="4"/>
      <c r="W49" s="4"/>
      <c r="X49" s="4"/>
      <c r="Y49" s="4"/>
      <c r="Z49" s="1"/>
      <c r="AA49" s="4"/>
      <c r="AB49" s="57"/>
      <c r="AC49" s="57"/>
      <c r="AD49" s="57"/>
      <c r="AE49" s="57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6"/>
      <c r="R50" s="3"/>
      <c r="S50" s="4"/>
      <c r="T50" s="4"/>
      <c r="U50" s="4"/>
      <c r="V50" s="4"/>
      <c r="W50" s="4"/>
      <c r="X50" s="4"/>
      <c r="Y50" s="4"/>
      <c r="Z50" s="1"/>
      <c r="AA50" s="4"/>
      <c r="AB50" s="57"/>
      <c r="AC50" s="57"/>
      <c r="AD50" s="57"/>
      <c r="AE50" s="57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6"/>
      <c r="R51" s="3"/>
      <c r="S51" s="4"/>
      <c r="T51" s="4"/>
      <c r="U51" s="4"/>
      <c r="V51" s="4"/>
      <c r="W51" s="4"/>
      <c r="X51" s="4"/>
      <c r="Y51" s="4"/>
      <c r="Z51" s="1"/>
      <c r="AA51" s="4"/>
      <c r="AB51" s="57"/>
      <c r="AC51" s="57"/>
      <c r="AD51" s="57"/>
      <c r="AE51" s="57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6"/>
      <c r="R52" s="3"/>
      <c r="S52" s="4"/>
      <c r="T52" s="4"/>
      <c r="U52" s="4"/>
      <c r="V52" s="4"/>
      <c r="W52" s="4"/>
      <c r="X52" s="4"/>
      <c r="Y52" s="4"/>
      <c r="Z52" s="1"/>
      <c r="AA52" s="4"/>
      <c r="AB52" s="57"/>
      <c r="AC52" s="57"/>
      <c r="AD52" s="57"/>
      <c r="AE52" s="57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6"/>
      <c r="R53" s="3"/>
      <c r="S53" s="4"/>
      <c r="T53" s="4"/>
      <c r="U53" s="4"/>
      <c r="V53" s="4"/>
      <c r="W53" s="4"/>
      <c r="X53" s="4"/>
      <c r="Y53" s="4"/>
      <c r="Z53" s="1"/>
      <c r="AA53" s="4"/>
      <c r="AB53" s="57"/>
      <c r="AC53" s="57"/>
      <c r="AD53" s="57"/>
      <c r="AE53" s="57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6"/>
      <c r="R54" s="3"/>
      <c r="S54" s="4"/>
      <c r="T54" s="4"/>
      <c r="U54" s="4"/>
      <c r="V54" s="4"/>
      <c r="W54" s="4"/>
      <c r="X54" s="4"/>
      <c r="Y54" s="4"/>
      <c r="Z54" s="1"/>
      <c r="AA54" s="4"/>
      <c r="AB54" s="57"/>
      <c r="AC54" s="57"/>
      <c r="AD54" s="57"/>
      <c r="AE54" s="57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6"/>
      <c r="R55" s="3"/>
      <c r="S55" s="4"/>
      <c r="T55" s="4"/>
      <c r="U55" s="4"/>
      <c r="V55" s="4"/>
      <c r="W55" s="4"/>
      <c r="X55" s="4"/>
      <c r="Y55" s="4"/>
      <c r="Z55" s="1"/>
      <c r="AA55" s="4"/>
      <c r="AB55" s="57"/>
      <c r="AC55" s="57"/>
      <c r="AD55" s="57"/>
      <c r="AE55" s="57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6"/>
      <c r="R56" s="3"/>
      <c r="S56" s="4"/>
      <c r="T56" s="4"/>
      <c r="U56" s="4"/>
      <c r="V56" s="4"/>
      <c r="W56" s="4"/>
      <c r="X56" s="4"/>
      <c r="Y56" s="4"/>
      <c r="Z56" s="1"/>
      <c r="AA56" s="4"/>
      <c r="AB56" s="57"/>
      <c r="AC56" s="57"/>
      <c r="AD56" s="57"/>
      <c r="AE56" s="57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6"/>
      <c r="R57" s="3"/>
      <c r="S57" s="4"/>
      <c r="T57" s="4"/>
      <c r="U57" s="4"/>
      <c r="V57" s="4"/>
      <c r="W57" s="4"/>
      <c r="X57" s="4"/>
      <c r="Y57" s="4"/>
      <c r="Z57" s="1"/>
      <c r="AA57" s="4"/>
      <c r="AB57" s="57"/>
      <c r="AC57" s="57"/>
      <c r="AD57" s="57"/>
      <c r="AE57" s="57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6"/>
      <c r="R58" s="3"/>
      <c r="S58" s="4"/>
      <c r="T58" s="4"/>
      <c r="U58" s="4"/>
      <c r="V58" s="4"/>
      <c r="W58" s="4"/>
      <c r="X58" s="4"/>
      <c r="Y58" s="4"/>
      <c r="Z58" s="1"/>
      <c r="AA58" s="4"/>
      <c r="AB58" s="57"/>
      <c r="AC58" s="57"/>
      <c r="AD58" s="57"/>
      <c r="AE58" s="57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6"/>
      <c r="R59" s="3"/>
      <c r="S59" s="4"/>
      <c r="T59" s="4"/>
      <c r="U59" s="4"/>
      <c r="V59" s="4"/>
      <c r="W59" s="4"/>
      <c r="X59" s="4"/>
      <c r="Y59" s="4"/>
      <c r="Z59" s="1"/>
      <c r="AA59" s="4"/>
      <c r="AB59" s="57"/>
      <c r="AC59" s="57"/>
      <c r="AD59" s="57"/>
      <c r="AE59" s="57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6"/>
      <c r="R60" s="3"/>
      <c r="S60" s="4"/>
      <c r="T60" s="4"/>
      <c r="U60" s="4"/>
      <c r="V60" s="4"/>
      <c r="W60" s="4"/>
      <c r="X60" s="4"/>
      <c r="Y60" s="4"/>
      <c r="Z60" s="1"/>
      <c r="AA60" s="4"/>
      <c r="AB60" s="57"/>
      <c r="AC60" s="57"/>
      <c r="AD60" s="57"/>
      <c r="AE60" s="57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6"/>
      <c r="R61" s="3"/>
      <c r="S61" s="4"/>
      <c r="T61" s="4"/>
      <c r="U61" s="4"/>
      <c r="V61" s="4"/>
      <c r="W61" s="4"/>
      <c r="X61" s="4"/>
      <c r="Y61" s="4"/>
      <c r="Z61" s="1"/>
      <c r="AA61" s="4"/>
      <c r="AB61" s="57"/>
      <c r="AC61" s="57"/>
      <c r="AD61" s="57"/>
      <c r="AE61" s="57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6"/>
      <c r="R62" s="3"/>
      <c r="S62" s="4"/>
      <c r="T62" s="4"/>
      <c r="U62" s="4"/>
      <c r="V62" s="4"/>
      <c r="W62" s="4"/>
      <c r="X62" s="4"/>
      <c r="Y62" s="4"/>
      <c r="Z62" s="1"/>
      <c r="AA62" s="4"/>
      <c r="AB62" s="57"/>
      <c r="AC62" s="57"/>
      <c r="AD62" s="57"/>
      <c r="AE62" s="57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6"/>
      <c r="R63" s="3"/>
      <c r="S63" s="4"/>
      <c r="T63" s="4"/>
      <c r="U63" s="4"/>
      <c r="V63" s="4"/>
      <c r="W63" s="4"/>
      <c r="X63" s="4"/>
      <c r="Y63" s="4"/>
      <c r="Z63" s="1"/>
      <c r="AA63" s="4"/>
      <c r="AB63" s="57"/>
      <c r="AC63" s="57"/>
      <c r="AD63" s="57"/>
      <c r="AE63" s="57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6"/>
      <c r="R64" s="3"/>
      <c r="S64" s="4"/>
      <c r="T64" s="4"/>
      <c r="U64" s="4"/>
      <c r="V64" s="4"/>
      <c r="W64" s="4"/>
      <c r="X64" s="4"/>
      <c r="Y64" s="4"/>
      <c r="Z64" s="1"/>
      <c r="AA64" s="4"/>
      <c r="AB64" s="57"/>
      <c r="AC64" s="57"/>
      <c r="AD64" s="57"/>
      <c r="AE64" s="57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6"/>
      <c r="R65" s="3"/>
      <c r="S65" s="4"/>
      <c r="T65" s="4"/>
      <c r="U65" s="4"/>
      <c r="V65" s="4"/>
      <c r="W65" s="4"/>
      <c r="X65" s="4"/>
      <c r="Y65" s="4"/>
      <c r="Z65" s="1"/>
      <c r="AA65" s="4"/>
      <c r="AB65" s="57"/>
      <c r="AC65" s="57"/>
      <c r="AD65" s="57"/>
      <c r="AE65" s="57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6"/>
      <c r="R66" s="3"/>
      <c r="S66" s="4"/>
      <c r="T66" s="4"/>
      <c r="U66" s="4"/>
      <c r="V66" s="4"/>
      <c r="W66" s="4"/>
      <c r="X66" s="4"/>
      <c r="Y66" s="4"/>
      <c r="Z66" s="1"/>
      <c r="AA66" s="4"/>
      <c r="AB66" s="57"/>
      <c r="AC66" s="57"/>
      <c r="AD66" s="57"/>
      <c r="AE66" s="57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6"/>
      <c r="R67" s="3"/>
      <c r="S67" s="4"/>
      <c r="T67" s="4"/>
      <c r="U67" s="4"/>
      <c r="V67" s="4"/>
      <c r="W67" s="4"/>
      <c r="X67" s="4"/>
      <c r="Y67" s="4"/>
      <c r="Z67" s="1"/>
      <c r="AA67" s="4"/>
      <c r="AB67" s="57"/>
      <c r="AC67" s="57"/>
      <c r="AD67" s="57"/>
      <c r="AE67" s="57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6"/>
      <c r="R68" s="3"/>
      <c r="S68" s="4"/>
      <c r="T68" s="4"/>
      <c r="U68" s="4"/>
      <c r="V68" s="4"/>
      <c r="W68" s="4"/>
      <c r="X68" s="4"/>
      <c r="Y68" s="4"/>
      <c r="Z68" s="1"/>
      <c r="AA68" s="4"/>
      <c r="AB68" s="57"/>
      <c r="AC68" s="57"/>
      <c r="AD68" s="57"/>
      <c r="AE68" s="57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6"/>
      <c r="R69" s="3"/>
      <c r="S69" s="4"/>
      <c r="T69" s="4"/>
      <c r="U69" s="4"/>
      <c r="V69" s="4"/>
      <c r="W69" s="4"/>
      <c r="X69" s="4"/>
      <c r="Y69" s="4"/>
      <c r="Z69" s="1"/>
      <c r="AA69" s="4"/>
      <c r="AB69" s="57"/>
      <c r="AC69" s="57"/>
      <c r="AD69" s="57"/>
      <c r="AE69" s="57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6"/>
      <c r="R70" s="3"/>
      <c r="S70" s="4"/>
      <c r="T70" s="4"/>
      <c r="U70" s="4"/>
      <c r="V70" s="4"/>
      <c r="W70" s="4"/>
      <c r="X70" s="4"/>
      <c r="Y70" s="4"/>
      <c r="Z70" s="1"/>
      <c r="AA70" s="4"/>
      <c r="AB70" s="57"/>
      <c r="AC70" s="57"/>
      <c r="AD70" s="57"/>
      <c r="AE70" s="57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6"/>
      <c r="R71" s="3"/>
      <c r="S71" s="4"/>
      <c r="T71" s="4"/>
      <c r="U71" s="4"/>
      <c r="V71" s="4"/>
      <c r="W71" s="4"/>
      <c r="X71" s="4"/>
      <c r="Y71" s="4"/>
      <c r="Z71" s="1"/>
      <c r="AA71" s="4"/>
      <c r="AB71" s="57"/>
      <c r="AC71" s="57"/>
      <c r="AD71" s="57"/>
      <c r="AE71" s="57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6"/>
      <c r="R72" s="3"/>
      <c r="S72" s="4"/>
      <c r="T72" s="4"/>
      <c r="U72" s="4"/>
      <c r="V72" s="4"/>
      <c r="W72" s="4"/>
      <c r="X72" s="4"/>
      <c r="Y72" s="4"/>
      <c r="Z72" s="1"/>
      <c r="AA72" s="4"/>
      <c r="AB72" s="57"/>
      <c r="AC72" s="57"/>
      <c r="AD72" s="57"/>
      <c r="AE72" s="57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6"/>
      <c r="R73" s="3"/>
      <c r="S73" s="4"/>
      <c r="T73" s="4"/>
      <c r="U73" s="4"/>
      <c r="V73" s="4"/>
      <c r="W73" s="4"/>
      <c r="X73" s="4"/>
      <c r="Y73" s="4"/>
      <c r="Z73" s="1"/>
      <c r="AA73" s="4"/>
      <c r="AB73" s="57"/>
      <c r="AC73" s="57"/>
      <c r="AD73" s="57"/>
      <c r="AE73" s="57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6"/>
      <c r="R74" s="3"/>
      <c r="S74" s="4"/>
      <c r="T74" s="4"/>
      <c r="U74" s="4"/>
      <c r="V74" s="4"/>
      <c r="W74" s="4"/>
      <c r="X74" s="4"/>
      <c r="Y74" s="4"/>
      <c r="Z74" s="1"/>
      <c r="AA74" s="4"/>
      <c r="AB74" s="57"/>
      <c r="AC74" s="57"/>
      <c r="AD74" s="57"/>
      <c r="AE74" s="57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6"/>
      <c r="R75" s="3"/>
      <c r="S75" s="4"/>
      <c r="T75" s="4"/>
      <c r="U75" s="4"/>
      <c r="V75" s="4"/>
      <c r="W75" s="4"/>
      <c r="X75" s="4"/>
      <c r="Y75" s="4"/>
      <c r="Z75" s="1"/>
      <c r="AA75" s="4"/>
      <c r="AB75" s="57"/>
      <c r="AC75" s="57"/>
      <c r="AD75" s="57"/>
      <c r="AE75" s="57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6"/>
      <c r="R76" s="3"/>
      <c r="S76" s="4"/>
      <c r="T76" s="4"/>
      <c r="U76" s="4"/>
      <c r="V76" s="4"/>
      <c r="W76" s="4"/>
      <c r="X76" s="4"/>
      <c r="Y76" s="4"/>
      <c r="Z76" s="1"/>
      <c r="AA76" s="4"/>
      <c r="AB76" s="57"/>
      <c r="AC76" s="57"/>
      <c r="AD76" s="57"/>
      <c r="AE76" s="57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6"/>
      <c r="R77" s="3"/>
      <c r="S77" s="4"/>
      <c r="T77" s="4"/>
      <c r="U77" s="4"/>
      <c r="V77" s="4"/>
      <c r="W77" s="4"/>
      <c r="X77" s="4"/>
      <c r="Y77" s="4"/>
      <c r="Z77" s="1"/>
      <c r="AA77" s="4"/>
      <c r="AB77" s="57"/>
      <c r="AC77" s="57"/>
      <c r="AD77" s="57"/>
      <c r="AE77" s="57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6"/>
      <c r="R78" s="3"/>
      <c r="S78" s="4"/>
      <c r="T78" s="4"/>
      <c r="U78" s="4"/>
      <c r="V78" s="4"/>
      <c r="W78" s="4"/>
      <c r="X78" s="4"/>
      <c r="Y78" s="4"/>
      <c r="Z78" s="1"/>
      <c r="AA78" s="4"/>
      <c r="AB78" s="57"/>
      <c r="AC78" s="57"/>
      <c r="AD78" s="57"/>
      <c r="AE78" s="57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6"/>
      <c r="R79" s="3"/>
      <c r="S79" s="4"/>
      <c r="T79" s="4"/>
      <c r="U79" s="4"/>
      <c r="V79" s="4"/>
      <c r="W79" s="4"/>
      <c r="X79" s="4"/>
      <c r="Y79" s="4"/>
      <c r="Z79" s="1"/>
      <c r="AA79" s="4"/>
      <c r="AB79" s="57"/>
      <c r="AC79" s="57"/>
      <c r="AD79" s="57"/>
      <c r="AE79" s="57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6"/>
      <c r="R80" s="3"/>
      <c r="S80" s="4"/>
      <c r="T80" s="4"/>
      <c r="U80" s="4"/>
      <c r="V80" s="4"/>
      <c r="W80" s="4"/>
      <c r="X80" s="4"/>
      <c r="Y80" s="4"/>
      <c r="Z80" s="1"/>
      <c r="AA80" s="4"/>
      <c r="AB80" s="57"/>
      <c r="AC80" s="57"/>
      <c r="AD80" s="57"/>
      <c r="AE80" s="57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6"/>
      <c r="R81" s="3"/>
      <c r="S81" s="4"/>
      <c r="T81" s="4"/>
      <c r="U81" s="4"/>
      <c r="V81" s="4"/>
      <c r="W81" s="4"/>
      <c r="X81" s="4"/>
      <c r="Y81" s="4"/>
      <c r="Z81" s="1"/>
      <c r="AA81" s="4"/>
      <c r="AB81" s="57"/>
      <c r="AC81" s="57"/>
      <c r="AD81" s="57"/>
      <c r="AE81" s="57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6"/>
      <c r="R82" s="3"/>
      <c r="S82" s="4"/>
      <c r="T82" s="4"/>
      <c r="U82" s="4"/>
      <c r="V82" s="4"/>
      <c r="W82" s="4"/>
      <c r="X82" s="4"/>
      <c r="Y82" s="4"/>
      <c r="Z82" s="1"/>
      <c r="AA82" s="4"/>
      <c r="AB82" s="57"/>
      <c r="AC82" s="57"/>
      <c r="AD82" s="57"/>
      <c r="AE82" s="57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6"/>
      <c r="R83" s="3"/>
      <c r="S83" s="4"/>
      <c r="T83" s="4"/>
      <c r="U83" s="4"/>
      <c r="V83" s="4"/>
      <c r="W83" s="4"/>
      <c r="X83" s="4"/>
      <c r="Y83" s="4"/>
      <c r="Z83" s="1"/>
      <c r="AA83" s="4"/>
      <c r="AB83" s="57"/>
      <c r="AC83" s="57"/>
      <c r="AD83" s="57"/>
      <c r="AE83" s="57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6"/>
      <c r="R84" s="3"/>
      <c r="S84" s="4"/>
      <c r="T84" s="4"/>
      <c r="U84" s="4"/>
      <c r="V84" s="4"/>
      <c r="W84" s="4"/>
      <c r="X84" s="4"/>
      <c r="Y84" s="4"/>
      <c r="Z84" s="1"/>
      <c r="AA84" s="4"/>
      <c r="AB84" s="57"/>
      <c r="AC84" s="57"/>
      <c r="AD84" s="57"/>
      <c r="AE84" s="57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6"/>
      <c r="R85" s="3"/>
      <c r="S85" s="4"/>
      <c r="T85" s="4"/>
      <c r="U85" s="4"/>
      <c r="V85" s="4"/>
      <c r="W85" s="4"/>
      <c r="X85" s="4"/>
      <c r="Y85" s="4"/>
      <c r="Z85" s="1"/>
      <c r="AA85" s="4"/>
      <c r="AB85" s="57"/>
      <c r="AC85" s="57"/>
      <c r="AD85" s="57"/>
      <c r="AE85" s="57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6"/>
      <c r="R86" s="3"/>
      <c r="S86" s="4"/>
      <c r="T86" s="4"/>
      <c r="U86" s="4"/>
      <c r="V86" s="4"/>
      <c r="W86" s="4"/>
      <c r="X86" s="4"/>
      <c r="Y86" s="4"/>
      <c r="Z86" s="1"/>
      <c r="AA86" s="4"/>
      <c r="AB86" s="57"/>
      <c r="AC86" s="57"/>
      <c r="AD86" s="57"/>
      <c r="AE86" s="57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6"/>
      <c r="R87" s="3"/>
      <c r="S87" s="4"/>
      <c r="T87" s="4"/>
      <c r="U87" s="4"/>
      <c r="V87" s="4"/>
      <c r="W87" s="4"/>
      <c r="X87" s="4"/>
      <c r="Y87" s="4"/>
      <c r="Z87" s="1"/>
      <c r="AA87" s="4"/>
      <c r="AB87" s="57"/>
      <c r="AC87" s="57"/>
      <c r="AD87" s="57"/>
      <c r="AE87" s="57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6"/>
      <c r="R88" s="3"/>
      <c r="S88" s="4"/>
      <c r="T88" s="4"/>
      <c r="U88" s="4"/>
      <c r="V88" s="4"/>
      <c r="W88" s="4"/>
      <c r="X88" s="4"/>
      <c r="Y88" s="4"/>
      <c r="Z88" s="1"/>
      <c r="AA88" s="4"/>
      <c r="AB88" s="57"/>
      <c r="AC88" s="57"/>
      <c r="AD88" s="57"/>
      <c r="AE88" s="57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6"/>
      <c r="R89" s="3"/>
      <c r="S89" s="4"/>
      <c r="T89" s="4"/>
      <c r="U89" s="4"/>
      <c r="V89" s="4"/>
      <c r="W89" s="4"/>
      <c r="X89" s="4"/>
      <c r="Y89" s="4"/>
      <c r="Z89" s="1"/>
      <c r="AA89" s="4"/>
      <c r="AB89" s="57"/>
      <c r="AC89" s="57"/>
      <c r="AD89" s="57"/>
      <c r="AE89" s="57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6"/>
      <c r="R90" s="3"/>
      <c r="S90" s="4"/>
      <c r="T90" s="4"/>
      <c r="U90" s="4"/>
      <c r="V90" s="4"/>
      <c r="W90" s="4"/>
      <c r="X90" s="4"/>
      <c r="Y90" s="4"/>
      <c r="Z90" s="1"/>
      <c r="AA90" s="4"/>
      <c r="AB90" s="57"/>
      <c r="AC90" s="57"/>
      <c r="AD90" s="57"/>
      <c r="AE90" s="57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6"/>
      <c r="R91" s="3"/>
      <c r="S91" s="4"/>
      <c r="T91" s="4"/>
      <c r="U91" s="4"/>
      <c r="V91" s="4"/>
      <c r="W91" s="4"/>
      <c r="X91" s="4"/>
      <c r="Y91" s="4"/>
      <c r="Z91" s="1"/>
      <c r="AA91" s="4"/>
      <c r="AB91" s="57"/>
      <c r="AC91" s="57"/>
      <c r="AD91" s="57"/>
      <c r="AE91" s="57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6"/>
      <c r="R92" s="3"/>
      <c r="S92" s="4"/>
      <c r="T92" s="4"/>
      <c r="U92" s="4"/>
      <c r="V92" s="4"/>
      <c r="W92" s="4"/>
      <c r="X92" s="4"/>
      <c r="Y92" s="4"/>
      <c r="Z92" s="1"/>
      <c r="AA92" s="4"/>
      <c r="AB92" s="57"/>
      <c r="AC92" s="57"/>
      <c r="AD92" s="57"/>
      <c r="AE92" s="57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6"/>
      <c r="R93" s="3"/>
      <c r="S93" s="4"/>
      <c r="T93" s="4"/>
      <c r="U93" s="4"/>
      <c r="V93" s="4"/>
      <c r="W93" s="4"/>
      <c r="X93" s="4"/>
      <c r="Y93" s="4"/>
      <c r="Z93" s="1"/>
      <c r="AA93" s="4"/>
      <c r="AB93" s="57"/>
      <c r="AC93" s="57"/>
      <c r="AD93" s="57"/>
      <c r="AE93" s="57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6"/>
      <c r="R94" s="3"/>
      <c r="S94" s="4"/>
      <c r="T94" s="4"/>
      <c r="U94" s="4"/>
      <c r="V94" s="4"/>
      <c r="W94" s="4"/>
      <c r="X94" s="4"/>
      <c r="Y94" s="4"/>
      <c r="Z94" s="1"/>
      <c r="AA94" s="4"/>
      <c r="AB94" s="57"/>
      <c r="AC94" s="57"/>
      <c r="AD94" s="57"/>
      <c r="AE94" s="57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6"/>
      <c r="R95" s="3"/>
      <c r="S95" s="4"/>
      <c r="T95" s="4"/>
      <c r="U95" s="4"/>
      <c r="V95" s="4"/>
      <c r="W95" s="4"/>
      <c r="X95" s="4"/>
      <c r="Y95" s="4"/>
      <c r="Z95" s="1"/>
      <c r="AA95" s="4"/>
      <c r="AB95" s="57"/>
      <c r="AC95" s="57"/>
      <c r="AD95" s="57"/>
      <c r="AE95" s="57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6"/>
      <c r="R96" s="3"/>
      <c r="S96" s="4"/>
      <c r="T96" s="4"/>
      <c r="U96" s="4"/>
      <c r="V96" s="4"/>
      <c r="W96" s="4"/>
      <c r="X96" s="4"/>
      <c r="Y96" s="4"/>
      <c r="Z96" s="1"/>
      <c r="AA96" s="4"/>
      <c r="AB96" s="57"/>
      <c r="AC96" s="57"/>
      <c r="AD96" s="57"/>
      <c r="AE96" s="57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6"/>
      <c r="R97" s="3"/>
      <c r="S97" s="4"/>
      <c r="T97" s="4"/>
      <c r="U97" s="4"/>
      <c r="V97" s="4"/>
      <c r="W97" s="4"/>
      <c r="X97" s="4"/>
      <c r="Y97" s="4"/>
      <c r="Z97" s="1"/>
      <c r="AA97" s="4"/>
      <c r="AB97" s="57"/>
      <c r="AC97" s="57"/>
      <c r="AD97" s="57"/>
      <c r="AE97" s="57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6"/>
      <c r="R98" s="3"/>
      <c r="S98" s="4"/>
      <c r="T98" s="4"/>
      <c r="U98" s="4"/>
      <c r="V98" s="4"/>
      <c r="W98" s="4"/>
      <c r="X98" s="4"/>
      <c r="Y98" s="4"/>
      <c r="Z98" s="1"/>
      <c r="AA98" s="4"/>
      <c r="AB98" s="57"/>
      <c r="AC98" s="57"/>
      <c r="AD98" s="57"/>
      <c r="AE98" s="57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6"/>
      <c r="R99" s="3"/>
      <c r="S99" s="4"/>
      <c r="T99" s="4"/>
      <c r="U99" s="4"/>
      <c r="V99" s="4"/>
      <c r="W99" s="4"/>
      <c r="X99" s="4"/>
      <c r="Y99" s="4"/>
      <c r="Z99" s="1"/>
      <c r="AA99" s="4"/>
      <c r="AB99" s="57"/>
      <c r="AC99" s="57"/>
      <c r="AD99" s="57"/>
      <c r="AE99" s="57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6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7"/>
      <c r="AC100" s="57"/>
      <c r="AD100" s="57"/>
      <c r="AE100" s="57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6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7"/>
      <c r="AC101" s="57"/>
      <c r="AD101" s="57"/>
      <c r="AE101" s="57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6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7"/>
      <c r="AC102" s="57"/>
      <c r="AD102" s="57"/>
      <c r="AE102" s="57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6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7"/>
      <c r="AC103" s="57"/>
      <c r="AD103" s="57"/>
      <c r="AE103" s="57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6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7"/>
      <c r="AC104" s="57"/>
      <c r="AD104" s="57"/>
      <c r="AE104" s="57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6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7"/>
      <c r="AC105" s="57"/>
      <c r="AD105" s="57"/>
      <c r="AE105" s="57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6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7"/>
      <c r="AC106" s="57"/>
      <c r="AD106" s="57"/>
      <c r="AE106" s="57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6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7"/>
      <c r="AC107" s="57"/>
      <c r="AD107" s="57"/>
      <c r="AE107" s="57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6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7"/>
      <c r="AC108" s="57"/>
      <c r="AD108" s="57"/>
      <c r="AE108" s="57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6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7"/>
      <c r="AC109" s="57"/>
      <c r="AD109" s="57"/>
      <c r="AE109" s="57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6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7"/>
      <c r="AC110" s="57"/>
      <c r="AD110" s="57"/>
      <c r="AE110" s="57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6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7"/>
      <c r="AC111" s="57"/>
      <c r="AD111" s="57"/>
      <c r="AE111" s="57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6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7"/>
      <c r="AC112" s="57"/>
      <c r="AD112" s="57"/>
      <c r="AE112" s="57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6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7"/>
      <c r="AC113" s="57"/>
      <c r="AD113" s="57"/>
      <c r="AE113" s="57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6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7"/>
      <c r="AC114" s="57"/>
      <c r="AD114" s="57"/>
      <c r="AE114" s="57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6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7"/>
      <c r="AC115" s="57"/>
      <c r="AD115" s="57"/>
      <c r="AE115" s="57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6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7"/>
      <c r="AC116" s="57"/>
      <c r="AD116" s="57"/>
      <c r="AE116" s="57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6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7"/>
      <c r="AC117" s="57"/>
      <c r="AD117" s="57"/>
      <c r="AE117" s="57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6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7"/>
      <c r="AC118" s="57"/>
      <c r="AD118" s="57"/>
      <c r="AE118" s="57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6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7"/>
      <c r="AC119" s="57"/>
      <c r="AD119" s="57"/>
      <c r="AE119" s="57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6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7"/>
      <c r="AC120" s="57"/>
      <c r="AD120" s="57"/>
      <c r="AE120" s="57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6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7"/>
      <c r="AC121" s="57"/>
      <c r="AD121" s="57"/>
      <c r="AE121" s="57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6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7"/>
      <c r="AC122" s="57"/>
      <c r="AD122" s="57"/>
      <c r="AE122" s="57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6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7"/>
      <c r="AC123" s="57"/>
      <c r="AD123" s="57"/>
      <c r="AE123" s="57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6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7"/>
      <c r="AC124" s="57"/>
      <c r="AD124" s="57"/>
      <c r="AE124" s="57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6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7"/>
      <c r="AC125" s="57"/>
      <c r="AD125" s="57"/>
      <c r="AE125" s="57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6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7"/>
      <c r="AC126" s="57"/>
      <c r="AD126" s="57"/>
      <c r="AE126" s="57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6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7"/>
      <c r="AC127" s="57"/>
      <c r="AD127" s="57"/>
      <c r="AE127" s="57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6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7"/>
      <c r="AC128" s="57"/>
      <c r="AD128" s="57"/>
      <c r="AE128" s="57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6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7"/>
      <c r="AC129" s="57"/>
      <c r="AD129" s="57"/>
      <c r="AE129" s="57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6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7"/>
      <c r="AC130" s="57"/>
      <c r="AD130" s="57"/>
      <c r="AE130" s="57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6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7"/>
      <c r="AC131" s="57"/>
      <c r="AD131" s="57"/>
      <c r="AE131" s="57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6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7"/>
      <c r="AC132" s="57"/>
      <c r="AD132" s="57"/>
      <c r="AE132" s="57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6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7"/>
      <c r="AC133" s="57"/>
      <c r="AD133" s="57"/>
      <c r="AE133" s="57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6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7"/>
      <c r="AC134" s="57"/>
      <c r="AD134" s="57"/>
      <c r="AE134" s="57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6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7"/>
      <c r="AC135" s="57"/>
      <c r="AD135" s="57"/>
      <c r="AE135" s="57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6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7"/>
      <c r="AC136" s="57"/>
      <c r="AD136" s="57"/>
      <c r="AE136" s="57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6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7"/>
      <c r="AC137" s="57"/>
      <c r="AD137" s="57"/>
      <c r="AE137" s="57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6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7"/>
      <c r="AC138" s="57"/>
      <c r="AD138" s="57"/>
      <c r="AE138" s="57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6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7"/>
      <c r="AC139" s="57"/>
      <c r="AD139" s="57"/>
      <c r="AE139" s="57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6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7"/>
      <c r="AC140" s="57"/>
      <c r="AD140" s="57"/>
      <c r="AE140" s="57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6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7"/>
      <c r="AC141" s="57"/>
      <c r="AD141" s="57"/>
      <c r="AE141" s="57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6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7"/>
      <c r="AC142" s="57"/>
      <c r="AD142" s="57"/>
      <c r="AE142" s="57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6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7"/>
      <c r="AC143" s="57"/>
      <c r="AD143" s="57"/>
      <c r="AE143" s="57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6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7"/>
      <c r="AC144" s="57"/>
      <c r="AD144" s="57"/>
      <c r="AE144" s="57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6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7"/>
      <c r="AC145" s="57"/>
      <c r="AD145" s="57"/>
      <c r="AE145" s="57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6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7"/>
      <c r="AC146" s="57"/>
      <c r="AD146" s="57"/>
      <c r="AE146" s="57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6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7"/>
      <c r="AC147" s="57"/>
      <c r="AD147" s="57"/>
      <c r="AE147" s="57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6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7"/>
      <c r="AC148" s="57"/>
      <c r="AD148" s="57"/>
      <c r="AE148" s="57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6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7"/>
      <c r="AC149" s="57"/>
      <c r="AD149" s="57"/>
      <c r="AE149" s="57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6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7"/>
      <c r="AC150" s="57"/>
      <c r="AD150" s="57"/>
      <c r="AE150" s="57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6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7"/>
      <c r="AC151" s="57"/>
      <c r="AD151" s="57"/>
      <c r="AE151" s="57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6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7"/>
      <c r="AC152" s="57"/>
      <c r="AD152" s="57"/>
      <c r="AE152" s="57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6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7"/>
      <c r="AC153" s="57"/>
      <c r="AD153" s="57"/>
      <c r="AE153" s="57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6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7"/>
      <c r="AC154" s="57"/>
      <c r="AD154" s="57"/>
      <c r="AE154" s="57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6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7"/>
      <c r="AC155" s="57"/>
      <c r="AD155" s="57"/>
      <c r="AE155" s="57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6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7"/>
      <c r="AC156" s="57"/>
      <c r="AD156" s="57"/>
      <c r="AE156" s="57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6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7"/>
      <c r="AC157" s="57"/>
      <c r="AD157" s="57"/>
      <c r="AE157" s="57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6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7"/>
      <c r="AC158" s="57"/>
      <c r="AD158" s="57"/>
      <c r="AE158" s="57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6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7"/>
      <c r="AC159" s="57"/>
      <c r="AD159" s="57"/>
      <c r="AE159" s="57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6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7"/>
      <c r="AC160" s="57"/>
      <c r="AD160" s="57"/>
      <c r="AE160" s="57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6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7"/>
      <c r="AC161" s="57"/>
      <c r="AD161" s="57"/>
      <c r="AE161" s="57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6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7"/>
      <c r="AC162" s="57"/>
      <c r="AD162" s="57"/>
      <c r="AE162" s="57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6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7"/>
      <c r="AC163" s="57"/>
      <c r="AD163" s="57"/>
      <c r="AE163" s="57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6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7"/>
      <c r="AC164" s="57"/>
      <c r="AD164" s="57"/>
      <c r="AE164" s="57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6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7"/>
      <c r="AC165" s="57"/>
      <c r="AD165" s="57"/>
      <c r="AE165" s="57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6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7"/>
      <c r="AC166" s="57"/>
      <c r="AD166" s="57"/>
      <c r="AE166" s="57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6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7"/>
      <c r="AC167" s="57"/>
      <c r="AD167" s="57"/>
      <c r="AE167" s="57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6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7"/>
      <c r="AC168" s="57"/>
      <c r="AD168" s="57"/>
      <c r="AE168" s="57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6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7"/>
      <c r="AC169" s="57"/>
      <c r="AD169" s="57"/>
      <c r="AE169" s="57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6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7"/>
      <c r="AC170" s="57"/>
      <c r="AD170" s="57"/>
      <c r="AE170" s="57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6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7"/>
      <c r="AC171" s="57"/>
      <c r="AD171" s="57"/>
      <c r="AE171" s="57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6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7"/>
      <c r="AC172" s="57"/>
      <c r="AD172" s="57"/>
      <c r="AE172" s="57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6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57"/>
      <c r="AC173" s="57"/>
      <c r="AD173" s="57"/>
      <c r="AE173" s="57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6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57"/>
      <c r="AC174" s="57"/>
      <c r="AD174" s="57"/>
      <c r="AE174" s="57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6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57"/>
      <c r="AC175" s="57"/>
      <c r="AD175" s="57"/>
      <c r="AE175" s="57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6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57"/>
      <c r="AC176" s="57"/>
      <c r="AD176" s="57"/>
      <c r="AE176" s="57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6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57"/>
      <c r="AC177" s="57"/>
      <c r="AD177" s="57"/>
      <c r="AE177" s="57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6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57"/>
      <c r="AC178" s="57"/>
      <c r="AD178" s="57"/>
      <c r="AE178" s="57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6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57"/>
      <c r="AC179" s="57"/>
      <c r="AD179" s="57"/>
      <c r="AE179" s="57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6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57"/>
      <c r="AC180" s="57"/>
      <c r="AD180" s="57"/>
      <c r="AE180" s="57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6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57"/>
      <c r="AC181" s="57"/>
      <c r="AD181" s="57"/>
      <c r="AE181" s="57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6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57"/>
      <c r="AC182" s="57"/>
      <c r="AD182" s="57"/>
      <c r="AE182" s="57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6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57"/>
      <c r="AC183" s="57"/>
      <c r="AD183" s="57"/>
      <c r="AE183" s="57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6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57"/>
      <c r="AC184" s="57"/>
      <c r="AD184" s="57"/>
      <c r="AE184" s="57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6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57"/>
      <c r="AC185" s="57"/>
      <c r="AD185" s="57"/>
      <c r="AE185" s="57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6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57"/>
      <c r="AC186" s="57"/>
      <c r="AD186" s="57"/>
      <c r="AE186" s="57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6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57"/>
      <c r="AC187" s="57"/>
      <c r="AD187" s="57"/>
      <c r="AE187" s="57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6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57"/>
      <c r="AC188" s="57"/>
      <c r="AD188" s="57"/>
      <c r="AE188" s="57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6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57"/>
      <c r="AC189" s="57"/>
      <c r="AD189" s="57"/>
      <c r="AE189" s="57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6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57"/>
      <c r="AC190" s="57"/>
      <c r="AD190" s="57"/>
      <c r="AE190" s="57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6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57"/>
      <c r="AC191" s="57"/>
      <c r="AD191" s="57"/>
      <c r="AE191" s="57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6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57"/>
      <c r="AC192" s="57"/>
      <c r="AD192" s="57"/>
      <c r="AE192" s="57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6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57"/>
      <c r="AC193" s="57"/>
      <c r="AD193" s="57"/>
      <c r="AE193" s="57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6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57"/>
      <c r="AC194" s="57"/>
      <c r="AD194" s="57"/>
      <c r="AE194" s="57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6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57"/>
      <c r="AC195" s="57"/>
      <c r="AD195" s="57"/>
      <c r="AE195" s="57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6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57"/>
      <c r="AC196" s="57"/>
      <c r="AD196" s="57"/>
      <c r="AE196" s="57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6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55"/>
      <c r="AC197" s="55"/>
      <c r="AD197" s="55"/>
      <c r="AE197" s="55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6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55"/>
      <c r="AC198" s="55"/>
      <c r="AD198" s="55"/>
      <c r="AE198" s="55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6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55"/>
      <c r="AC199" s="55"/>
      <c r="AD199" s="55"/>
      <c r="AE199" s="55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6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55"/>
      <c r="AC200" s="55"/>
      <c r="AD200" s="55"/>
      <c r="AE200" s="55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6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55"/>
      <c r="AC201" s="55"/>
      <c r="AD201" s="55"/>
      <c r="AE201" s="55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6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55"/>
      <c r="AC202" s="55"/>
      <c r="AD202" s="55"/>
      <c r="AE202" s="55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6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55"/>
      <c r="AC203" s="55"/>
      <c r="AD203" s="55"/>
      <c r="AE203" s="55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6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55"/>
      <c r="AC204" s="55"/>
      <c r="AD204" s="55"/>
      <c r="AE204" s="55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6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55"/>
      <c r="AC205" s="55"/>
      <c r="AD205" s="55"/>
      <c r="AE205" s="55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6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55"/>
      <c r="AC206" s="55"/>
      <c r="AD206" s="55"/>
      <c r="AE206" s="55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6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55"/>
      <c r="AC207" s="55"/>
      <c r="AD207" s="55"/>
      <c r="AE207" s="55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6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55"/>
      <c r="AC208" s="55"/>
      <c r="AD208" s="55"/>
      <c r="AE208" s="55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56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55"/>
      <c r="AC209" s="55"/>
      <c r="AD209" s="55"/>
      <c r="AE209" s="55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56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55"/>
      <c r="AC210" s="55"/>
      <c r="AD210" s="55"/>
      <c r="AE210" s="55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56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55"/>
      <c r="AC211" s="55"/>
      <c r="AD211" s="55"/>
      <c r="AE211" s="55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56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55"/>
      <c r="AC212" s="55"/>
      <c r="AD212" s="55"/>
      <c r="AE212" s="55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56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55"/>
      <c r="AC213" s="55"/>
      <c r="AD213" s="55"/>
      <c r="AE213" s="55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56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55"/>
      <c r="AC214" s="55"/>
      <c r="AD214" s="55"/>
      <c r="AE214" s="55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56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55"/>
      <c r="AC215" s="55"/>
      <c r="AD215" s="55"/>
      <c r="AE215" s="55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56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55"/>
      <c r="AC216" s="55"/>
      <c r="AD216" s="55"/>
      <c r="AE216" s="55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56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55"/>
      <c r="AC217" s="55"/>
      <c r="AD217" s="55"/>
      <c r="AE217" s="55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O218" s="56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55"/>
      <c r="AC218" s="55"/>
      <c r="AD218" s="55"/>
      <c r="AE218" s="55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6"/>
      <c r="BC218" s="4"/>
      <c r="BD218" s="3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O219" s="56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55"/>
      <c r="AC219" s="55"/>
      <c r="AD219" s="55"/>
      <c r="AE219" s="55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6"/>
      <c r="BC219" s="4"/>
      <c r="BD219" s="36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O220" s="56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55"/>
      <c r="AC220" s="55"/>
      <c r="AD220" s="55"/>
      <c r="AE220" s="55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6"/>
      <c r="BC220" s="4"/>
      <c r="BD220" s="36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O221" s="56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55"/>
      <c r="AC221" s="55"/>
      <c r="AD221" s="55"/>
      <c r="AE221" s="55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6"/>
      <c r="BC221" s="4"/>
      <c r="BD221" s="36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O222" s="56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55"/>
      <c r="AC222" s="55"/>
      <c r="AD222" s="55"/>
      <c r="AE222" s="55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6"/>
      <c r="BC222" s="4"/>
      <c r="BD222" s="36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O223" s="56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55"/>
      <c r="AC223" s="55"/>
      <c r="AD223" s="55"/>
      <c r="AE223" s="55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6"/>
      <c r="BC223" s="4"/>
      <c r="BD223" s="36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4"/>
  <sheetViews>
    <sheetView zoomScale="80" zoomScaleNormal="8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23.42578125" style="56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30" style="2" bestFit="1" customWidth="1"/>
    <col min="13" max="13" width="9.42578125" style="2" customWidth="1"/>
    <col min="14" max="15" width="19" style="2" customWidth="1" outlineLevel="1"/>
    <col min="16" max="16" width="8.85546875" style="56" bestFit="1" customWidth="1" outlineLevel="1"/>
    <col min="17" max="17" width="19" style="2" customWidth="1" outlineLevel="1"/>
    <col min="18" max="18" width="27.5703125" style="2" customWidth="1" outlineLevel="1"/>
    <col min="19" max="19" width="7.7109375" style="3" customWidth="1" outlineLevel="1"/>
    <col min="20" max="20" width="9.5703125" style="4" customWidth="1" outlineLevel="1"/>
    <col min="21" max="21" width="11.85546875" style="4" customWidth="1" outlineLevel="1"/>
    <col min="22" max="22" width="8.7109375" style="4" customWidth="1" outlineLevel="1"/>
    <col min="23" max="24" width="13.5703125" style="4" customWidth="1" outlineLevel="1"/>
    <col min="25" max="25" width="15.8554687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55" bestFit="1" customWidth="1"/>
    <col min="30" max="30" width="16.7109375" style="55" bestFit="1" customWidth="1"/>
    <col min="31" max="31" width="7.7109375" style="55" bestFit="1" customWidth="1"/>
    <col min="32" max="32" width="33" style="55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4257812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6.57031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6" hidden="1" customWidth="1" outlineLevel="1"/>
    <col min="56" max="56" width="13.28515625" style="4" hidden="1" customWidth="1" outlineLevel="1"/>
    <col min="57" max="57" width="13" style="36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8"/>
      <c r="AD1" s="58"/>
      <c r="AE1" s="58"/>
      <c r="AF1" s="58"/>
      <c r="AG1" s="6"/>
      <c r="AH1" s="6"/>
      <c r="AI1" s="5">
        <f>SUM(AB3:AB61)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73" t="s">
        <v>0</v>
      </c>
      <c r="BB1" s="74"/>
      <c r="BC1" s="74"/>
      <c r="BD1" s="74"/>
      <c r="BE1" s="74"/>
      <c r="BF1" s="74"/>
      <c r="BG1" s="74"/>
    </row>
    <row r="2" spans="1:16380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100</v>
      </c>
      <c r="E2" s="10" t="s">
        <v>4</v>
      </c>
      <c r="F2" s="59" t="s">
        <v>112</v>
      </c>
      <c r="G2" s="10" t="s">
        <v>5</v>
      </c>
      <c r="H2" s="71" t="s">
        <v>176</v>
      </c>
      <c r="I2" s="10" t="s">
        <v>6</v>
      </c>
      <c r="J2" s="10" t="s">
        <v>7</v>
      </c>
      <c r="K2" s="59" t="s">
        <v>113</v>
      </c>
      <c r="L2" s="13" t="s">
        <v>8</v>
      </c>
      <c r="M2" s="13" t="s">
        <v>9</v>
      </c>
      <c r="N2" s="13" t="s">
        <v>10</v>
      </c>
      <c r="O2" s="13" t="s">
        <v>11</v>
      </c>
      <c r="P2" s="60" t="s">
        <v>111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60</v>
      </c>
      <c r="W2" s="13" t="s">
        <v>17</v>
      </c>
      <c r="X2" s="13" t="s">
        <v>18</v>
      </c>
      <c r="Y2" s="14" t="s">
        <v>19</v>
      </c>
      <c r="Z2" s="14" t="s">
        <v>20</v>
      </c>
      <c r="AA2" s="13" t="s">
        <v>21</v>
      </c>
      <c r="AB2" s="14" t="s">
        <v>22</v>
      </c>
      <c r="AC2" s="61" t="s">
        <v>107</v>
      </c>
      <c r="AD2" s="61" t="s">
        <v>108</v>
      </c>
      <c r="AE2" s="61" t="s">
        <v>109</v>
      </c>
      <c r="AF2" s="61" t="s">
        <v>110</v>
      </c>
      <c r="AG2" s="14" t="s">
        <v>23</v>
      </c>
      <c r="AH2" s="14" t="s">
        <v>24</v>
      </c>
      <c r="AI2" s="13" t="s">
        <v>25</v>
      </c>
      <c r="AJ2" s="53" t="s">
        <v>105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0" t="s">
        <v>31</v>
      </c>
      <c r="AQ2" s="10" t="s">
        <v>32</v>
      </c>
      <c r="AR2" s="10" t="s">
        <v>33</v>
      </c>
      <c r="AS2" s="13" t="s">
        <v>34</v>
      </c>
      <c r="AT2" s="13" t="s">
        <v>35</v>
      </c>
      <c r="AU2" s="13" t="s">
        <v>36</v>
      </c>
      <c r="AV2" s="13" t="s">
        <v>37</v>
      </c>
      <c r="AW2" s="13" t="s">
        <v>38</v>
      </c>
      <c r="AX2" s="13" t="s">
        <v>39</v>
      </c>
      <c r="AY2" s="13" t="s">
        <v>40</v>
      </c>
      <c r="AZ2" s="14"/>
      <c r="BA2" s="13" t="s">
        <v>41</v>
      </c>
      <c r="BB2" s="13" t="s">
        <v>42</v>
      </c>
      <c r="BC2" s="15" t="s">
        <v>43</v>
      </c>
      <c r="BD2" s="13" t="s">
        <v>44</v>
      </c>
      <c r="BE2" s="15" t="s">
        <v>45</v>
      </c>
      <c r="BF2" s="13" t="s">
        <v>46</v>
      </c>
      <c r="BG2" s="13" t="s">
        <v>47</v>
      </c>
      <c r="BH2" s="14" t="s">
        <v>48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customFormat="1" ht="15.75" x14ac:dyDescent="0.25">
      <c r="A3" s="17"/>
      <c r="B3" s="17" t="s">
        <v>69</v>
      </c>
      <c r="C3" s="37"/>
      <c r="D3" s="48" t="s">
        <v>130</v>
      </c>
      <c r="E3" s="19" t="s">
        <v>70</v>
      </c>
      <c r="F3" s="19" t="s">
        <v>119</v>
      </c>
      <c r="G3" s="19" t="s">
        <v>121</v>
      </c>
      <c r="H3" s="72" t="s">
        <v>121</v>
      </c>
      <c r="I3" s="19" t="s">
        <v>114</v>
      </c>
      <c r="J3" s="19">
        <f t="shared" ref="J3:J6" si="0">LEN(F3)</f>
        <v>12</v>
      </c>
      <c r="K3" s="19" t="str">
        <f t="shared" ref="K3:K6" si="1">IF(LEN(F3)&lt;=$K$1,F3,"")</f>
        <v>Ввод_функции</v>
      </c>
      <c r="L3" s="17" t="s">
        <v>156</v>
      </c>
      <c r="M3" s="38" t="s">
        <v>57</v>
      </c>
      <c r="N3" s="37" t="s">
        <v>50</v>
      </c>
      <c r="O3" s="37" t="s">
        <v>50</v>
      </c>
      <c r="P3" s="64"/>
      <c r="Q3" s="39">
        <v>0</v>
      </c>
      <c r="R3" s="39"/>
      <c r="S3" s="64" t="s">
        <v>58</v>
      </c>
      <c r="T3" s="37">
        <v>0</v>
      </c>
      <c r="U3" s="37">
        <v>1</v>
      </c>
      <c r="V3" s="37">
        <v>1</v>
      </c>
      <c r="W3" s="37"/>
      <c r="X3" s="37"/>
      <c r="Y3" s="37">
        <v>0</v>
      </c>
      <c r="Z3" s="37">
        <v>0</v>
      </c>
      <c r="AA3" s="20"/>
      <c r="AB3" s="31">
        <v>0</v>
      </c>
      <c r="AC3" s="63"/>
      <c r="AD3" s="63"/>
      <c r="AE3" s="63"/>
      <c r="AF3" s="63"/>
      <c r="AG3" s="31">
        <v>0</v>
      </c>
      <c r="AH3" s="31">
        <v>0</v>
      </c>
      <c r="AI3" s="31">
        <v>0</v>
      </c>
      <c r="AJ3" s="31"/>
      <c r="AK3" s="18"/>
      <c r="AL3" s="18"/>
      <c r="AM3" s="18"/>
      <c r="AN3" s="18"/>
      <c r="AO3" s="18"/>
      <c r="AP3" s="18"/>
      <c r="AQ3" s="18"/>
      <c r="AR3" s="18"/>
      <c r="AS3" s="18">
        <v>0</v>
      </c>
      <c r="AT3" s="18">
        <v>0</v>
      </c>
      <c r="AU3" s="18">
        <v>0</v>
      </c>
      <c r="AV3" s="18">
        <v>0</v>
      </c>
      <c r="AW3" s="18">
        <f t="shared" ref="AW3:AW6" si="2">BIN2DEC(CONCATENATE(0,0,0,0,AS3,AT3,AU3,AV3))</f>
        <v>0</v>
      </c>
      <c r="AX3" s="18" t="s">
        <v>115</v>
      </c>
      <c r="AY3" s="18"/>
      <c r="AZ3" s="22"/>
      <c r="BA3" s="23"/>
      <c r="BB3" s="23"/>
      <c r="BC3" s="23"/>
      <c r="BD3" s="23"/>
      <c r="BE3" s="23"/>
      <c r="BF3" s="23"/>
      <c r="BG3" s="23"/>
      <c r="BH3" s="24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customFormat="1" ht="15.75" x14ac:dyDescent="0.25">
      <c r="A4" s="17"/>
      <c r="B4" s="17" t="s">
        <v>69</v>
      </c>
      <c r="C4" s="64"/>
      <c r="D4" s="48" t="s">
        <v>130</v>
      </c>
      <c r="E4" s="19" t="s">
        <v>158</v>
      </c>
      <c r="F4" s="19" t="s">
        <v>159</v>
      </c>
      <c r="G4" s="19" t="s">
        <v>122</v>
      </c>
      <c r="H4" s="72" t="s">
        <v>122</v>
      </c>
      <c r="I4" s="19" t="s">
        <v>114</v>
      </c>
      <c r="J4" s="19">
        <f t="shared" ref="J4" si="4">LEN(F4)</f>
        <v>12</v>
      </c>
      <c r="K4" s="19" t="str">
        <f t="shared" ref="K4" si="5">IF(LEN(F4)&lt;=$K$1,F4,"")</f>
        <v>Пуск_МТЗ_ст2</v>
      </c>
      <c r="L4" s="17" t="s">
        <v>160</v>
      </c>
      <c r="M4" s="38" t="s">
        <v>57</v>
      </c>
      <c r="N4" s="64" t="s">
        <v>50</v>
      </c>
      <c r="O4" s="64" t="s">
        <v>50</v>
      </c>
      <c r="P4" s="64"/>
      <c r="Q4" s="39">
        <v>0</v>
      </c>
      <c r="R4" s="39"/>
      <c r="S4" s="64" t="s">
        <v>58</v>
      </c>
      <c r="T4" s="64">
        <v>0</v>
      </c>
      <c r="U4" s="64">
        <v>1</v>
      </c>
      <c r="V4" s="64">
        <v>1</v>
      </c>
      <c r="W4" s="64"/>
      <c r="X4" s="64"/>
      <c r="Y4" s="64">
        <v>0</v>
      </c>
      <c r="Z4" s="64">
        <v>0</v>
      </c>
      <c r="AA4" s="20"/>
      <c r="AB4" s="63">
        <v>0</v>
      </c>
      <c r="AC4" s="63"/>
      <c r="AD4" s="63"/>
      <c r="AE4" s="63"/>
      <c r="AF4" s="63"/>
      <c r="AG4" s="63">
        <v>0</v>
      </c>
      <c r="AH4" s="63">
        <v>0</v>
      </c>
      <c r="AI4" s="63">
        <v>0</v>
      </c>
      <c r="AJ4" s="63"/>
      <c r="AK4" s="18"/>
      <c r="AL4" s="18"/>
      <c r="AM4" s="18"/>
      <c r="AN4" s="18"/>
      <c r="AO4" s="18"/>
      <c r="AP4" s="18"/>
      <c r="AQ4" s="18"/>
      <c r="AR4" s="18"/>
      <c r="AS4" s="18">
        <v>0</v>
      </c>
      <c r="AT4" s="18">
        <v>0</v>
      </c>
      <c r="AU4" s="18">
        <v>0</v>
      </c>
      <c r="AV4" s="18">
        <v>0</v>
      </c>
      <c r="AW4" s="18">
        <f t="shared" ref="AW4" si="6">BIN2DEC(CONCATENATE(0,0,0,0,AS4,AT4,AU4,AV4))</f>
        <v>0</v>
      </c>
      <c r="AX4" s="18" t="s">
        <v>115</v>
      </c>
      <c r="AY4" s="18"/>
      <c r="AZ4" s="22"/>
      <c r="BA4" s="23"/>
      <c r="BB4" s="23"/>
      <c r="BC4" s="23"/>
      <c r="BD4" s="23"/>
      <c r="BE4" s="23"/>
      <c r="BF4" s="23"/>
      <c r="BG4" s="23"/>
      <c r="BH4" s="24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"Пуск_МТЗ_ст2", note: "Пуск от МТЗ 2 ступени", group: "setting", minValue: 0, maxValue: 1, step: 1, units: "null", defaultValue: 0, eventRegistration: 0</v>
      </c>
    </row>
    <row r="5" spans="1:16380" customFormat="1" ht="15.75" x14ac:dyDescent="0.25">
      <c r="A5" s="17"/>
      <c r="B5" s="17" t="s">
        <v>69</v>
      </c>
      <c r="C5" s="64"/>
      <c r="D5" s="48" t="s">
        <v>130</v>
      </c>
      <c r="E5" s="19" t="s">
        <v>161</v>
      </c>
      <c r="F5" s="19" t="s">
        <v>162</v>
      </c>
      <c r="G5" s="19" t="s">
        <v>123</v>
      </c>
      <c r="H5" s="72" t="s">
        <v>123</v>
      </c>
      <c r="I5" s="19" t="s">
        <v>114</v>
      </c>
      <c r="J5" s="19">
        <f t="shared" ref="J5" si="8">LEN(F5)</f>
        <v>12</v>
      </c>
      <c r="K5" s="19" t="str">
        <f t="shared" ref="K5" si="9">IF(LEN(F5)&lt;=$K$1,F5,"")</f>
        <v>Пуск_МТЗ_ст3</v>
      </c>
      <c r="L5" s="17" t="s">
        <v>163</v>
      </c>
      <c r="M5" s="38" t="s">
        <v>57</v>
      </c>
      <c r="N5" s="64" t="s">
        <v>50</v>
      </c>
      <c r="O5" s="64" t="s">
        <v>50</v>
      </c>
      <c r="P5" s="64"/>
      <c r="Q5" s="39">
        <v>0</v>
      </c>
      <c r="R5" s="39"/>
      <c r="S5" s="64" t="s">
        <v>58</v>
      </c>
      <c r="T5" s="64">
        <v>0</v>
      </c>
      <c r="U5" s="64">
        <v>1</v>
      </c>
      <c r="V5" s="64">
        <v>1</v>
      </c>
      <c r="W5" s="64"/>
      <c r="X5" s="64"/>
      <c r="Y5" s="64">
        <v>0</v>
      </c>
      <c r="Z5" s="64">
        <v>0</v>
      </c>
      <c r="AA5" s="20"/>
      <c r="AB5" s="63">
        <v>0</v>
      </c>
      <c r="AC5" s="63"/>
      <c r="AD5" s="63"/>
      <c r="AE5" s="63"/>
      <c r="AF5" s="63"/>
      <c r="AG5" s="63">
        <v>0</v>
      </c>
      <c r="AH5" s="63">
        <v>0</v>
      </c>
      <c r="AI5" s="63">
        <v>0</v>
      </c>
      <c r="AJ5" s="63"/>
      <c r="AK5" s="18"/>
      <c r="AL5" s="18"/>
      <c r="AM5" s="18"/>
      <c r="AN5" s="18"/>
      <c r="AO5" s="18"/>
      <c r="AP5" s="18"/>
      <c r="AQ5" s="18"/>
      <c r="AR5" s="18"/>
      <c r="AS5" s="18">
        <v>0</v>
      </c>
      <c r="AT5" s="18">
        <v>0</v>
      </c>
      <c r="AU5" s="18">
        <v>0</v>
      </c>
      <c r="AV5" s="18">
        <v>0</v>
      </c>
      <c r="AW5" s="18">
        <f t="shared" ref="AW5" si="10">BIN2DEC(CONCATENATE(0,0,0,0,AS5,AT5,AU5,AV5))</f>
        <v>0</v>
      </c>
      <c r="AX5" s="18" t="s">
        <v>115</v>
      </c>
      <c r="AY5" s="18"/>
      <c r="AZ5" s="22"/>
      <c r="BA5" s="23"/>
      <c r="BB5" s="23"/>
      <c r="BC5" s="23"/>
      <c r="BD5" s="23"/>
      <c r="BE5" s="23"/>
      <c r="BF5" s="23"/>
      <c r="BG5" s="23"/>
      <c r="BH5" s="24" t="str">
        <f t="shared" ref="BH5" si="11">CONCATENATE("description: """,F5,"""", ", ", "note: """,E5,"""",", ","group: """, B5, """",", ","minValue: ", T5,", ","maxValue: ", U5,", ","step: ", V5,", ","units: """, S5, """",", ","defaultValue: ", Y5,", ","eventRegistration: ", Z5,)</f>
        <v>description: "Пуск_МТЗ_ст3", note: "Пуск от МТЗ 3 ступени", group: "setting", minValue: 0, maxValue: 1, step: 1, units: "null", defaultValue: 0, eventRegistration: 0</v>
      </c>
    </row>
    <row r="6" spans="1:16380" s="47" customFormat="1" ht="15.75" customHeight="1" x14ac:dyDescent="0.25">
      <c r="A6" s="17"/>
      <c r="B6" s="17" t="s">
        <v>69</v>
      </c>
      <c r="C6" s="37"/>
      <c r="D6" s="48" t="s">
        <v>130</v>
      </c>
      <c r="E6" s="19" t="s">
        <v>80</v>
      </c>
      <c r="F6" s="19" t="s">
        <v>72</v>
      </c>
      <c r="G6" s="19" t="s">
        <v>124</v>
      </c>
      <c r="H6" s="72" t="s">
        <v>124</v>
      </c>
      <c r="I6" s="19"/>
      <c r="J6" s="19">
        <f t="shared" si="0"/>
        <v>3</v>
      </c>
      <c r="K6" s="19" t="str">
        <f t="shared" si="1"/>
        <v>Tср</v>
      </c>
      <c r="L6" s="17" t="s">
        <v>157</v>
      </c>
      <c r="M6" s="65" t="s">
        <v>59</v>
      </c>
      <c r="N6" s="37" t="s">
        <v>50</v>
      </c>
      <c r="O6" s="37" t="s">
        <v>50</v>
      </c>
      <c r="P6" s="64"/>
      <c r="Q6" s="39">
        <v>0</v>
      </c>
      <c r="R6" s="39"/>
      <c r="S6" s="37" t="s">
        <v>164</v>
      </c>
      <c r="T6" s="37">
        <v>0</v>
      </c>
      <c r="U6" s="37">
        <v>2</v>
      </c>
      <c r="V6" s="37" t="s">
        <v>120</v>
      </c>
      <c r="W6" s="37"/>
      <c r="X6" s="37"/>
      <c r="Y6" s="37">
        <v>1</v>
      </c>
      <c r="Z6" s="37">
        <v>0</v>
      </c>
      <c r="AA6" s="20"/>
      <c r="AB6" s="31">
        <v>0</v>
      </c>
      <c r="AC6" s="63"/>
      <c r="AD6" s="63"/>
      <c r="AE6" s="63"/>
      <c r="AF6" s="63"/>
      <c r="AG6" s="31">
        <v>0</v>
      </c>
      <c r="AH6" s="31">
        <v>0</v>
      </c>
      <c r="AI6" s="31">
        <v>0</v>
      </c>
      <c r="AJ6" s="31"/>
      <c r="AK6" s="18"/>
      <c r="AL6" s="18"/>
      <c r="AM6" s="18"/>
      <c r="AN6" s="18"/>
      <c r="AO6" s="18"/>
      <c r="AP6" s="18"/>
      <c r="AQ6" s="21"/>
      <c r="AR6" s="18"/>
      <c r="AS6" s="18">
        <v>0</v>
      </c>
      <c r="AT6" s="18">
        <v>0</v>
      </c>
      <c r="AU6" s="18">
        <v>0</v>
      </c>
      <c r="AV6" s="18">
        <v>0</v>
      </c>
      <c r="AW6" s="18">
        <f t="shared" si="2"/>
        <v>0</v>
      </c>
      <c r="AX6" s="18"/>
      <c r="AY6" s="18"/>
      <c r="AZ6" s="39"/>
      <c r="BA6" s="18"/>
      <c r="BB6" s="18"/>
      <c r="BC6" s="18"/>
      <c r="BD6" s="18"/>
      <c r="BE6" s="18"/>
      <c r="BF6" s="18"/>
      <c r="BG6" s="18"/>
      <c r="BH6" s="24" t="str">
        <f t="shared" si="3"/>
        <v>description: "Tср", note: "Выдержка времени срабатывания", group: "setting", minValue: 0, maxValue: 2, step: 0.01, units: "с", defaultValue: 1, eventRegistration: 0</v>
      </c>
    </row>
    <row r="7" spans="1:16380" s="2" customFormat="1" ht="15.75" x14ac:dyDescent="0.25">
      <c r="A7" s="1"/>
      <c r="B7" s="1"/>
      <c r="C7" s="1"/>
      <c r="D7" s="1"/>
      <c r="H7" s="56"/>
      <c r="P7" s="56"/>
      <c r="S7" s="3"/>
      <c r="T7" s="4"/>
      <c r="U7" s="4"/>
      <c r="V7" s="4"/>
      <c r="W7" s="4"/>
      <c r="X7" s="4"/>
      <c r="Y7" s="4"/>
      <c r="Z7" s="4"/>
      <c r="AA7" s="1"/>
      <c r="AB7" s="4"/>
      <c r="AC7" s="57"/>
      <c r="AD7" s="57"/>
      <c r="AE7" s="57"/>
      <c r="AF7" s="57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36"/>
      <c r="BD7" s="4"/>
      <c r="BE7" s="36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H8" s="56"/>
      <c r="P8" s="56"/>
      <c r="S8" s="3"/>
      <c r="T8" s="4"/>
      <c r="U8" s="4"/>
      <c r="V8" s="4"/>
      <c r="W8" s="4"/>
      <c r="X8" s="4"/>
      <c r="Y8" s="4"/>
      <c r="Z8" s="4"/>
      <c r="AA8" s="1"/>
      <c r="AB8" s="4"/>
      <c r="AC8" s="57"/>
      <c r="AD8" s="57"/>
      <c r="AE8" s="57"/>
      <c r="AF8" s="57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36"/>
      <c r="BD8" s="4"/>
      <c r="BE8" s="36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H9" s="56"/>
      <c r="P9" s="56"/>
      <c r="S9" s="3"/>
      <c r="T9" s="4"/>
      <c r="U9" s="4"/>
      <c r="V9" s="4"/>
      <c r="W9" s="4"/>
      <c r="X9" s="4"/>
      <c r="Y9" s="4"/>
      <c r="Z9" s="4"/>
      <c r="AA9" s="1"/>
      <c r="AB9" s="4"/>
      <c r="AC9" s="57"/>
      <c r="AD9" s="57"/>
      <c r="AE9" s="57"/>
      <c r="AF9" s="57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6"/>
      <c r="BD9" s="4"/>
      <c r="BE9" s="36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H10" s="56"/>
      <c r="P10" s="56"/>
      <c r="S10" s="3"/>
      <c r="T10" s="4"/>
      <c r="U10" s="4"/>
      <c r="V10" s="4"/>
      <c r="W10" s="4"/>
      <c r="X10" s="4"/>
      <c r="Y10" s="4"/>
      <c r="Z10" s="4"/>
      <c r="AA10" s="1"/>
      <c r="AB10" s="4"/>
      <c r="AC10" s="57"/>
      <c r="AD10" s="57"/>
      <c r="AE10" s="57"/>
      <c r="AF10" s="57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6"/>
      <c r="BD10" s="4"/>
      <c r="BE10" s="36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H11" s="56"/>
      <c r="P11" s="56"/>
      <c r="S11" s="3"/>
      <c r="T11" s="4"/>
      <c r="U11" s="4"/>
      <c r="V11" s="4"/>
      <c r="W11" s="4"/>
      <c r="X11" s="4"/>
      <c r="Y11" s="4"/>
      <c r="Z11" s="4"/>
      <c r="AA11" s="1"/>
      <c r="AB11" s="4"/>
      <c r="AC11" s="57"/>
      <c r="AD11" s="57"/>
      <c r="AE11" s="57"/>
      <c r="AF11" s="57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6"/>
      <c r="BD11" s="4"/>
      <c r="BE11" s="36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H12" s="56"/>
      <c r="P12" s="56"/>
      <c r="S12" s="3"/>
      <c r="T12" s="4"/>
      <c r="U12" s="4"/>
      <c r="V12" s="4"/>
      <c r="W12" s="4"/>
      <c r="X12" s="4"/>
      <c r="Y12" s="4"/>
      <c r="Z12" s="4"/>
      <c r="AA12" s="1"/>
      <c r="AB12" s="4"/>
      <c r="AC12" s="57"/>
      <c r="AD12" s="57"/>
      <c r="AE12" s="57"/>
      <c r="AF12" s="57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6"/>
      <c r="BD12" s="4"/>
      <c r="BE12" s="36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H13" s="56"/>
      <c r="P13" s="56"/>
      <c r="S13" s="3"/>
      <c r="T13" s="4"/>
      <c r="U13" s="4"/>
      <c r="V13" s="4"/>
      <c r="W13" s="4"/>
      <c r="X13" s="4"/>
      <c r="Y13" s="4"/>
      <c r="Z13" s="4"/>
      <c r="AA13" s="1"/>
      <c r="AB13" s="4"/>
      <c r="AC13" s="57"/>
      <c r="AD13" s="57"/>
      <c r="AE13" s="57"/>
      <c r="AF13" s="57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6"/>
      <c r="BD13" s="4"/>
      <c r="BE13" s="36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H14" s="56"/>
      <c r="P14" s="56"/>
      <c r="S14" s="3"/>
      <c r="T14" s="4"/>
      <c r="U14" s="4"/>
      <c r="V14" s="4"/>
      <c r="W14" s="4"/>
      <c r="X14" s="4"/>
      <c r="Y14" s="4"/>
      <c r="Z14" s="4"/>
      <c r="AA14" s="1"/>
      <c r="AB14" s="4"/>
      <c r="AC14" s="57"/>
      <c r="AD14" s="57"/>
      <c r="AE14" s="57"/>
      <c r="AF14" s="57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6"/>
      <c r="BD14" s="4"/>
      <c r="BE14" s="36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H15" s="56"/>
      <c r="P15" s="56"/>
      <c r="S15" s="3"/>
      <c r="T15" s="4"/>
      <c r="U15" s="4"/>
      <c r="V15" s="4"/>
      <c r="W15" s="4"/>
      <c r="X15" s="4"/>
      <c r="Y15" s="4"/>
      <c r="Z15" s="4"/>
      <c r="AA15" s="1"/>
      <c r="AB15" s="4"/>
      <c r="AC15" s="57"/>
      <c r="AD15" s="57"/>
      <c r="AE15" s="57"/>
      <c r="AF15" s="57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6"/>
      <c r="BD15" s="4"/>
      <c r="BE15" s="36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H16" s="56"/>
      <c r="P16" s="56"/>
      <c r="S16" s="3"/>
      <c r="T16" s="4"/>
      <c r="U16" s="4"/>
      <c r="V16" s="4"/>
      <c r="W16" s="4"/>
      <c r="X16" s="4"/>
      <c r="Y16" s="4"/>
      <c r="Z16" s="4"/>
      <c r="AA16" s="1"/>
      <c r="AB16" s="4"/>
      <c r="AC16" s="57"/>
      <c r="AD16" s="57"/>
      <c r="AE16" s="57"/>
      <c r="AF16" s="57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6"/>
      <c r="BD16" s="4"/>
      <c r="BE16" s="36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H17" s="56"/>
      <c r="P17" s="56"/>
      <c r="S17" s="3"/>
      <c r="T17" s="4"/>
      <c r="U17" s="4"/>
      <c r="V17" s="4"/>
      <c r="W17" s="4"/>
      <c r="X17" s="4"/>
      <c r="Y17" s="4"/>
      <c r="Z17" s="4"/>
      <c r="AA17" s="1"/>
      <c r="AB17" s="4"/>
      <c r="AC17" s="57"/>
      <c r="AD17" s="57"/>
      <c r="AE17" s="57"/>
      <c r="AF17" s="57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6"/>
      <c r="BD17" s="4"/>
      <c r="BE17" s="36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H18" s="56"/>
      <c r="P18" s="56"/>
      <c r="S18" s="3"/>
      <c r="T18" s="4"/>
      <c r="U18" s="4"/>
      <c r="V18" s="4"/>
      <c r="W18" s="4"/>
      <c r="X18" s="4"/>
      <c r="Y18" s="4"/>
      <c r="Z18" s="4"/>
      <c r="AA18" s="1"/>
      <c r="AB18" s="4"/>
      <c r="AC18" s="57"/>
      <c r="AD18" s="57"/>
      <c r="AE18" s="57"/>
      <c r="AF18" s="57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6"/>
      <c r="BD18" s="4"/>
      <c r="BE18" s="36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H19" s="56"/>
      <c r="P19" s="56"/>
      <c r="S19" s="3"/>
      <c r="T19" s="4"/>
      <c r="U19" s="4"/>
      <c r="V19" s="4"/>
      <c r="W19" s="4"/>
      <c r="X19" s="4"/>
      <c r="Y19" s="4"/>
      <c r="Z19" s="4"/>
      <c r="AA19" s="1"/>
      <c r="AB19" s="4"/>
      <c r="AC19" s="57"/>
      <c r="AD19" s="57"/>
      <c r="AE19" s="57"/>
      <c r="AF19" s="57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6"/>
      <c r="BD19" s="4"/>
      <c r="BE19" s="36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H20" s="56"/>
      <c r="P20" s="56"/>
      <c r="S20" s="3"/>
      <c r="T20" s="4"/>
      <c r="U20" s="4"/>
      <c r="V20" s="4"/>
      <c r="W20" s="4"/>
      <c r="X20" s="4"/>
      <c r="Y20" s="4"/>
      <c r="Z20" s="4"/>
      <c r="AA20" s="1"/>
      <c r="AB20" s="4"/>
      <c r="AC20" s="57"/>
      <c r="AD20" s="57"/>
      <c r="AE20" s="57"/>
      <c r="AF20" s="57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6"/>
      <c r="BD20" s="4"/>
      <c r="BE20" s="36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H21" s="56"/>
      <c r="P21" s="56"/>
      <c r="S21" s="3"/>
      <c r="T21" s="4"/>
      <c r="U21" s="4"/>
      <c r="V21" s="4"/>
      <c r="W21" s="4"/>
      <c r="X21" s="4"/>
      <c r="Y21" s="4"/>
      <c r="Z21" s="4"/>
      <c r="AA21" s="1"/>
      <c r="AB21" s="4"/>
      <c r="AC21" s="57"/>
      <c r="AD21" s="57"/>
      <c r="AE21" s="57"/>
      <c r="AF21" s="57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6"/>
      <c r="BD21" s="4"/>
      <c r="BE21" s="36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H22" s="56"/>
      <c r="P22" s="56"/>
      <c r="S22" s="3"/>
      <c r="T22" s="4"/>
      <c r="U22" s="4"/>
      <c r="V22" s="4"/>
      <c r="W22" s="4"/>
      <c r="X22" s="4"/>
      <c r="Y22" s="4"/>
      <c r="Z22" s="4"/>
      <c r="AA22" s="1"/>
      <c r="AB22" s="4"/>
      <c r="AC22" s="57"/>
      <c r="AD22" s="57"/>
      <c r="AE22" s="57"/>
      <c r="AF22" s="57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6"/>
      <c r="BD22" s="4"/>
      <c r="BE22" s="36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H23" s="56"/>
      <c r="P23" s="56"/>
      <c r="S23" s="3"/>
      <c r="T23" s="4"/>
      <c r="U23" s="4"/>
      <c r="V23" s="4"/>
      <c r="W23" s="4"/>
      <c r="X23" s="4"/>
      <c r="Y23" s="4"/>
      <c r="Z23" s="4"/>
      <c r="AA23" s="1"/>
      <c r="AB23" s="4"/>
      <c r="AC23" s="57"/>
      <c r="AD23" s="57"/>
      <c r="AE23" s="57"/>
      <c r="AF23" s="57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6"/>
      <c r="BD23" s="4"/>
      <c r="BE23" s="36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H24" s="56"/>
      <c r="P24" s="56"/>
      <c r="S24" s="3"/>
      <c r="T24" s="4"/>
      <c r="U24" s="4"/>
      <c r="V24" s="4"/>
      <c r="W24" s="4"/>
      <c r="X24" s="4"/>
      <c r="Y24" s="4"/>
      <c r="Z24" s="4"/>
      <c r="AA24" s="1"/>
      <c r="AB24" s="4"/>
      <c r="AC24" s="57"/>
      <c r="AD24" s="57"/>
      <c r="AE24" s="57"/>
      <c r="AF24" s="57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6"/>
      <c r="BD24" s="4"/>
      <c r="BE24" s="36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H25" s="56"/>
      <c r="P25" s="56"/>
      <c r="S25" s="3"/>
      <c r="T25" s="4"/>
      <c r="U25" s="4"/>
      <c r="V25" s="4"/>
      <c r="W25" s="4"/>
      <c r="X25" s="4"/>
      <c r="Y25" s="4"/>
      <c r="Z25" s="4"/>
      <c r="AA25" s="1"/>
      <c r="AB25" s="4"/>
      <c r="AC25" s="57"/>
      <c r="AD25" s="57"/>
      <c r="AE25" s="57"/>
      <c r="AF25" s="57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6"/>
      <c r="BD25" s="4"/>
      <c r="BE25" s="36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H26" s="56"/>
      <c r="P26" s="56"/>
      <c r="S26" s="3"/>
      <c r="T26" s="4"/>
      <c r="U26" s="4"/>
      <c r="V26" s="4"/>
      <c r="W26" s="4"/>
      <c r="X26" s="4"/>
      <c r="Y26" s="4"/>
      <c r="Z26" s="4"/>
      <c r="AA26" s="1"/>
      <c r="AB26" s="4"/>
      <c r="AC26" s="57"/>
      <c r="AD26" s="57"/>
      <c r="AE26" s="57"/>
      <c r="AF26" s="57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6"/>
      <c r="BD26" s="4"/>
      <c r="BE26" s="36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H27" s="56"/>
      <c r="P27" s="56"/>
      <c r="S27" s="3"/>
      <c r="T27" s="4"/>
      <c r="U27" s="4"/>
      <c r="V27" s="4"/>
      <c r="W27" s="4"/>
      <c r="X27" s="4"/>
      <c r="Y27" s="4"/>
      <c r="Z27" s="4"/>
      <c r="AA27" s="1"/>
      <c r="AB27" s="4"/>
      <c r="AC27" s="57"/>
      <c r="AD27" s="57"/>
      <c r="AE27" s="57"/>
      <c r="AF27" s="57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6"/>
      <c r="BD27" s="4"/>
      <c r="BE27" s="36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H28" s="56"/>
      <c r="P28" s="56"/>
      <c r="S28" s="3"/>
      <c r="T28" s="4"/>
      <c r="U28" s="4"/>
      <c r="V28" s="4"/>
      <c r="W28" s="4"/>
      <c r="X28" s="4"/>
      <c r="Y28" s="4"/>
      <c r="Z28" s="4"/>
      <c r="AA28" s="1"/>
      <c r="AB28" s="4"/>
      <c r="AC28" s="57"/>
      <c r="AD28" s="57"/>
      <c r="AE28" s="57"/>
      <c r="AF28" s="57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6"/>
      <c r="BD28" s="4"/>
      <c r="BE28" s="36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H29" s="56"/>
      <c r="P29" s="56"/>
      <c r="S29" s="3"/>
      <c r="T29" s="4"/>
      <c r="U29" s="4"/>
      <c r="V29" s="4"/>
      <c r="W29" s="4"/>
      <c r="X29" s="4"/>
      <c r="Y29" s="4"/>
      <c r="Z29" s="4"/>
      <c r="AA29" s="1"/>
      <c r="AB29" s="4"/>
      <c r="AC29" s="57"/>
      <c r="AD29" s="57"/>
      <c r="AE29" s="57"/>
      <c r="AF29" s="57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6"/>
      <c r="BD29" s="4"/>
      <c r="BE29" s="36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H30" s="56"/>
      <c r="P30" s="56"/>
      <c r="S30" s="3"/>
      <c r="T30" s="4"/>
      <c r="U30" s="4"/>
      <c r="V30" s="4"/>
      <c r="W30" s="4"/>
      <c r="X30" s="4"/>
      <c r="Y30" s="4"/>
      <c r="Z30" s="4"/>
      <c r="AA30" s="1"/>
      <c r="AB30" s="4"/>
      <c r="AC30" s="57"/>
      <c r="AD30" s="57"/>
      <c r="AE30" s="57"/>
      <c r="AF30" s="57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6"/>
      <c r="BD30" s="4"/>
      <c r="BE30" s="36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H31" s="56"/>
      <c r="P31" s="56"/>
      <c r="S31" s="3"/>
      <c r="T31" s="4"/>
      <c r="U31" s="4"/>
      <c r="V31" s="4"/>
      <c r="W31" s="4"/>
      <c r="X31" s="4"/>
      <c r="Y31" s="4"/>
      <c r="Z31" s="4"/>
      <c r="AA31" s="1"/>
      <c r="AB31" s="4"/>
      <c r="AC31" s="57"/>
      <c r="AD31" s="57"/>
      <c r="AE31" s="57"/>
      <c r="AF31" s="57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6"/>
      <c r="BD31" s="4"/>
      <c r="BE31" s="36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H32" s="56"/>
      <c r="P32" s="56"/>
      <c r="S32" s="3"/>
      <c r="T32" s="4"/>
      <c r="U32" s="4"/>
      <c r="V32" s="4"/>
      <c r="W32" s="4"/>
      <c r="X32" s="4"/>
      <c r="Y32" s="4"/>
      <c r="Z32" s="4"/>
      <c r="AA32" s="1"/>
      <c r="AB32" s="4"/>
      <c r="AC32" s="57"/>
      <c r="AD32" s="57"/>
      <c r="AE32" s="57"/>
      <c r="AF32" s="57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6"/>
      <c r="BD32" s="4"/>
      <c r="BE32" s="36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H33" s="56"/>
      <c r="P33" s="56"/>
      <c r="S33" s="3"/>
      <c r="T33" s="4"/>
      <c r="U33" s="4"/>
      <c r="V33" s="4"/>
      <c r="W33" s="4"/>
      <c r="X33" s="4"/>
      <c r="Y33" s="4"/>
      <c r="Z33" s="4"/>
      <c r="AA33" s="1"/>
      <c r="AB33" s="4"/>
      <c r="AC33" s="57"/>
      <c r="AD33" s="57"/>
      <c r="AE33" s="57"/>
      <c r="AF33" s="57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6"/>
      <c r="BD33" s="4"/>
      <c r="BE33" s="36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H34" s="56"/>
      <c r="P34" s="56"/>
      <c r="S34" s="3"/>
      <c r="T34" s="4"/>
      <c r="U34" s="4"/>
      <c r="V34" s="4"/>
      <c r="W34" s="4"/>
      <c r="X34" s="4"/>
      <c r="Y34" s="4"/>
      <c r="Z34" s="4"/>
      <c r="AA34" s="1"/>
      <c r="AB34" s="4"/>
      <c r="AC34" s="57"/>
      <c r="AD34" s="57"/>
      <c r="AE34" s="57"/>
      <c r="AF34" s="57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6"/>
      <c r="BD34" s="4"/>
      <c r="BE34" s="36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H35" s="56"/>
      <c r="P35" s="56"/>
      <c r="S35" s="3"/>
      <c r="T35" s="4"/>
      <c r="U35" s="4"/>
      <c r="V35" s="4"/>
      <c r="W35" s="4"/>
      <c r="X35" s="4"/>
      <c r="Y35" s="4"/>
      <c r="Z35" s="4"/>
      <c r="AA35" s="1"/>
      <c r="AB35" s="4"/>
      <c r="AC35" s="57"/>
      <c r="AD35" s="57"/>
      <c r="AE35" s="57"/>
      <c r="AF35" s="57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6"/>
      <c r="BD35" s="4"/>
      <c r="BE35" s="36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H36" s="56"/>
      <c r="P36" s="56"/>
      <c r="S36" s="3"/>
      <c r="T36" s="4"/>
      <c r="U36" s="4"/>
      <c r="V36" s="4"/>
      <c r="W36" s="4"/>
      <c r="X36" s="4"/>
      <c r="Y36" s="4"/>
      <c r="Z36" s="4"/>
      <c r="AA36" s="1"/>
      <c r="AB36" s="4"/>
      <c r="AC36" s="57"/>
      <c r="AD36" s="57"/>
      <c r="AE36" s="57"/>
      <c r="AF36" s="57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6"/>
      <c r="BD36" s="4"/>
      <c r="BE36" s="36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H37" s="56"/>
      <c r="P37" s="56"/>
      <c r="S37" s="3"/>
      <c r="T37" s="4"/>
      <c r="U37" s="4"/>
      <c r="V37" s="4"/>
      <c r="W37" s="4"/>
      <c r="X37" s="4"/>
      <c r="Y37" s="4"/>
      <c r="Z37" s="4"/>
      <c r="AA37" s="1"/>
      <c r="AB37" s="4"/>
      <c r="AC37" s="57"/>
      <c r="AD37" s="57"/>
      <c r="AE37" s="57"/>
      <c r="AF37" s="57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6"/>
      <c r="BD37" s="4"/>
      <c r="BE37" s="36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H38" s="56"/>
      <c r="P38" s="56"/>
      <c r="S38" s="3"/>
      <c r="T38" s="4"/>
      <c r="U38" s="4"/>
      <c r="V38" s="4"/>
      <c r="W38" s="4"/>
      <c r="X38" s="4"/>
      <c r="Y38" s="4"/>
      <c r="Z38" s="4"/>
      <c r="AA38" s="1"/>
      <c r="AB38" s="4"/>
      <c r="AC38" s="57"/>
      <c r="AD38" s="57"/>
      <c r="AE38" s="57"/>
      <c r="AF38" s="57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6"/>
      <c r="BD38" s="4"/>
      <c r="BE38" s="36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H39" s="56"/>
      <c r="P39" s="56"/>
      <c r="S39" s="3"/>
      <c r="T39" s="4"/>
      <c r="U39" s="4"/>
      <c r="V39" s="4"/>
      <c r="W39" s="4"/>
      <c r="X39" s="4"/>
      <c r="Y39" s="4"/>
      <c r="Z39" s="4"/>
      <c r="AA39" s="1"/>
      <c r="AB39" s="4"/>
      <c r="AC39" s="57"/>
      <c r="AD39" s="57"/>
      <c r="AE39" s="57"/>
      <c r="AF39" s="57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6"/>
      <c r="BD39" s="4"/>
      <c r="BE39" s="36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H40" s="56"/>
      <c r="P40" s="56"/>
      <c r="S40" s="3"/>
      <c r="T40" s="4"/>
      <c r="U40" s="4"/>
      <c r="V40" s="4"/>
      <c r="W40" s="4"/>
      <c r="X40" s="4"/>
      <c r="Y40" s="4"/>
      <c r="Z40" s="4"/>
      <c r="AA40" s="1"/>
      <c r="AB40" s="4"/>
      <c r="AC40" s="57"/>
      <c r="AD40" s="57"/>
      <c r="AE40" s="57"/>
      <c r="AF40" s="57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6"/>
      <c r="BD40" s="4"/>
      <c r="BE40" s="36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H41" s="56"/>
      <c r="P41" s="56"/>
      <c r="S41" s="3"/>
      <c r="T41" s="4"/>
      <c r="U41" s="4"/>
      <c r="V41" s="4"/>
      <c r="W41" s="4"/>
      <c r="X41" s="4"/>
      <c r="Y41" s="4"/>
      <c r="Z41" s="4"/>
      <c r="AA41" s="1"/>
      <c r="AB41" s="4"/>
      <c r="AC41" s="57"/>
      <c r="AD41" s="57"/>
      <c r="AE41" s="57"/>
      <c r="AF41" s="57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6"/>
      <c r="BD41" s="4"/>
      <c r="BE41" s="36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H42" s="56"/>
      <c r="P42" s="56"/>
      <c r="S42" s="3"/>
      <c r="T42" s="4"/>
      <c r="U42" s="4"/>
      <c r="V42" s="4"/>
      <c r="W42" s="4"/>
      <c r="X42" s="4"/>
      <c r="Y42" s="4"/>
      <c r="Z42" s="4"/>
      <c r="AA42" s="1"/>
      <c r="AB42" s="4"/>
      <c r="AC42" s="57"/>
      <c r="AD42" s="57"/>
      <c r="AE42" s="57"/>
      <c r="AF42" s="57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6"/>
      <c r="BD42" s="4"/>
      <c r="BE42" s="36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H43" s="56"/>
      <c r="P43" s="56"/>
      <c r="S43" s="3"/>
      <c r="T43" s="4"/>
      <c r="U43" s="4"/>
      <c r="V43" s="4"/>
      <c r="W43" s="4"/>
      <c r="X43" s="4"/>
      <c r="Y43" s="4"/>
      <c r="Z43" s="4"/>
      <c r="AA43" s="1"/>
      <c r="AB43" s="4"/>
      <c r="AC43" s="57"/>
      <c r="AD43" s="57"/>
      <c r="AE43" s="57"/>
      <c r="AF43" s="57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6"/>
      <c r="BD43" s="4"/>
      <c r="BE43" s="36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H44" s="56"/>
      <c r="P44" s="56"/>
      <c r="S44" s="3"/>
      <c r="T44" s="4"/>
      <c r="U44" s="4"/>
      <c r="V44" s="4"/>
      <c r="W44" s="4"/>
      <c r="X44" s="4"/>
      <c r="Y44" s="4"/>
      <c r="Z44" s="4"/>
      <c r="AA44" s="1"/>
      <c r="AB44" s="4"/>
      <c r="AC44" s="57"/>
      <c r="AD44" s="57"/>
      <c r="AE44" s="57"/>
      <c r="AF44" s="57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6"/>
      <c r="BD44" s="4"/>
      <c r="BE44" s="36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H45" s="56"/>
      <c r="P45" s="56"/>
      <c r="S45" s="3"/>
      <c r="T45" s="4"/>
      <c r="U45" s="4"/>
      <c r="V45" s="4"/>
      <c r="W45" s="4"/>
      <c r="X45" s="4"/>
      <c r="Y45" s="4"/>
      <c r="Z45" s="4"/>
      <c r="AA45" s="1"/>
      <c r="AB45" s="4"/>
      <c r="AC45" s="57"/>
      <c r="AD45" s="57"/>
      <c r="AE45" s="57"/>
      <c r="AF45" s="57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6"/>
      <c r="BD45" s="4"/>
      <c r="BE45" s="36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H46" s="56"/>
      <c r="P46" s="56"/>
      <c r="S46" s="3"/>
      <c r="T46" s="4"/>
      <c r="U46" s="4"/>
      <c r="V46" s="4"/>
      <c r="W46" s="4"/>
      <c r="X46" s="4"/>
      <c r="Y46" s="4"/>
      <c r="Z46" s="4"/>
      <c r="AA46" s="1"/>
      <c r="AB46" s="4"/>
      <c r="AC46" s="57"/>
      <c r="AD46" s="57"/>
      <c r="AE46" s="57"/>
      <c r="AF46" s="57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6"/>
      <c r="BD46" s="4"/>
      <c r="BE46" s="36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H47" s="56"/>
      <c r="P47" s="56"/>
      <c r="S47" s="3"/>
      <c r="T47" s="4"/>
      <c r="U47" s="4"/>
      <c r="V47" s="4"/>
      <c r="W47" s="4"/>
      <c r="X47" s="4"/>
      <c r="Y47" s="4"/>
      <c r="Z47" s="4"/>
      <c r="AA47" s="1"/>
      <c r="AB47" s="4"/>
      <c r="AC47" s="57"/>
      <c r="AD47" s="57"/>
      <c r="AE47" s="57"/>
      <c r="AF47" s="57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6"/>
      <c r="BD47" s="4"/>
      <c r="BE47" s="36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H48" s="56"/>
      <c r="P48" s="56"/>
      <c r="S48" s="3"/>
      <c r="T48" s="4"/>
      <c r="U48" s="4"/>
      <c r="V48" s="4"/>
      <c r="W48" s="4"/>
      <c r="X48" s="4"/>
      <c r="Y48" s="4"/>
      <c r="Z48" s="4"/>
      <c r="AA48" s="1"/>
      <c r="AB48" s="4"/>
      <c r="AC48" s="57"/>
      <c r="AD48" s="57"/>
      <c r="AE48" s="57"/>
      <c r="AF48" s="57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6"/>
      <c r="BD48" s="4"/>
      <c r="BE48" s="36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H49" s="56"/>
      <c r="P49" s="56"/>
      <c r="S49" s="3"/>
      <c r="T49" s="4"/>
      <c r="U49" s="4"/>
      <c r="V49" s="4"/>
      <c r="W49" s="4"/>
      <c r="X49" s="4"/>
      <c r="Y49" s="4"/>
      <c r="Z49" s="4"/>
      <c r="AA49" s="1"/>
      <c r="AB49" s="4"/>
      <c r="AC49" s="57"/>
      <c r="AD49" s="57"/>
      <c r="AE49" s="57"/>
      <c r="AF49" s="57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6"/>
      <c r="BD49" s="4"/>
      <c r="BE49" s="36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H50" s="56"/>
      <c r="P50" s="56"/>
      <c r="S50" s="3"/>
      <c r="T50" s="4"/>
      <c r="U50" s="4"/>
      <c r="V50" s="4"/>
      <c r="W50" s="4"/>
      <c r="X50" s="4"/>
      <c r="Y50" s="4"/>
      <c r="Z50" s="4"/>
      <c r="AA50" s="1"/>
      <c r="AB50" s="4"/>
      <c r="AC50" s="57"/>
      <c r="AD50" s="57"/>
      <c r="AE50" s="57"/>
      <c r="AF50" s="57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6"/>
      <c r="BD50" s="4"/>
      <c r="BE50" s="36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H51" s="56"/>
      <c r="P51" s="56"/>
      <c r="S51" s="3"/>
      <c r="T51" s="4"/>
      <c r="U51" s="4"/>
      <c r="V51" s="4"/>
      <c r="W51" s="4"/>
      <c r="X51" s="4"/>
      <c r="Y51" s="4"/>
      <c r="Z51" s="4"/>
      <c r="AA51" s="1"/>
      <c r="AB51" s="4"/>
      <c r="AC51" s="57"/>
      <c r="AD51" s="57"/>
      <c r="AE51" s="57"/>
      <c r="AF51" s="57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6"/>
      <c r="BD51" s="4"/>
      <c r="BE51" s="36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H52" s="56"/>
      <c r="P52" s="56"/>
      <c r="S52" s="3"/>
      <c r="T52" s="4"/>
      <c r="U52" s="4"/>
      <c r="V52" s="4"/>
      <c r="W52" s="4"/>
      <c r="X52" s="4"/>
      <c r="Y52" s="4"/>
      <c r="Z52" s="4"/>
      <c r="AA52" s="1"/>
      <c r="AB52" s="4"/>
      <c r="AC52" s="57"/>
      <c r="AD52" s="57"/>
      <c r="AE52" s="57"/>
      <c r="AF52" s="57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6"/>
      <c r="BD52" s="4"/>
      <c r="BE52" s="36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H53" s="56"/>
      <c r="P53" s="56"/>
      <c r="S53" s="3"/>
      <c r="T53" s="4"/>
      <c r="U53" s="4"/>
      <c r="V53" s="4"/>
      <c r="W53" s="4"/>
      <c r="X53" s="4"/>
      <c r="Y53" s="4"/>
      <c r="Z53" s="4"/>
      <c r="AA53" s="1"/>
      <c r="AB53" s="4"/>
      <c r="AC53" s="57"/>
      <c r="AD53" s="57"/>
      <c r="AE53" s="57"/>
      <c r="AF53" s="57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6"/>
      <c r="BD53" s="4"/>
      <c r="BE53" s="36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H54" s="56"/>
      <c r="P54" s="56"/>
      <c r="S54" s="3"/>
      <c r="T54" s="4"/>
      <c r="U54" s="4"/>
      <c r="V54" s="4"/>
      <c r="W54" s="4"/>
      <c r="X54" s="4"/>
      <c r="Y54" s="4"/>
      <c r="Z54" s="4"/>
      <c r="AA54" s="1"/>
      <c r="AB54" s="4"/>
      <c r="AC54" s="57"/>
      <c r="AD54" s="57"/>
      <c r="AE54" s="57"/>
      <c r="AF54" s="57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6"/>
      <c r="BD54" s="4"/>
      <c r="BE54" s="36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H55" s="56"/>
      <c r="P55" s="56"/>
      <c r="S55" s="3"/>
      <c r="T55" s="4"/>
      <c r="U55" s="4"/>
      <c r="V55" s="4"/>
      <c r="W55" s="4"/>
      <c r="X55" s="4"/>
      <c r="Y55" s="4"/>
      <c r="Z55" s="4"/>
      <c r="AA55" s="1"/>
      <c r="AB55" s="4"/>
      <c r="AC55" s="57"/>
      <c r="AD55" s="57"/>
      <c r="AE55" s="57"/>
      <c r="AF55" s="57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6"/>
      <c r="BD55" s="4"/>
      <c r="BE55" s="36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H56" s="56"/>
      <c r="P56" s="56"/>
      <c r="S56" s="3"/>
      <c r="T56" s="4"/>
      <c r="U56" s="4"/>
      <c r="V56" s="4"/>
      <c r="W56" s="4"/>
      <c r="X56" s="4"/>
      <c r="Y56" s="4"/>
      <c r="Z56" s="4"/>
      <c r="AA56" s="1"/>
      <c r="AB56" s="4"/>
      <c r="AC56" s="57"/>
      <c r="AD56" s="57"/>
      <c r="AE56" s="57"/>
      <c r="AF56" s="57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6"/>
      <c r="BD56" s="4"/>
      <c r="BE56" s="36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H57" s="56"/>
      <c r="P57" s="56"/>
      <c r="S57" s="3"/>
      <c r="T57" s="4"/>
      <c r="U57" s="4"/>
      <c r="V57" s="4"/>
      <c r="W57" s="4"/>
      <c r="X57" s="4"/>
      <c r="Y57" s="4"/>
      <c r="Z57" s="4"/>
      <c r="AA57" s="1"/>
      <c r="AB57" s="4"/>
      <c r="AC57" s="57"/>
      <c r="AD57" s="57"/>
      <c r="AE57" s="57"/>
      <c r="AF57" s="57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6"/>
      <c r="BD57" s="4"/>
      <c r="BE57" s="36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H58" s="56"/>
      <c r="P58" s="56"/>
      <c r="S58" s="3"/>
      <c r="T58" s="4"/>
      <c r="U58" s="4"/>
      <c r="V58" s="4"/>
      <c r="W58" s="4"/>
      <c r="X58" s="4"/>
      <c r="Y58" s="4"/>
      <c r="Z58" s="4"/>
      <c r="AA58" s="1"/>
      <c r="AB58" s="4"/>
      <c r="AC58" s="57"/>
      <c r="AD58" s="57"/>
      <c r="AE58" s="57"/>
      <c r="AF58" s="57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6"/>
      <c r="BD58" s="4"/>
      <c r="BE58" s="36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H59" s="56"/>
      <c r="P59" s="56"/>
      <c r="S59" s="3"/>
      <c r="T59" s="4"/>
      <c r="U59" s="4"/>
      <c r="V59" s="4"/>
      <c r="W59" s="4"/>
      <c r="X59" s="4"/>
      <c r="Y59" s="4"/>
      <c r="Z59" s="4"/>
      <c r="AA59" s="1"/>
      <c r="AB59" s="4"/>
      <c r="AC59" s="57"/>
      <c r="AD59" s="57"/>
      <c r="AE59" s="57"/>
      <c r="AF59" s="57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6"/>
      <c r="BD59" s="4"/>
      <c r="BE59" s="36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H60" s="56"/>
      <c r="P60" s="56"/>
      <c r="S60" s="3"/>
      <c r="T60" s="4"/>
      <c r="U60" s="4"/>
      <c r="V60" s="4"/>
      <c r="W60" s="4"/>
      <c r="X60" s="4"/>
      <c r="Y60" s="4"/>
      <c r="Z60" s="4"/>
      <c r="AA60" s="1"/>
      <c r="AB60" s="4"/>
      <c r="AC60" s="57"/>
      <c r="AD60" s="57"/>
      <c r="AE60" s="57"/>
      <c r="AF60" s="57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6"/>
      <c r="BD60" s="4"/>
      <c r="BE60" s="36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H61" s="56"/>
      <c r="P61" s="56"/>
      <c r="S61" s="3"/>
      <c r="T61" s="4"/>
      <c r="U61" s="4"/>
      <c r="V61" s="4"/>
      <c r="W61" s="4"/>
      <c r="X61" s="4"/>
      <c r="Y61" s="4"/>
      <c r="Z61" s="4"/>
      <c r="AA61" s="1"/>
      <c r="AB61" s="4"/>
      <c r="AC61" s="57"/>
      <c r="AD61" s="57"/>
      <c r="AE61" s="57"/>
      <c r="AF61" s="57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6"/>
      <c r="BD61" s="4"/>
      <c r="BE61" s="36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H62" s="56"/>
      <c r="P62" s="56"/>
      <c r="S62" s="3"/>
      <c r="T62" s="4"/>
      <c r="U62" s="4"/>
      <c r="V62" s="4"/>
      <c r="W62" s="4"/>
      <c r="X62" s="4"/>
      <c r="Y62" s="4"/>
      <c r="Z62" s="4"/>
      <c r="AA62" s="1"/>
      <c r="AB62" s="4"/>
      <c r="AC62" s="57"/>
      <c r="AD62" s="57"/>
      <c r="AE62" s="57"/>
      <c r="AF62" s="57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6"/>
      <c r="BD62" s="4"/>
      <c r="BE62" s="36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H63" s="56"/>
      <c r="P63" s="56"/>
      <c r="S63" s="3"/>
      <c r="T63" s="4"/>
      <c r="U63" s="4"/>
      <c r="V63" s="4"/>
      <c r="W63" s="4"/>
      <c r="X63" s="4"/>
      <c r="Y63" s="4"/>
      <c r="Z63" s="4"/>
      <c r="AA63" s="1"/>
      <c r="AB63" s="4"/>
      <c r="AC63" s="57"/>
      <c r="AD63" s="57"/>
      <c r="AE63" s="57"/>
      <c r="AF63" s="57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6"/>
      <c r="BD63" s="4"/>
      <c r="BE63" s="36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H64" s="56"/>
      <c r="P64" s="56"/>
      <c r="S64" s="3"/>
      <c r="T64" s="4"/>
      <c r="U64" s="4"/>
      <c r="V64" s="4"/>
      <c r="W64" s="4"/>
      <c r="X64" s="4"/>
      <c r="Y64" s="4"/>
      <c r="Z64" s="4"/>
      <c r="AA64" s="1"/>
      <c r="AB64" s="4"/>
      <c r="AC64" s="57"/>
      <c r="AD64" s="57"/>
      <c r="AE64" s="57"/>
      <c r="AF64" s="57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6"/>
      <c r="BD64" s="4"/>
      <c r="BE64" s="36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H65" s="56"/>
      <c r="P65" s="56"/>
      <c r="S65" s="3"/>
      <c r="T65" s="4"/>
      <c r="U65" s="4"/>
      <c r="V65" s="4"/>
      <c r="W65" s="4"/>
      <c r="X65" s="4"/>
      <c r="Y65" s="4"/>
      <c r="Z65" s="4"/>
      <c r="AA65" s="1"/>
      <c r="AB65" s="4"/>
      <c r="AC65" s="57"/>
      <c r="AD65" s="57"/>
      <c r="AE65" s="57"/>
      <c r="AF65" s="57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6"/>
      <c r="BD65" s="4"/>
      <c r="BE65" s="36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H66" s="56"/>
      <c r="P66" s="56"/>
      <c r="S66" s="3"/>
      <c r="T66" s="4"/>
      <c r="U66" s="4"/>
      <c r="V66" s="4"/>
      <c r="W66" s="4"/>
      <c r="X66" s="4"/>
      <c r="Y66" s="4"/>
      <c r="Z66" s="4"/>
      <c r="AA66" s="1"/>
      <c r="AB66" s="4"/>
      <c r="AC66" s="57"/>
      <c r="AD66" s="57"/>
      <c r="AE66" s="57"/>
      <c r="AF66" s="57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6"/>
      <c r="BD66" s="4"/>
      <c r="BE66" s="36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H67" s="56"/>
      <c r="P67" s="56"/>
      <c r="S67" s="3"/>
      <c r="T67" s="4"/>
      <c r="U67" s="4"/>
      <c r="V67" s="4"/>
      <c r="W67" s="4"/>
      <c r="X67" s="4"/>
      <c r="Y67" s="4"/>
      <c r="Z67" s="4"/>
      <c r="AA67" s="1"/>
      <c r="AB67" s="4"/>
      <c r="AC67" s="57"/>
      <c r="AD67" s="57"/>
      <c r="AE67" s="57"/>
      <c r="AF67" s="57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6"/>
      <c r="BD67" s="4"/>
      <c r="BE67" s="36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H68" s="56"/>
      <c r="P68" s="56"/>
      <c r="S68" s="3"/>
      <c r="T68" s="4"/>
      <c r="U68" s="4"/>
      <c r="V68" s="4"/>
      <c r="W68" s="4"/>
      <c r="X68" s="4"/>
      <c r="Y68" s="4"/>
      <c r="Z68" s="4"/>
      <c r="AA68" s="1"/>
      <c r="AB68" s="4"/>
      <c r="AC68" s="57"/>
      <c r="AD68" s="57"/>
      <c r="AE68" s="57"/>
      <c r="AF68" s="57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6"/>
      <c r="BD68" s="4"/>
      <c r="BE68" s="36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H69" s="56"/>
      <c r="P69" s="56"/>
      <c r="S69" s="3"/>
      <c r="T69" s="4"/>
      <c r="U69" s="4"/>
      <c r="V69" s="4"/>
      <c r="W69" s="4"/>
      <c r="X69" s="4"/>
      <c r="Y69" s="4"/>
      <c r="Z69" s="4"/>
      <c r="AA69" s="1"/>
      <c r="AB69" s="4"/>
      <c r="AC69" s="57"/>
      <c r="AD69" s="57"/>
      <c r="AE69" s="57"/>
      <c r="AF69" s="57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6"/>
      <c r="BD69" s="4"/>
      <c r="BE69" s="36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H70" s="56"/>
      <c r="P70" s="56"/>
      <c r="S70" s="3"/>
      <c r="T70" s="4"/>
      <c r="U70" s="4"/>
      <c r="V70" s="4"/>
      <c r="W70" s="4"/>
      <c r="X70" s="4"/>
      <c r="Y70" s="4"/>
      <c r="Z70" s="4"/>
      <c r="AA70" s="1"/>
      <c r="AB70" s="4"/>
      <c r="AC70" s="57"/>
      <c r="AD70" s="57"/>
      <c r="AE70" s="57"/>
      <c r="AF70" s="57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6"/>
      <c r="BD70" s="4"/>
      <c r="BE70" s="36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H71" s="56"/>
      <c r="P71" s="56"/>
      <c r="S71" s="3"/>
      <c r="T71" s="4"/>
      <c r="U71" s="4"/>
      <c r="V71" s="4"/>
      <c r="W71" s="4"/>
      <c r="X71" s="4"/>
      <c r="Y71" s="4"/>
      <c r="Z71" s="4"/>
      <c r="AA71" s="1"/>
      <c r="AB71" s="4"/>
      <c r="AC71" s="57"/>
      <c r="AD71" s="57"/>
      <c r="AE71" s="57"/>
      <c r="AF71" s="57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6"/>
      <c r="BD71" s="4"/>
      <c r="BE71" s="36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H72" s="56"/>
      <c r="P72" s="56"/>
      <c r="S72" s="3"/>
      <c r="T72" s="4"/>
      <c r="U72" s="4"/>
      <c r="V72" s="4"/>
      <c r="W72" s="4"/>
      <c r="X72" s="4"/>
      <c r="Y72" s="4"/>
      <c r="Z72" s="4"/>
      <c r="AA72" s="1"/>
      <c r="AB72" s="4"/>
      <c r="AC72" s="57"/>
      <c r="AD72" s="57"/>
      <c r="AE72" s="57"/>
      <c r="AF72" s="57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6"/>
      <c r="BD72" s="4"/>
      <c r="BE72" s="36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H73" s="56"/>
      <c r="P73" s="56"/>
      <c r="S73" s="3"/>
      <c r="T73" s="4"/>
      <c r="U73" s="4"/>
      <c r="V73" s="4"/>
      <c r="W73" s="4"/>
      <c r="X73" s="4"/>
      <c r="Y73" s="4"/>
      <c r="Z73" s="4"/>
      <c r="AA73" s="1"/>
      <c r="AB73" s="4"/>
      <c r="AC73" s="57"/>
      <c r="AD73" s="57"/>
      <c r="AE73" s="57"/>
      <c r="AF73" s="57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6"/>
      <c r="BD73" s="4"/>
      <c r="BE73" s="36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H74" s="56"/>
      <c r="P74" s="56"/>
      <c r="S74" s="3"/>
      <c r="T74" s="4"/>
      <c r="U74" s="4"/>
      <c r="V74" s="4"/>
      <c r="W74" s="4"/>
      <c r="X74" s="4"/>
      <c r="Y74" s="4"/>
      <c r="Z74" s="4"/>
      <c r="AA74" s="1"/>
      <c r="AB74" s="4"/>
      <c r="AC74" s="57"/>
      <c r="AD74" s="57"/>
      <c r="AE74" s="57"/>
      <c r="AF74" s="57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6"/>
      <c r="BD74" s="4"/>
      <c r="BE74" s="36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H75" s="56"/>
      <c r="P75" s="56"/>
      <c r="S75" s="3"/>
      <c r="T75" s="4"/>
      <c r="U75" s="4"/>
      <c r="V75" s="4"/>
      <c r="W75" s="4"/>
      <c r="X75" s="4"/>
      <c r="Y75" s="4"/>
      <c r="Z75" s="4"/>
      <c r="AA75" s="1"/>
      <c r="AB75" s="4"/>
      <c r="AC75" s="57"/>
      <c r="AD75" s="57"/>
      <c r="AE75" s="57"/>
      <c r="AF75" s="57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6"/>
      <c r="BD75" s="4"/>
      <c r="BE75" s="36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H76" s="56"/>
      <c r="P76" s="56"/>
      <c r="S76" s="3"/>
      <c r="T76" s="4"/>
      <c r="U76" s="4"/>
      <c r="V76" s="4"/>
      <c r="W76" s="4"/>
      <c r="X76" s="4"/>
      <c r="Y76" s="4"/>
      <c r="Z76" s="4"/>
      <c r="AA76" s="1"/>
      <c r="AB76" s="4"/>
      <c r="AC76" s="57"/>
      <c r="AD76" s="57"/>
      <c r="AE76" s="57"/>
      <c r="AF76" s="57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6"/>
      <c r="BD76" s="4"/>
      <c r="BE76" s="36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H77" s="56"/>
      <c r="P77" s="56"/>
      <c r="S77" s="3"/>
      <c r="T77" s="4"/>
      <c r="U77" s="4"/>
      <c r="V77" s="4"/>
      <c r="W77" s="4"/>
      <c r="X77" s="4"/>
      <c r="Y77" s="4"/>
      <c r="Z77" s="4"/>
      <c r="AA77" s="1"/>
      <c r="AB77" s="4"/>
      <c r="AC77" s="57"/>
      <c r="AD77" s="57"/>
      <c r="AE77" s="57"/>
      <c r="AF77" s="57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6"/>
      <c r="BD77" s="4"/>
      <c r="BE77" s="36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H78" s="56"/>
      <c r="P78" s="56"/>
      <c r="S78" s="3"/>
      <c r="T78" s="4"/>
      <c r="U78" s="4"/>
      <c r="V78" s="4"/>
      <c r="W78" s="4"/>
      <c r="X78" s="4"/>
      <c r="Y78" s="4"/>
      <c r="Z78" s="4"/>
      <c r="AA78" s="1"/>
      <c r="AB78" s="4"/>
      <c r="AC78" s="57"/>
      <c r="AD78" s="57"/>
      <c r="AE78" s="57"/>
      <c r="AF78" s="57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6"/>
      <c r="BD78" s="4"/>
      <c r="BE78" s="36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H79" s="56"/>
      <c r="P79" s="56"/>
      <c r="S79" s="3"/>
      <c r="T79" s="4"/>
      <c r="U79" s="4"/>
      <c r="V79" s="4"/>
      <c r="W79" s="4"/>
      <c r="X79" s="4"/>
      <c r="Y79" s="4"/>
      <c r="Z79" s="4"/>
      <c r="AA79" s="1"/>
      <c r="AB79" s="4"/>
      <c r="AC79" s="57"/>
      <c r="AD79" s="57"/>
      <c r="AE79" s="57"/>
      <c r="AF79" s="57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6"/>
      <c r="BD79" s="4"/>
      <c r="BE79" s="36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H80" s="56"/>
      <c r="P80" s="56"/>
      <c r="S80" s="3"/>
      <c r="T80" s="4"/>
      <c r="U80" s="4"/>
      <c r="V80" s="4"/>
      <c r="W80" s="4"/>
      <c r="X80" s="4"/>
      <c r="Y80" s="4"/>
      <c r="Z80" s="4"/>
      <c r="AA80" s="1"/>
      <c r="AB80" s="4"/>
      <c r="AC80" s="57"/>
      <c r="AD80" s="57"/>
      <c r="AE80" s="57"/>
      <c r="AF80" s="57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6"/>
      <c r="BD80" s="4"/>
      <c r="BE80" s="36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H81" s="56"/>
      <c r="P81" s="56"/>
      <c r="S81" s="3"/>
      <c r="T81" s="4"/>
      <c r="U81" s="4"/>
      <c r="V81" s="4"/>
      <c r="W81" s="4"/>
      <c r="X81" s="4"/>
      <c r="Y81" s="4"/>
      <c r="Z81" s="4"/>
      <c r="AA81" s="1"/>
      <c r="AB81" s="4"/>
      <c r="AC81" s="57"/>
      <c r="AD81" s="57"/>
      <c r="AE81" s="57"/>
      <c r="AF81" s="57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6"/>
      <c r="BD81" s="4"/>
      <c r="BE81" s="36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H82" s="56"/>
      <c r="P82" s="56"/>
      <c r="S82" s="3"/>
      <c r="T82" s="4"/>
      <c r="U82" s="4"/>
      <c r="V82" s="4"/>
      <c r="W82" s="4"/>
      <c r="X82" s="4"/>
      <c r="Y82" s="4"/>
      <c r="Z82" s="4"/>
      <c r="AA82" s="1"/>
      <c r="AB82" s="4"/>
      <c r="AC82" s="57"/>
      <c r="AD82" s="57"/>
      <c r="AE82" s="57"/>
      <c r="AF82" s="57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6"/>
      <c r="BD82" s="4"/>
      <c r="BE82" s="36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H83" s="56"/>
      <c r="P83" s="56"/>
      <c r="S83" s="3"/>
      <c r="T83" s="4"/>
      <c r="U83" s="4"/>
      <c r="V83" s="4"/>
      <c r="W83" s="4"/>
      <c r="X83" s="4"/>
      <c r="Y83" s="4"/>
      <c r="Z83" s="4"/>
      <c r="AA83" s="1"/>
      <c r="AB83" s="4"/>
      <c r="AC83" s="57"/>
      <c r="AD83" s="57"/>
      <c r="AE83" s="57"/>
      <c r="AF83" s="57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6"/>
      <c r="BD83" s="4"/>
      <c r="BE83" s="36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H84" s="56"/>
      <c r="P84" s="56"/>
      <c r="S84" s="3"/>
      <c r="T84" s="4"/>
      <c r="U84" s="4"/>
      <c r="V84" s="4"/>
      <c r="W84" s="4"/>
      <c r="X84" s="4"/>
      <c r="Y84" s="4"/>
      <c r="Z84" s="4"/>
      <c r="AA84" s="1"/>
      <c r="AB84" s="4"/>
      <c r="AC84" s="57"/>
      <c r="AD84" s="57"/>
      <c r="AE84" s="57"/>
      <c r="AF84" s="57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6"/>
      <c r="BD84" s="4"/>
      <c r="BE84" s="36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H85" s="56"/>
      <c r="P85" s="56"/>
      <c r="S85" s="3"/>
      <c r="T85" s="4"/>
      <c r="U85" s="4"/>
      <c r="V85" s="4"/>
      <c r="W85" s="4"/>
      <c r="X85" s="4"/>
      <c r="Y85" s="4"/>
      <c r="Z85" s="4"/>
      <c r="AA85" s="1"/>
      <c r="AB85" s="4"/>
      <c r="AC85" s="57"/>
      <c r="AD85" s="57"/>
      <c r="AE85" s="57"/>
      <c r="AF85" s="57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6"/>
      <c r="BD85" s="4"/>
      <c r="BE85" s="36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H86" s="56"/>
      <c r="P86" s="56"/>
      <c r="S86" s="3"/>
      <c r="T86" s="4"/>
      <c r="U86" s="4"/>
      <c r="V86" s="4"/>
      <c r="W86" s="4"/>
      <c r="X86" s="4"/>
      <c r="Y86" s="4"/>
      <c r="Z86" s="4"/>
      <c r="AA86" s="1"/>
      <c r="AB86" s="4"/>
      <c r="AC86" s="57"/>
      <c r="AD86" s="57"/>
      <c r="AE86" s="57"/>
      <c r="AF86" s="57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6"/>
      <c r="BD86" s="4"/>
      <c r="BE86" s="36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H87" s="56"/>
      <c r="P87" s="56"/>
      <c r="S87" s="3"/>
      <c r="T87" s="4"/>
      <c r="U87" s="4"/>
      <c r="V87" s="4"/>
      <c r="W87" s="4"/>
      <c r="X87" s="4"/>
      <c r="Y87" s="4"/>
      <c r="Z87" s="4"/>
      <c r="AA87" s="1"/>
      <c r="AB87" s="4"/>
      <c r="AC87" s="57"/>
      <c r="AD87" s="57"/>
      <c r="AE87" s="57"/>
      <c r="AF87" s="57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6"/>
      <c r="BD87" s="4"/>
      <c r="BE87" s="36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H88" s="56"/>
      <c r="P88" s="56"/>
      <c r="S88" s="3"/>
      <c r="T88" s="4"/>
      <c r="U88" s="4"/>
      <c r="V88" s="4"/>
      <c r="W88" s="4"/>
      <c r="X88" s="4"/>
      <c r="Y88" s="4"/>
      <c r="Z88" s="4"/>
      <c r="AA88" s="1"/>
      <c r="AB88" s="4"/>
      <c r="AC88" s="57"/>
      <c r="AD88" s="57"/>
      <c r="AE88" s="57"/>
      <c r="AF88" s="57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6"/>
      <c r="BD88" s="4"/>
      <c r="BE88" s="36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H89" s="56"/>
      <c r="P89" s="56"/>
      <c r="S89" s="3"/>
      <c r="T89" s="4"/>
      <c r="U89" s="4"/>
      <c r="V89" s="4"/>
      <c r="W89" s="4"/>
      <c r="X89" s="4"/>
      <c r="Y89" s="4"/>
      <c r="Z89" s="4"/>
      <c r="AA89" s="1"/>
      <c r="AB89" s="4"/>
      <c r="AC89" s="57"/>
      <c r="AD89" s="57"/>
      <c r="AE89" s="57"/>
      <c r="AF89" s="57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6"/>
      <c r="BD89" s="4"/>
      <c r="BE89" s="36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H90" s="56"/>
      <c r="P90" s="56"/>
      <c r="S90" s="3"/>
      <c r="T90" s="4"/>
      <c r="U90" s="4"/>
      <c r="V90" s="4"/>
      <c r="W90" s="4"/>
      <c r="X90" s="4"/>
      <c r="Y90" s="4"/>
      <c r="Z90" s="4"/>
      <c r="AA90" s="1"/>
      <c r="AB90" s="4"/>
      <c r="AC90" s="57"/>
      <c r="AD90" s="57"/>
      <c r="AE90" s="57"/>
      <c r="AF90" s="57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6"/>
      <c r="BD90" s="4"/>
      <c r="BE90" s="36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H91" s="56"/>
      <c r="P91" s="56"/>
      <c r="S91" s="3"/>
      <c r="T91" s="4"/>
      <c r="U91" s="4"/>
      <c r="V91" s="4"/>
      <c r="W91" s="4"/>
      <c r="X91" s="4"/>
      <c r="Y91" s="4"/>
      <c r="Z91" s="4"/>
      <c r="AA91" s="1"/>
      <c r="AB91" s="4"/>
      <c r="AC91" s="57"/>
      <c r="AD91" s="57"/>
      <c r="AE91" s="57"/>
      <c r="AF91" s="57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6"/>
      <c r="BD91" s="4"/>
      <c r="BE91" s="36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H92" s="56"/>
      <c r="P92" s="56"/>
      <c r="S92" s="3"/>
      <c r="T92" s="4"/>
      <c r="U92" s="4"/>
      <c r="V92" s="4"/>
      <c r="W92" s="4"/>
      <c r="X92" s="4"/>
      <c r="Y92" s="4"/>
      <c r="Z92" s="4"/>
      <c r="AA92" s="1"/>
      <c r="AB92" s="4"/>
      <c r="AC92" s="57"/>
      <c r="AD92" s="57"/>
      <c r="AE92" s="57"/>
      <c r="AF92" s="57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6"/>
      <c r="BD92" s="4"/>
      <c r="BE92" s="36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H93" s="56"/>
      <c r="P93" s="56"/>
      <c r="S93" s="3"/>
      <c r="T93" s="4"/>
      <c r="U93" s="4"/>
      <c r="V93" s="4"/>
      <c r="W93" s="4"/>
      <c r="X93" s="4"/>
      <c r="Y93" s="4"/>
      <c r="Z93" s="4"/>
      <c r="AA93" s="1"/>
      <c r="AB93" s="4"/>
      <c r="AC93" s="57"/>
      <c r="AD93" s="57"/>
      <c r="AE93" s="57"/>
      <c r="AF93" s="57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6"/>
      <c r="BD93" s="4"/>
      <c r="BE93" s="36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H94" s="56"/>
      <c r="P94" s="56"/>
      <c r="S94" s="3"/>
      <c r="T94" s="4"/>
      <c r="U94" s="4"/>
      <c r="V94" s="4"/>
      <c r="W94" s="4"/>
      <c r="X94" s="4"/>
      <c r="Y94" s="4"/>
      <c r="Z94" s="4"/>
      <c r="AA94" s="1"/>
      <c r="AB94" s="4"/>
      <c r="AC94" s="57"/>
      <c r="AD94" s="57"/>
      <c r="AE94" s="57"/>
      <c r="AF94" s="57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6"/>
      <c r="BD94" s="4"/>
      <c r="BE94" s="36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H95" s="56"/>
      <c r="P95" s="56"/>
      <c r="S95" s="3"/>
      <c r="T95" s="4"/>
      <c r="U95" s="4"/>
      <c r="V95" s="4"/>
      <c r="W95" s="4"/>
      <c r="X95" s="4"/>
      <c r="Y95" s="4"/>
      <c r="Z95" s="4"/>
      <c r="AA95" s="1"/>
      <c r="AB95" s="4"/>
      <c r="AC95" s="57"/>
      <c r="AD95" s="57"/>
      <c r="AE95" s="57"/>
      <c r="AF95" s="57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6"/>
      <c r="BD95" s="4"/>
      <c r="BE95" s="36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H96" s="56"/>
      <c r="P96" s="56"/>
      <c r="S96" s="3"/>
      <c r="T96" s="4"/>
      <c r="U96" s="4"/>
      <c r="V96" s="4"/>
      <c r="W96" s="4"/>
      <c r="X96" s="4"/>
      <c r="Y96" s="4"/>
      <c r="Z96" s="4"/>
      <c r="AA96" s="1"/>
      <c r="AB96" s="4"/>
      <c r="AC96" s="57"/>
      <c r="AD96" s="57"/>
      <c r="AE96" s="57"/>
      <c r="AF96" s="57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6"/>
      <c r="BD96" s="4"/>
      <c r="BE96" s="36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H97" s="56"/>
      <c r="P97" s="56"/>
      <c r="S97" s="3"/>
      <c r="T97" s="4"/>
      <c r="U97" s="4"/>
      <c r="V97" s="4"/>
      <c r="W97" s="4"/>
      <c r="X97" s="4"/>
      <c r="Y97" s="4"/>
      <c r="Z97" s="4"/>
      <c r="AA97" s="1"/>
      <c r="AB97" s="4"/>
      <c r="AC97" s="57"/>
      <c r="AD97" s="57"/>
      <c r="AE97" s="57"/>
      <c r="AF97" s="57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6"/>
      <c r="BD97" s="4"/>
      <c r="BE97" s="36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H98" s="56"/>
      <c r="P98" s="56"/>
      <c r="S98" s="3"/>
      <c r="T98" s="4"/>
      <c r="U98" s="4"/>
      <c r="V98" s="4"/>
      <c r="W98" s="4"/>
      <c r="X98" s="4"/>
      <c r="Y98" s="4"/>
      <c r="Z98" s="4"/>
      <c r="AA98" s="1"/>
      <c r="AB98" s="4"/>
      <c r="AC98" s="57"/>
      <c r="AD98" s="57"/>
      <c r="AE98" s="57"/>
      <c r="AF98" s="57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6"/>
      <c r="BD98" s="4"/>
      <c r="BE98" s="36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H99" s="56"/>
      <c r="P99" s="56"/>
      <c r="S99" s="3"/>
      <c r="T99" s="4"/>
      <c r="U99" s="4"/>
      <c r="V99" s="4"/>
      <c r="W99" s="4"/>
      <c r="X99" s="4"/>
      <c r="Y99" s="4"/>
      <c r="Z99" s="4"/>
      <c r="AA99" s="1"/>
      <c r="AB99" s="4"/>
      <c r="AC99" s="57"/>
      <c r="AD99" s="57"/>
      <c r="AE99" s="57"/>
      <c r="AF99" s="57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6"/>
      <c r="BD99" s="4"/>
      <c r="BE99" s="36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H100" s="56"/>
      <c r="P100" s="56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57"/>
      <c r="AD100" s="57"/>
      <c r="AE100" s="57"/>
      <c r="AF100" s="57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6"/>
      <c r="BD100" s="4"/>
      <c r="BE100" s="36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H101" s="56"/>
      <c r="P101" s="56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57"/>
      <c r="AD101" s="57"/>
      <c r="AE101" s="57"/>
      <c r="AF101" s="57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6"/>
      <c r="BD101" s="4"/>
      <c r="BE101" s="36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H102" s="56"/>
      <c r="P102" s="56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57"/>
      <c r="AD102" s="57"/>
      <c r="AE102" s="57"/>
      <c r="AF102" s="57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6"/>
      <c r="BD102" s="4"/>
      <c r="BE102" s="36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H103" s="56"/>
      <c r="P103" s="56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57"/>
      <c r="AD103" s="57"/>
      <c r="AE103" s="57"/>
      <c r="AF103" s="57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6"/>
      <c r="BD103" s="4"/>
      <c r="BE103" s="36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H104" s="56"/>
      <c r="P104" s="56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57"/>
      <c r="AD104" s="57"/>
      <c r="AE104" s="57"/>
      <c r="AF104" s="57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6"/>
      <c r="BD104" s="4"/>
      <c r="BE104" s="36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H105" s="56"/>
      <c r="P105" s="56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57"/>
      <c r="AD105" s="57"/>
      <c r="AE105" s="57"/>
      <c r="AF105" s="57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6"/>
      <c r="BD105" s="4"/>
      <c r="BE105" s="36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H106" s="56"/>
      <c r="P106" s="56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57"/>
      <c r="AD106" s="57"/>
      <c r="AE106" s="57"/>
      <c r="AF106" s="57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6"/>
      <c r="BD106" s="4"/>
      <c r="BE106" s="36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H107" s="56"/>
      <c r="P107" s="56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57"/>
      <c r="AD107" s="57"/>
      <c r="AE107" s="57"/>
      <c r="AF107" s="57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6"/>
      <c r="BD107" s="4"/>
      <c r="BE107" s="36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H108" s="56"/>
      <c r="P108" s="56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57"/>
      <c r="AD108" s="57"/>
      <c r="AE108" s="57"/>
      <c r="AF108" s="57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6"/>
      <c r="BD108" s="4"/>
      <c r="BE108" s="36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H109" s="56"/>
      <c r="P109" s="56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57"/>
      <c r="AD109" s="57"/>
      <c r="AE109" s="57"/>
      <c r="AF109" s="57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6"/>
      <c r="BD109" s="4"/>
      <c r="BE109" s="36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H110" s="56"/>
      <c r="P110" s="56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57"/>
      <c r="AD110" s="57"/>
      <c r="AE110" s="57"/>
      <c r="AF110" s="57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6"/>
      <c r="BD110" s="4"/>
      <c r="BE110" s="36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H111" s="56"/>
      <c r="P111" s="56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57"/>
      <c r="AD111" s="57"/>
      <c r="AE111" s="57"/>
      <c r="AF111" s="57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6"/>
      <c r="BD111" s="4"/>
      <c r="BE111" s="36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H112" s="56"/>
      <c r="P112" s="56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57"/>
      <c r="AD112" s="57"/>
      <c r="AE112" s="57"/>
      <c r="AF112" s="57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6"/>
      <c r="BD112" s="4"/>
      <c r="BE112" s="36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H113" s="56"/>
      <c r="P113" s="56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57"/>
      <c r="AD113" s="57"/>
      <c r="AE113" s="57"/>
      <c r="AF113" s="57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6"/>
      <c r="BD113" s="4"/>
      <c r="BE113" s="36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H114" s="56"/>
      <c r="P114" s="56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57"/>
      <c r="AD114" s="57"/>
      <c r="AE114" s="57"/>
      <c r="AF114" s="57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6"/>
      <c r="BD114" s="4"/>
      <c r="BE114" s="36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H115" s="56"/>
      <c r="P115" s="56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57"/>
      <c r="AD115" s="57"/>
      <c r="AE115" s="57"/>
      <c r="AF115" s="57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6"/>
      <c r="BD115" s="4"/>
      <c r="BE115" s="36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H116" s="56"/>
      <c r="P116" s="56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57"/>
      <c r="AD116" s="57"/>
      <c r="AE116" s="57"/>
      <c r="AF116" s="57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6"/>
      <c r="BD116" s="4"/>
      <c r="BE116" s="36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H117" s="56"/>
      <c r="P117" s="56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57"/>
      <c r="AD117" s="57"/>
      <c r="AE117" s="57"/>
      <c r="AF117" s="57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6"/>
      <c r="BD117" s="4"/>
      <c r="BE117" s="36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H118" s="56"/>
      <c r="P118" s="56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57"/>
      <c r="AD118" s="57"/>
      <c r="AE118" s="57"/>
      <c r="AF118" s="57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6"/>
      <c r="BD118" s="4"/>
      <c r="BE118" s="36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H119" s="56"/>
      <c r="P119" s="56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57"/>
      <c r="AD119" s="57"/>
      <c r="AE119" s="57"/>
      <c r="AF119" s="57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6"/>
      <c r="BD119" s="4"/>
      <c r="BE119" s="36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H120" s="56"/>
      <c r="P120" s="56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57"/>
      <c r="AD120" s="57"/>
      <c r="AE120" s="57"/>
      <c r="AF120" s="57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6"/>
      <c r="BD120" s="4"/>
      <c r="BE120" s="36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H121" s="56"/>
      <c r="P121" s="56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57"/>
      <c r="AD121" s="57"/>
      <c r="AE121" s="57"/>
      <c r="AF121" s="57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6"/>
      <c r="BD121" s="4"/>
      <c r="BE121" s="36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H122" s="56"/>
      <c r="P122" s="56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57"/>
      <c r="AD122" s="57"/>
      <c r="AE122" s="57"/>
      <c r="AF122" s="57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6"/>
      <c r="BD122" s="4"/>
      <c r="BE122" s="36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H123" s="56"/>
      <c r="P123" s="56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57"/>
      <c r="AD123" s="57"/>
      <c r="AE123" s="57"/>
      <c r="AF123" s="57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6"/>
      <c r="BD123" s="4"/>
      <c r="BE123" s="36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H124" s="56"/>
      <c r="P124" s="56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57"/>
      <c r="AD124" s="57"/>
      <c r="AE124" s="57"/>
      <c r="AF124" s="57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6"/>
      <c r="BD124" s="4"/>
      <c r="BE124" s="36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H125" s="56"/>
      <c r="P125" s="56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57"/>
      <c r="AD125" s="57"/>
      <c r="AE125" s="57"/>
      <c r="AF125" s="57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6"/>
      <c r="BD125" s="4"/>
      <c r="BE125" s="36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H126" s="56"/>
      <c r="P126" s="56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57"/>
      <c r="AD126" s="57"/>
      <c r="AE126" s="57"/>
      <c r="AF126" s="57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6"/>
      <c r="BD126" s="4"/>
      <c r="BE126" s="36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H127" s="56"/>
      <c r="P127" s="56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57"/>
      <c r="AD127" s="57"/>
      <c r="AE127" s="57"/>
      <c r="AF127" s="57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6"/>
      <c r="BD127" s="4"/>
      <c r="BE127" s="36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H128" s="56"/>
      <c r="P128" s="56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57"/>
      <c r="AD128" s="57"/>
      <c r="AE128" s="57"/>
      <c r="AF128" s="57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6"/>
      <c r="BD128" s="4"/>
      <c r="BE128" s="36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H129" s="56"/>
      <c r="P129" s="56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57"/>
      <c r="AD129" s="57"/>
      <c r="AE129" s="57"/>
      <c r="AF129" s="57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6"/>
      <c r="BD129" s="4"/>
      <c r="BE129" s="36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H130" s="56"/>
      <c r="P130" s="56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57"/>
      <c r="AD130" s="57"/>
      <c r="AE130" s="57"/>
      <c r="AF130" s="57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6"/>
      <c r="BD130" s="4"/>
      <c r="BE130" s="36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H131" s="56"/>
      <c r="P131" s="56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57"/>
      <c r="AD131" s="57"/>
      <c r="AE131" s="57"/>
      <c r="AF131" s="57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6"/>
      <c r="BD131" s="4"/>
      <c r="BE131" s="36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H132" s="56"/>
      <c r="P132" s="56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57"/>
      <c r="AD132" s="57"/>
      <c r="AE132" s="57"/>
      <c r="AF132" s="57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6"/>
      <c r="BD132" s="4"/>
      <c r="BE132" s="36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H133" s="56"/>
      <c r="P133" s="56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57"/>
      <c r="AD133" s="57"/>
      <c r="AE133" s="57"/>
      <c r="AF133" s="57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6"/>
      <c r="BD133" s="4"/>
      <c r="BE133" s="36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H134" s="56"/>
      <c r="P134" s="56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57"/>
      <c r="AD134" s="57"/>
      <c r="AE134" s="57"/>
      <c r="AF134" s="57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6"/>
      <c r="BD134" s="4"/>
      <c r="BE134" s="36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H135" s="56"/>
      <c r="P135" s="56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57"/>
      <c r="AD135" s="57"/>
      <c r="AE135" s="57"/>
      <c r="AF135" s="57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6"/>
      <c r="BD135" s="4"/>
      <c r="BE135" s="36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H136" s="56"/>
      <c r="P136" s="56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57"/>
      <c r="AD136" s="57"/>
      <c r="AE136" s="57"/>
      <c r="AF136" s="57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6"/>
      <c r="BD136" s="4"/>
      <c r="BE136" s="36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H137" s="56"/>
      <c r="P137" s="56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57"/>
      <c r="AD137" s="57"/>
      <c r="AE137" s="57"/>
      <c r="AF137" s="57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6"/>
      <c r="BD137" s="4"/>
      <c r="BE137" s="36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H138" s="56"/>
      <c r="P138" s="56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57"/>
      <c r="AD138" s="57"/>
      <c r="AE138" s="57"/>
      <c r="AF138" s="57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6"/>
      <c r="BD138" s="4"/>
      <c r="BE138" s="36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H139" s="56"/>
      <c r="P139" s="56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57"/>
      <c r="AD139" s="57"/>
      <c r="AE139" s="57"/>
      <c r="AF139" s="57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6"/>
      <c r="BD139" s="4"/>
      <c r="BE139" s="36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H140" s="56"/>
      <c r="P140" s="56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57"/>
      <c r="AD140" s="57"/>
      <c r="AE140" s="57"/>
      <c r="AF140" s="57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6"/>
      <c r="BD140" s="4"/>
      <c r="BE140" s="36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H141" s="56"/>
      <c r="P141" s="56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57"/>
      <c r="AD141" s="57"/>
      <c r="AE141" s="57"/>
      <c r="AF141" s="57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6"/>
      <c r="BD141" s="4"/>
      <c r="BE141" s="36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H142" s="56"/>
      <c r="P142" s="56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57"/>
      <c r="AD142" s="57"/>
      <c r="AE142" s="57"/>
      <c r="AF142" s="57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6"/>
      <c r="BD142" s="4"/>
      <c r="BE142" s="36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H143" s="56"/>
      <c r="P143" s="56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57"/>
      <c r="AD143" s="57"/>
      <c r="AE143" s="57"/>
      <c r="AF143" s="57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6"/>
      <c r="BD143" s="4"/>
      <c r="BE143" s="36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H144" s="56"/>
      <c r="P144" s="56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57"/>
      <c r="AD144" s="57"/>
      <c r="AE144" s="57"/>
      <c r="AF144" s="57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6"/>
      <c r="BD144" s="4"/>
      <c r="BE144" s="36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H145" s="56"/>
      <c r="P145" s="56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57"/>
      <c r="AD145" s="57"/>
      <c r="AE145" s="57"/>
      <c r="AF145" s="57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6"/>
      <c r="BD145" s="4"/>
      <c r="BE145" s="36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H146" s="56"/>
      <c r="P146" s="56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57"/>
      <c r="AD146" s="57"/>
      <c r="AE146" s="57"/>
      <c r="AF146" s="57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6"/>
      <c r="BD146" s="4"/>
      <c r="BE146" s="36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H147" s="56"/>
      <c r="P147" s="56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57"/>
      <c r="AD147" s="57"/>
      <c r="AE147" s="57"/>
      <c r="AF147" s="57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6"/>
      <c r="BD147" s="4"/>
      <c r="BE147" s="36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H148" s="56"/>
      <c r="P148" s="56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57"/>
      <c r="AD148" s="57"/>
      <c r="AE148" s="57"/>
      <c r="AF148" s="57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6"/>
      <c r="BD148" s="4"/>
      <c r="BE148" s="36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H149" s="56"/>
      <c r="P149" s="56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57"/>
      <c r="AD149" s="57"/>
      <c r="AE149" s="57"/>
      <c r="AF149" s="57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6"/>
      <c r="BD149" s="4"/>
      <c r="BE149" s="36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H150" s="56"/>
      <c r="P150" s="56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57"/>
      <c r="AD150" s="57"/>
      <c r="AE150" s="57"/>
      <c r="AF150" s="57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6"/>
      <c r="BD150" s="4"/>
      <c r="BE150" s="36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H151" s="56"/>
      <c r="P151" s="56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57"/>
      <c r="AD151" s="57"/>
      <c r="AE151" s="57"/>
      <c r="AF151" s="57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6"/>
      <c r="BD151" s="4"/>
      <c r="BE151" s="36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H152" s="56"/>
      <c r="P152" s="56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57"/>
      <c r="AD152" s="57"/>
      <c r="AE152" s="57"/>
      <c r="AF152" s="57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6"/>
      <c r="BD152" s="4"/>
      <c r="BE152" s="36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H153" s="56"/>
      <c r="P153" s="56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57"/>
      <c r="AD153" s="57"/>
      <c r="AE153" s="57"/>
      <c r="AF153" s="57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6"/>
      <c r="BD153" s="4"/>
      <c r="BE153" s="36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H154" s="56"/>
      <c r="P154" s="56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57"/>
      <c r="AD154" s="57"/>
      <c r="AE154" s="57"/>
      <c r="AF154" s="57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6"/>
      <c r="BD154" s="4"/>
      <c r="BE154" s="36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H155" s="56"/>
      <c r="P155" s="56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57"/>
      <c r="AD155" s="57"/>
      <c r="AE155" s="57"/>
      <c r="AF155" s="57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6"/>
      <c r="BD155" s="4"/>
      <c r="BE155" s="36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H156" s="56"/>
      <c r="P156" s="56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57"/>
      <c r="AD156" s="57"/>
      <c r="AE156" s="57"/>
      <c r="AF156" s="57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6"/>
      <c r="BD156" s="4"/>
      <c r="BE156" s="36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H157" s="56"/>
      <c r="P157" s="56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57"/>
      <c r="AD157" s="57"/>
      <c r="AE157" s="57"/>
      <c r="AF157" s="57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6"/>
      <c r="BD157" s="4"/>
      <c r="BE157" s="36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H158" s="56"/>
      <c r="P158" s="56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57"/>
      <c r="AD158" s="57"/>
      <c r="AE158" s="57"/>
      <c r="AF158" s="57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6"/>
      <c r="BD158" s="4"/>
      <c r="BE158" s="36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H159" s="56"/>
      <c r="P159" s="56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57"/>
      <c r="AD159" s="57"/>
      <c r="AE159" s="57"/>
      <c r="AF159" s="57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6"/>
      <c r="BD159" s="4"/>
      <c r="BE159" s="36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H160" s="56"/>
      <c r="P160" s="56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57"/>
      <c r="AD160" s="57"/>
      <c r="AE160" s="57"/>
      <c r="AF160" s="57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6"/>
      <c r="BD160" s="4"/>
      <c r="BE160" s="36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H161" s="56"/>
      <c r="P161" s="56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57"/>
      <c r="AD161" s="57"/>
      <c r="AE161" s="57"/>
      <c r="AF161" s="57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36"/>
      <c r="BD161" s="4"/>
      <c r="BE161" s="36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H162" s="56"/>
      <c r="P162" s="56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57"/>
      <c r="AD162" s="57"/>
      <c r="AE162" s="57"/>
      <c r="AF162" s="57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36"/>
      <c r="BD162" s="4"/>
      <c r="BE162" s="36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H163" s="56"/>
      <c r="P163" s="56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57"/>
      <c r="AD163" s="57"/>
      <c r="AE163" s="57"/>
      <c r="AF163" s="57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36"/>
      <c r="BD163" s="4"/>
      <c r="BE163" s="36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H164" s="56"/>
      <c r="P164" s="56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57"/>
      <c r="AD164" s="57"/>
      <c r="AE164" s="57"/>
      <c r="AF164" s="57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36"/>
      <c r="BD164" s="4"/>
      <c r="BE164" s="36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H165" s="56"/>
      <c r="P165" s="56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57"/>
      <c r="AD165" s="57"/>
      <c r="AE165" s="57"/>
      <c r="AF165" s="57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36"/>
      <c r="BD165" s="4"/>
      <c r="BE165" s="36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H166" s="56"/>
      <c r="P166" s="56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57"/>
      <c r="AD166" s="57"/>
      <c r="AE166" s="57"/>
      <c r="AF166" s="57"/>
      <c r="AG166" s="4"/>
      <c r="AH166" s="4"/>
      <c r="AI166" s="1"/>
      <c r="AJ166" s="4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6"/>
      <c r="BD166" s="4"/>
      <c r="BE166" s="36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H167" s="56"/>
      <c r="P167" s="56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57"/>
      <c r="AD167" s="57"/>
      <c r="AE167" s="57"/>
      <c r="AF167" s="57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6"/>
      <c r="BD167" s="4"/>
      <c r="BE167" s="36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H168" s="56"/>
      <c r="P168" s="56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57"/>
      <c r="AD168" s="57"/>
      <c r="AE168" s="57"/>
      <c r="AF168" s="57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6"/>
      <c r="BD168" s="4"/>
      <c r="BE168" s="36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H169" s="56"/>
      <c r="P169" s="56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57"/>
      <c r="AD169" s="57"/>
      <c r="AE169" s="57"/>
      <c r="AF169" s="57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6"/>
      <c r="BD169" s="4"/>
      <c r="BE169" s="36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H170" s="56"/>
      <c r="P170" s="56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57"/>
      <c r="AD170" s="57"/>
      <c r="AE170" s="57"/>
      <c r="AF170" s="57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6"/>
      <c r="BD170" s="4"/>
      <c r="BE170" s="36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H171" s="56"/>
      <c r="P171" s="56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57"/>
      <c r="AD171" s="57"/>
      <c r="AE171" s="57"/>
      <c r="AF171" s="57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6"/>
      <c r="BD171" s="4"/>
      <c r="BE171" s="36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H172" s="56"/>
      <c r="P172" s="56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57"/>
      <c r="AD172" s="57"/>
      <c r="AE172" s="57"/>
      <c r="AF172" s="57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6"/>
      <c r="BD172" s="4"/>
      <c r="BE172" s="36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H173" s="56"/>
      <c r="P173" s="56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57"/>
      <c r="AD173" s="57"/>
      <c r="AE173" s="57"/>
      <c r="AF173" s="57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6"/>
      <c r="BD173" s="4"/>
      <c r="BE173" s="36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H174" s="56"/>
      <c r="P174" s="56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57"/>
      <c r="AD174" s="57"/>
      <c r="AE174" s="57"/>
      <c r="AF174" s="57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6"/>
      <c r="BD174" s="4"/>
      <c r="BE174" s="36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H175" s="56"/>
      <c r="P175" s="56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57"/>
      <c r="AD175" s="57"/>
      <c r="AE175" s="57"/>
      <c r="AF175" s="57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6"/>
      <c r="BD175" s="4"/>
      <c r="BE175" s="36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H176" s="56"/>
      <c r="P176" s="56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57"/>
      <c r="AD176" s="57"/>
      <c r="AE176" s="57"/>
      <c r="AF176" s="57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6"/>
      <c r="BD176" s="4"/>
      <c r="BE176" s="36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H177" s="56"/>
      <c r="P177" s="56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57"/>
      <c r="AD177" s="57"/>
      <c r="AE177" s="57"/>
      <c r="AF177" s="57"/>
      <c r="AG177" s="4"/>
      <c r="AH177" s="4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6"/>
      <c r="BD177" s="4"/>
      <c r="BE177" s="36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H178" s="56"/>
      <c r="P178" s="56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55"/>
      <c r="AD178" s="55"/>
      <c r="AE178" s="55"/>
      <c r="AF178" s="55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6"/>
      <c r="BD178" s="4"/>
      <c r="BE178" s="36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H179" s="56"/>
      <c r="P179" s="56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55"/>
      <c r="AD179" s="55"/>
      <c r="AE179" s="55"/>
      <c r="AF179" s="55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6"/>
      <c r="BD179" s="4"/>
      <c r="BE179" s="36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H180" s="56"/>
      <c r="P180" s="56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55"/>
      <c r="AD180" s="55"/>
      <c r="AE180" s="55"/>
      <c r="AF180" s="55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6"/>
      <c r="BD180" s="4"/>
      <c r="BE180" s="36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H181" s="56"/>
      <c r="P181" s="56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55"/>
      <c r="AD181" s="55"/>
      <c r="AE181" s="55"/>
      <c r="AF181" s="55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6"/>
      <c r="BD181" s="4"/>
      <c r="BE181" s="36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H182" s="56"/>
      <c r="P182" s="56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55"/>
      <c r="AD182" s="55"/>
      <c r="AE182" s="55"/>
      <c r="AF182" s="55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6"/>
      <c r="BD182" s="4"/>
      <c r="BE182" s="36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H183" s="56"/>
      <c r="P183" s="56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55"/>
      <c r="AD183" s="55"/>
      <c r="AE183" s="55"/>
      <c r="AF183" s="55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6"/>
      <c r="BD183" s="4"/>
      <c r="BE183" s="36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H184" s="56"/>
      <c r="P184" s="56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55"/>
      <c r="AD184" s="55"/>
      <c r="AE184" s="55"/>
      <c r="AF184" s="55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6"/>
      <c r="BD184" s="4"/>
      <c r="BE184" s="36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H185" s="56"/>
      <c r="P185" s="56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55"/>
      <c r="AD185" s="55"/>
      <c r="AE185" s="55"/>
      <c r="AF185" s="55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6"/>
      <c r="BD185" s="4"/>
      <c r="BE185" s="36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H186" s="56"/>
      <c r="P186" s="56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55"/>
      <c r="AD186" s="55"/>
      <c r="AE186" s="55"/>
      <c r="AF186" s="55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6"/>
      <c r="BD186" s="4"/>
      <c r="BE186" s="36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H187" s="56"/>
      <c r="P187" s="56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55"/>
      <c r="AD187" s="55"/>
      <c r="AE187" s="55"/>
      <c r="AF187" s="55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6"/>
      <c r="BD187" s="4"/>
      <c r="BE187" s="36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H188" s="56"/>
      <c r="P188" s="56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55"/>
      <c r="AD188" s="55"/>
      <c r="AE188" s="55"/>
      <c r="AF188" s="55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6"/>
      <c r="BD188" s="4"/>
      <c r="BE188" s="36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H189" s="56"/>
      <c r="P189" s="56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55"/>
      <c r="AD189" s="55"/>
      <c r="AE189" s="55"/>
      <c r="AF189" s="55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6"/>
      <c r="BD189" s="4"/>
      <c r="BE189" s="36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H190" s="56"/>
      <c r="P190" s="56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55"/>
      <c r="AD190" s="55"/>
      <c r="AE190" s="55"/>
      <c r="AF190" s="55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6"/>
      <c r="BD190" s="4"/>
      <c r="BE190" s="36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H191" s="56"/>
      <c r="P191" s="56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55"/>
      <c r="AD191" s="55"/>
      <c r="AE191" s="55"/>
      <c r="AF191" s="55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6"/>
      <c r="BD191" s="4"/>
      <c r="BE191" s="36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H192" s="56"/>
      <c r="P192" s="56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55"/>
      <c r="AD192" s="55"/>
      <c r="AE192" s="55"/>
      <c r="AF192" s="55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6"/>
      <c r="BD192" s="4"/>
      <c r="BE192" s="36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H193" s="56"/>
      <c r="P193" s="56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55"/>
      <c r="AD193" s="55"/>
      <c r="AE193" s="55"/>
      <c r="AF193" s="55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6"/>
      <c r="BD193" s="4"/>
      <c r="BE193" s="36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H194" s="56"/>
      <c r="P194" s="56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55"/>
      <c r="AD194" s="55"/>
      <c r="AE194" s="55"/>
      <c r="AF194" s="55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6"/>
      <c r="BD194" s="4"/>
      <c r="BE194" s="36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H195" s="56"/>
      <c r="P195" s="56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55"/>
      <c r="AD195" s="55"/>
      <c r="AE195" s="55"/>
      <c r="AF195" s="55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6"/>
      <c r="BD195" s="4"/>
      <c r="BE195" s="36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H196" s="56"/>
      <c r="P196" s="56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55"/>
      <c r="AD196" s="55"/>
      <c r="AE196" s="55"/>
      <c r="AF196" s="55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6"/>
      <c r="BD196" s="4"/>
      <c r="BE196" s="36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H197" s="56"/>
      <c r="P197" s="56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55"/>
      <c r="AD197" s="55"/>
      <c r="AE197" s="55"/>
      <c r="AF197" s="55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6"/>
      <c r="BD197" s="4"/>
      <c r="BE197" s="36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H198" s="56"/>
      <c r="P198" s="56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55"/>
      <c r="AD198" s="55"/>
      <c r="AE198" s="55"/>
      <c r="AF198" s="55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6"/>
      <c r="BD198" s="4"/>
      <c r="BE198" s="36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H199" s="56"/>
      <c r="P199" s="56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55"/>
      <c r="AD199" s="55"/>
      <c r="AE199" s="55"/>
      <c r="AF199" s="55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6"/>
      <c r="BD199" s="4"/>
      <c r="BE199" s="36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H200" s="56"/>
      <c r="P200" s="56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55"/>
      <c r="AD200" s="55"/>
      <c r="AE200" s="55"/>
      <c r="AF200" s="55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36"/>
      <c r="BD200" s="4"/>
      <c r="BE200" s="36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H201" s="56"/>
      <c r="P201" s="56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55"/>
      <c r="AD201" s="55"/>
      <c r="AE201" s="55"/>
      <c r="AF201" s="55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36"/>
      <c r="BD201" s="4"/>
      <c r="BE201" s="36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H202" s="56"/>
      <c r="P202" s="56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55"/>
      <c r="AD202" s="55"/>
      <c r="AE202" s="55"/>
      <c r="AF202" s="55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36"/>
      <c r="BD202" s="4"/>
      <c r="BE202" s="36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H203" s="56"/>
      <c r="P203" s="56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55"/>
      <c r="AD203" s="55"/>
      <c r="AE203" s="55"/>
      <c r="AF203" s="55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36"/>
      <c r="BD203" s="4"/>
      <c r="BE203" s="36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H204" s="56"/>
      <c r="P204" s="56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55"/>
      <c r="AD204" s="55"/>
      <c r="AE204" s="55"/>
      <c r="AF204" s="55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36"/>
      <c r="BD204" s="4"/>
      <c r="BE204" s="36"/>
      <c r="BF204" s="4"/>
      <c r="BG204" s="4"/>
      <c r="BH204" s="1"/>
      <c r="BI20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8" sqref="B8"/>
    </sheetView>
  </sheetViews>
  <sheetFormatPr defaultRowHeight="15" x14ac:dyDescent="0.25"/>
  <cols>
    <col min="1" max="1" width="22.42578125" customWidth="1"/>
    <col min="2" max="2" width="88.28515625" customWidth="1"/>
  </cols>
  <sheetData>
    <row r="2" spans="1:2" ht="15.75" x14ac:dyDescent="0.25">
      <c r="A2" s="10" t="s">
        <v>73</v>
      </c>
      <c r="B2" s="10" t="s">
        <v>74</v>
      </c>
    </row>
    <row r="3" spans="1:2" ht="15.75" x14ac:dyDescent="0.25">
      <c r="A3" s="34" t="s">
        <v>75</v>
      </c>
      <c r="B3" s="40" t="s">
        <v>130</v>
      </c>
    </row>
    <row r="4" spans="1:2" ht="15.75" x14ac:dyDescent="0.25">
      <c r="A4" s="34" t="s">
        <v>76</v>
      </c>
      <c r="B4" s="41">
        <v>70</v>
      </c>
    </row>
    <row r="5" spans="1:2" ht="15.75" x14ac:dyDescent="0.25">
      <c r="A5" s="34" t="s">
        <v>89</v>
      </c>
      <c r="B5" s="40" t="s">
        <v>50</v>
      </c>
    </row>
    <row r="6" spans="1:2" ht="15.75" x14ac:dyDescent="0.25">
      <c r="A6" s="50" t="s">
        <v>104</v>
      </c>
      <c r="B6" s="51" t="s">
        <v>165</v>
      </c>
    </row>
    <row r="7" spans="1:2" ht="15.75" x14ac:dyDescent="0.25">
      <c r="A7" s="50" t="s">
        <v>166</v>
      </c>
      <c r="B7" s="51">
        <v>1</v>
      </c>
    </row>
    <row r="8" spans="1:2" s="70" customFormat="1" ht="15.75" x14ac:dyDescent="0.25">
      <c r="A8" s="69" t="s">
        <v>173</v>
      </c>
      <c r="B8" t="s">
        <v>175</v>
      </c>
    </row>
    <row r="9" spans="1:2" s="70" customFormat="1" ht="15.75" x14ac:dyDescent="0.25">
      <c r="A9" s="69" t="s">
        <v>174</v>
      </c>
      <c r="B9" s="69"/>
    </row>
    <row r="10" spans="1:2" s="70" customFormat="1" ht="15.75" x14ac:dyDescent="0.25">
      <c r="A10" s="48" t="s">
        <v>130</v>
      </c>
      <c r="B10" t="s">
        <v>175</v>
      </c>
    </row>
    <row r="11" spans="1:2" s="70" customFormat="1" ht="15.75" x14ac:dyDescent="0.25">
      <c r="A11" s="69" t="s">
        <v>174</v>
      </c>
      <c r="B11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2025-09-09T06:23:16Z</dcterms:modified>
</cp:coreProperties>
</file>