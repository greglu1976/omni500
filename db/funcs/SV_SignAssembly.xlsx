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5" i="4" l="1"/>
  <c r="AV5" i="4"/>
  <c r="J5" i="4"/>
  <c r="I5" i="4"/>
  <c r="BG20" i="2"/>
  <c r="AV20" i="2"/>
  <c r="J20" i="2"/>
  <c r="I20" i="2"/>
  <c r="BG16" i="2"/>
  <c r="AV16" i="2"/>
  <c r="J16" i="2"/>
  <c r="I16" i="2"/>
  <c r="BG6" i="2"/>
  <c r="AV6" i="2"/>
  <c r="J6" i="2"/>
  <c r="I6" i="2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4" i="4"/>
  <c r="AV4" i="4"/>
  <c r="J4" i="4"/>
  <c r="I4" i="4"/>
  <c r="BG3" i="4"/>
  <c r="AV3" i="4"/>
  <c r="J3" i="4"/>
  <c r="I3" i="4"/>
  <c r="AH1" i="4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19" i="2"/>
  <c r="AV19" i="2"/>
  <c r="J19" i="2"/>
  <c r="I19" i="2"/>
  <c r="BG18" i="2"/>
  <c r="AV18" i="2"/>
  <c r="J18" i="2"/>
  <c r="I18" i="2"/>
  <c r="BG17" i="2"/>
  <c r="AV17" i="2"/>
  <c r="J17" i="2"/>
  <c r="I17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5" i="2"/>
  <c r="AV5" i="2"/>
  <c r="J5" i="2"/>
  <c r="I5" i="2"/>
  <c r="BG4" i="2"/>
  <c r="AV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<sst xmlns="http://schemas.openxmlformats.org/spreadsheetml/2006/main" count="683" uniqueCount="202">
  <si>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</si>
  <si>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</si>
  <si>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</si>
  <si>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</si>
  <si>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</si>
  <si>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</si>
  <si>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</si>
  <si>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</si>
  <si>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</si>
  <si>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</si>
  <si>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</si>
  <si>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</si>
  <si>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</si>
  <si>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</si>
  <si>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</si>
  <si>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</si>
  <si>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</si>
  <si>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</si>
  <si>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</si>
  <si>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</si>
  <si>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</si>
  <si>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</si>
  <si>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</si>
  <si>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</si>
  <si>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</si>
  <si>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</si>
  <si>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</si>
  <si>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</si>
  <si>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</si>
  <si>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</si>
  <si>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</si>
  <si>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</si>
  <si>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</si>
  <si>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</si>
  <si>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</si>
  <si>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</si>
  <si>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</si>
  <si>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</si>
  <si>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</si>
  <si>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</si>
  <si>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</si>
  <si>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</si>
  <si>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</si>
  <si>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</si>
  <si>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</si>
  <si>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</si>
  <si>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</si>
  <si>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</si>
  <si>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</si>
  <si>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</si>
  <si>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</si>
  <si>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</si>
  <si>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</si>
  <si>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</si>
  <si>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</si>
  <si>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</si>
  <si>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</si>
  <si>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</si>
  <si>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</si>
  <si>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</si>
  <si>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</si>
  <si>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</si>
  <si>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</si>
  <si>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</si>
  <si>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</si>
  <si>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</si>
  <si>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Неисправность опер. тока цепей сигнализации выключателя</t>
  </si>
  <si>
    <t>ОТ цепей сигн. В</t>
  </si>
  <si>
    <t>OCcir_CB</t>
  </si>
  <si>
    <t>Положение SA1</t>
  </si>
  <si>
    <t>SA1Pos</t>
  </si>
  <si>
    <t>Положение SA2</t>
  </si>
  <si>
    <t>SA2Pos</t>
  </si>
  <si>
    <t>Положение SA3</t>
  </si>
  <si>
    <t>SA3Pos</t>
  </si>
  <si>
    <t>Положение SA4</t>
  </si>
  <si>
    <t>SA4Pos</t>
  </si>
  <si>
    <t>Положение SG1</t>
  </si>
  <si>
    <t>SG1Pos</t>
  </si>
  <si>
    <t>Положение SG2</t>
  </si>
  <si>
    <t>SG2Pos</t>
  </si>
  <si>
    <t>Положение SG3</t>
  </si>
  <si>
    <t>SG3Pos</t>
  </si>
  <si>
    <t>Неисправное положение ЗН</t>
  </si>
  <si>
    <t>Неиспр.полож. ЗН</t>
  </si>
  <si>
    <t>ESPosFaul</t>
  </si>
  <si>
    <t>Сигнал превышения допустимого времени переключения УВ</t>
  </si>
  <si>
    <t>Прев. вр. пер. УВ</t>
  </si>
  <si>
    <t>OpTmAlmCB</t>
  </si>
  <si>
    <t>Сигнал превышения допустимого времени переключения УЗН</t>
  </si>
  <si>
    <t>Прев. вр. пер. УЗН</t>
  </si>
  <si>
    <t>OpTmAlmES</t>
  </si>
  <si>
    <t>Сигнал внешний 1</t>
  </si>
  <si>
    <t>ExtSignal1</t>
  </si>
  <si>
    <t>Сигнал внешний 2</t>
  </si>
  <si>
    <t>ExtSignal2</t>
  </si>
  <si>
    <t>Сигнал внешний 3</t>
  </si>
  <si>
    <t>ExtSignal3</t>
  </si>
  <si>
    <t>Сигнал внешний 4</t>
  </si>
  <si>
    <t>ExtSignal4</t>
  </si>
  <si>
    <t>СС</t>
  </si>
  <si>
    <t>Сигнализация цепей опер.тока</t>
  </si>
  <si>
    <t>ОТ сигн</t>
  </si>
  <si>
    <t>Выходные цепи разобраны</t>
  </si>
  <si>
    <t>Вых.цепи разобраны</t>
  </si>
  <si>
    <t>БИ выведены</t>
  </si>
  <si>
    <t>Неисправность КА</t>
  </si>
  <si>
    <t>Превышение времени переключения КА</t>
  </si>
  <si>
    <t>Прев. вр. пер. КА</t>
  </si>
  <si>
    <t>Общий внешний сигнал</t>
  </si>
  <si>
    <t>Общ. внеш. сигнал</t>
  </si>
  <si>
    <t>setting</t>
  </si>
  <si>
    <t>SGF1</t>
  </si>
  <si>
    <t>0 - Не предусмотрено, 1 - Предусмотрено</t>
  </si>
  <si>
    <t>NotProvided_Provided</t>
  </si>
  <si>
    <t>Контроль опер. тока цепей сигнализации выключателя</t>
  </si>
  <si>
    <t>Контр_ОТ_сигн_В</t>
  </si>
  <si>
    <t>SGF2</t>
  </si>
  <si>
    <t>SGF3</t>
  </si>
  <si>
    <t>Контроль положения SA1</t>
  </si>
  <si>
    <t>Контр_полож_SA1</t>
  </si>
  <si>
    <t>SGF4</t>
  </si>
  <si>
    <t>Контроль положения SA2</t>
  </si>
  <si>
    <t>Контр_полож_SA2</t>
  </si>
  <si>
    <t>SGF5</t>
  </si>
  <si>
    <t>Контроль положения SA3</t>
  </si>
  <si>
    <t>Контр_полож_SA3</t>
  </si>
  <si>
    <t>SGF6</t>
  </si>
  <si>
    <t>Контроль положения SA4</t>
  </si>
  <si>
    <t>Контр_полож_SA4</t>
  </si>
  <si>
    <t>SGF7</t>
  </si>
  <si>
    <t>Контроль положения SG1</t>
  </si>
  <si>
    <t>Контр_полож_SG1</t>
  </si>
  <si>
    <t>SGF8</t>
  </si>
  <si>
    <t>Контроль положения SG2</t>
  </si>
  <si>
    <t>Контр_полож_SG2</t>
  </si>
  <si>
    <t>SGF9</t>
  </si>
  <si>
    <t>Контроль положения SG3</t>
  </si>
  <si>
    <t>Контр_полож_SG3</t>
  </si>
  <si>
    <t>SGF10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</si>
  <si>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</si>
  <si>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</si>
  <si>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</si>
  <si>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</si>
  <si>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</si>
  <si>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</si>
  <si>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</si>
  <si>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Неисправность опер. тока цепей ОБР 1</t>
  </si>
  <si>
    <t>ОТ цепей ОБР 1</t>
  </si>
  <si>
    <t>OCcir_CILO1</t>
  </si>
  <si>
    <t>Неисправность опер. тока цепей ОБР 2</t>
  </si>
  <si>
    <t>ОТ цепей ОБР 2</t>
  </si>
  <si>
    <t>OCcir_CILO2</t>
  </si>
  <si>
    <t>Неисправное положение ВЭ1</t>
  </si>
  <si>
    <t>Неиспр.полож. ВЭ1</t>
  </si>
  <si>
    <t>WE1PosFaul</t>
  </si>
  <si>
    <t>Неисправное положение ВЭ2</t>
  </si>
  <si>
    <t>Неиспр.полож. ВЭ2</t>
  </si>
  <si>
    <t>WE2PosFaul</t>
  </si>
  <si>
    <t>Сигнал превышения допустимого времени переключения УВЭ1</t>
  </si>
  <si>
    <t>Прев. вр. пер. УВЭ1</t>
  </si>
  <si>
    <t>OpTmAlmWE1</t>
  </si>
  <si>
    <t>Сигнал превышения допустимого времени переключения УВЭ2</t>
  </si>
  <si>
    <t>Прев. вр. пер. УВЭ2</t>
  </si>
  <si>
    <t>OpTmAlmWE2</t>
  </si>
  <si>
    <t>Контроль опер. тока цепей ОБР 1</t>
  </si>
  <si>
    <t>Контроль опер. тока цепей ОБР 2</t>
  </si>
  <si>
    <t>Контр_ОТ_ОБР1</t>
  </si>
  <si>
    <t>Контр_ОТ_ОБР2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</si>
  <si>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</si>
  <si>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</si>
  <si>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</si>
  <si>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</si>
  <si>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испытательного блока SG1</t>
  </si>
  <si>
    <t>Положение испытательного блока SG2</t>
  </si>
  <si>
    <t>Положение испытательного блока SG3</t>
  </si>
  <si>
    <t>SV_SignAssembly</t>
  </si>
  <si>
    <t>DescriptionFB</t>
  </si>
  <si>
    <t>Сборка сигналов</t>
  </si>
  <si>
    <t>DescriptionFuncList</t>
  </si>
  <si>
    <t>status</t>
  </si>
  <si>
    <t>GAPC1_AlmOC</t>
  </si>
  <si>
    <t>GAPC1_OutCirOpn</t>
  </si>
  <si>
    <t>GAPC1_TestBlockPosOpn</t>
  </si>
  <si>
    <t>GAPC1_SDFailure</t>
  </si>
  <si>
    <t>GAPC1_OpTmAlm</t>
  </si>
  <si>
    <t>GAPC1_OvrlExtSign</t>
  </si>
  <si>
    <t>Logger</t>
  </si>
  <si>
    <t>Disturber</t>
  </si>
  <si>
    <t>StartDisturber</t>
  </si>
  <si>
    <t>control</t>
  </si>
  <si>
    <t>input</t>
  </si>
  <si>
    <t>GAPC1_OCcir_CB_Ctrl</t>
  </si>
  <si>
    <t>GAPC1_OCcir_CILO1_Ctrl</t>
  </si>
  <si>
    <t>GAPC1_OCcir_CILO2_Ctrl</t>
  </si>
  <si>
    <t>GAPC1_SA1Pos_Ctrl</t>
  </si>
  <si>
    <t>GAPC1_SA2Pos_Ctrl</t>
  </si>
  <si>
    <t>GAPC1_SA3Pos_Ctrl</t>
  </si>
  <si>
    <t>GAPC1_SA4Pos_Ctrl</t>
  </si>
  <si>
    <t>GAPC1_SG1Pos_Ctrl</t>
  </si>
  <si>
    <t>GAPC1_SG2Pos_Ctrl</t>
  </si>
  <si>
    <t>GAPC1_SG3Pos_Ctrl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</si>
</sst>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0" xfId="1" applyFont="1" applyFill="1"/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0" xfId="1" applyFont="1" applyAlignment="1">
      <alignment horizontal="center" vertical="center"/>
    </xf>
    <xf numFmtId="0" fontId="5" fillId="4" borderId="2" xfId="1" applyFont="1" applyFill="1" applyBorder="1" applyAlignment="1">
      <alignment vertical="center"/>
    </xf>
    <xf numFmtId="0" fontId="5" fillId="4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vertical="center" wrapText="1"/>
    </xf>
    <xf numFmtId="0" fontId="2" fillId="0" borderId="0" xfId="1" applyFont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2" fillId="6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0" xfId="1" applyFont="1" applyFill="1" applyBorder="1" applyAlignment="1">
      <alignment vertical="center" wrapText="1"/>
    </xf>
    <xf numFmtId="0" fontId="2" fillId="7" borderId="0" xfId="1" applyFont="1" applyFill="1"/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</cellXfs>
  <cellStyles count="4">
    <cellStyle name="Обычный" xfId="0" builtinId="0"/>
    <cellStyle name="Обычный 2" xfId="1"/>
    <cellStyle name="Обычный 2 2" xfId="2"/>
    <cellStyle name="Обычный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topLeftCell="AM1" zoomScale="80" zoomScaleNormal="80" workbookViewId="0">
      <selection activeCell="E10" sqref="E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5" t="s">
        <v>0</v>
      </c>
      <c r="BA1" s="76"/>
      <c r="BB1" s="76"/>
      <c r="BC1" s="76"/>
      <c r="BD1" s="76"/>
      <c r="BE1" s="76"/>
      <c r="BF1" s="76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46" t="s">
        <v>187</v>
      </c>
      <c r="AW2" s="46" t="s">
        <v>188</v>
      </c>
      <c r="AX2" s="46" t="s">
        <v>189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61" customFormat="1" ht="15.75" customHeight="1" x14ac:dyDescent="0.25">
      <c r="A3" s="47"/>
      <c r="B3" s="47" t="s">
        <v>190</v>
      </c>
      <c r="C3" s="48"/>
      <c r="D3" s="49"/>
      <c r="E3" s="50" t="s">
        <v>60</v>
      </c>
      <c r="F3" s="50" t="s">
        <v>60</v>
      </c>
      <c r="G3" s="50" t="s">
        <v>60</v>
      </c>
      <c r="H3" s="50"/>
      <c r="I3" s="50">
        <f t="shared" ref="I3:I24" si="0">LEN(F3)</f>
        <v>15</v>
      </c>
      <c r="J3" s="50" t="str">
        <f t="shared" ref="J3:J24" si="1">IF(LEN(F3)&lt;=$J$1,F3,"")</f>
        <v>Вывод терминала</v>
      </c>
      <c r="K3" s="47" t="s">
        <v>61</v>
      </c>
      <c r="L3" s="51" t="s">
        <v>62</v>
      </c>
      <c r="M3" s="48" t="s">
        <v>63</v>
      </c>
      <c r="N3" s="48" t="s">
        <v>64</v>
      </c>
      <c r="O3" s="48"/>
      <c r="P3" s="52"/>
      <c r="Q3" s="52"/>
      <c r="R3" s="53" t="s">
        <v>65</v>
      </c>
      <c r="S3" s="48" t="s">
        <v>65</v>
      </c>
      <c r="T3" s="48" t="s">
        <v>65</v>
      </c>
      <c r="U3" s="48" t="s">
        <v>65</v>
      </c>
      <c r="V3" s="48"/>
      <c r="W3" s="48"/>
      <c r="X3" s="48" t="s">
        <v>65</v>
      </c>
      <c r="Y3" s="48">
        <v>0</v>
      </c>
      <c r="Z3" s="54"/>
      <c r="AA3" s="55">
        <v>0</v>
      </c>
      <c r="AB3" s="55"/>
      <c r="AC3" s="55"/>
      <c r="AD3" s="55"/>
      <c r="AE3" s="55"/>
      <c r="AF3" s="55">
        <v>0</v>
      </c>
      <c r="AG3" s="55">
        <v>0</v>
      </c>
      <c r="AH3" s="55">
        <v>0</v>
      </c>
      <c r="AI3" s="56"/>
      <c r="AJ3" s="57"/>
      <c r="AK3" s="57"/>
      <c r="AL3" s="57"/>
      <c r="AM3" s="57"/>
      <c r="AN3" s="57"/>
      <c r="AO3" s="57"/>
      <c r="AP3" s="57"/>
      <c r="AQ3" s="57"/>
      <c r="AR3" s="55">
        <v>0</v>
      </c>
      <c r="AS3" s="55">
        <v>0</v>
      </c>
      <c r="AT3" s="55">
        <v>1</v>
      </c>
      <c r="AU3" s="55">
        <v>0</v>
      </c>
      <c r="AV3" s="55">
        <v>1</v>
      </c>
      <c r="AW3" s="55">
        <v>1</v>
      </c>
      <c r="AX3" s="55">
        <v>1</v>
      </c>
      <c r="AY3" s="55"/>
      <c r="AZ3" s="52"/>
      <c r="BA3" s="55"/>
      <c r="BB3" s="55"/>
      <c r="BC3" s="58"/>
      <c r="BD3" s="55"/>
      <c r="BE3" s="59"/>
      <c r="BF3" s="55"/>
      <c r="BG3" s="5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60"/>
    </row>
    <row r="4" spans="1:16379" s="74" customFormat="1" ht="17.25" customHeight="1" x14ac:dyDescent="0.25">
      <c r="A4" s="62"/>
      <c r="B4" s="62" t="s">
        <v>191</v>
      </c>
      <c r="C4" s="63"/>
      <c r="D4" s="64"/>
      <c r="E4" s="65" t="s">
        <v>66</v>
      </c>
      <c r="F4" s="66" t="s">
        <v>67</v>
      </c>
      <c r="G4" s="66" t="s">
        <v>67</v>
      </c>
      <c r="H4" s="67"/>
      <c r="I4" s="65">
        <f>LEN(F4)</f>
        <v>16</v>
      </c>
      <c r="J4" s="65" t="str">
        <f>IF(LEN(F4)&lt;=$J$1,F4,"")</f>
        <v>ОТ цепей сигн. В</v>
      </c>
      <c r="K4" s="68" t="s">
        <v>68</v>
      </c>
      <c r="L4" s="69" t="s">
        <v>62</v>
      </c>
      <c r="M4" s="70" t="s">
        <v>63</v>
      </c>
      <c r="N4" s="70" t="s">
        <v>64</v>
      </c>
      <c r="O4" s="70"/>
      <c r="P4" s="71"/>
      <c r="Q4" s="71"/>
      <c r="R4" s="70" t="s">
        <v>65</v>
      </c>
      <c r="S4" s="70" t="s">
        <v>65</v>
      </c>
      <c r="T4" s="70" t="s">
        <v>65</v>
      </c>
      <c r="U4" s="70" t="s">
        <v>65</v>
      </c>
      <c r="V4" s="63"/>
      <c r="W4" s="63"/>
      <c r="X4" s="70" t="s">
        <v>65</v>
      </c>
      <c r="Y4" s="70">
        <v>0</v>
      </c>
      <c r="Z4" s="63"/>
      <c r="AA4" s="63">
        <v>0</v>
      </c>
      <c r="AB4" s="63"/>
      <c r="AC4" s="63"/>
      <c r="AD4" s="63"/>
      <c r="AE4" s="63"/>
      <c r="AF4" s="63">
        <v>0</v>
      </c>
      <c r="AG4" s="63">
        <v>0</v>
      </c>
      <c r="AH4" s="63">
        <v>0</v>
      </c>
      <c r="AI4" s="67"/>
      <c r="AJ4" s="72"/>
      <c r="AK4" s="72"/>
      <c r="AL4" s="72"/>
      <c r="AM4" s="72"/>
      <c r="AN4" s="72"/>
      <c r="AO4" s="72"/>
      <c r="AP4" s="72"/>
      <c r="AQ4" s="72"/>
      <c r="AR4" s="63">
        <v>0</v>
      </c>
      <c r="AS4" s="63">
        <v>0</v>
      </c>
      <c r="AT4" s="63">
        <v>0</v>
      </c>
      <c r="AU4" s="63">
        <v>0</v>
      </c>
      <c r="AV4" s="63">
        <f>BIN2DEC(CONCATENATE(0,0,0,0,AR4,AS4,AT4,AU4))</f>
        <v>0</v>
      </c>
      <c r="AW4" s="63">
        <v>0</v>
      </c>
      <c r="AX4" s="63">
        <v>0</v>
      </c>
      <c r="AY4" s="71"/>
      <c r="AZ4" s="63"/>
      <c r="BA4" s="63"/>
      <c r="BB4" s="63"/>
      <c r="BC4" s="63"/>
      <c r="BD4" s="63"/>
      <c r="BE4" s="63"/>
      <c r="BF4" s="63"/>
      <c r="BG4" s="73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"ОТ цепей сигн. В", note: "Неисправность опер. тока цепей сигнализации выключателя", group: "input", minValue: null, maxValue: null, step: null, units: "null", defaultValue: null, eventRegistration: 0</v>
      </c>
    </row>
    <row r="5" spans="1:16379" s="74" customFormat="1" ht="17.25" customHeight="1" x14ac:dyDescent="0.25">
      <c r="A5" s="62"/>
      <c r="B5" s="62" t="s">
        <v>191</v>
      </c>
      <c r="C5" s="63"/>
      <c r="D5" s="64"/>
      <c r="E5" s="65" t="s">
        <v>147</v>
      </c>
      <c r="F5" s="66" t="s">
        <v>148</v>
      </c>
      <c r="G5" s="66" t="s">
        <v>148</v>
      </c>
      <c r="H5" s="67"/>
      <c r="I5" s="65">
        <f>LEN(F5)</f>
        <v>14</v>
      </c>
      <c r="J5" s="65" t="str">
        <f>IF(LEN(F5)&lt;=$J$1,F5,"")</f>
        <v>ОТ цепей ОБР 1</v>
      </c>
      <c r="K5" s="68" t="s">
        <v>149</v>
      </c>
      <c r="L5" s="69" t="s">
        <v>62</v>
      </c>
      <c r="M5" s="70" t="s">
        <v>63</v>
      </c>
      <c r="N5" s="70" t="s">
        <v>64</v>
      </c>
      <c r="O5" s="70"/>
      <c r="P5" s="71"/>
      <c r="Q5" s="71"/>
      <c r="R5" s="70" t="s">
        <v>65</v>
      </c>
      <c r="S5" s="70" t="s">
        <v>65</v>
      </c>
      <c r="T5" s="70" t="s">
        <v>65</v>
      </c>
      <c r="U5" s="70" t="s">
        <v>65</v>
      </c>
      <c r="V5" s="63"/>
      <c r="W5" s="63"/>
      <c r="X5" s="70" t="s">
        <v>65</v>
      </c>
      <c r="Y5" s="70">
        <v>0</v>
      </c>
      <c r="Z5" s="63"/>
      <c r="AA5" s="63">
        <v>0</v>
      </c>
      <c r="AB5" s="63"/>
      <c r="AC5" s="63"/>
      <c r="AD5" s="63"/>
      <c r="AE5" s="63"/>
      <c r="AF5" s="63">
        <v>0</v>
      </c>
      <c r="AG5" s="63">
        <v>0</v>
      </c>
      <c r="AH5" s="63">
        <v>0</v>
      </c>
      <c r="AI5" s="67"/>
      <c r="AJ5" s="72"/>
      <c r="AK5" s="72"/>
      <c r="AL5" s="72"/>
      <c r="AM5" s="72"/>
      <c r="AN5" s="72"/>
      <c r="AO5" s="72"/>
      <c r="AP5" s="72"/>
      <c r="AQ5" s="72"/>
      <c r="AR5" s="63">
        <v>0</v>
      </c>
      <c r="AS5" s="63">
        <v>0</v>
      </c>
      <c r="AT5" s="63">
        <v>0</v>
      </c>
      <c r="AU5" s="63">
        <v>0</v>
      </c>
      <c r="AV5" s="63">
        <f>BIN2DEC(CONCATENATE(0,0,0,0,AR5,AS5,AT5,AU5))</f>
        <v>0</v>
      </c>
      <c r="AW5" s="63">
        <v>0</v>
      </c>
      <c r="AX5" s="63">
        <v>0</v>
      </c>
      <c r="AY5" s="71"/>
      <c r="AZ5" s="63"/>
      <c r="BA5" s="63"/>
      <c r="BB5" s="63"/>
      <c r="BC5" s="63"/>
      <c r="BD5" s="63"/>
      <c r="BE5" s="63"/>
      <c r="BF5" s="63"/>
      <c r="BG5" s="73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 цепей ОБР 1", note: "Неисправность опер. тока цепей ОБР 1", group: "input", minValue: null, maxValue: null, step: null, units: "null", defaultValue: null, eventRegistration: 0</v>
      </c>
    </row>
    <row r="6" spans="1:16379" s="74" customFormat="1" ht="17.25" customHeight="1" x14ac:dyDescent="0.25">
      <c r="A6" s="62"/>
      <c r="B6" s="62" t="s">
        <v>191</v>
      </c>
      <c r="C6" s="63"/>
      <c r="D6" s="64"/>
      <c r="E6" s="65" t="s">
        <v>150</v>
      </c>
      <c r="F6" s="66" t="s">
        <v>151</v>
      </c>
      <c r="G6" s="66" t="s">
        <v>151</v>
      </c>
      <c r="H6" s="67"/>
      <c r="I6" s="65">
        <f>LEN(F6)</f>
        <v>14</v>
      </c>
      <c r="J6" s="65" t="str">
        <f>IF(LEN(F6)&lt;=$J$1,F6,"")</f>
        <v>ОТ цепей ОБР 2</v>
      </c>
      <c r="K6" s="68" t="s">
        <v>152</v>
      </c>
      <c r="L6" s="69" t="s">
        <v>62</v>
      </c>
      <c r="M6" s="70" t="s">
        <v>63</v>
      </c>
      <c r="N6" s="70" t="s">
        <v>64</v>
      </c>
      <c r="O6" s="70"/>
      <c r="P6" s="71"/>
      <c r="Q6" s="71"/>
      <c r="R6" s="70" t="s">
        <v>65</v>
      </c>
      <c r="S6" s="70" t="s">
        <v>65</v>
      </c>
      <c r="T6" s="70" t="s">
        <v>65</v>
      </c>
      <c r="U6" s="70" t="s">
        <v>65</v>
      </c>
      <c r="V6" s="63"/>
      <c r="W6" s="63"/>
      <c r="X6" s="70" t="s">
        <v>65</v>
      </c>
      <c r="Y6" s="70">
        <v>0</v>
      </c>
      <c r="Z6" s="63"/>
      <c r="AA6" s="63">
        <v>0</v>
      </c>
      <c r="AB6" s="63"/>
      <c r="AC6" s="63"/>
      <c r="AD6" s="63"/>
      <c r="AE6" s="63"/>
      <c r="AF6" s="63">
        <v>0</v>
      </c>
      <c r="AG6" s="63">
        <v>0</v>
      </c>
      <c r="AH6" s="63">
        <v>0</v>
      </c>
      <c r="AI6" s="67"/>
      <c r="AJ6" s="72"/>
      <c r="AK6" s="72"/>
      <c r="AL6" s="72"/>
      <c r="AM6" s="72"/>
      <c r="AN6" s="72"/>
      <c r="AO6" s="72"/>
      <c r="AP6" s="72"/>
      <c r="AQ6" s="72"/>
      <c r="AR6" s="63">
        <v>0</v>
      </c>
      <c r="AS6" s="63">
        <v>0</v>
      </c>
      <c r="AT6" s="63">
        <v>0</v>
      </c>
      <c r="AU6" s="63">
        <v>0</v>
      </c>
      <c r="AV6" s="63">
        <f>BIN2DEC(CONCATENATE(0,0,0,0,AR6,AS6,AT6,AU6))</f>
        <v>0</v>
      </c>
      <c r="AW6" s="63">
        <v>0</v>
      </c>
      <c r="AX6" s="63">
        <v>0</v>
      </c>
      <c r="AY6" s="71"/>
      <c r="AZ6" s="63"/>
      <c r="BA6" s="63"/>
      <c r="BB6" s="63"/>
      <c r="BC6" s="63"/>
      <c r="BD6" s="63"/>
      <c r="BE6" s="63"/>
      <c r="BF6" s="63"/>
      <c r="BG6" s="7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"ОТ цепей ОБР 2", note: "Неисправность опер. тока цепей ОБР 2", group: "input", minValue: null, maxValue: null, step: null, units: "null", defaultValue: null, eventRegistration: 0</v>
      </c>
    </row>
    <row r="7" spans="1:16379" s="74" customFormat="1" ht="17.25" customHeight="1" x14ac:dyDescent="0.25">
      <c r="A7" s="62"/>
      <c r="B7" s="62" t="s">
        <v>191</v>
      </c>
      <c r="C7" s="63"/>
      <c r="D7" s="64"/>
      <c r="E7" s="65" t="s">
        <v>169</v>
      </c>
      <c r="F7" s="66" t="s">
        <v>69</v>
      </c>
      <c r="G7" s="66" t="s">
        <v>69</v>
      </c>
      <c r="H7" s="67"/>
      <c r="I7" s="65">
        <f t="shared" ref="I7:I13" si="2">LEN(F7)</f>
        <v>13</v>
      </c>
      <c r="J7" s="65" t="str">
        <f t="shared" ref="J7:J13" si="3">IF(LEN(F7)&lt;=$J$1,F7,"")</f>
        <v>Положение SA1</v>
      </c>
      <c r="K7" s="68" t="s">
        <v>70</v>
      </c>
      <c r="L7" s="69" t="s">
        <v>62</v>
      </c>
      <c r="M7" s="70" t="s">
        <v>63</v>
      </c>
      <c r="N7" s="70" t="s">
        <v>64</v>
      </c>
      <c r="O7" s="70"/>
      <c r="P7" s="71"/>
      <c r="Q7" s="71"/>
      <c r="R7" s="70" t="s">
        <v>65</v>
      </c>
      <c r="S7" s="70" t="s">
        <v>65</v>
      </c>
      <c r="T7" s="70" t="s">
        <v>65</v>
      </c>
      <c r="U7" s="70" t="s">
        <v>65</v>
      </c>
      <c r="V7" s="63"/>
      <c r="W7" s="63"/>
      <c r="X7" s="70" t="s">
        <v>65</v>
      </c>
      <c r="Y7" s="70">
        <v>0</v>
      </c>
      <c r="Z7" s="63"/>
      <c r="AA7" s="63">
        <v>0</v>
      </c>
      <c r="AB7" s="63"/>
      <c r="AC7" s="63"/>
      <c r="AD7" s="63"/>
      <c r="AE7" s="63"/>
      <c r="AF7" s="63">
        <v>0</v>
      </c>
      <c r="AG7" s="63">
        <v>0</v>
      </c>
      <c r="AH7" s="63">
        <v>0</v>
      </c>
      <c r="AI7" s="67"/>
      <c r="AJ7" s="72"/>
      <c r="AK7" s="72"/>
      <c r="AL7" s="72"/>
      <c r="AM7" s="72"/>
      <c r="AN7" s="72"/>
      <c r="AO7" s="72"/>
      <c r="AP7" s="72"/>
      <c r="AQ7" s="72"/>
      <c r="AR7" s="63">
        <v>0</v>
      </c>
      <c r="AS7" s="63">
        <v>0</v>
      </c>
      <c r="AT7" s="63">
        <v>0</v>
      </c>
      <c r="AU7" s="63">
        <v>0</v>
      </c>
      <c r="AV7" s="63">
        <f t="shared" ref="AV7:AV13" si="4">BIN2DEC(CONCATENATE(0,0,0,0,AR7,AS7,AT7,AU7))</f>
        <v>0</v>
      </c>
      <c r="AW7" s="63">
        <v>0</v>
      </c>
      <c r="AX7" s="63">
        <v>0</v>
      </c>
      <c r="AY7" s="71"/>
      <c r="AZ7" s="63"/>
      <c r="BA7" s="63"/>
      <c r="BB7" s="63"/>
      <c r="BC7" s="63"/>
      <c r="BD7" s="63"/>
      <c r="BE7" s="63"/>
      <c r="BF7" s="63"/>
      <c r="BG7" s="73" t="str">
        <f t="shared" ref="BG7:BG13" si="5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</row>
    <row r="8" spans="1:16379" s="74" customFormat="1" ht="17.25" customHeight="1" x14ac:dyDescent="0.25">
      <c r="A8" s="62"/>
      <c r="B8" s="62" t="s">
        <v>191</v>
      </c>
      <c r="C8" s="63"/>
      <c r="D8" s="64"/>
      <c r="E8" s="65" t="s">
        <v>170</v>
      </c>
      <c r="F8" s="66" t="s">
        <v>71</v>
      </c>
      <c r="G8" s="66" t="s">
        <v>71</v>
      </c>
      <c r="H8" s="67"/>
      <c r="I8" s="65">
        <f t="shared" si="2"/>
        <v>13</v>
      </c>
      <c r="J8" s="65" t="str">
        <f t="shared" si="3"/>
        <v>Положение SA2</v>
      </c>
      <c r="K8" s="68" t="s">
        <v>72</v>
      </c>
      <c r="L8" s="69" t="s">
        <v>62</v>
      </c>
      <c r="M8" s="70" t="s">
        <v>63</v>
      </c>
      <c r="N8" s="70" t="s">
        <v>64</v>
      </c>
      <c r="O8" s="70"/>
      <c r="P8" s="71"/>
      <c r="Q8" s="71"/>
      <c r="R8" s="70" t="s">
        <v>65</v>
      </c>
      <c r="S8" s="70" t="s">
        <v>65</v>
      </c>
      <c r="T8" s="70" t="s">
        <v>65</v>
      </c>
      <c r="U8" s="70" t="s">
        <v>65</v>
      </c>
      <c r="V8" s="63"/>
      <c r="W8" s="63"/>
      <c r="X8" s="70" t="s">
        <v>65</v>
      </c>
      <c r="Y8" s="70">
        <v>0</v>
      </c>
      <c r="Z8" s="63"/>
      <c r="AA8" s="63">
        <v>0</v>
      </c>
      <c r="AB8" s="63"/>
      <c r="AC8" s="63"/>
      <c r="AD8" s="63"/>
      <c r="AE8" s="63"/>
      <c r="AF8" s="63">
        <v>0</v>
      </c>
      <c r="AG8" s="63">
        <v>0</v>
      </c>
      <c r="AH8" s="63">
        <v>0</v>
      </c>
      <c r="AI8" s="67"/>
      <c r="AJ8" s="72"/>
      <c r="AK8" s="72"/>
      <c r="AL8" s="72"/>
      <c r="AM8" s="72"/>
      <c r="AN8" s="72"/>
      <c r="AO8" s="72"/>
      <c r="AP8" s="72"/>
      <c r="AQ8" s="72"/>
      <c r="AR8" s="63">
        <v>0</v>
      </c>
      <c r="AS8" s="63">
        <v>0</v>
      </c>
      <c r="AT8" s="63">
        <v>0</v>
      </c>
      <c r="AU8" s="63">
        <v>0</v>
      </c>
      <c r="AV8" s="63">
        <f t="shared" si="4"/>
        <v>0</v>
      </c>
      <c r="AW8" s="63">
        <v>0</v>
      </c>
      <c r="AX8" s="63">
        <v>0</v>
      </c>
      <c r="AY8" s="71"/>
      <c r="AZ8" s="63"/>
      <c r="BA8" s="63"/>
      <c r="BB8" s="63"/>
      <c r="BC8" s="63"/>
      <c r="BD8" s="63"/>
      <c r="BE8" s="63"/>
      <c r="BF8" s="63"/>
      <c r="BG8" s="73" t="str">
        <f t="shared" si="5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</row>
    <row r="9" spans="1:16379" s="74" customFormat="1" ht="17.25" customHeight="1" x14ac:dyDescent="0.25">
      <c r="A9" s="62"/>
      <c r="B9" s="62" t="s">
        <v>191</v>
      </c>
      <c r="C9" s="63"/>
      <c r="D9" s="64"/>
      <c r="E9" s="65" t="s">
        <v>171</v>
      </c>
      <c r="F9" s="66" t="s">
        <v>73</v>
      </c>
      <c r="G9" s="66" t="s">
        <v>73</v>
      </c>
      <c r="H9" s="67"/>
      <c r="I9" s="65">
        <f t="shared" si="2"/>
        <v>13</v>
      </c>
      <c r="J9" s="65" t="str">
        <f t="shared" si="3"/>
        <v>Положение SA3</v>
      </c>
      <c r="K9" s="68" t="s">
        <v>74</v>
      </c>
      <c r="L9" s="69" t="s">
        <v>62</v>
      </c>
      <c r="M9" s="70" t="s">
        <v>63</v>
      </c>
      <c r="N9" s="70" t="s">
        <v>64</v>
      </c>
      <c r="O9" s="70"/>
      <c r="P9" s="71"/>
      <c r="Q9" s="71"/>
      <c r="R9" s="70" t="s">
        <v>65</v>
      </c>
      <c r="S9" s="70" t="s">
        <v>65</v>
      </c>
      <c r="T9" s="70" t="s">
        <v>65</v>
      </c>
      <c r="U9" s="70" t="s">
        <v>65</v>
      </c>
      <c r="V9" s="63"/>
      <c r="W9" s="63"/>
      <c r="X9" s="70" t="s">
        <v>65</v>
      </c>
      <c r="Y9" s="70">
        <v>0</v>
      </c>
      <c r="Z9" s="63"/>
      <c r="AA9" s="63">
        <v>0</v>
      </c>
      <c r="AB9" s="63"/>
      <c r="AC9" s="63"/>
      <c r="AD9" s="63"/>
      <c r="AE9" s="63"/>
      <c r="AF9" s="63">
        <v>0</v>
      </c>
      <c r="AG9" s="63">
        <v>0</v>
      </c>
      <c r="AH9" s="63">
        <v>0</v>
      </c>
      <c r="AI9" s="67"/>
      <c r="AJ9" s="72"/>
      <c r="AK9" s="72"/>
      <c r="AL9" s="72"/>
      <c r="AM9" s="72"/>
      <c r="AN9" s="72"/>
      <c r="AO9" s="72"/>
      <c r="AP9" s="72"/>
      <c r="AQ9" s="72"/>
      <c r="AR9" s="63">
        <v>0</v>
      </c>
      <c r="AS9" s="63">
        <v>0</v>
      </c>
      <c r="AT9" s="63">
        <v>0</v>
      </c>
      <c r="AU9" s="63">
        <v>0</v>
      </c>
      <c r="AV9" s="63">
        <f t="shared" si="4"/>
        <v>0</v>
      </c>
      <c r="AW9" s="63">
        <v>0</v>
      </c>
      <c r="AX9" s="63">
        <v>0</v>
      </c>
      <c r="AY9" s="71"/>
      <c r="AZ9" s="63"/>
      <c r="BA9" s="63"/>
      <c r="BB9" s="63"/>
      <c r="BC9" s="63"/>
      <c r="BD9" s="63"/>
      <c r="BE9" s="63"/>
      <c r="BF9" s="63"/>
      <c r="BG9" s="73" t="str">
        <f t="shared" si="5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</row>
    <row r="10" spans="1:16379" s="74" customFormat="1" ht="17.25" customHeight="1" x14ac:dyDescent="0.25">
      <c r="A10" s="62"/>
      <c r="B10" s="62" t="s">
        <v>191</v>
      </c>
      <c r="C10" s="63"/>
      <c r="D10" s="64"/>
      <c r="E10" s="65" t="s">
        <v>172</v>
      </c>
      <c r="F10" s="66" t="s">
        <v>75</v>
      </c>
      <c r="G10" s="66" t="s">
        <v>75</v>
      </c>
      <c r="H10" s="67"/>
      <c r="I10" s="65">
        <f t="shared" si="2"/>
        <v>13</v>
      </c>
      <c r="J10" s="65" t="str">
        <f t="shared" si="3"/>
        <v>Положение SA4</v>
      </c>
      <c r="K10" s="68" t="s">
        <v>76</v>
      </c>
      <c r="L10" s="69" t="s">
        <v>62</v>
      </c>
      <c r="M10" s="70" t="s">
        <v>63</v>
      </c>
      <c r="N10" s="70" t="s">
        <v>64</v>
      </c>
      <c r="O10" s="70"/>
      <c r="P10" s="71"/>
      <c r="Q10" s="71"/>
      <c r="R10" s="70" t="s">
        <v>65</v>
      </c>
      <c r="S10" s="70" t="s">
        <v>65</v>
      </c>
      <c r="T10" s="70" t="s">
        <v>65</v>
      </c>
      <c r="U10" s="70" t="s">
        <v>65</v>
      </c>
      <c r="V10" s="63"/>
      <c r="W10" s="63"/>
      <c r="X10" s="70" t="s">
        <v>65</v>
      </c>
      <c r="Y10" s="70">
        <v>0</v>
      </c>
      <c r="Z10" s="63"/>
      <c r="AA10" s="63">
        <v>0</v>
      </c>
      <c r="AB10" s="63"/>
      <c r="AC10" s="63"/>
      <c r="AD10" s="63"/>
      <c r="AE10" s="63"/>
      <c r="AF10" s="63">
        <v>0</v>
      </c>
      <c r="AG10" s="63">
        <v>0</v>
      </c>
      <c r="AH10" s="63">
        <v>0</v>
      </c>
      <c r="AI10" s="67"/>
      <c r="AJ10" s="72"/>
      <c r="AK10" s="72"/>
      <c r="AL10" s="72"/>
      <c r="AM10" s="72"/>
      <c r="AN10" s="72"/>
      <c r="AO10" s="72"/>
      <c r="AP10" s="72"/>
      <c r="AQ10" s="72"/>
      <c r="AR10" s="63">
        <v>0</v>
      </c>
      <c r="AS10" s="63">
        <v>0</v>
      </c>
      <c r="AT10" s="63">
        <v>0</v>
      </c>
      <c r="AU10" s="63">
        <v>0</v>
      </c>
      <c r="AV10" s="63">
        <f t="shared" si="4"/>
        <v>0</v>
      </c>
      <c r="AW10" s="63">
        <v>0</v>
      </c>
      <c r="AX10" s="63">
        <v>0</v>
      </c>
      <c r="AY10" s="71"/>
      <c r="AZ10" s="63"/>
      <c r="BA10" s="63"/>
      <c r="BB10" s="63"/>
      <c r="BC10" s="63"/>
      <c r="BD10" s="63"/>
      <c r="BE10" s="63"/>
      <c r="BF10" s="63"/>
      <c r="BG10" s="73" t="str">
        <f t="shared" si="5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</row>
    <row r="11" spans="1:16379" s="74" customFormat="1" ht="17.25" customHeight="1" x14ac:dyDescent="0.25">
      <c r="A11" s="62"/>
      <c r="B11" s="62" t="s">
        <v>191</v>
      </c>
      <c r="C11" s="63"/>
      <c r="D11" s="64"/>
      <c r="E11" s="65" t="s">
        <v>173</v>
      </c>
      <c r="F11" s="66" t="s">
        <v>77</v>
      </c>
      <c r="G11" s="66" t="s">
        <v>77</v>
      </c>
      <c r="H11" s="67"/>
      <c r="I11" s="65">
        <f t="shared" si="2"/>
        <v>13</v>
      </c>
      <c r="J11" s="65" t="str">
        <f t="shared" si="3"/>
        <v>Положение SG1</v>
      </c>
      <c r="K11" s="68" t="s">
        <v>78</v>
      </c>
      <c r="L11" s="69" t="s">
        <v>62</v>
      </c>
      <c r="M11" s="70" t="s">
        <v>63</v>
      </c>
      <c r="N11" s="70" t="s">
        <v>64</v>
      </c>
      <c r="O11" s="70"/>
      <c r="P11" s="71"/>
      <c r="Q11" s="71"/>
      <c r="R11" s="70" t="s">
        <v>65</v>
      </c>
      <c r="S11" s="70" t="s">
        <v>65</v>
      </c>
      <c r="T11" s="70" t="s">
        <v>65</v>
      </c>
      <c r="U11" s="70" t="s">
        <v>65</v>
      </c>
      <c r="V11" s="63"/>
      <c r="W11" s="63"/>
      <c r="X11" s="70" t="s">
        <v>65</v>
      </c>
      <c r="Y11" s="70">
        <v>0</v>
      </c>
      <c r="Z11" s="63"/>
      <c r="AA11" s="63">
        <v>0</v>
      </c>
      <c r="AB11" s="63"/>
      <c r="AC11" s="63"/>
      <c r="AD11" s="63"/>
      <c r="AE11" s="63"/>
      <c r="AF11" s="63">
        <v>0</v>
      </c>
      <c r="AG11" s="63">
        <v>0</v>
      </c>
      <c r="AH11" s="63">
        <v>0</v>
      </c>
      <c r="AI11" s="67"/>
      <c r="AJ11" s="72"/>
      <c r="AK11" s="72"/>
      <c r="AL11" s="72"/>
      <c r="AM11" s="72"/>
      <c r="AN11" s="72"/>
      <c r="AO11" s="72"/>
      <c r="AP11" s="72"/>
      <c r="AQ11" s="72"/>
      <c r="AR11" s="63">
        <v>0</v>
      </c>
      <c r="AS11" s="63">
        <v>0</v>
      </c>
      <c r="AT11" s="63">
        <v>0</v>
      </c>
      <c r="AU11" s="63">
        <v>0</v>
      </c>
      <c r="AV11" s="63">
        <f t="shared" si="4"/>
        <v>0</v>
      </c>
      <c r="AW11" s="63">
        <v>0</v>
      </c>
      <c r="AX11" s="63">
        <v>0</v>
      </c>
      <c r="AY11" s="71"/>
      <c r="AZ11" s="63"/>
      <c r="BA11" s="63"/>
      <c r="BB11" s="63"/>
      <c r="BC11" s="63"/>
      <c r="BD11" s="63"/>
      <c r="BE11" s="63"/>
      <c r="BF11" s="63"/>
      <c r="BG11" s="73" t="str">
        <f t="shared" si="5"/>
        <v>description: "Положение SG1", note: "Положение испытательного блока SG1", group: "input", minValue: null, maxValue: null, step: null, units: "null", defaultValue: null, eventRegistration: 0</v>
      </c>
    </row>
    <row r="12" spans="1:16379" s="74" customFormat="1" ht="17.25" customHeight="1" x14ac:dyDescent="0.25">
      <c r="A12" s="62"/>
      <c r="B12" s="62" t="s">
        <v>191</v>
      </c>
      <c r="C12" s="63"/>
      <c r="D12" s="64"/>
      <c r="E12" s="65" t="s">
        <v>174</v>
      </c>
      <c r="F12" s="66" t="s">
        <v>79</v>
      </c>
      <c r="G12" s="66" t="s">
        <v>79</v>
      </c>
      <c r="H12" s="67"/>
      <c r="I12" s="65">
        <f t="shared" si="2"/>
        <v>13</v>
      </c>
      <c r="J12" s="65" t="str">
        <f t="shared" si="3"/>
        <v>Положение SG2</v>
      </c>
      <c r="K12" s="68" t="s">
        <v>80</v>
      </c>
      <c r="L12" s="69" t="s">
        <v>62</v>
      </c>
      <c r="M12" s="70" t="s">
        <v>63</v>
      </c>
      <c r="N12" s="70" t="s">
        <v>64</v>
      </c>
      <c r="O12" s="70"/>
      <c r="P12" s="71"/>
      <c r="Q12" s="71"/>
      <c r="R12" s="70" t="s">
        <v>65</v>
      </c>
      <c r="S12" s="70" t="s">
        <v>65</v>
      </c>
      <c r="T12" s="70" t="s">
        <v>65</v>
      </c>
      <c r="U12" s="70" t="s">
        <v>65</v>
      </c>
      <c r="V12" s="63"/>
      <c r="W12" s="63"/>
      <c r="X12" s="70" t="s">
        <v>65</v>
      </c>
      <c r="Y12" s="70">
        <v>0</v>
      </c>
      <c r="Z12" s="63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67"/>
      <c r="AJ12" s="72"/>
      <c r="AK12" s="72"/>
      <c r="AL12" s="72"/>
      <c r="AM12" s="72"/>
      <c r="AN12" s="72"/>
      <c r="AO12" s="72"/>
      <c r="AP12" s="72"/>
      <c r="AQ12" s="72"/>
      <c r="AR12" s="63">
        <v>0</v>
      </c>
      <c r="AS12" s="63">
        <v>0</v>
      </c>
      <c r="AT12" s="63">
        <v>0</v>
      </c>
      <c r="AU12" s="63">
        <v>0</v>
      </c>
      <c r="AV12" s="63">
        <f t="shared" si="4"/>
        <v>0</v>
      </c>
      <c r="AW12" s="63">
        <v>0</v>
      </c>
      <c r="AX12" s="63">
        <v>0</v>
      </c>
      <c r="AY12" s="71"/>
      <c r="AZ12" s="63"/>
      <c r="BA12" s="63"/>
      <c r="BB12" s="63"/>
      <c r="BC12" s="63"/>
      <c r="BD12" s="63"/>
      <c r="BE12" s="63"/>
      <c r="BF12" s="63"/>
      <c r="BG12" s="73" t="str">
        <f t="shared" si="5"/>
        <v>description: "Положение SG2", note: "Положение испытательного блока SG2", group: "input", minValue: null, maxValue: null, step: null, units: "null", defaultValue: null, eventRegistration: 0</v>
      </c>
    </row>
    <row r="13" spans="1:16379" s="74" customFormat="1" ht="17.25" customHeight="1" x14ac:dyDescent="0.25">
      <c r="A13" s="62"/>
      <c r="B13" s="62" t="s">
        <v>191</v>
      </c>
      <c r="C13" s="63"/>
      <c r="D13" s="64"/>
      <c r="E13" s="65" t="s">
        <v>175</v>
      </c>
      <c r="F13" s="66" t="s">
        <v>81</v>
      </c>
      <c r="G13" s="66" t="s">
        <v>81</v>
      </c>
      <c r="H13" s="67"/>
      <c r="I13" s="65">
        <f t="shared" si="2"/>
        <v>13</v>
      </c>
      <c r="J13" s="65" t="str">
        <f t="shared" si="3"/>
        <v>Положение SG3</v>
      </c>
      <c r="K13" s="68" t="s">
        <v>82</v>
      </c>
      <c r="L13" s="69" t="s">
        <v>62</v>
      </c>
      <c r="M13" s="70" t="s">
        <v>63</v>
      </c>
      <c r="N13" s="70" t="s">
        <v>64</v>
      </c>
      <c r="O13" s="70"/>
      <c r="P13" s="71"/>
      <c r="Q13" s="71"/>
      <c r="R13" s="70" t="s">
        <v>65</v>
      </c>
      <c r="S13" s="70" t="s">
        <v>65</v>
      </c>
      <c r="T13" s="70" t="s">
        <v>65</v>
      </c>
      <c r="U13" s="70" t="s">
        <v>65</v>
      </c>
      <c r="V13" s="63"/>
      <c r="W13" s="63"/>
      <c r="X13" s="70" t="s">
        <v>65</v>
      </c>
      <c r="Y13" s="70">
        <v>0</v>
      </c>
      <c r="Z13" s="63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67"/>
      <c r="AJ13" s="72"/>
      <c r="AK13" s="72"/>
      <c r="AL13" s="72"/>
      <c r="AM13" s="72"/>
      <c r="AN13" s="72"/>
      <c r="AO13" s="72"/>
      <c r="AP13" s="72"/>
      <c r="AQ13" s="72"/>
      <c r="AR13" s="63">
        <v>0</v>
      </c>
      <c r="AS13" s="63">
        <v>0</v>
      </c>
      <c r="AT13" s="63">
        <v>0</v>
      </c>
      <c r="AU13" s="63">
        <v>0</v>
      </c>
      <c r="AV13" s="63">
        <f t="shared" si="4"/>
        <v>0</v>
      </c>
      <c r="AW13" s="63">
        <v>0</v>
      </c>
      <c r="AX13" s="63">
        <v>0</v>
      </c>
      <c r="AY13" s="71"/>
      <c r="AZ13" s="63"/>
      <c r="BA13" s="63"/>
      <c r="BB13" s="63"/>
      <c r="BC13" s="63"/>
      <c r="BD13" s="63"/>
      <c r="BE13" s="63"/>
      <c r="BF13" s="63"/>
      <c r="BG13" s="73" t="str">
        <f t="shared" si="5"/>
        <v>description: "Положение SG3", note: "Положение испытательного блока SG3", group: "input", minValue: null, maxValue: null, step: null, units: "null", defaultValue: null, eventRegistration: 0</v>
      </c>
    </row>
    <row r="14" spans="1:16379" s="30" customFormat="1" ht="17.25" customHeight="1" x14ac:dyDescent="0.25">
      <c r="A14" s="18"/>
      <c r="B14" s="18" t="s">
        <v>59</v>
      </c>
      <c r="C14" s="26"/>
      <c r="D14" s="20"/>
      <c r="E14" s="21" t="s">
        <v>83</v>
      </c>
      <c r="F14" s="28" t="s">
        <v>84</v>
      </c>
      <c r="G14" s="28" t="s">
        <v>84</v>
      </c>
      <c r="H14" s="8"/>
      <c r="I14" s="21">
        <f t="shared" si="0"/>
        <v>16</v>
      </c>
      <c r="J14" s="21" t="str">
        <f t="shared" si="1"/>
        <v>Неиспр.полож. ЗН</v>
      </c>
      <c r="K14" s="25" t="s">
        <v>85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29"/>
      <c r="AK14" s="29"/>
      <c r="AL14" s="29"/>
      <c r="AM14" s="29"/>
      <c r="AN14" s="29"/>
      <c r="AO14" s="29"/>
      <c r="AP14" s="29"/>
      <c r="AQ14" s="29"/>
      <c r="AR14" s="26">
        <v>0</v>
      </c>
      <c r="AS14" s="26">
        <v>0</v>
      </c>
      <c r="AT14" s="26">
        <v>0</v>
      </c>
      <c r="AU14" s="26">
        <v>0</v>
      </c>
      <c r="AV14" s="26">
        <f t="shared" ref="AV14:AV24" si="6">BIN2DEC(CONCATENATE(0,0,0,0,AR14,AS14,AT14,AU14))</f>
        <v>0</v>
      </c>
      <c r="AW14" s="26">
        <v>0</v>
      </c>
      <c r="AX14" s="26">
        <v>0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:BG24" si="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"Неиспр.полож. ЗН", note: "Неисправное положение ЗН", group: "measurement", minValue: null, maxValue: null, step: null, units: "null", defaultValue: null, eventRegistration: 0</v>
      </c>
    </row>
    <row r="15" spans="1:16379" s="30" customFormat="1" ht="17.25" customHeight="1" x14ac:dyDescent="0.25">
      <c r="A15" s="18"/>
      <c r="B15" s="18" t="s">
        <v>59</v>
      </c>
      <c r="C15" s="26"/>
      <c r="D15" s="20"/>
      <c r="E15" s="21" t="s">
        <v>153</v>
      </c>
      <c r="F15" s="28" t="s">
        <v>154</v>
      </c>
      <c r="G15" s="28" t="s">
        <v>154</v>
      </c>
      <c r="H15" s="8"/>
      <c r="I15" s="21">
        <f t="shared" si="0"/>
        <v>17</v>
      </c>
      <c r="J15" s="21" t="str">
        <f t="shared" si="1"/>
        <v>Неиспр.полож. ВЭ1</v>
      </c>
      <c r="K15" s="25" t="s">
        <v>155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0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29"/>
      <c r="AK15" s="29"/>
      <c r="AL15" s="29"/>
      <c r="AM15" s="29"/>
      <c r="AN15" s="29"/>
      <c r="AO15" s="29"/>
      <c r="AP15" s="29"/>
      <c r="AQ15" s="29"/>
      <c r="AR15" s="26">
        <v>0</v>
      </c>
      <c r="AS15" s="26">
        <v>0</v>
      </c>
      <c r="AT15" s="26">
        <v>0</v>
      </c>
      <c r="AU15" s="26">
        <v>0</v>
      </c>
      <c r="AV15" s="26">
        <f t="shared" si="6"/>
        <v>0</v>
      </c>
      <c r="AW15" s="26">
        <v>0</v>
      </c>
      <c r="AX15" s="26">
        <v>0</v>
      </c>
      <c r="AY15" s="23"/>
      <c r="AZ15" s="26"/>
      <c r="BA15" s="26"/>
      <c r="BB15" s="26"/>
      <c r="BC15" s="26"/>
      <c r="BD15" s="26"/>
      <c r="BE15" s="26"/>
      <c r="BF15" s="26"/>
      <c r="BG15" s="24" t="str">
        <f t="shared" si="7"/>
        <v>description: "Неиспр.полож. ВЭ1", note: "Неисправное положение ВЭ1", group: "measurement", minValue: null, maxValue: null, step: null, units: "null", defaultValue: null, eventRegistration: 0</v>
      </c>
    </row>
    <row r="16" spans="1:16379" s="30" customFormat="1" ht="17.25" customHeight="1" x14ac:dyDescent="0.25">
      <c r="A16" s="18"/>
      <c r="B16" s="18" t="s">
        <v>59</v>
      </c>
      <c r="C16" s="26"/>
      <c r="D16" s="20"/>
      <c r="E16" s="21" t="s">
        <v>156</v>
      </c>
      <c r="F16" s="28" t="s">
        <v>157</v>
      </c>
      <c r="G16" s="28" t="s">
        <v>157</v>
      </c>
      <c r="H16" s="8"/>
      <c r="I16" s="21">
        <f t="shared" ref="I16" si="8">LEN(F16)</f>
        <v>17</v>
      </c>
      <c r="J16" s="21" t="str">
        <f t="shared" ref="J16" si="9">IF(LEN(F16)&lt;=$J$1,F16,"")</f>
        <v>Неиспр.полож. ВЭ2</v>
      </c>
      <c r="K16" s="25" t="s">
        <v>158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29"/>
      <c r="AK16" s="29"/>
      <c r="AL16" s="29"/>
      <c r="AM16" s="29"/>
      <c r="AN16" s="29"/>
      <c r="AO16" s="29"/>
      <c r="AP16" s="29"/>
      <c r="AQ16" s="29"/>
      <c r="AR16" s="26">
        <v>0</v>
      </c>
      <c r="AS16" s="26">
        <v>0</v>
      </c>
      <c r="AT16" s="26">
        <v>0</v>
      </c>
      <c r="AU16" s="26">
        <v>0</v>
      </c>
      <c r="AV16" s="26">
        <f t="shared" ref="AV16" si="10">BIN2DEC(CONCATENATE(0,0,0,0,AR16,AS16,AT16,AU16))</f>
        <v>0</v>
      </c>
      <c r="AW16" s="26">
        <v>0</v>
      </c>
      <c r="AX16" s="26">
        <v>0</v>
      </c>
      <c r="AY16" s="23"/>
      <c r="AZ16" s="26"/>
      <c r="BA16" s="26"/>
      <c r="BB16" s="26"/>
      <c r="BC16" s="26"/>
      <c r="BD16" s="26"/>
      <c r="BE16" s="26"/>
      <c r="BF16" s="26"/>
      <c r="BG16" s="24" t="str">
        <f t="shared" ref="BG16" si="11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"Неиспр.полож. ВЭ2", note: "Неисправное положение ВЭ2", group: "measurement", minValue: null, maxValue: null, step: null, units: "null", defaultValue: null, eventRegistration: 0</v>
      </c>
    </row>
    <row r="17" spans="1:60" s="30" customFormat="1" ht="17.25" customHeight="1" x14ac:dyDescent="0.25">
      <c r="A17" s="18"/>
      <c r="B17" s="18" t="s">
        <v>59</v>
      </c>
      <c r="C17" s="26"/>
      <c r="D17" s="20"/>
      <c r="E17" s="21" t="s">
        <v>86</v>
      </c>
      <c r="F17" s="28" t="s">
        <v>87</v>
      </c>
      <c r="G17" s="28" t="s">
        <v>87</v>
      </c>
      <c r="H17" s="8"/>
      <c r="I17" s="21">
        <f t="shared" si="0"/>
        <v>17</v>
      </c>
      <c r="J17" s="21" t="str">
        <f t="shared" si="1"/>
        <v>Прев. вр. пер. УВ</v>
      </c>
      <c r="K17" s="25" t="s">
        <v>88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29"/>
      <c r="AK17" s="29"/>
      <c r="AL17" s="29"/>
      <c r="AM17" s="29"/>
      <c r="AN17" s="29"/>
      <c r="AO17" s="29"/>
      <c r="AP17" s="29"/>
      <c r="AQ17" s="29"/>
      <c r="AR17" s="26">
        <v>0</v>
      </c>
      <c r="AS17" s="26">
        <v>0</v>
      </c>
      <c r="AT17" s="26">
        <v>0</v>
      </c>
      <c r="AU17" s="26">
        <v>0</v>
      </c>
      <c r="AV17" s="26">
        <f t="shared" si="6"/>
        <v>0</v>
      </c>
      <c r="AW17" s="26">
        <v>0</v>
      </c>
      <c r="AX17" s="26">
        <v>0</v>
      </c>
      <c r="AY17" s="23"/>
      <c r="AZ17" s="26"/>
      <c r="BA17" s="26"/>
      <c r="BB17" s="26"/>
      <c r="BC17" s="26"/>
      <c r="BD17" s="26"/>
      <c r="BE17" s="26"/>
      <c r="BF17" s="26"/>
      <c r="BG17" s="24" t="str">
        <f t="shared" si="7"/>
        <v>description: "Прев. вр. пер. УВ", note: "Сигнал превышения допустимого времени переключения УВ", group: "measurement", minValue: null, maxValue: null, step: null, units: "null", defaultValue: null, eventRegistration: 0</v>
      </c>
    </row>
    <row r="18" spans="1:60" s="30" customFormat="1" ht="17.25" customHeight="1" x14ac:dyDescent="0.25">
      <c r="A18" s="18"/>
      <c r="B18" s="18" t="s">
        <v>59</v>
      </c>
      <c r="C18" s="26"/>
      <c r="D18" s="20"/>
      <c r="E18" s="21" t="s">
        <v>89</v>
      </c>
      <c r="F18" s="28" t="s">
        <v>90</v>
      </c>
      <c r="G18" s="28" t="s">
        <v>90</v>
      </c>
      <c r="H18" s="8"/>
      <c r="I18" s="21">
        <f t="shared" si="0"/>
        <v>18</v>
      </c>
      <c r="J18" s="21" t="str">
        <f t="shared" si="1"/>
        <v>Прев. вр. пер. УЗН</v>
      </c>
      <c r="K18" s="25" t="s">
        <v>91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29"/>
      <c r="AK18" s="29"/>
      <c r="AL18" s="29"/>
      <c r="AM18" s="29"/>
      <c r="AN18" s="29"/>
      <c r="AO18" s="29"/>
      <c r="AP18" s="29"/>
      <c r="AQ18" s="29"/>
      <c r="AR18" s="26">
        <v>0</v>
      </c>
      <c r="AS18" s="26">
        <v>0</v>
      </c>
      <c r="AT18" s="26">
        <v>0</v>
      </c>
      <c r="AU18" s="26">
        <v>0</v>
      </c>
      <c r="AV18" s="26">
        <f t="shared" si="6"/>
        <v>0</v>
      </c>
      <c r="AW18" s="26">
        <v>0</v>
      </c>
      <c r="AX18" s="26">
        <v>0</v>
      </c>
      <c r="AY18" s="23"/>
      <c r="AZ18" s="26"/>
      <c r="BA18" s="26"/>
      <c r="BB18" s="26"/>
      <c r="BC18" s="26"/>
      <c r="BD18" s="26"/>
      <c r="BE18" s="26"/>
      <c r="BF18" s="26"/>
      <c r="BG18" s="24" t="str">
        <f t="shared" si="7"/>
        <v>description: "Прев. вр. пер. УЗН", note: "Сигнал превышения допустимого времени переключения УЗН", group: "measurement", minValue: null, maxValue: null, step: null, units: "null", defaultValue: null, eventRegistration: 0</v>
      </c>
    </row>
    <row r="19" spans="1:60" s="30" customFormat="1" ht="17.25" customHeight="1" x14ac:dyDescent="0.25">
      <c r="A19" s="18"/>
      <c r="B19" s="18" t="s">
        <v>59</v>
      </c>
      <c r="C19" s="26"/>
      <c r="D19" s="20"/>
      <c r="E19" s="21" t="s">
        <v>159</v>
      </c>
      <c r="F19" s="28" t="s">
        <v>160</v>
      </c>
      <c r="G19" s="28" t="s">
        <v>160</v>
      </c>
      <c r="H19" s="8"/>
      <c r="I19" s="21">
        <f t="shared" si="0"/>
        <v>19</v>
      </c>
      <c r="J19" s="21" t="str">
        <f t="shared" si="1"/>
        <v>Прев. вр. пер. УВЭ1</v>
      </c>
      <c r="K19" s="25" t="s">
        <v>161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26"/>
      <c r="W19" s="26"/>
      <c r="X19" s="19" t="s">
        <v>65</v>
      </c>
      <c r="Y19" s="19">
        <v>0</v>
      </c>
      <c r="Z19" s="26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8"/>
      <c r="AJ19" s="29"/>
      <c r="AK19" s="29"/>
      <c r="AL19" s="29"/>
      <c r="AM19" s="29"/>
      <c r="AN19" s="29"/>
      <c r="AO19" s="29"/>
      <c r="AP19" s="29"/>
      <c r="AQ19" s="29"/>
      <c r="AR19" s="26">
        <v>0</v>
      </c>
      <c r="AS19" s="26">
        <v>0</v>
      </c>
      <c r="AT19" s="26">
        <v>0</v>
      </c>
      <c r="AU19" s="26">
        <v>0</v>
      </c>
      <c r="AV19" s="26">
        <f t="shared" si="6"/>
        <v>0</v>
      </c>
      <c r="AW19" s="26">
        <v>0</v>
      </c>
      <c r="AX19" s="26">
        <v>0</v>
      </c>
      <c r="AY19" s="23"/>
      <c r="AZ19" s="26"/>
      <c r="BA19" s="26"/>
      <c r="BB19" s="26"/>
      <c r="BC19" s="26"/>
      <c r="BD19" s="26"/>
      <c r="BE19" s="26"/>
      <c r="BF19" s="26"/>
      <c r="BG19" s="24" t="str">
        <f t="shared" si="7"/>
        <v>description: "Прев. вр. пер. УВЭ1", note: "Сигнал превышения допустимого времени переключения УВЭ1", group: "measurement", minValue: null, maxValue: null, step: null, units: "null", defaultValue: null, eventRegistration: 0</v>
      </c>
    </row>
    <row r="20" spans="1:60" s="30" customFormat="1" ht="17.25" customHeight="1" x14ac:dyDescent="0.25">
      <c r="A20" s="18"/>
      <c r="B20" s="18" t="s">
        <v>59</v>
      </c>
      <c r="C20" s="26"/>
      <c r="D20" s="20"/>
      <c r="E20" s="21" t="s">
        <v>162</v>
      </c>
      <c r="F20" s="28" t="s">
        <v>163</v>
      </c>
      <c r="G20" s="28" t="s">
        <v>163</v>
      </c>
      <c r="H20" s="8"/>
      <c r="I20" s="21">
        <f t="shared" ref="I20" si="12">LEN(F20)</f>
        <v>19</v>
      </c>
      <c r="J20" s="21" t="str">
        <f t="shared" ref="J20" si="13">IF(LEN(F20)&lt;=$J$1,F20,"")</f>
        <v>Прев. вр. пер. УВЭ2</v>
      </c>
      <c r="K20" s="25" t="s">
        <v>164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26"/>
      <c r="W20" s="26"/>
      <c r="X20" s="19" t="s">
        <v>65</v>
      </c>
      <c r="Y20" s="19">
        <v>0</v>
      </c>
      <c r="Z20" s="26"/>
      <c r="AA20" s="26">
        <v>0</v>
      </c>
      <c r="AB20" s="26"/>
      <c r="AC20" s="26"/>
      <c r="AD20" s="26"/>
      <c r="AE20" s="26"/>
      <c r="AF20" s="26">
        <v>0</v>
      </c>
      <c r="AG20" s="26">
        <v>0</v>
      </c>
      <c r="AH20" s="26">
        <v>0</v>
      </c>
      <c r="AI20" s="8"/>
      <c r="AJ20" s="29"/>
      <c r="AK20" s="29"/>
      <c r="AL20" s="29"/>
      <c r="AM20" s="29"/>
      <c r="AN20" s="29"/>
      <c r="AO20" s="29"/>
      <c r="AP20" s="29"/>
      <c r="AQ20" s="29"/>
      <c r="AR20" s="26">
        <v>0</v>
      </c>
      <c r="AS20" s="26">
        <v>0</v>
      </c>
      <c r="AT20" s="26">
        <v>0</v>
      </c>
      <c r="AU20" s="26">
        <v>0</v>
      </c>
      <c r="AV20" s="26">
        <f t="shared" ref="AV20" si="14">BIN2DEC(CONCATENATE(0,0,0,0,AR20,AS20,AT20,AU20))</f>
        <v>0</v>
      </c>
      <c r="AW20" s="26">
        <v>0</v>
      </c>
      <c r="AX20" s="26">
        <v>0</v>
      </c>
      <c r="AY20" s="23"/>
      <c r="AZ20" s="26"/>
      <c r="BA20" s="26"/>
      <c r="BB20" s="26"/>
      <c r="BC20" s="26"/>
      <c r="BD20" s="26"/>
      <c r="BE20" s="26"/>
      <c r="BF20" s="26"/>
      <c r="BG20" s="24" t="str">
        <f t="shared" ref="BG20" si="15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"Прев. вр. пер. УВЭ2", note: "Сигнал превышения допустимого времени переключения УВЭ2", group: "measurement", minValue: null, maxValue: null, step: null, units: "null", defaultValue: null, eventRegistration: 0</v>
      </c>
    </row>
    <row r="21" spans="1:60" s="74" customFormat="1" ht="17.25" customHeight="1" x14ac:dyDescent="0.25">
      <c r="A21" s="62"/>
      <c r="B21" s="62" t="s">
        <v>191</v>
      </c>
      <c r="C21" s="63"/>
      <c r="D21" s="64"/>
      <c r="E21" s="65" t="s">
        <v>92</v>
      </c>
      <c r="F21" s="66" t="s">
        <v>92</v>
      </c>
      <c r="G21" s="66" t="s">
        <v>92</v>
      </c>
      <c r="H21" s="67"/>
      <c r="I21" s="65">
        <f t="shared" si="0"/>
        <v>16</v>
      </c>
      <c r="J21" s="65" t="str">
        <f t="shared" si="1"/>
        <v>Сигнал внешний 1</v>
      </c>
      <c r="K21" s="68" t="s">
        <v>93</v>
      </c>
      <c r="L21" s="69" t="s">
        <v>62</v>
      </c>
      <c r="M21" s="70" t="s">
        <v>63</v>
      </c>
      <c r="N21" s="70" t="s">
        <v>64</v>
      </c>
      <c r="O21" s="70"/>
      <c r="P21" s="71"/>
      <c r="Q21" s="71"/>
      <c r="R21" s="70" t="s">
        <v>65</v>
      </c>
      <c r="S21" s="70" t="s">
        <v>65</v>
      </c>
      <c r="T21" s="70" t="s">
        <v>65</v>
      </c>
      <c r="U21" s="70" t="s">
        <v>65</v>
      </c>
      <c r="V21" s="63"/>
      <c r="W21" s="63"/>
      <c r="X21" s="70" t="s">
        <v>65</v>
      </c>
      <c r="Y21" s="70">
        <v>0</v>
      </c>
      <c r="Z21" s="63"/>
      <c r="AA21" s="63">
        <v>0</v>
      </c>
      <c r="AB21" s="63"/>
      <c r="AC21" s="63"/>
      <c r="AD21" s="63"/>
      <c r="AE21" s="63"/>
      <c r="AF21" s="63">
        <v>0</v>
      </c>
      <c r="AG21" s="63">
        <v>0</v>
      </c>
      <c r="AH21" s="63">
        <v>0</v>
      </c>
      <c r="AI21" s="67"/>
      <c r="AJ21" s="72"/>
      <c r="AK21" s="72"/>
      <c r="AL21" s="72"/>
      <c r="AM21" s="72"/>
      <c r="AN21" s="72"/>
      <c r="AO21" s="72"/>
      <c r="AP21" s="72"/>
      <c r="AQ21" s="72"/>
      <c r="AR21" s="63">
        <v>0</v>
      </c>
      <c r="AS21" s="63">
        <v>0</v>
      </c>
      <c r="AT21" s="63">
        <v>0</v>
      </c>
      <c r="AU21" s="63">
        <v>0</v>
      </c>
      <c r="AV21" s="63">
        <f t="shared" si="6"/>
        <v>0</v>
      </c>
      <c r="AW21" s="63">
        <v>0</v>
      </c>
      <c r="AX21" s="63">
        <v>0</v>
      </c>
      <c r="AY21" s="71"/>
      <c r="AZ21" s="63"/>
      <c r="BA21" s="63"/>
      <c r="BB21" s="63"/>
      <c r="BC21" s="63"/>
      <c r="BD21" s="63"/>
      <c r="BE21" s="63"/>
      <c r="BF21" s="63"/>
      <c r="BG21" s="73" t="str">
        <f t="shared" si="7"/>
        <v>description: "Сигнал внешний 1", note: "Сигнал внешний 1", group: "input", minValue: null, maxValue: null, step: null, units: "null", defaultValue: null, eventRegistration: 0</v>
      </c>
    </row>
    <row r="22" spans="1:60" s="74" customFormat="1" ht="17.25" customHeight="1" x14ac:dyDescent="0.25">
      <c r="A22" s="62"/>
      <c r="B22" s="62" t="s">
        <v>191</v>
      </c>
      <c r="C22" s="63"/>
      <c r="D22" s="64"/>
      <c r="E22" s="65" t="s">
        <v>94</v>
      </c>
      <c r="F22" s="66" t="s">
        <v>94</v>
      </c>
      <c r="G22" s="66" t="s">
        <v>94</v>
      </c>
      <c r="H22" s="67"/>
      <c r="I22" s="65">
        <f t="shared" si="0"/>
        <v>16</v>
      </c>
      <c r="J22" s="65" t="str">
        <f t="shared" si="1"/>
        <v>Сигнал внешний 2</v>
      </c>
      <c r="K22" s="68" t="s">
        <v>95</v>
      </c>
      <c r="L22" s="69" t="s">
        <v>62</v>
      </c>
      <c r="M22" s="70" t="s">
        <v>63</v>
      </c>
      <c r="N22" s="70" t="s">
        <v>64</v>
      </c>
      <c r="O22" s="70"/>
      <c r="P22" s="71"/>
      <c r="Q22" s="71"/>
      <c r="R22" s="70" t="s">
        <v>65</v>
      </c>
      <c r="S22" s="70" t="s">
        <v>65</v>
      </c>
      <c r="T22" s="70" t="s">
        <v>65</v>
      </c>
      <c r="U22" s="70" t="s">
        <v>65</v>
      </c>
      <c r="V22" s="63"/>
      <c r="W22" s="63"/>
      <c r="X22" s="70" t="s">
        <v>65</v>
      </c>
      <c r="Y22" s="70">
        <v>0</v>
      </c>
      <c r="Z22" s="63"/>
      <c r="AA22" s="63">
        <v>0</v>
      </c>
      <c r="AB22" s="63"/>
      <c r="AC22" s="63"/>
      <c r="AD22" s="63"/>
      <c r="AE22" s="63"/>
      <c r="AF22" s="63">
        <v>0</v>
      </c>
      <c r="AG22" s="63">
        <v>0</v>
      </c>
      <c r="AH22" s="63">
        <v>0</v>
      </c>
      <c r="AI22" s="67"/>
      <c r="AJ22" s="72"/>
      <c r="AK22" s="72"/>
      <c r="AL22" s="72"/>
      <c r="AM22" s="72"/>
      <c r="AN22" s="72"/>
      <c r="AO22" s="72"/>
      <c r="AP22" s="72"/>
      <c r="AQ22" s="72"/>
      <c r="AR22" s="63">
        <v>0</v>
      </c>
      <c r="AS22" s="63">
        <v>0</v>
      </c>
      <c r="AT22" s="63">
        <v>0</v>
      </c>
      <c r="AU22" s="63">
        <v>0</v>
      </c>
      <c r="AV22" s="63">
        <f t="shared" si="6"/>
        <v>0</v>
      </c>
      <c r="AW22" s="63">
        <v>0</v>
      </c>
      <c r="AX22" s="63">
        <v>0</v>
      </c>
      <c r="AY22" s="71"/>
      <c r="AZ22" s="63"/>
      <c r="BA22" s="63"/>
      <c r="BB22" s="63"/>
      <c r="BC22" s="63"/>
      <c r="BD22" s="63"/>
      <c r="BE22" s="63"/>
      <c r="BF22" s="63"/>
      <c r="BG22" s="73" t="str">
        <f t="shared" si="7"/>
        <v>description: "Сигнал внешний 2", note: "Сигнал внешний 2", group: "input", minValue: null, maxValue: null, step: null, units: "null", defaultValue: null, eventRegistration: 0</v>
      </c>
    </row>
    <row r="23" spans="1:60" s="74" customFormat="1" ht="17.25" customHeight="1" x14ac:dyDescent="0.25">
      <c r="A23" s="62"/>
      <c r="B23" s="62" t="s">
        <v>191</v>
      </c>
      <c r="C23" s="63"/>
      <c r="D23" s="64"/>
      <c r="E23" s="65" t="s">
        <v>96</v>
      </c>
      <c r="F23" s="66" t="s">
        <v>96</v>
      </c>
      <c r="G23" s="66" t="s">
        <v>96</v>
      </c>
      <c r="H23" s="67"/>
      <c r="I23" s="65">
        <f t="shared" si="0"/>
        <v>16</v>
      </c>
      <c r="J23" s="65" t="str">
        <f t="shared" si="1"/>
        <v>Сигнал внешний 3</v>
      </c>
      <c r="K23" s="68" t="s">
        <v>97</v>
      </c>
      <c r="L23" s="69" t="s">
        <v>62</v>
      </c>
      <c r="M23" s="70" t="s">
        <v>63</v>
      </c>
      <c r="N23" s="70" t="s">
        <v>64</v>
      </c>
      <c r="O23" s="70"/>
      <c r="P23" s="71"/>
      <c r="Q23" s="71"/>
      <c r="R23" s="70" t="s">
        <v>65</v>
      </c>
      <c r="S23" s="70" t="s">
        <v>65</v>
      </c>
      <c r="T23" s="70" t="s">
        <v>65</v>
      </c>
      <c r="U23" s="70" t="s">
        <v>65</v>
      </c>
      <c r="V23" s="63"/>
      <c r="W23" s="63"/>
      <c r="X23" s="70" t="s">
        <v>65</v>
      </c>
      <c r="Y23" s="70">
        <v>0</v>
      </c>
      <c r="Z23" s="63"/>
      <c r="AA23" s="63">
        <v>0</v>
      </c>
      <c r="AB23" s="63"/>
      <c r="AC23" s="63"/>
      <c r="AD23" s="63"/>
      <c r="AE23" s="63"/>
      <c r="AF23" s="63">
        <v>0</v>
      </c>
      <c r="AG23" s="63">
        <v>0</v>
      </c>
      <c r="AH23" s="63">
        <v>0</v>
      </c>
      <c r="AI23" s="67"/>
      <c r="AJ23" s="72"/>
      <c r="AK23" s="72"/>
      <c r="AL23" s="72"/>
      <c r="AM23" s="72"/>
      <c r="AN23" s="72"/>
      <c r="AO23" s="72"/>
      <c r="AP23" s="72"/>
      <c r="AQ23" s="72"/>
      <c r="AR23" s="63">
        <v>0</v>
      </c>
      <c r="AS23" s="63">
        <v>0</v>
      </c>
      <c r="AT23" s="63">
        <v>0</v>
      </c>
      <c r="AU23" s="63">
        <v>0</v>
      </c>
      <c r="AV23" s="63">
        <f t="shared" si="6"/>
        <v>0</v>
      </c>
      <c r="AW23" s="63">
        <v>0</v>
      </c>
      <c r="AX23" s="63">
        <v>0</v>
      </c>
      <c r="AY23" s="71"/>
      <c r="AZ23" s="63"/>
      <c r="BA23" s="63"/>
      <c r="BB23" s="63"/>
      <c r="BC23" s="63"/>
      <c r="BD23" s="63"/>
      <c r="BE23" s="63"/>
      <c r="BF23" s="63"/>
      <c r="BG23" s="73" t="str">
        <f t="shared" si="7"/>
        <v>description: "Сигнал внешний 3", note: "Сигнал внешний 3", group: "input", minValue: null, maxValue: null, step: null, units: "null", defaultValue: null, eventRegistration: 0</v>
      </c>
    </row>
    <row r="24" spans="1:60" s="74" customFormat="1" ht="17.25" customHeight="1" x14ac:dyDescent="0.25">
      <c r="A24" s="62"/>
      <c r="B24" s="62" t="s">
        <v>191</v>
      </c>
      <c r="C24" s="63"/>
      <c r="D24" s="64"/>
      <c r="E24" s="65" t="s">
        <v>98</v>
      </c>
      <c r="F24" s="66" t="s">
        <v>98</v>
      </c>
      <c r="G24" s="66" t="s">
        <v>98</v>
      </c>
      <c r="H24" s="67"/>
      <c r="I24" s="65">
        <f t="shared" si="0"/>
        <v>16</v>
      </c>
      <c r="J24" s="65" t="str">
        <f t="shared" si="1"/>
        <v>Сигнал внешний 4</v>
      </c>
      <c r="K24" s="68" t="s">
        <v>99</v>
      </c>
      <c r="L24" s="69" t="s">
        <v>62</v>
      </c>
      <c r="M24" s="70" t="s">
        <v>63</v>
      </c>
      <c r="N24" s="70" t="s">
        <v>64</v>
      </c>
      <c r="O24" s="70"/>
      <c r="P24" s="71"/>
      <c r="Q24" s="71"/>
      <c r="R24" s="70" t="s">
        <v>65</v>
      </c>
      <c r="S24" s="70" t="s">
        <v>65</v>
      </c>
      <c r="T24" s="70" t="s">
        <v>65</v>
      </c>
      <c r="U24" s="70" t="s">
        <v>65</v>
      </c>
      <c r="V24" s="63"/>
      <c r="W24" s="63"/>
      <c r="X24" s="70" t="s">
        <v>65</v>
      </c>
      <c r="Y24" s="70">
        <v>0</v>
      </c>
      <c r="Z24" s="63"/>
      <c r="AA24" s="63">
        <v>0</v>
      </c>
      <c r="AB24" s="63"/>
      <c r="AC24" s="63"/>
      <c r="AD24" s="63"/>
      <c r="AE24" s="63"/>
      <c r="AF24" s="63">
        <v>0</v>
      </c>
      <c r="AG24" s="63">
        <v>0</v>
      </c>
      <c r="AH24" s="63">
        <v>0</v>
      </c>
      <c r="AI24" s="67"/>
      <c r="AJ24" s="72"/>
      <c r="AK24" s="72"/>
      <c r="AL24" s="72"/>
      <c r="AM24" s="72"/>
      <c r="AN24" s="72"/>
      <c r="AO24" s="72"/>
      <c r="AP24" s="72"/>
      <c r="AQ24" s="72"/>
      <c r="AR24" s="63">
        <v>0</v>
      </c>
      <c r="AS24" s="63">
        <v>0</v>
      </c>
      <c r="AT24" s="63">
        <v>0</v>
      </c>
      <c r="AU24" s="63">
        <v>0</v>
      </c>
      <c r="AV24" s="63">
        <f t="shared" si="6"/>
        <v>0</v>
      </c>
      <c r="AW24" s="63">
        <v>0</v>
      </c>
      <c r="AX24" s="63">
        <v>0</v>
      </c>
      <c r="AY24" s="71"/>
      <c r="AZ24" s="63"/>
      <c r="BA24" s="63"/>
      <c r="BB24" s="63"/>
      <c r="BC24" s="63"/>
      <c r="BD24" s="63"/>
      <c r="BE24" s="63"/>
      <c r="BF24" s="63"/>
      <c r="BG24" s="73" t="str">
        <f t="shared" si="7"/>
        <v>description: "Сигнал внешний 4", note: "Сигнал внешний 4", group: "input", minValue: null, maxValue: null, step: null, units: "null", defaultValue: null, eventRegistration: 0</v>
      </c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1"/>
      <c r="BC211" s="4"/>
      <c r="BD211" s="3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1"/>
      <c r="BC212" s="4"/>
      <c r="BD212" s="3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1"/>
      <c r="BC213" s="4"/>
      <c r="BD213" s="3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1"/>
      <c r="BC214" s="4"/>
      <c r="BD214" s="31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1"/>
  <sheetViews>
    <sheetView zoomScale="80" zoomScaleNormal="80" workbookViewId="0">
      <selection activeCell="K3" sqref="K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41.28515625" style="2" customWidth="1"/>
    <col min="6" max="7" width="31.5703125" style="2" customWidth="1" outlineLevel="1"/>
    <col min="8" max="8" width="20.85546875" style="2" customWidth="1" outlineLevel="1"/>
    <col min="9" max="9" width="15.7109375" style="2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5" t="s">
        <v>0</v>
      </c>
      <c r="BA1" s="76"/>
      <c r="BB1" s="76"/>
      <c r="BC1" s="76"/>
      <c r="BD1" s="76"/>
      <c r="BE1" s="76"/>
      <c r="BF1" s="76"/>
    </row>
    <row r="2" spans="1:16379" s="33" customFormat="1" ht="54" customHeight="1" x14ac:dyDescent="0.25">
      <c r="A2" s="9" t="s">
        <v>1</v>
      </c>
      <c r="B2" s="32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46" t="s">
        <v>187</v>
      </c>
      <c r="AW2" s="46" t="s">
        <v>188</v>
      </c>
      <c r="AX2" s="46" t="s">
        <v>189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0" customFormat="1" ht="15.75" x14ac:dyDescent="0.25">
      <c r="A3" s="18"/>
      <c r="B3" s="44" t="s">
        <v>180</v>
      </c>
      <c r="C3" s="26"/>
      <c r="D3" s="20" t="s">
        <v>100</v>
      </c>
      <c r="E3" s="21" t="s">
        <v>101</v>
      </c>
      <c r="F3" s="28" t="s">
        <v>102</v>
      </c>
      <c r="G3" s="28" t="s">
        <v>102</v>
      </c>
      <c r="H3" s="8"/>
      <c r="I3" s="21">
        <f>LEN(F3)</f>
        <v>7</v>
      </c>
      <c r="J3" s="21" t="str">
        <f>IF(LEN(F3)&lt;=$J$1,F3,"")</f>
        <v>ОТ сигн</v>
      </c>
      <c r="K3" s="45" t="s">
        <v>181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9"/>
      <c r="AK3" s="29"/>
      <c r="AL3" s="29"/>
      <c r="AM3" s="29"/>
      <c r="AN3" s="29"/>
      <c r="AO3" s="29"/>
      <c r="AP3" s="29"/>
      <c r="AQ3" s="29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"ОТ сигн", note: "Сигнализация цепей опер.тока", group: "status", minValue: null, maxValue: null, step: null, units: "null", defaultValue: null, eventRegistration: 2</v>
      </c>
    </row>
    <row r="4" spans="1:16379" s="30" customFormat="1" ht="18" customHeight="1" x14ac:dyDescent="0.25">
      <c r="A4" s="18"/>
      <c r="B4" s="44" t="s">
        <v>180</v>
      </c>
      <c r="C4" s="26"/>
      <c r="D4" s="20" t="s">
        <v>100</v>
      </c>
      <c r="E4" s="21" t="s">
        <v>103</v>
      </c>
      <c r="F4" s="28" t="s">
        <v>104</v>
      </c>
      <c r="G4" s="28" t="s">
        <v>104</v>
      </c>
      <c r="H4" s="8"/>
      <c r="I4" s="21">
        <f>LEN(F4)</f>
        <v>18</v>
      </c>
      <c r="J4" s="21" t="str">
        <f>IF(LEN(F4)&lt;=$J$1,F4,"")</f>
        <v>Вых.цепи разобраны</v>
      </c>
      <c r="K4" s="45" t="s">
        <v>182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9"/>
      <c r="AK4" s="29"/>
      <c r="AL4" s="29"/>
      <c r="AM4" s="29"/>
      <c r="AN4" s="29"/>
      <c r="AO4" s="29"/>
      <c r="AP4" s="29"/>
      <c r="AQ4" s="29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"Вых.цепи разобраны", note: "Выходные цепи разобраны", group: "status", minValue: null, maxValue: null, step: null, units: "null", defaultValue: null, eventRegistration: 2</v>
      </c>
    </row>
    <row r="5" spans="1:16379" s="30" customFormat="1" ht="15.75" x14ac:dyDescent="0.25">
      <c r="A5" s="18"/>
      <c r="B5" s="44" t="s">
        <v>180</v>
      </c>
      <c r="C5" s="26"/>
      <c r="D5" s="20" t="s">
        <v>100</v>
      </c>
      <c r="E5" s="21" t="s">
        <v>105</v>
      </c>
      <c r="F5" s="28" t="s">
        <v>105</v>
      </c>
      <c r="G5" s="28" t="s">
        <v>105</v>
      </c>
      <c r="H5" s="8"/>
      <c r="I5" s="21">
        <f>LEN(F5)</f>
        <v>11</v>
      </c>
      <c r="J5" s="21" t="str">
        <f>IF(LEN(F5)&lt;=$J$1,F5,"")</f>
        <v>БИ выведены</v>
      </c>
      <c r="K5" s="45" t="s">
        <v>183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9"/>
      <c r="AK5" s="29"/>
      <c r="AL5" s="29"/>
      <c r="AM5" s="29"/>
      <c r="AN5" s="29"/>
      <c r="AO5" s="29"/>
      <c r="AP5" s="29"/>
      <c r="AQ5" s="29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"БИ выведены", note: "БИ выведены", group: "status", minValue: null, maxValue: null, step: null, units: "null", defaultValue: null, eventRegistration: 2</v>
      </c>
    </row>
    <row r="6" spans="1:16379" s="30" customFormat="1" ht="15.75" x14ac:dyDescent="0.25">
      <c r="A6" s="18"/>
      <c r="B6" s="44" t="s">
        <v>180</v>
      </c>
      <c r="C6" s="26"/>
      <c r="D6" s="20" t="s">
        <v>100</v>
      </c>
      <c r="E6" s="21" t="s">
        <v>106</v>
      </c>
      <c r="F6" s="28" t="s">
        <v>106</v>
      </c>
      <c r="G6" s="28" t="s">
        <v>106</v>
      </c>
      <c r="H6" s="8"/>
      <c r="I6" s="21">
        <f t="shared" ref="I6:I8" si="0">LEN(F6)</f>
        <v>16</v>
      </c>
      <c r="J6" s="21" t="str">
        <f t="shared" ref="J6:J8" si="1">IF(LEN(F6)&lt;=$J$1,F6,"")</f>
        <v>Неисправность КА</v>
      </c>
      <c r="K6" s="45" t="s">
        <v>184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9"/>
      <c r="AK6" s="29"/>
      <c r="AL6" s="29"/>
      <c r="AM6" s="29"/>
      <c r="AN6" s="29"/>
      <c r="AO6" s="29"/>
      <c r="AP6" s="29"/>
      <c r="AQ6" s="29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ref="BG6:BG8" si="2">CONCATENATE("description: """,F6,"""", ", ", "note: """,E6,"""",", ","group: """, B6, """",", ","minValue: ", S6,", ","maxValue: ", T6,", ","step: ", U6,", ","units: """, R6, """",", ","defaultValue: ", X6,", ","eventRegistration: ", Y6,)</f>
        <v>description: "Неисправность КА", note: "Неисправность КА", group: "status", minValue: null, maxValue: null, step: null, units: "null", defaultValue: null, eventRegistration: 2</v>
      </c>
    </row>
    <row r="7" spans="1:16379" s="30" customFormat="1" ht="16.5" customHeight="1" x14ac:dyDescent="0.25">
      <c r="A7" s="18"/>
      <c r="B7" s="44" t="s">
        <v>180</v>
      </c>
      <c r="C7" s="26"/>
      <c r="D7" s="20" t="s">
        <v>100</v>
      </c>
      <c r="E7" s="21" t="s">
        <v>107</v>
      </c>
      <c r="F7" s="28" t="s">
        <v>108</v>
      </c>
      <c r="G7" s="28" t="s">
        <v>108</v>
      </c>
      <c r="H7" s="8"/>
      <c r="I7" s="21">
        <f t="shared" si="0"/>
        <v>17</v>
      </c>
      <c r="J7" s="21" t="str">
        <f t="shared" si="1"/>
        <v>Прев. вр. пер. КА</v>
      </c>
      <c r="K7" s="45" t="s">
        <v>185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9"/>
      <c r="AK7" s="29"/>
      <c r="AL7" s="29"/>
      <c r="AM7" s="29"/>
      <c r="AN7" s="29"/>
      <c r="AO7" s="29"/>
      <c r="AP7" s="29"/>
      <c r="AQ7" s="29"/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2"/>
        <v>description: "Прев. вр. пер. КА", note: "Превышение времени переключения КА", group: "status", minValue: null, maxValue: null, step: null, units: "null", defaultValue: null, eventRegistration: 2</v>
      </c>
    </row>
    <row r="8" spans="1:16379" s="30" customFormat="1" ht="15.75" x14ac:dyDescent="0.25">
      <c r="A8" s="18"/>
      <c r="B8" s="44" t="s">
        <v>180</v>
      </c>
      <c r="C8" s="26"/>
      <c r="D8" s="20" t="s">
        <v>100</v>
      </c>
      <c r="E8" s="21" t="s">
        <v>109</v>
      </c>
      <c r="F8" s="28" t="s">
        <v>110</v>
      </c>
      <c r="G8" s="28" t="s">
        <v>110</v>
      </c>
      <c r="H8" s="8"/>
      <c r="I8" s="21">
        <f t="shared" si="0"/>
        <v>17</v>
      </c>
      <c r="J8" s="21" t="str">
        <f t="shared" si="1"/>
        <v>Общ. внеш. сигнал</v>
      </c>
      <c r="K8" s="45" t="s">
        <v>186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9"/>
      <c r="AK8" s="29"/>
      <c r="AL8" s="29"/>
      <c r="AM8" s="29"/>
      <c r="AN8" s="29"/>
      <c r="AO8" s="29"/>
      <c r="AP8" s="29"/>
      <c r="AQ8" s="29"/>
      <c r="AR8" s="26">
        <v>0</v>
      </c>
      <c r="AS8" s="26">
        <v>1</v>
      </c>
      <c r="AT8" s="26">
        <v>0</v>
      </c>
      <c r="AU8" s="26">
        <v>1</v>
      </c>
      <c r="AV8" s="26">
        <v>1</v>
      </c>
      <c r="AW8" s="26">
        <v>1</v>
      </c>
      <c r="AX8" s="26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2"/>
        <v>description: "Общ. внеш. сигнал", note: "Общий внешний сигнал",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1"/>
      <c r="BC9" s="4"/>
      <c r="BD9" s="31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1"/>
      <c r="BC10" s="4"/>
      <c r="BD10" s="31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1"/>
      <c r="BC11" s="4"/>
      <c r="BD11" s="31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1"/>
      <c r="BC12" s="4"/>
      <c r="BD12" s="31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1"/>
      <c r="BC13" s="4"/>
      <c r="BD13" s="31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1"/>
      <c r="BC14" s="4"/>
      <c r="BD14" s="3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1"/>
      <c r="BC15" s="4"/>
      <c r="BD15" s="3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1"/>
      <c r="BC16" s="4"/>
      <c r="BD16" s="3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1"/>
      <c r="BC17" s="4"/>
      <c r="BD17" s="3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1"/>
      <c r="BC18" s="4"/>
      <c r="BD18" s="3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1"/>
      <c r="BC19" s="4"/>
      <c r="BD19" s="3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1"/>
      <c r="BC211" s="4"/>
      <c r="BD211" s="31"/>
      <c r="BE211" s="4"/>
      <c r="BF211" s="4"/>
      <c r="BG211" s="1"/>
      <c r="BH21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3"/>
  <sheetViews>
    <sheetView tabSelected="1" topLeftCell="B1" zoomScale="80" zoomScaleNormal="80" workbookViewId="0">
      <selection activeCell="E15" sqref="E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7" width="31.5703125" style="2" customWidth="1" outlineLevel="1"/>
    <col min="8" max="8" width="42" style="2" customWidth="1" outlineLevel="1"/>
    <col min="9" max="9" width="10" style="2" customWidth="1"/>
    <col min="10" max="10" width="35.1406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42578125" style="2" customWidth="1" outlineLevel="1"/>
    <col min="17" max="17" width="31.28515625" style="2" customWidth="1" outlineLevel="1"/>
    <col min="18" max="18" width="9" style="3" customWidth="1" outlineLevel="1"/>
    <col min="19" max="19" width="9.5703125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710937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7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SUM(AA6:AA50)</f>
        <v>0</v>
      </c>
      <c r="AI1" s="34"/>
      <c r="AJ1" s="7"/>
      <c r="AK1" s="7"/>
      <c r="AL1" s="7"/>
      <c r="AM1" s="7"/>
      <c r="AN1" s="7"/>
      <c r="AO1" s="7"/>
      <c r="AP1" s="7"/>
      <c r="AQ1" s="7"/>
      <c r="AR1" s="34"/>
      <c r="AS1" s="6"/>
      <c r="AT1" s="6"/>
      <c r="AU1" s="6"/>
      <c r="AV1" s="6"/>
      <c r="AW1" s="6"/>
      <c r="AX1" s="6"/>
      <c r="AY1" s="8"/>
      <c r="AZ1" s="75" t="s">
        <v>0</v>
      </c>
      <c r="BA1" s="76"/>
      <c r="BB1" s="76"/>
      <c r="BC1" s="76"/>
      <c r="BD1" s="76"/>
      <c r="BE1" s="76"/>
      <c r="BF1" s="76"/>
    </row>
    <row r="2" spans="1:16379" s="33" customFormat="1" ht="54" customHeight="1" x14ac:dyDescent="0.25">
      <c r="A2" s="9" t="s">
        <v>1</v>
      </c>
      <c r="B2" s="32" t="s">
        <v>2</v>
      </c>
      <c r="C2" s="35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customHeight="1" x14ac:dyDescent="0.25">
      <c r="A3" s="18"/>
      <c r="B3" s="18" t="s">
        <v>111</v>
      </c>
      <c r="C3" s="19"/>
      <c r="D3" s="20" t="s">
        <v>100</v>
      </c>
      <c r="E3" s="21" t="s">
        <v>115</v>
      </c>
      <c r="F3" s="21" t="s">
        <v>116</v>
      </c>
      <c r="G3" s="21" t="s">
        <v>112</v>
      </c>
      <c r="H3" s="21" t="s">
        <v>113</v>
      </c>
      <c r="I3" s="21">
        <f t="shared" ref="I3:I12" si="0">LEN(F3)</f>
        <v>15</v>
      </c>
      <c r="J3" s="21" t="str">
        <f t="shared" ref="J3:J12" si="1">IF(LEN(F3)&lt;=$J$1,F3,"")</f>
        <v>Контр_ОТ_сигн_В</v>
      </c>
      <c r="K3" s="77" t="s">
        <v>192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8"/>
      <c r="AQ3" s="29"/>
      <c r="AR3" s="26">
        <v>0</v>
      </c>
      <c r="AS3" s="26">
        <v>0</v>
      </c>
      <c r="AT3" s="26">
        <v>0</v>
      </c>
      <c r="AU3" s="26">
        <v>0</v>
      </c>
      <c r="AV3" s="26">
        <f t="shared" ref="AV3:AV12" si="2">BIN2DEC(CONCATENATE(0,0,0,0,AR3,AS3,AT3,AU3))</f>
        <v>0</v>
      </c>
      <c r="AW3" s="26" t="s">
        <v>114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2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"Контр_ОТ_сигн_В", note: "Контроль опер. тока цепей сигнализации выключателя", group: "setting", minValue: 0, maxValue: 1, step: 1, units: "null", defaultValue: 0, eventRegistration: 0</v>
      </c>
    </row>
    <row r="4" spans="1:16379" s="27" customFormat="1" ht="15.75" x14ac:dyDescent="0.25">
      <c r="A4" s="18"/>
      <c r="B4" s="18" t="s">
        <v>111</v>
      </c>
      <c r="C4" s="19"/>
      <c r="D4" s="20" t="s">
        <v>100</v>
      </c>
      <c r="E4" s="21" t="s">
        <v>165</v>
      </c>
      <c r="F4" s="21" t="s">
        <v>167</v>
      </c>
      <c r="G4" s="21" t="s">
        <v>117</v>
      </c>
      <c r="H4" s="21" t="s">
        <v>113</v>
      </c>
      <c r="I4" s="21">
        <f t="shared" si="0"/>
        <v>13</v>
      </c>
      <c r="J4" s="21" t="str">
        <f t="shared" si="1"/>
        <v>Контр_ОТ_ОБР1</v>
      </c>
      <c r="K4" s="77" t="s">
        <v>193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8"/>
      <c r="AQ4" s="29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114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"Контр_ОТ_ОБР1", note: "Контроль опер. тока цепей ОБР 1", group: "setting", minValue: 0, maxValue: 1, step: 1, units: "null", defaultValue: 0, eventRegistration: 0</v>
      </c>
    </row>
    <row r="5" spans="1:16379" s="27" customFormat="1" ht="15.75" x14ac:dyDescent="0.25">
      <c r="A5" s="18"/>
      <c r="B5" s="18" t="s">
        <v>111</v>
      </c>
      <c r="C5" s="19"/>
      <c r="D5" s="20" t="s">
        <v>100</v>
      </c>
      <c r="E5" s="21" t="s">
        <v>166</v>
      </c>
      <c r="F5" s="21" t="s">
        <v>168</v>
      </c>
      <c r="G5" s="21" t="s">
        <v>118</v>
      </c>
      <c r="H5" s="21" t="s">
        <v>113</v>
      </c>
      <c r="I5" s="21">
        <f t="shared" ref="I5" si="4">LEN(F5)</f>
        <v>13</v>
      </c>
      <c r="J5" s="21" t="str">
        <f t="shared" ref="J5" si="5">IF(LEN(F5)&lt;=$J$1,F5,"")</f>
        <v>Контр_ОТ_ОБР2</v>
      </c>
      <c r="K5" s="77" t="s">
        <v>194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29"/>
      <c r="AR5" s="26">
        <v>0</v>
      </c>
      <c r="AS5" s="26">
        <v>0</v>
      </c>
      <c r="AT5" s="26">
        <v>0</v>
      </c>
      <c r="AU5" s="26">
        <v>0</v>
      </c>
      <c r="AV5" s="26">
        <f t="shared" ref="AV5" si="6">BIN2DEC(CONCATENATE(0,0,0,0,AR5,AS5,AT5,AU5))</f>
        <v>0</v>
      </c>
      <c r="AW5" s="26" t="s">
        <v>114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ref="BG5" si="7">CONCATENATE("description: """,F5,"""", ", ", "note: """,E5,"""",", ","group: """, B5, """",", ","minValue: ", S5,", ","maxValue: ", T5,", ","step: ", U5,", ","units: """, R5, """",", ","defaultValue: ", X5,", ","eventRegistration: ", Y5,)</f>
        <v>description: "Контр_ОТ_ОБР2", note: "Контроль опер. тока цепей ОБР 2", group: "setting", minValue: 0, maxValue: 1, step: 1, units: "null", defaultValue: 0, eventRegistration: 0</v>
      </c>
    </row>
    <row r="6" spans="1:16379" s="27" customFormat="1" ht="15.75" x14ac:dyDescent="0.25">
      <c r="A6" s="18"/>
      <c r="B6" s="18" t="s">
        <v>111</v>
      </c>
      <c r="C6" s="19"/>
      <c r="D6" s="20" t="s">
        <v>100</v>
      </c>
      <c r="E6" s="21" t="s">
        <v>119</v>
      </c>
      <c r="F6" s="21" t="s">
        <v>120</v>
      </c>
      <c r="G6" s="21" t="s">
        <v>121</v>
      </c>
      <c r="H6" s="21" t="s">
        <v>113</v>
      </c>
      <c r="I6" s="21">
        <f t="shared" si="0"/>
        <v>15</v>
      </c>
      <c r="J6" s="21" t="str">
        <f t="shared" si="1"/>
        <v>Контр_полож_SA1</v>
      </c>
      <c r="K6" s="77" t="s">
        <v>195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 t="s">
        <v>114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"Контр_полож_SA1", note: "Контроль положения SA1", group: "setting", minValue: 0, maxValue: 1, step: 1, units: "null", defaultValue: 0, eventRegistration: 0</v>
      </c>
    </row>
    <row r="7" spans="1:16379" s="27" customFormat="1" ht="15.75" x14ac:dyDescent="0.25">
      <c r="A7" s="18"/>
      <c r="B7" s="18" t="s">
        <v>111</v>
      </c>
      <c r="C7" s="19"/>
      <c r="D7" s="20" t="s">
        <v>100</v>
      </c>
      <c r="E7" s="21" t="s">
        <v>122</v>
      </c>
      <c r="F7" s="21" t="s">
        <v>123</v>
      </c>
      <c r="G7" s="21" t="s">
        <v>124</v>
      </c>
      <c r="H7" s="21" t="s">
        <v>113</v>
      </c>
      <c r="I7" s="21">
        <f t="shared" si="0"/>
        <v>15</v>
      </c>
      <c r="J7" s="21" t="str">
        <f t="shared" si="1"/>
        <v>Контр_полож_SA2</v>
      </c>
      <c r="K7" s="77" t="s">
        <v>196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26"/>
      <c r="AQ7" s="26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 t="s">
        <v>114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8" spans="1:16379" s="27" customFormat="1" ht="15.75" x14ac:dyDescent="0.25">
      <c r="A8" s="18"/>
      <c r="B8" s="18" t="s">
        <v>111</v>
      </c>
      <c r="C8" s="19"/>
      <c r="D8" s="20" t="s">
        <v>100</v>
      </c>
      <c r="E8" s="21" t="s">
        <v>125</v>
      </c>
      <c r="F8" s="21" t="s">
        <v>126</v>
      </c>
      <c r="G8" s="21" t="s">
        <v>127</v>
      </c>
      <c r="H8" s="21" t="s">
        <v>113</v>
      </c>
      <c r="I8" s="21">
        <f t="shared" si="0"/>
        <v>15</v>
      </c>
      <c r="J8" s="21" t="str">
        <f t="shared" si="1"/>
        <v>Контр_полож_SA3</v>
      </c>
      <c r="K8" s="77" t="s">
        <v>197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6"/>
      <c r="AN8" s="26"/>
      <c r="AO8" s="26"/>
      <c r="AP8" s="26"/>
      <c r="AQ8" s="26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114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9" spans="1:16379" s="27" customFormat="1" ht="15.75" x14ac:dyDescent="0.25">
      <c r="A9" s="18"/>
      <c r="B9" s="18" t="s">
        <v>111</v>
      </c>
      <c r="C9" s="19"/>
      <c r="D9" s="20" t="s">
        <v>100</v>
      </c>
      <c r="E9" s="21" t="s">
        <v>128</v>
      </c>
      <c r="F9" s="21" t="s">
        <v>129</v>
      </c>
      <c r="G9" s="21" t="s">
        <v>130</v>
      </c>
      <c r="H9" s="21" t="s">
        <v>113</v>
      </c>
      <c r="I9" s="21">
        <f t="shared" si="0"/>
        <v>15</v>
      </c>
      <c r="J9" s="21" t="str">
        <f t="shared" si="1"/>
        <v>Контр_полож_SA4</v>
      </c>
      <c r="K9" s="77" t="s">
        <v>198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26"/>
      <c r="AK9" s="26"/>
      <c r="AL9" s="26"/>
      <c r="AM9" s="26"/>
      <c r="AN9" s="26"/>
      <c r="AO9" s="26"/>
      <c r="AP9" s="26"/>
      <c r="AQ9" s="26"/>
      <c r="AR9" s="26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 t="s">
        <v>114</v>
      </c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3"/>
        <v>description: "Контр_полож_SA4", note: "Контроль положения SA4", group: "setting", minValue: 0, maxValue: 1, step: 1, units: "null", defaultValue: 0, eventRegistration: 0</v>
      </c>
    </row>
    <row r="10" spans="1:16379" s="27" customFormat="1" ht="15.75" x14ac:dyDescent="0.25">
      <c r="A10" s="18"/>
      <c r="B10" s="18" t="s">
        <v>111</v>
      </c>
      <c r="C10" s="19"/>
      <c r="D10" s="20" t="s">
        <v>100</v>
      </c>
      <c r="E10" s="21" t="s">
        <v>131</v>
      </c>
      <c r="F10" s="21" t="s">
        <v>132</v>
      </c>
      <c r="G10" s="21" t="s">
        <v>133</v>
      </c>
      <c r="H10" s="21" t="s">
        <v>113</v>
      </c>
      <c r="I10" s="21">
        <f t="shared" si="0"/>
        <v>15</v>
      </c>
      <c r="J10" s="21" t="str">
        <f t="shared" si="1"/>
        <v>Контр_полож_SG1</v>
      </c>
      <c r="K10" s="77" t="s">
        <v>199</v>
      </c>
      <c r="L10" s="22" t="s">
        <v>62</v>
      </c>
      <c r="M10" s="19" t="s">
        <v>64</v>
      </c>
      <c r="N10" s="19" t="s">
        <v>64</v>
      </c>
      <c r="O10" s="19"/>
      <c r="P10" s="23">
        <v>0</v>
      </c>
      <c r="Q10" s="23"/>
      <c r="R10" s="19" t="s">
        <v>65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26"/>
      <c r="AK10" s="26"/>
      <c r="AL10" s="26"/>
      <c r="AM10" s="26"/>
      <c r="AN10" s="26"/>
      <c r="AO10" s="26"/>
      <c r="AP10" s="26"/>
      <c r="AQ10" s="26"/>
      <c r="AR10" s="26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 t="s">
        <v>114</v>
      </c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3"/>
        <v>description: "Контр_полож_SG1", note: "Контроль положения SG1", group: "setting", minValue: 0, maxValue: 1, step: 1, units: "null", defaultValue: 0, eventRegistration: 0</v>
      </c>
    </row>
    <row r="11" spans="1:16379" s="27" customFormat="1" ht="15.75" x14ac:dyDescent="0.25">
      <c r="A11" s="18"/>
      <c r="B11" s="18" t="s">
        <v>111</v>
      </c>
      <c r="C11" s="19"/>
      <c r="D11" s="20" t="s">
        <v>100</v>
      </c>
      <c r="E11" s="21" t="s">
        <v>134</v>
      </c>
      <c r="F11" s="21" t="s">
        <v>135</v>
      </c>
      <c r="G11" s="21" t="s">
        <v>136</v>
      </c>
      <c r="H11" s="21" t="s">
        <v>113</v>
      </c>
      <c r="I11" s="21">
        <f t="shared" si="0"/>
        <v>15</v>
      </c>
      <c r="J11" s="21" t="str">
        <f t="shared" si="1"/>
        <v>Контр_полож_SG2</v>
      </c>
      <c r="K11" s="77" t="s">
        <v>200</v>
      </c>
      <c r="L11" s="22" t="s">
        <v>62</v>
      </c>
      <c r="M11" s="19" t="s">
        <v>64</v>
      </c>
      <c r="N11" s="19" t="s">
        <v>64</v>
      </c>
      <c r="O11" s="19"/>
      <c r="P11" s="23">
        <v>0</v>
      </c>
      <c r="Q11" s="23"/>
      <c r="R11" s="19" t="s">
        <v>65</v>
      </c>
      <c r="S11" s="19">
        <v>0</v>
      </c>
      <c r="T11" s="19">
        <v>1</v>
      </c>
      <c r="U11" s="19">
        <v>1</v>
      </c>
      <c r="V11" s="19"/>
      <c r="W11" s="19"/>
      <c r="X11" s="19">
        <v>0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/>
      <c r="AJ11" s="26"/>
      <c r="AK11" s="26"/>
      <c r="AL11" s="26"/>
      <c r="AM11" s="26"/>
      <c r="AN11" s="26"/>
      <c r="AO11" s="26"/>
      <c r="AP11" s="8"/>
      <c r="AQ11" s="29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 t="s">
        <v>114</v>
      </c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si="3"/>
        <v>description: "Контр_полож_SG2", note: "Контроль положения SG2", group: "setting", minValue: 0, maxValue: 1, step: 1, units: "null", defaultValue: 0, eventRegistration: 0</v>
      </c>
    </row>
    <row r="12" spans="1:16379" s="27" customFormat="1" ht="15.75" x14ac:dyDescent="0.25">
      <c r="A12" s="18"/>
      <c r="B12" s="18" t="s">
        <v>111</v>
      </c>
      <c r="C12" s="19"/>
      <c r="D12" s="20" t="s">
        <v>100</v>
      </c>
      <c r="E12" s="21" t="s">
        <v>137</v>
      </c>
      <c r="F12" s="21" t="s">
        <v>138</v>
      </c>
      <c r="G12" s="21" t="s">
        <v>139</v>
      </c>
      <c r="H12" s="21" t="s">
        <v>113</v>
      </c>
      <c r="I12" s="21">
        <f t="shared" si="0"/>
        <v>15</v>
      </c>
      <c r="J12" s="21" t="str">
        <f t="shared" si="1"/>
        <v>Контр_полож_SG3</v>
      </c>
      <c r="K12" s="77" t="s">
        <v>201</v>
      </c>
      <c r="L12" s="22" t="s">
        <v>62</v>
      </c>
      <c r="M12" s="19" t="s">
        <v>64</v>
      </c>
      <c r="N12" s="19" t="s">
        <v>64</v>
      </c>
      <c r="O12" s="19"/>
      <c r="P12" s="23">
        <v>0</v>
      </c>
      <c r="Q12" s="23"/>
      <c r="R12" s="19" t="s">
        <v>65</v>
      </c>
      <c r="S12" s="19">
        <v>0</v>
      </c>
      <c r="T12" s="19">
        <v>1</v>
      </c>
      <c r="U12" s="19">
        <v>1</v>
      </c>
      <c r="V12" s="19"/>
      <c r="W12" s="19"/>
      <c r="X12" s="19">
        <v>0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/>
      <c r="AJ12" s="26"/>
      <c r="AK12" s="26"/>
      <c r="AL12" s="26"/>
      <c r="AM12" s="26"/>
      <c r="AN12" s="26"/>
      <c r="AO12" s="26"/>
      <c r="AP12" s="8"/>
      <c r="AQ12" s="29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 t="s">
        <v>114</v>
      </c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3"/>
        <v>description: "Контр_полож_SG3", note: "Контроль положения SG3", group: "setting", minValue: 0, maxValue: 1, step: 1, units: "null", defaultValue: 0, eventRegistration: 0</v>
      </c>
    </row>
    <row r="13" spans="1:16379" ht="15.75" x14ac:dyDescent="0.25"/>
    <row r="14" spans="1:16379" ht="15.75" x14ac:dyDescent="0.25"/>
    <row r="15" spans="1:16379" ht="15.75" x14ac:dyDescent="0.25"/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1"/>
      <c r="BC16" s="4"/>
      <c r="BD16" s="3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1"/>
      <c r="BC17" s="4"/>
      <c r="BD17" s="3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1"/>
      <c r="BC18" s="4"/>
      <c r="BD18" s="3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1"/>
      <c r="BC19" s="4"/>
      <c r="BD19" s="3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7" sqref="B17"/>
    </sheetView>
  </sheetViews>
  <sheetFormatPr defaultRowHeight="15.75" x14ac:dyDescent="0.25"/>
  <cols>
    <col min="1" max="1" width="22.42578125" style="36" customWidth="1"/>
    <col min="2" max="2" width="70.7109375" style="36" customWidth="1"/>
    <col min="3" max="16384" width="9.140625" style="36"/>
  </cols>
  <sheetData>
    <row r="2" spans="1:2" x14ac:dyDescent="0.25">
      <c r="A2" s="9" t="s">
        <v>140</v>
      </c>
      <c r="B2" s="9" t="s">
        <v>141</v>
      </c>
    </row>
    <row r="3" spans="1:2" x14ac:dyDescent="0.25">
      <c r="A3" s="37" t="s">
        <v>142</v>
      </c>
      <c r="B3" s="38" t="s">
        <v>100</v>
      </c>
    </row>
    <row r="4" spans="1:2" x14ac:dyDescent="0.25">
      <c r="A4" s="37" t="s">
        <v>143</v>
      </c>
      <c r="B4" s="39">
        <v>1010</v>
      </c>
    </row>
    <row r="5" spans="1:2" x14ac:dyDescent="0.25">
      <c r="A5" s="37" t="s">
        <v>144</v>
      </c>
      <c r="B5" s="38" t="s">
        <v>64</v>
      </c>
    </row>
    <row r="6" spans="1:2" x14ac:dyDescent="0.25">
      <c r="A6" s="40" t="s">
        <v>145</v>
      </c>
      <c r="B6" s="41" t="s">
        <v>176</v>
      </c>
    </row>
    <row r="7" spans="1:2" x14ac:dyDescent="0.25">
      <c r="A7" s="40" t="s">
        <v>146</v>
      </c>
      <c r="B7" s="38">
        <v>1</v>
      </c>
    </row>
    <row r="8" spans="1:2" s="43" customFormat="1" x14ac:dyDescent="0.25">
      <c r="A8" s="42" t="s">
        <v>177</v>
      </c>
      <c r="B8" t="s">
        <v>178</v>
      </c>
    </row>
    <row r="9" spans="1:2" s="43" customFormat="1" x14ac:dyDescent="0.25">
      <c r="A9" s="42" t="s">
        <v>179</v>
      </c>
      <c r="B9" s="42"/>
    </row>
    <row r="10" spans="1:2" s="43" customFormat="1" x14ac:dyDescent="0.25">
      <c r="A10" s="20" t="s">
        <v>100</v>
      </c>
      <c r="B10" t="s">
        <v>178</v>
      </c>
    </row>
    <row r="11" spans="1:2" s="43" customFormat="1" x14ac:dyDescent="0.25">
      <c r="A11" s="42" t="s">
        <v>179</v>
      </c>
      <c r="B11" s="42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2025-09-29T09:58:09Z</dcterms:modified>
</cp:coreProperties>
</file>