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2260" windowHeight="12645"/>
  </bookViews>
  <sheets>
    <sheet name="Controls" sheetId="2" r:id="rId1"/>
    <sheet name="Status information" sheetId="3" r:id="rId2"/>
    <sheet name="Settings" sheetId="4" r:id="rId3"/>
    <sheet name="TechInfo" sheetId="5" r:id="rId4"/>
  </sheets>
  <definedNames>
    <definedName name="_xlnm._FilterDatabase" localSheetId="1" hidden="1">'Status information'!$A$2:$XEY$2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G40" i="2" l="1"/>
  <c r="AV40" i="2"/>
  <c r="J40" i="2"/>
  <c r="I40" i="2"/>
  <c r="BG39" i="2"/>
  <c r="AV39" i="2"/>
  <c r="J39" i="2"/>
  <c r="I39" i="2"/>
  <c r="BG10" i="4"/>
  <c r="AV10" i="4"/>
  <c r="J10" i="4"/>
  <c r="I10" i="4"/>
  <c r="BG9" i="4"/>
  <c r="AV9" i="4"/>
  <c r="J9" i="4"/>
  <c r="I9" i="4"/>
  <c r="BG4" i="2" l="1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38" i="2"/>
  <c r="BG41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38" i="2"/>
  <c r="AV41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41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41" i="2"/>
  <c r="BG8" i="4"/>
  <c r="AV8" i="4"/>
  <c r="J8" i="4"/>
  <c r="I8" i="4"/>
  <c r="BG7" i="4"/>
  <c r="AV7" i="4"/>
  <c r="J7" i="4"/>
  <c r="I7" i="4"/>
  <c r="BG6" i="4"/>
  <c r="AV6" i="4"/>
  <c r="J6" i="4"/>
  <c r="I6" i="4"/>
  <c r="BG5" i="4"/>
  <c r="AV5" i="4"/>
  <c r="J5" i="4"/>
  <c r="I5" i="4"/>
  <c r="BG4" i="4"/>
  <c r="AV4" i="4"/>
  <c r="J4" i="4"/>
  <c r="I4" i="4"/>
  <c r="BG3" i="4"/>
  <c r="AV3" i="4"/>
  <c r="J3" i="4"/>
  <c r="I3" i="4"/>
  <c r="AH1" i="4"/>
  <c r="BG4" i="3"/>
  <c r="J4" i="3"/>
  <c r="I4" i="3"/>
  <c r="BG3" i="3"/>
  <c r="J3" i="3"/>
  <c r="I3" i="3"/>
  <c r="AH1" i="3"/>
  <c r="BG3" i="2"/>
  <c r="J3" i="2"/>
  <c r="I3" i="2"/>
  <c r="AH1" i="2"/>
</calcChain>
</file>

<file path=xl/sharedStrings.xml><?xml version="1.0" encoding="utf-8"?>
<sst xmlns="http://schemas.openxmlformats.org/spreadsheetml/2006/main" count="824" uniqueCount="237">
  <si>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</si>
  <si>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</si>
  <si>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</si>
  <si>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</si>
  <si>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</si>
  <si>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</si>
  <si>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</si>
  <si>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</si>
  <si>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</si>
  <si>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</si>
  <si>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</si>
  <si>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</si>
  <si>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</si>
  <si>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</si>
  <si>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</si>
  <si>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</si>
  <si>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</si>
  <si>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</si>
  <si>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</si>
  <si>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</si>
  <si>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</si>
  <si>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</si>
  <si>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</si>
  <si>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</si>
  <si>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</si>
  <si>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</si>
  <si>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</si>
  <si>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</si>
  <si>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</si>
  <si>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</si>
  <si>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</si>
  <si>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</si>
  <si>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</si>
  <si>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</si>
  <si>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</si>
  <si>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</si>
  <si>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</si>
  <si>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</si>
  <si>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</si>
  <si>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</si>
  <si>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</si>
  <si>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</si>
  <si>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</si>
  <si>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</si>
  <si>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</si>
  <si>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</si>
  <si>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</si>
  <si>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</si>
  <si>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</si>
  <si>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</si>
  <si>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</si>
  <si>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</si>
  <si>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</si>
  <si>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</si>
  <si>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</si>
  <si>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</si>
  <si>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</si>
  <si>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</si>
  <si>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</si>
  <si>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</si>
  <si>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Вывод терминала</t>
  </si>
  <si>
    <t>ControllerDisable</t>
  </si>
  <si>
    <t>BOOL</t>
  </si>
  <si>
    <t>true</t>
  </si>
  <si>
    <t>false</t>
  </si>
  <si>
    <t>null</t>
  </si>
  <si>
    <t>Срабатывание на сигнал 1 ступени ДЗ-фф</t>
  </si>
  <si>
    <t>Ср.сигн. ДЗ-фф 1ст.</t>
  </si>
  <si>
    <t>OpOnSignalPP1PDIS</t>
  </si>
  <si>
    <t>Срабатывание на сигнал 2 ступени ДЗ-фф</t>
  </si>
  <si>
    <t>Ср.сигн. ДЗ-фф 2ст.</t>
  </si>
  <si>
    <t>OpOnSignalPP2PDIS</t>
  </si>
  <si>
    <t>Срабатывание на сигнал 3 ступени ДЗ-фф</t>
  </si>
  <si>
    <t>Ср.сигн. ДЗ-фф 3ст.</t>
  </si>
  <si>
    <t>OpOnSignalPP3PDIS</t>
  </si>
  <si>
    <t>Срабатывание на сигнал 1 ступени ТЗНП</t>
  </si>
  <si>
    <t>Ср.сигн. ТЗНП 1 ст.</t>
  </si>
  <si>
    <t>OpOnSignalZSTOC1</t>
  </si>
  <si>
    <t>Срабатывание на сигнал 2 ступени ТЗНП</t>
  </si>
  <si>
    <t>Ср.сигн. ТЗНП 2 ст.</t>
  </si>
  <si>
    <t>OpOnSignalZSTOC2</t>
  </si>
  <si>
    <t>Срабатывание на сигнал ЛЗШ</t>
  </si>
  <si>
    <t>Ср.сигн. ЛЗШ</t>
  </si>
  <si>
    <t>OpOnSignalPPTOC</t>
  </si>
  <si>
    <t>Срабатывание на сигнал 1 ступени МТЗ</t>
  </si>
  <si>
    <t>Ср.сигн. МТЗ 1 ст.</t>
  </si>
  <si>
    <t>OpOnSignalPVOC1</t>
  </si>
  <si>
    <t>Срабатывание на сигнал 2 ступени МТЗ</t>
  </si>
  <si>
    <t>Ср.сигн. МТЗ 2 ст.</t>
  </si>
  <si>
    <t>OpOnSignalPVOC2</t>
  </si>
  <si>
    <t>Срабатывание на сигнал 3 ступени МТЗ</t>
  </si>
  <si>
    <t>Ср.сигн. МТЗ 3 ст.</t>
  </si>
  <si>
    <t>OpOnSignalPVOC3</t>
  </si>
  <si>
    <t>Срабатывание на сигнал ЗОП</t>
  </si>
  <si>
    <t>Ср.сигн. ЗОП</t>
  </si>
  <si>
    <t>OpOnSignalNSTOC</t>
  </si>
  <si>
    <t>Срабатывание на сигнал ЗДЗ</t>
  </si>
  <si>
    <t>Ср.сигн. ЗДЗ</t>
  </si>
  <si>
    <t>OpOnSignalARC</t>
  </si>
  <si>
    <t>Неисправность ЗДЗ</t>
  </si>
  <si>
    <t>Неиспр. ЗДЗ</t>
  </si>
  <si>
    <t>FaultARC</t>
  </si>
  <si>
    <t>Неисправность ЛЗШ</t>
  </si>
  <si>
    <t>Неиспр. ЛЗШ</t>
  </si>
  <si>
    <t>FaultPPTOC</t>
  </si>
  <si>
    <t>AlmLVVTR1</t>
  </si>
  <si>
    <t>AlmLVVTR2</t>
  </si>
  <si>
    <t>Неисправность выключателя</t>
  </si>
  <si>
    <t>Неисправность В</t>
  </si>
  <si>
    <t>FailureLVCBSUP</t>
  </si>
  <si>
    <t>Превышен ресурс выключателя</t>
  </si>
  <si>
    <t>Превышен ресурс В</t>
  </si>
  <si>
    <t>CBLifeExcess</t>
  </si>
  <si>
    <t>Отключение от ЛО РЗ</t>
  </si>
  <si>
    <t>OpOFFPTRC</t>
  </si>
  <si>
    <t>Срабатывание УРОВ</t>
  </si>
  <si>
    <t>OpExRBRF</t>
  </si>
  <si>
    <t>OpInRBRF</t>
  </si>
  <si>
    <t>Выключатель самопроизвольно отключен</t>
  </si>
  <si>
    <t>В самопр. отключен</t>
  </si>
  <si>
    <t>UnpromptedCBopening</t>
  </si>
  <si>
    <t>Задержка включения с контролем синхронизма от КП</t>
  </si>
  <si>
    <t>Зад. вкл с КС от КП</t>
  </si>
  <si>
    <t>SwitchOnDelayFrmSWCTRL</t>
  </si>
  <si>
    <t>Задержка включения с контролем синхронизма от УВ</t>
  </si>
  <si>
    <t>Зад. вкл с КС от УВ</t>
  </si>
  <si>
    <t>SwitchOnDelayFrmHVBCTRL</t>
  </si>
  <si>
    <t>Выходные цепи разобраны (от функции сборка сигналов)</t>
  </si>
  <si>
    <t>Цепи разобр. от СС</t>
  </si>
  <si>
    <t>OutCirOpnFrmSignAssem</t>
  </si>
  <si>
    <t>БИ выведены (от функции сборка сигналов)</t>
  </si>
  <si>
    <t>БИ выведены от СС</t>
  </si>
  <si>
    <t>TestBlockPosOpnFrmSignAssem</t>
  </si>
  <si>
    <t>Сигнализация опер.тока (от функции сборка сигналов)</t>
  </si>
  <si>
    <t>ОТ сигн от СС</t>
  </si>
  <si>
    <t>AlmOCFrmSignAssem</t>
  </si>
  <si>
    <t>Неисправность КА (от функции сборка сигналов)</t>
  </si>
  <si>
    <t>Неиспр КА от СС</t>
  </si>
  <si>
    <t>SDFailureFrmSignAssem</t>
  </si>
  <si>
    <t>Превышение времени переключения КА (от функции сборка сигналов)</t>
  </si>
  <si>
    <t>Прев.вр.пер. от СС</t>
  </si>
  <si>
    <t>OpTmAlmFrmSignAssem</t>
  </si>
  <si>
    <t>Общий внешний сигнал (от функции сборка сигналов)</t>
  </si>
  <si>
    <t>Общ.вн.сигн. от СС</t>
  </si>
  <si>
    <t>OvrlExtSignFrmSignAssem</t>
  </si>
  <si>
    <t>Внутренняя неисправность</t>
  </si>
  <si>
    <t>IRF</t>
  </si>
  <si>
    <t>InternalFault</t>
  </si>
  <si>
    <t>ПС</t>
  </si>
  <si>
    <t>Пуск предупредительной сигнализации (импульс)</t>
  </si>
  <si>
    <t>Пуск (имп)</t>
  </si>
  <si>
    <t>CALH1_AlarmPulse</t>
  </si>
  <si>
    <t>Пуск предупредительной сигнализации</t>
  </si>
  <si>
    <t>Пуск</t>
  </si>
  <si>
    <t>CALH1_Alarm</t>
  </si>
  <si>
    <t>setting</t>
  </si>
  <si>
    <t>Контроль выходных цепей</t>
  </si>
  <si>
    <t>Контр_цепей</t>
  </si>
  <si>
    <t>SGF1</t>
  </si>
  <si>
    <t>0 - Не предусмотрено, 1 - Предусмотрено</t>
  </si>
  <si>
    <t>CALH1_OutCirOpn_Ctrl</t>
  </si>
  <si>
    <t>NotProvided_Provided</t>
  </si>
  <si>
    <t>Контроль выведенного положения БИ</t>
  </si>
  <si>
    <t>Контр_вывода_БИ</t>
  </si>
  <si>
    <t>SGF2</t>
  </si>
  <si>
    <t>CALH1_TestBlockPosOpn_Ctrl</t>
  </si>
  <si>
    <t>Контроль сигнализации опер.тока</t>
  </si>
  <si>
    <t>Контр_ОТ_сигн</t>
  </si>
  <si>
    <t>SGF3</t>
  </si>
  <si>
    <t>CALH1_AlmOC_Ctrl</t>
  </si>
  <si>
    <t>Контроль неисправности КА</t>
  </si>
  <si>
    <t>Контр_Неиспр_КА</t>
  </si>
  <si>
    <t>SGF4</t>
  </si>
  <si>
    <t>CALH1_SDFailure_Ctrl</t>
  </si>
  <si>
    <t>Контроль превышения времени переключения КА</t>
  </si>
  <si>
    <t>SGF5</t>
  </si>
  <si>
    <t>CALH1_OpTmAlm_Ctrl</t>
  </si>
  <si>
    <t>Контроль общего внешнего сигнала</t>
  </si>
  <si>
    <t>SGF6</t>
  </si>
  <si>
    <t>CALH1_OvrlExtSign_Ctrl</t>
  </si>
  <si>
    <t>SGF7</t>
  </si>
  <si>
    <t>Parameter</t>
  </si>
  <si>
    <t>Value</t>
  </si>
  <si>
    <t>RussianName</t>
  </si>
  <si>
    <t>WeightCoefficient</t>
  </si>
  <si>
    <t>IsCoded</t>
  </si>
  <si>
    <t>IEC61850Name</t>
  </si>
  <si>
    <t>FbVersion</t>
  </si>
  <si>
    <t>Срабатывание на сигнал ЗП</t>
  </si>
  <si>
    <t>Ср.сигн. ЗП</t>
  </si>
  <si>
    <t>OpOnSignalAUTOVC</t>
  </si>
  <si>
    <t>Срабатывание на сигнал 1 ступени ЗМН</t>
  </si>
  <si>
    <t>Ср.сигн. ЗМН 1ст.</t>
  </si>
  <si>
    <t>OpOnSignalPTUV1</t>
  </si>
  <si>
    <t>Срабатывание на сигнал 2 ступени ЗМН</t>
  </si>
  <si>
    <t>Ср.сигн. ЗМН 2ст.</t>
  </si>
  <si>
    <t>OpOnSignalPTUV2</t>
  </si>
  <si>
    <t>Задержка включения от АПВ</t>
  </si>
  <si>
    <t>Задержка включ. АПВ</t>
  </si>
  <si>
    <t>DelayClosingRREC</t>
  </si>
  <si>
    <t>Неисправность цепей напряжения БНН секции шин</t>
  </si>
  <si>
    <t>Неисправность цепей напряжения БНН до ввода</t>
  </si>
  <si>
    <t>Неиспр. ЦН БННш</t>
  </si>
  <si>
    <t>Неиспр. ЦН БННвв</t>
  </si>
  <si>
    <t>Задержка включения с контролем синхронизма от ВНР</t>
  </si>
  <si>
    <t>Задержка включения с контролем синхронизма от ЛВ ВНР</t>
  </si>
  <si>
    <t>Зад. вкл от ВНР</t>
  </si>
  <si>
    <t>Зад. вкл от ЛВ ВНР</t>
  </si>
  <si>
    <t>Контр_прев_вр_пер</t>
  </si>
  <si>
    <t>Контр_общ_вн_сигн</t>
  </si>
  <si>
    <t>SwitchOnDelayFrmANSR</t>
  </si>
  <si>
    <t>SwitchOnDelayFrmANSRON</t>
  </si>
  <si>
    <t>VV_LVALH</t>
  </si>
  <si>
    <t>DescriptionFB</t>
  </si>
  <si>
    <t>Предупредительная сигнализация</t>
  </si>
  <si>
    <t>DescriptionFuncList</t>
  </si>
  <si>
    <t>status</t>
  </si>
  <si>
    <t>Logger</t>
  </si>
  <si>
    <t>Disturber</t>
  </si>
  <si>
    <t>StartDisturber</t>
  </si>
  <si>
    <t>control</t>
  </si>
  <si>
    <t>Сраб УРОВ на себя</t>
  </si>
  <si>
    <t>input</t>
  </si>
  <si>
    <t>Полож.пер.ав.дебл.1</t>
  </si>
  <si>
    <t>SwPosOfEmergUnblk1</t>
  </si>
  <si>
    <t>Полож.пер.ав.дебл.2</t>
  </si>
  <si>
    <t>SwPosOfEmergUnblk2</t>
  </si>
  <si>
    <t>Контроль положения переключателя 1 аварийной деблокировки</t>
  </si>
  <si>
    <t>Контр_пол_ав_дебл_1</t>
  </si>
  <si>
    <t>CALH1_SwPosEmergUnblk1_Ctrl</t>
  </si>
  <si>
    <t>Контроль положения переключателя 2 аварийной деблокировки</t>
  </si>
  <si>
    <t>Контр_пол_ав_дебл_2</t>
  </si>
  <si>
    <t>SGF8</t>
  </si>
  <si>
    <t>CALH1_SwPosEmergUnblk2_Ctrl</t>
  </si>
  <si>
    <t>Положение переключателя 1 аварийной деблокировки</t>
  </si>
  <si>
    <t>Положение переключателя 2 аварийной деблокировки</t>
  </si>
  <si>
    <t>Срабатывание УРОВ «на себя»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</si>
</sst>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7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vertical="center"/>
    </xf>
    <xf numFmtId="0" fontId="5" fillId="4" borderId="1" xfId="1" applyFont="1" applyFill="1" applyBorder="1" applyAlignment="1">
      <alignment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 wrapText="1"/>
    </xf>
    <xf numFmtId="0" fontId="5" fillId="4" borderId="0" xfId="1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Border="1"/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2" fillId="0" borderId="0" xfId="1" applyFont="1" applyFill="1"/>
    <xf numFmtId="0" fontId="3" fillId="0" borderId="2" xfId="1" applyFont="1" applyFill="1" applyBorder="1"/>
    <xf numFmtId="0" fontId="7" fillId="0" borderId="0" xfId="1" applyFont="1" applyAlignment="1">
      <alignment horizontal="center" vertical="center"/>
    </xf>
    <xf numFmtId="0" fontId="3" fillId="0" borderId="1" xfId="1" applyFont="1" applyFill="1" applyBorder="1" applyAlignment="1">
      <alignment vertical="center"/>
    </xf>
    <xf numFmtId="0" fontId="3" fillId="0" borderId="1" xfId="1" applyFont="1" applyFill="1" applyBorder="1" applyAlignment="1">
      <alignment horizontal="center" vertical="center" wrapText="1"/>
    </xf>
    <xf numFmtId="0" fontId="3" fillId="0" borderId="0" xfId="1" applyFont="1" applyFill="1" applyAlignment="1">
      <alignment vertical="center"/>
    </xf>
    <xf numFmtId="0" fontId="3" fillId="2" borderId="2" xfId="1" applyFont="1" applyFill="1" applyBorder="1" applyAlignment="1">
      <alignment horizontal="center" vertical="center"/>
    </xf>
    <xf numFmtId="0" fontId="2" fillId="0" borderId="0" xfId="1" applyFont="1"/>
    <xf numFmtId="0" fontId="2" fillId="0" borderId="2" xfId="1" applyFont="1" applyBorder="1" applyAlignment="1">
      <alignment vertical="center"/>
    </xf>
    <xf numFmtId="0" fontId="9" fillId="0" borderId="2" xfId="1" applyFont="1" applyBorder="1" applyAlignment="1">
      <alignment horizontal="center" vertical="center"/>
    </xf>
    <xf numFmtId="0" fontId="2" fillId="0" borderId="2" xfId="1" applyNumberFormat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2" xfId="1" applyFont="1" applyBorder="1"/>
    <xf numFmtId="0" fontId="2" fillId="0" borderId="0" xfId="1" applyFont="1" applyFill="1"/>
    <xf numFmtId="0" fontId="3" fillId="0" borderId="2" xfId="1" applyFont="1" applyFill="1" applyBorder="1"/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2" fillId="5" borderId="0" xfId="0" applyFont="1" applyFill="1"/>
    <xf numFmtId="0" fontId="2" fillId="0" borderId="0" xfId="0" applyFont="1"/>
    <xf numFmtId="0" fontId="3" fillId="0" borderId="1" xfId="1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vertical="center"/>
    </xf>
    <xf numFmtId="0" fontId="4" fillId="5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5" borderId="1" xfId="1" applyFont="1" applyFill="1" applyBorder="1" applyAlignment="1">
      <alignment vertical="center" wrapText="1"/>
    </xf>
    <xf numFmtId="0" fontId="3" fillId="7" borderId="2" xfId="1" applyFont="1" applyFill="1" applyBorder="1" applyAlignment="1">
      <alignment vertical="center"/>
    </xf>
    <xf numFmtId="0" fontId="3" fillId="7" borderId="2" xfId="1" applyFont="1" applyFill="1" applyBorder="1" applyAlignment="1">
      <alignment horizontal="left" vertical="center" wrapText="1"/>
    </xf>
    <xf numFmtId="0" fontId="3" fillId="7" borderId="2" xfId="1" applyFont="1" applyFill="1" applyBorder="1"/>
    <xf numFmtId="0" fontId="3" fillId="7" borderId="1" xfId="1" applyFont="1" applyFill="1" applyBorder="1" applyAlignment="1">
      <alignment vertical="center" wrapText="1"/>
    </xf>
    <xf numFmtId="0" fontId="3" fillId="7" borderId="2" xfId="1" applyFont="1" applyFill="1" applyBorder="1" applyAlignment="1">
      <alignment horizontal="righ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left"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2" fillId="7" borderId="1" xfId="1" applyFont="1" applyFill="1" applyBorder="1" applyAlignment="1">
      <alignment horizontal="center" vertical="center" wrapText="1"/>
    </xf>
    <xf numFmtId="0" fontId="7" fillId="7" borderId="2" xfId="1" applyFont="1" applyFill="1" applyBorder="1" applyAlignment="1">
      <alignment horizontal="center" vertical="center"/>
    </xf>
    <xf numFmtId="0" fontId="8" fillId="7" borderId="2" xfId="1" applyFont="1" applyFill="1" applyBorder="1" applyAlignment="1">
      <alignment horizontal="center" vertical="center"/>
    </xf>
    <xf numFmtId="0" fontId="3" fillId="7" borderId="2" xfId="1" applyFont="1" applyFill="1" applyBorder="1" applyAlignment="1">
      <alignment vertical="center" wrapText="1"/>
    </xf>
    <xf numFmtId="0" fontId="3" fillId="7" borderId="0" xfId="1" applyFont="1" applyFill="1" applyBorder="1" applyAlignment="1">
      <alignment vertical="center" wrapText="1"/>
    </xf>
    <xf numFmtId="0" fontId="2" fillId="7" borderId="0" xfId="1" applyFont="1" applyFill="1"/>
    <xf numFmtId="0" fontId="3" fillId="0" borderId="2" xfId="1" applyFont="1" applyBorder="1" applyAlignment="1">
      <alignment vertical="center"/>
    </xf>
    <xf numFmtId="0" fontId="3" fillId="0" borderId="2" xfId="1" applyFont="1" applyBorder="1" applyAlignment="1">
      <alignment horizontal="left" vertical="center" wrapText="1"/>
    </xf>
    <xf numFmtId="0" fontId="3" fillId="0" borderId="1" xfId="1" applyFont="1" applyBorder="1" applyAlignment="1">
      <alignment vertical="center" wrapText="1"/>
    </xf>
    <xf numFmtId="0" fontId="3" fillId="0" borderId="2" xfId="1" applyFont="1" applyBorder="1" applyAlignment="1">
      <alignment horizontal="right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left" vertical="center"/>
    </xf>
    <xf numFmtId="0" fontId="3" fillId="0" borderId="2" xfId="1" applyFont="1" applyBorder="1" applyAlignment="1">
      <alignment horizontal="center" vertical="center"/>
    </xf>
    <xf numFmtId="0" fontId="3" fillId="0" borderId="2" xfId="1" applyFont="1" applyBorder="1" applyAlignment="1">
      <alignment vertical="center" wrapText="1"/>
    </xf>
    <xf numFmtId="0" fontId="3" fillId="6" borderId="1" xfId="1" applyFont="1" applyFill="1" applyBorder="1" applyAlignment="1">
      <alignment vertical="center" wrapText="1"/>
    </xf>
    <xf numFmtId="0" fontId="3" fillId="8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vertical="center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1" applyFont="1" applyFill="1" applyBorder="1"/>
    <xf numFmtId="0" fontId="3" fillId="6" borderId="2" xfId="1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left" vertical="center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2" fillId="6" borderId="1" xfId="1" applyFont="1" applyFill="1" applyBorder="1" applyAlignment="1">
      <alignment horizontal="center" vertical="center" wrapText="1"/>
    </xf>
    <xf numFmtId="0" fontId="7" fillId="6" borderId="2" xfId="1" applyFont="1" applyFill="1" applyBorder="1" applyAlignment="1">
      <alignment horizontal="center" vertical="center"/>
    </xf>
    <xf numFmtId="0" fontId="8" fillId="6" borderId="2" xfId="1" applyFont="1" applyFill="1" applyBorder="1" applyAlignment="1">
      <alignment horizontal="center" vertical="center"/>
    </xf>
    <xf numFmtId="0" fontId="3" fillId="6" borderId="2" xfId="1" applyFont="1" applyFill="1" applyBorder="1" applyAlignment="1">
      <alignment vertical="center" wrapText="1"/>
    </xf>
    <xf numFmtId="0" fontId="3" fillId="6" borderId="0" xfId="1" applyFont="1" applyFill="1" applyAlignment="1">
      <alignment vertical="center" wrapText="1"/>
    </xf>
    <xf numFmtId="0" fontId="2" fillId="6" borderId="0" xfId="1" applyFont="1" applyFill="1"/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32"/>
  <sheetViews>
    <sheetView tabSelected="1" topLeftCell="E19" zoomScale="145" zoomScaleNormal="145" workbookViewId="0">
      <selection activeCell="E25" sqref="E2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67.42578125" style="2" bestFit="1" customWidth="1"/>
    <col min="6" max="7" width="23.85546875" style="2" bestFit="1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30.285156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" style="3" customWidth="1" outlineLevel="1"/>
    <col min="19" max="19" width="9.5703125" style="4" customWidth="1" outlineLevel="1"/>
    <col min="20" max="20" width="12" style="4" customWidth="1" outlineLevel="1"/>
    <col min="21" max="21" width="7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3" hidden="1" customWidth="1" outlineLevel="1"/>
    <col min="55" max="55" width="13.28515625" style="4" hidden="1" customWidth="1" outlineLevel="1"/>
    <col min="56" max="56" width="13" style="3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08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SUM(AA4:AA12)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05" t="s">
        <v>0</v>
      </c>
      <c r="BA1" s="106"/>
      <c r="BB1" s="106"/>
      <c r="BC1" s="106"/>
      <c r="BD1" s="106"/>
      <c r="BE1" s="106"/>
      <c r="BF1" s="106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63" t="s">
        <v>217</v>
      </c>
      <c r="AW2" s="63" t="s">
        <v>218</v>
      </c>
      <c r="AX2" s="63" t="s">
        <v>219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80" customFormat="1" ht="16.5" customHeight="1" x14ac:dyDescent="0.25">
      <c r="A3" s="66"/>
      <c r="B3" s="66" t="s">
        <v>220</v>
      </c>
      <c r="C3" s="67"/>
      <c r="D3" s="68"/>
      <c r="E3" s="69" t="s">
        <v>60</v>
      </c>
      <c r="F3" s="69" t="s">
        <v>60</v>
      </c>
      <c r="G3" s="69" t="s">
        <v>60</v>
      </c>
      <c r="H3" s="69"/>
      <c r="I3" s="69">
        <f t="shared" ref="I3:I41" si="0">LEN(F3)</f>
        <v>15</v>
      </c>
      <c r="J3" s="69" t="str">
        <f t="shared" ref="J3:J41" si="1">IF(LEN(F3)&lt;=$J$1,F3,"")</f>
        <v>Вывод терминала</v>
      </c>
      <c r="K3" s="66" t="s">
        <v>61</v>
      </c>
      <c r="L3" s="70" t="s">
        <v>62</v>
      </c>
      <c r="M3" s="67" t="s">
        <v>63</v>
      </c>
      <c r="N3" s="67" t="s">
        <v>64</v>
      </c>
      <c r="O3" s="67"/>
      <c r="P3" s="71"/>
      <c r="Q3" s="71"/>
      <c r="R3" s="67" t="s">
        <v>65</v>
      </c>
      <c r="S3" s="67" t="s">
        <v>65</v>
      </c>
      <c r="T3" s="67" t="s">
        <v>65</v>
      </c>
      <c r="U3" s="67" t="s">
        <v>65</v>
      </c>
      <c r="V3" s="67"/>
      <c r="W3" s="67"/>
      <c r="X3" s="67" t="s">
        <v>65</v>
      </c>
      <c r="Y3" s="67">
        <v>0</v>
      </c>
      <c r="Z3" s="72"/>
      <c r="AA3" s="73">
        <v>0</v>
      </c>
      <c r="AB3" s="73"/>
      <c r="AC3" s="73"/>
      <c r="AD3" s="73"/>
      <c r="AE3" s="73"/>
      <c r="AF3" s="73">
        <v>0</v>
      </c>
      <c r="AG3" s="73">
        <v>0</v>
      </c>
      <c r="AH3" s="73">
        <v>0</v>
      </c>
      <c r="AI3" s="74"/>
      <c r="AJ3" s="75"/>
      <c r="AK3" s="75"/>
      <c r="AL3" s="75"/>
      <c r="AM3" s="75"/>
      <c r="AN3" s="75"/>
      <c r="AO3" s="75"/>
      <c r="AP3" s="75"/>
      <c r="AQ3" s="75"/>
      <c r="AR3" s="73">
        <v>0</v>
      </c>
      <c r="AS3" s="73">
        <v>0</v>
      </c>
      <c r="AT3" s="73">
        <v>1</v>
      </c>
      <c r="AU3" s="73">
        <v>0</v>
      </c>
      <c r="AV3" s="73">
        <v>1</v>
      </c>
      <c r="AW3" s="73">
        <v>1</v>
      </c>
      <c r="AX3" s="73">
        <v>1</v>
      </c>
      <c r="AY3" s="73"/>
      <c r="AZ3" s="71"/>
      <c r="BA3" s="73"/>
      <c r="BB3" s="73"/>
      <c r="BC3" s="76"/>
      <c r="BD3" s="73"/>
      <c r="BE3" s="77"/>
      <c r="BF3" s="73"/>
      <c r="BG3" s="78" t="str">
        <f t="shared" ref="BG3:BG41" si="2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79"/>
    </row>
    <row r="4" spans="1:16379" s="44" customFormat="1" ht="16.5" customHeight="1" x14ac:dyDescent="0.25">
      <c r="A4" s="46"/>
      <c r="B4" s="46" t="s">
        <v>59</v>
      </c>
      <c r="C4" s="47"/>
      <c r="D4" s="45"/>
      <c r="E4" s="48" t="s">
        <v>66</v>
      </c>
      <c r="F4" s="48" t="s">
        <v>67</v>
      </c>
      <c r="G4" s="48" t="s">
        <v>67</v>
      </c>
      <c r="H4" s="48"/>
      <c r="I4" s="48">
        <f t="shared" si="0"/>
        <v>19</v>
      </c>
      <c r="J4" s="48" t="str">
        <f t="shared" si="1"/>
        <v>Ср.сигн. ДЗ-фф 1ст.</v>
      </c>
      <c r="K4" s="46" t="s">
        <v>68</v>
      </c>
      <c r="L4" s="49" t="s">
        <v>62</v>
      </c>
      <c r="M4" s="47" t="s">
        <v>63</v>
      </c>
      <c r="N4" s="47" t="s">
        <v>64</v>
      </c>
      <c r="O4" s="47"/>
      <c r="P4" s="50"/>
      <c r="Q4" s="50"/>
      <c r="R4" s="47" t="s">
        <v>65</v>
      </c>
      <c r="S4" s="47" t="s">
        <v>65</v>
      </c>
      <c r="T4" s="47" t="s">
        <v>65</v>
      </c>
      <c r="U4" s="47" t="s">
        <v>65</v>
      </c>
      <c r="V4" s="47"/>
      <c r="W4" s="47"/>
      <c r="X4" s="47" t="s">
        <v>65</v>
      </c>
      <c r="Y4" s="47">
        <v>0</v>
      </c>
      <c r="Z4" s="51"/>
      <c r="AA4" s="52">
        <v>0</v>
      </c>
      <c r="AB4" s="52"/>
      <c r="AC4" s="52"/>
      <c r="AD4" s="52"/>
      <c r="AE4" s="52"/>
      <c r="AF4" s="52">
        <v>0</v>
      </c>
      <c r="AG4" s="52">
        <v>0</v>
      </c>
      <c r="AH4" s="52">
        <v>0</v>
      </c>
      <c r="AI4" s="53"/>
      <c r="AJ4" s="54"/>
      <c r="AK4" s="54"/>
      <c r="AL4" s="54"/>
      <c r="AM4" s="54"/>
      <c r="AN4" s="54"/>
      <c r="AO4" s="54"/>
      <c r="AP4" s="54"/>
      <c r="AQ4" s="54"/>
      <c r="AR4" s="52">
        <v>0</v>
      </c>
      <c r="AS4" s="52">
        <v>0</v>
      </c>
      <c r="AT4" s="52">
        <v>0</v>
      </c>
      <c r="AU4" s="52">
        <v>0</v>
      </c>
      <c r="AV4" s="52">
        <f t="shared" ref="AV4:AV41" si="3">BIN2DEC(CONCATENATE(0,0,0,0,AR4,AS4,AT4,AU4))</f>
        <v>0</v>
      </c>
      <c r="AW4" s="52">
        <v>0</v>
      </c>
      <c r="AX4" s="52">
        <v>0</v>
      </c>
      <c r="AY4" s="52"/>
      <c r="AZ4" s="50"/>
      <c r="BA4" s="52"/>
      <c r="BB4" s="52"/>
      <c r="BC4" s="55"/>
      <c r="BD4" s="52"/>
      <c r="BE4" s="56"/>
      <c r="BF4" s="52"/>
      <c r="BG4" s="57" t="str">
        <f t="shared" si="2"/>
        <v>description: "Ср.сигн. ДЗ-фф 1ст.", note: "Срабатывание на сигнал 1 ступени ДЗ-фф", group: "measurement", minValue: null, maxValue: null, step: null, units: "null", defaultValue: null, eventRegistration: 0</v>
      </c>
      <c r="BH4" s="58"/>
    </row>
    <row r="5" spans="1:16379" s="44" customFormat="1" ht="16.5" customHeight="1" x14ac:dyDescent="0.25">
      <c r="A5" s="46"/>
      <c r="B5" s="46" t="s">
        <v>59</v>
      </c>
      <c r="C5" s="47"/>
      <c r="D5" s="45"/>
      <c r="E5" s="48" t="s">
        <v>69</v>
      </c>
      <c r="F5" s="48" t="s">
        <v>70</v>
      </c>
      <c r="G5" s="48" t="s">
        <v>70</v>
      </c>
      <c r="H5" s="48"/>
      <c r="I5" s="48">
        <f t="shared" si="0"/>
        <v>19</v>
      </c>
      <c r="J5" s="48" t="str">
        <f t="shared" si="1"/>
        <v>Ср.сигн. ДЗ-фф 2ст.</v>
      </c>
      <c r="K5" s="46" t="s">
        <v>71</v>
      </c>
      <c r="L5" s="49" t="s">
        <v>62</v>
      </c>
      <c r="M5" s="47" t="s">
        <v>63</v>
      </c>
      <c r="N5" s="47" t="s">
        <v>64</v>
      </c>
      <c r="O5" s="47"/>
      <c r="P5" s="50"/>
      <c r="Q5" s="50"/>
      <c r="R5" s="47" t="s">
        <v>65</v>
      </c>
      <c r="S5" s="47" t="s">
        <v>65</v>
      </c>
      <c r="T5" s="47" t="s">
        <v>65</v>
      </c>
      <c r="U5" s="47" t="s">
        <v>65</v>
      </c>
      <c r="V5" s="47"/>
      <c r="W5" s="47"/>
      <c r="X5" s="47" t="s">
        <v>65</v>
      </c>
      <c r="Y5" s="47">
        <v>0</v>
      </c>
      <c r="Z5" s="51"/>
      <c r="AA5" s="52">
        <v>0</v>
      </c>
      <c r="AB5" s="52"/>
      <c r="AC5" s="52"/>
      <c r="AD5" s="52"/>
      <c r="AE5" s="52"/>
      <c r="AF5" s="52">
        <v>0</v>
      </c>
      <c r="AG5" s="52">
        <v>0</v>
      </c>
      <c r="AH5" s="52">
        <v>0</v>
      </c>
      <c r="AI5" s="53"/>
      <c r="AJ5" s="54"/>
      <c r="AK5" s="54"/>
      <c r="AL5" s="54"/>
      <c r="AM5" s="54"/>
      <c r="AN5" s="54"/>
      <c r="AO5" s="54"/>
      <c r="AP5" s="54"/>
      <c r="AQ5" s="54"/>
      <c r="AR5" s="52">
        <v>0</v>
      </c>
      <c r="AS5" s="52">
        <v>0</v>
      </c>
      <c r="AT5" s="52">
        <v>0</v>
      </c>
      <c r="AU5" s="52">
        <v>0</v>
      </c>
      <c r="AV5" s="52">
        <f t="shared" si="3"/>
        <v>0</v>
      </c>
      <c r="AW5" s="52">
        <v>0</v>
      </c>
      <c r="AX5" s="52">
        <v>0</v>
      </c>
      <c r="AY5" s="52"/>
      <c r="AZ5" s="50"/>
      <c r="BA5" s="52"/>
      <c r="BB5" s="52"/>
      <c r="BC5" s="55"/>
      <c r="BD5" s="52"/>
      <c r="BE5" s="56"/>
      <c r="BF5" s="52"/>
      <c r="BG5" s="57" t="str">
        <f t="shared" si="2"/>
        <v>description: "Ср.сигн. ДЗ-фф 2ст.", note: "Срабатывание на сигнал 2 ступени ДЗ-фф", group: "measurement", minValue: null, maxValue: null, step: null, units: "null", defaultValue: null, eventRegistration: 0</v>
      </c>
      <c r="BH5" s="58"/>
    </row>
    <row r="6" spans="1:16379" s="44" customFormat="1" ht="16.5" customHeight="1" x14ac:dyDescent="0.25">
      <c r="A6" s="46"/>
      <c r="B6" s="46" t="s">
        <v>59</v>
      </c>
      <c r="C6" s="47"/>
      <c r="D6" s="45"/>
      <c r="E6" s="48" t="s">
        <v>72</v>
      </c>
      <c r="F6" s="48" t="s">
        <v>73</v>
      </c>
      <c r="G6" s="48" t="s">
        <v>73</v>
      </c>
      <c r="H6" s="48"/>
      <c r="I6" s="48">
        <f t="shared" si="0"/>
        <v>19</v>
      </c>
      <c r="J6" s="48" t="str">
        <f t="shared" si="1"/>
        <v>Ср.сигн. ДЗ-фф 3ст.</v>
      </c>
      <c r="K6" s="46" t="s">
        <v>74</v>
      </c>
      <c r="L6" s="49" t="s">
        <v>62</v>
      </c>
      <c r="M6" s="47" t="s">
        <v>63</v>
      </c>
      <c r="N6" s="47" t="s">
        <v>64</v>
      </c>
      <c r="O6" s="47"/>
      <c r="P6" s="50"/>
      <c r="Q6" s="50"/>
      <c r="R6" s="47" t="s">
        <v>65</v>
      </c>
      <c r="S6" s="47" t="s">
        <v>65</v>
      </c>
      <c r="T6" s="47" t="s">
        <v>65</v>
      </c>
      <c r="U6" s="47" t="s">
        <v>65</v>
      </c>
      <c r="V6" s="47"/>
      <c r="W6" s="47"/>
      <c r="X6" s="47" t="s">
        <v>65</v>
      </c>
      <c r="Y6" s="47">
        <v>0</v>
      </c>
      <c r="Z6" s="51"/>
      <c r="AA6" s="52">
        <v>0</v>
      </c>
      <c r="AB6" s="52"/>
      <c r="AC6" s="52"/>
      <c r="AD6" s="52"/>
      <c r="AE6" s="52"/>
      <c r="AF6" s="52">
        <v>0</v>
      </c>
      <c r="AG6" s="52">
        <v>0</v>
      </c>
      <c r="AH6" s="52">
        <v>0</v>
      </c>
      <c r="AI6" s="53"/>
      <c r="AJ6" s="54"/>
      <c r="AK6" s="54"/>
      <c r="AL6" s="54"/>
      <c r="AM6" s="54"/>
      <c r="AN6" s="54"/>
      <c r="AO6" s="54"/>
      <c r="AP6" s="54"/>
      <c r="AQ6" s="54"/>
      <c r="AR6" s="52">
        <v>0</v>
      </c>
      <c r="AS6" s="52">
        <v>0</v>
      </c>
      <c r="AT6" s="52">
        <v>0</v>
      </c>
      <c r="AU6" s="52">
        <v>0</v>
      </c>
      <c r="AV6" s="52">
        <f t="shared" si="3"/>
        <v>0</v>
      </c>
      <c r="AW6" s="52">
        <v>0</v>
      </c>
      <c r="AX6" s="52">
        <v>0</v>
      </c>
      <c r="AY6" s="52"/>
      <c r="AZ6" s="50"/>
      <c r="BA6" s="52"/>
      <c r="BB6" s="52"/>
      <c r="BC6" s="55"/>
      <c r="BD6" s="52"/>
      <c r="BE6" s="56"/>
      <c r="BF6" s="52"/>
      <c r="BG6" s="57" t="str">
        <f t="shared" si="2"/>
        <v>description: "Ср.сигн. ДЗ-фф 3ст.", note: "Срабатывание на сигнал 3 ступени ДЗ-фф", group: "measurement", minValue: null, maxValue: null, step: null, units: "null", defaultValue: null, eventRegistration: 0</v>
      </c>
      <c r="BH6" s="58"/>
    </row>
    <row r="7" spans="1:16379" s="44" customFormat="1" ht="16.5" customHeight="1" x14ac:dyDescent="0.25">
      <c r="A7" s="46"/>
      <c r="B7" s="46" t="s">
        <v>59</v>
      </c>
      <c r="C7" s="47"/>
      <c r="D7" s="45"/>
      <c r="E7" s="48" t="s">
        <v>75</v>
      </c>
      <c r="F7" s="48" t="s">
        <v>76</v>
      </c>
      <c r="G7" s="48" t="s">
        <v>76</v>
      </c>
      <c r="H7" s="48"/>
      <c r="I7" s="48">
        <f t="shared" si="0"/>
        <v>19</v>
      </c>
      <c r="J7" s="48" t="str">
        <f t="shared" si="1"/>
        <v>Ср.сигн. ТЗНП 1 ст.</v>
      </c>
      <c r="K7" s="46" t="s">
        <v>77</v>
      </c>
      <c r="L7" s="49" t="s">
        <v>62</v>
      </c>
      <c r="M7" s="47" t="s">
        <v>63</v>
      </c>
      <c r="N7" s="47" t="s">
        <v>64</v>
      </c>
      <c r="O7" s="47"/>
      <c r="P7" s="50"/>
      <c r="Q7" s="50"/>
      <c r="R7" s="47" t="s">
        <v>65</v>
      </c>
      <c r="S7" s="47" t="s">
        <v>65</v>
      </c>
      <c r="T7" s="47" t="s">
        <v>65</v>
      </c>
      <c r="U7" s="47" t="s">
        <v>65</v>
      </c>
      <c r="V7" s="47"/>
      <c r="W7" s="47"/>
      <c r="X7" s="47" t="s">
        <v>65</v>
      </c>
      <c r="Y7" s="47">
        <v>0</v>
      </c>
      <c r="Z7" s="51"/>
      <c r="AA7" s="52">
        <v>0</v>
      </c>
      <c r="AB7" s="52"/>
      <c r="AC7" s="52"/>
      <c r="AD7" s="52"/>
      <c r="AE7" s="52"/>
      <c r="AF7" s="52">
        <v>0</v>
      </c>
      <c r="AG7" s="52">
        <v>0</v>
      </c>
      <c r="AH7" s="52">
        <v>0</v>
      </c>
      <c r="AI7" s="53"/>
      <c r="AJ7" s="54"/>
      <c r="AK7" s="54"/>
      <c r="AL7" s="54"/>
      <c r="AM7" s="54"/>
      <c r="AN7" s="54"/>
      <c r="AO7" s="54"/>
      <c r="AP7" s="54"/>
      <c r="AQ7" s="54"/>
      <c r="AR7" s="52">
        <v>0</v>
      </c>
      <c r="AS7" s="52">
        <v>0</v>
      </c>
      <c r="AT7" s="52">
        <v>0</v>
      </c>
      <c r="AU7" s="52">
        <v>0</v>
      </c>
      <c r="AV7" s="52">
        <f t="shared" si="3"/>
        <v>0</v>
      </c>
      <c r="AW7" s="52">
        <v>0</v>
      </c>
      <c r="AX7" s="52">
        <v>0</v>
      </c>
      <c r="AY7" s="52"/>
      <c r="AZ7" s="50"/>
      <c r="BA7" s="52"/>
      <c r="BB7" s="52"/>
      <c r="BC7" s="55"/>
      <c r="BD7" s="52"/>
      <c r="BE7" s="56"/>
      <c r="BF7" s="52"/>
      <c r="BG7" s="57" t="str">
        <f t="shared" si="2"/>
        <v>description: "Ср.сигн. ТЗНП 1 ст.", note: "Срабатывание на сигнал 1 ступени ТЗНП", group: "measurement", minValue: null, maxValue: null, step: null, units: "null", defaultValue: null, eventRegistration: 0</v>
      </c>
      <c r="BH7" s="58"/>
    </row>
    <row r="8" spans="1:16379" s="44" customFormat="1" ht="16.5" customHeight="1" x14ac:dyDescent="0.25">
      <c r="A8" s="46"/>
      <c r="B8" s="46" t="s">
        <v>59</v>
      </c>
      <c r="C8" s="47"/>
      <c r="D8" s="45"/>
      <c r="E8" s="48" t="s">
        <v>78</v>
      </c>
      <c r="F8" s="48" t="s">
        <v>79</v>
      </c>
      <c r="G8" s="48" t="s">
        <v>79</v>
      </c>
      <c r="H8" s="48"/>
      <c r="I8" s="48">
        <f t="shared" si="0"/>
        <v>19</v>
      </c>
      <c r="J8" s="48" t="str">
        <f t="shared" si="1"/>
        <v>Ср.сигн. ТЗНП 2 ст.</v>
      </c>
      <c r="K8" s="46" t="s">
        <v>80</v>
      </c>
      <c r="L8" s="49" t="s">
        <v>62</v>
      </c>
      <c r="M8" s="47" t="s">
        <v>63</v>
      </c>
      <c r="N8" s="47" t="s">
        <v>64</v>
      </c>
      <c r="O8" s="47"/>
      <c r="P8" s="50"/>
      <c r="Q8" s="50"/>
      <c r="R8" s="47" t="s">
        <v>65</v>
      </c>
      <c r="S8" s="47" t="s">
        <v>65</v>
      </c>
      <c r="T8" s="47" t="s">
        <v>65</v>
      </c>
      <c r="U8" s="47" t="s">
        <v>65</v>
      </c>
      <c r="V8" s="47"/>
      <c r="W8" s="47"/>
      <c r="X8" s="47" t="s">
        <v>65</v>
      </c>
      <c r="Y8" s="47">
        <v>0</v>
      </c>
      <c r="Z8" s="51"/>
      <c r="AA8" s="52">
        <v>0</v>
      </c>
      <c r="AB8" s="52"/>
      <c r="AC8" s="52"/>
      <c r="AD8" s="52"/>
      <c r="AE8" s="52"/>
      <c r="AF8" s="52">
        <v>0</v>
      </c>
      <c r="AG8" s="52">
        <v>0</v>
      </c>
      <c r="AH8" s="52">
        <v>0</v>
      </c>
      <c r="AI8" s="53"/>
      <c r="AJ8" s="54"/>
      <c r="AK8" s="54"/>
      <c r="AL8" s="54"/>
      <c r="AM8" s="54"/>
      <c r="AN8" s="54"/>
      <c r="AO8" s="54"/>
      <c r="AP8" s="54"/>
      <c r="AQ8" s="54"/>
      <c r="AR8" s="52">
        <v>0</v>
      </c>
      <c r="AS8" s="52">
        <v>0</v>
      </c>
      <c r="AT8" s="52">
        <v>0</v>
      </c>
      <c r="AU8" s="52">
        <v>0</v>
      </c>
      <c r="AV8" s="52">
        <f t="shared" si="3"/>
        <v>0</v>
      </c>
      <c r="AW8" s="52">
        <v>0</v>
      </c>
      <c r="AX8" s="52">
        <v>0</v>
      </c>
      <c r="AY8" s="52"/>
      <c r="AZ8" s="50"/>
      <c r="BA8" s="52"/>
      <c r="BB8" s="52"/>
      <c r="BC8" s="55"/>
      <c r="BD8" s="52"/>
      <c r="BE8" s="56"/>
      <c r="BF8" s="52"/>
      <c r="BG8" s="57" t="str">
        <f t="shared" si="2"/>
        <v>description: "Ср.сигн. ТЗНП 2 ст.", note: "Срабатывание на сигнал 2 ступени ТЗНП", group: "measurement", minValue: null, maxValue: null, step: null, units: "null", defaultValue: null, eventRegistration: 0</v>
      </c>
      <c r="BH8" s="58"/>
    </row>
    <row r="9" spans="1:16379" s="44" customFormat="1" ht="16.5" customHeight="1" x14ac:dyDescent="0.25">
      <c r="A9" s="46"/>
      <c r="B9" s="46" t="s">
        <v>59</v>
      </c>
      <c r="C9" s="47"/>
      <c r="D9" s="45"/>
      <c r="E9" s="48" t="s">
        <v>81</v>
      </c>
      <c r="F9" s="48" t="s">
        <v>82</v>
      </c>
      <c r="G9" s="48" t="s">
        <v>82</v>
      </c>
      <c r="H9" s="48"/>
      <c r="I9" s="48">
        <f t="shared" si="0"/>
        <v>12</v>
      </c>
      <c r="J9" s="48" t="str">
        <f t="shared" si="1"/>
        <v>Ср.сигн. ЛЗШ</v>
      </c>
      <c r="K9" s="46" t="s">
        <v>83</v>
      </c>
      <c r="L9" s="49" t="s">
        <v>62</v>
      </c>
      <c r="M9" s="47" t="s">
        <v>63</v>
      </c>
      <c r="N9" s="47" t="s">
        <v>64</v>
      </c>
      <c r="O9" s="47"/>
      <c r="P9" s="50"/>
      <c r="Q9" s="50"/>
      <c r="R9" s="47" t="s">
        <v>65</v>
      </c>
      <c r="S9" s="47" t="s">
        <v>65</v>
      </c>
      <c r="T9" s="47" t="s">
        <v>65</v>
      </c>
      <c r="U9" s="47" t="s">
        <v>65</v>
      </c>
      <c r="V9" s="47"/>
      <c r="W9" s="47"/>
      <c r="X9" s="47" t="s">
        <v>65</v>
      </c>
      <c r="Y9" s="47">
        <v>0</v>
      </c>
      <c r="Z9" s="51"/>
      <c r="AA9" s="52">
        <v>0</v>
      </c>
      <c r="AB9" s="52"/>
      <c r="AC9" s="52"/>
      <c r="AD9" s="52"/>
      <c r="AE9" s="52"/>
      <c r="AF9" s="52">
        <v>0</v>
      </c>
      <c r="AG9" s="52">
        <v>0</v>
      </c>
      <c r="AH9" s="52">
        <v>0</v>
      </c>
      <c r="AI9" s="53"/>
      <c r="AJ9" s="54"/>
      <c r="AK9" s="54"/>
      <c r="AL9" s="54"/>
      <c r="AM9" s="54"/>
      <c r="AN9" s="54"/>
      <c r="AO9" s="54"/>
      <c r="AP9" s="54"/>
      <c r="AQ9" s="54"/>
      <c r="AR9" s="52">
        <v>0</v>
      </c>
      <c r="AS9" s="52">
        <v>0</v>
      </c>
      <c r="AT9" s="52">
        <v>0</v>
      </c>
      <c r="AU9" s="52">
        <v>0</v>
      </c>
      <c r="AV9" s="52">
        <f t="shared" si="3"/>
        <v>0</v>
      </c>
      <c r="AW9" s="52">
        <v>0</v>
      </c>
      <c r="AX9" s="52">
        <v>0</v>
      </c>
      <c r="AY9" s="52"/>
      <c r="AZ9" s="50"/>
      <c r="BA9" s="52"/>
      <c r="BB9" s="52"/>
      <c r="BC9" s="55"/>
      <c r="BD9" s="52"/>
      <c r="BE9" s="56"/>
      <c r="BF9" s="52"/>
      <c r="BG9" s="57" t="str">
        <f t="shared" si="2"/>
        <v>description: "Ср.сигн. ЛЗШ", note: "Срабатывание на сигнал ЛЗШ", group: "measurement", minValue: null, maxValue: null, step: null, units: "null", defaultValue: null, eventRegistration: 0</v>
      </c>
      <c r="BH9" s="58"/>
    </row>
    <row r="10" spans="1:16379" s="44" customFormat="1" ht="16.5" customHeight="1" x14ac:dyDescent="0.25">
      <c r="A10" s="46"/>
      <c r="B10" s="46" t="s">
        <v>59</v>
      </c>
      <c r="C10" s="47"/>
      <c r="D10" s="45"/>
      <c r="E10" s="48" t="s">
        <v>84</v>
      </c>
      <c r="F10" s="48" t="s">
        <v>85</v>
      </c>
      <c r="G10" s="48" t="s">
        <v>85</v>
      </c>
      <c r="H10" s="48"/>
      <c r="I10" s="48">
        <f t="shared" si="0"/>
        <v>18</v>
      </c>
      <c r="J10" s="48" t="str">
        <f t="shared" si="1"/>
        <v>Ср.сигн. МТЗ 1 ст.</v>
      </c>
      <c r="K10" s="46" t="s">
        <v>86</v>
      </c>
      <c r="L10" s="49" t="s">
        <v>62</v>
      </c>
      <c r="M10" s="47" t="s">
        <v>63</v>
      </c>
      <c r="N10" s="47" t="s">
        <v>64</v>
      </c>
      <c r="O10" s="47"/>
      <c r="P10" s="50"/>
      <c r="Q10" s="50"/>
      <c r="R10" s="47" t="s">
        <v>65</v>
      </c>
      <c r="S10" s="47" t="s">
        <v>65</v>
      </c>
      <c r="T10" s="47" t="s">
        <v>65</v>
      </c>
      <c r="U10" s="47" t="s">
        <v>65</v>
      </c>
      <c r="V10" s="47"/>
      <c r="W10" s="47"/>
      <c r="X10" s="47" t="s">
        <v>65</v>
      </c>
      <c r="Y10" s="47">
        <v>0</v>
      </c>
      <c r="Z10" s="51"/>
      <c r="AA10" s="52">
        <v>0</v>
      </c>
      <c r="AB10" s="52"/>
      <c r="AC10" s="52"/>
      <c r="AD10" s="52"/>
      <c r="AE10" s="52"/>
      <c r="AF10" s="52">
        <v>0</v>
      </c>
      <c r="AG10" s="52">
        <v>0</v>
      </c>
      <c r="AH10" s="52">
        <v>0</v>
      </c>
      <c r="AI10" s="53"/>
      <c r="AJ10" s="54"/>
      <c r="AK10" s="54"/>
      <c r="AL10" s="54"/>
      <c r="AM10" s="54"/>
      <c r="AN10" s="54"/>
      <c r="AO10" s="54"/>
      <c r="AP10" s="54"/>
      <c r="AQ10" s="54"/>
      <c r="AR10" s="52">
        <v>0</v>
      </c>
      <c r="AS10" s="52">
        <v>0</v>
      </c>
      <c r="AT10" s="52">
        <v>0</v>
      </c>
      <c r="AU10" s="52">
        <v>0</v>
      </c>
      <c r="AV10" s="52">
        <f t="shared" si="3"/>
        <v>0</v>
      </c>
      <c r="AW10" s="52">
        <v>0</v>
      </c>
      <c r="AX10" s="52">
        <v>0</v>
      </c>
      <c r="AY10" s="52"/>
      <c r="AZ10" s="50"/>
      <c r="BA10" s="52"/>
      <c r="BB10" s="52"/>
      <c r="BC10" s="55"/>
      <c r="BD10" s="52"/>
      <c r="BE10" s="56"/>
      <c r="BF10" s="52"/>
      <c r="BG10" s="57" t="str">
        <f t="shared" si="2"/>
        <v>description: "Ср.сигн. МТЗ 1 ст.", note: "Срабатывание на сигнал 1 ступени МТЗ", group: "measurement", minValue: null, maxValue: null, step: null, units: "null", defaultValue: null, eventRegistration: 0</v>
      </c>
      <c r="BH10" s="58"/>
    </row>
    <row r="11" spans="1:16379" s="44" customFormat="1" ht="16.5" customHeight="1" x14ac:dyDescent="0.25">
      <c r="A11" s="46"/>
      <c r="B11" s="46" t="s">
        <v>59</v>
      </c>
      <c r="C11" s="47"/>
      <c r="D11" s="45"/>
      <c r="E11" s="48" t="s">
        <v>87</v>
      </c>
      <c r="F11" s="48" t="s">
        <v>88</v>
      </c>
      <c r="G11" s="48" t="s">
        <v>88</v>
      </c>
      <c r="H11" s="48"/>
      <c r="I11" s="48">
        <f t="shared" si="0"/>
        <v>18</v>
      </c>
      <c r="J11" s="48" t="str">
        <f t="shared" si="1"/>
        <v>Ср.сигн. МТЗ 2 ст.</v>
      </c>
      <c r="K11" s="46" t="s">
        <v>89</v>
      </c>
      <c r="L11" s="49" t="s">
        <v>62</v>
      </c>
      <c r="M11" s="47" t="s">
        <v>63</v>
      </c>
      <c r="N11" s="47" t="s">
        <v>64</v>
      </c>
      <c r="O11" s="47"/>
      <c r="P11" s="50"/>
      <c r="Q11" s="50"/>
      <c r="R11" s="47" t="s">
        <v>65</v>
      </c>
      <c r="S11" s="47" t="s">
        <v>65</v>
      </c>
      <c r="T11" s="47" t="s">
        <v>65</v>
      </c>
      <c r="U11" s="47" t="s">
        <v>65</v>
      </c>
      <c r="V11" s="47"/>
      <c r="W11" s="47"/>
      <c r="X11" s="47" t="s">
        <v>65</v>
      </c>
      <c r="Y11" s="47">
        <v>0</v>
      </c>
      <c r="Z11" s="51"/>
      <c r="AA11" s="52">
        <v>0</v>
      </c>
      <c r="AB11" s="52"/>
      <c r="AC11" s="52"/>
      <c r="AD11" s="52"/>
      <c r="AE11" s="52"/>
      <c r="AF11" s="52">
        <v>0</v>
      </c>
      <c r="AG11" s="52">
        <v>0</v>
      </c>
      <c r="AH11" s="52">
        <v>0</v>
      </c>
      <c r="AI11" s="53"/>
      <c r="AJ11" s="54"/>
      <c r="AK11" s="54"/>
      <c r="AL11" s="54"/>
      <c r="AM11" s="54"/>
      <c r="AN11" s="54"/>
      <c r="AO11" s="54"/>
      <c r="AP11" s="54"/>
      <c r="AQ11" s="54"/>
      <c r="AR11" s="52">
        <v>0</v>
      </c>
      <c r="AS11" s="52">
        <v>0</v>
      </c>
      <c r="AT11" s="52">
        <v>0</v>
      </c>
      <c r="AU11" s="52">
        <v>0</v>
      </c>
      <c r="AV11" s="52">
        <f t="shared" si="3"/>
        <v>0</v>
      </c>
      <c r="AW11" s="52">
        <v>0</v>
      </c>
      <c r="AX11" s="52">
        <v>0</v>
      </c>
      <c r="AY11" s="52"/>
      <c r="AZ11" s="50"/>
      <c r="BA11" s="52"/>
      <c r="BB11" s="52"/>
      <c r="BC11" s="55"/>
      <c r="BD11" s="52"/>
      <c r="BE11" s="56"/>
      <c r="BF11" s="52"/>
      <c r="BG11" s="57" t="str">
        <f t="shared" si="2"/>
        <v>description: "Ср.сигн. МТЗ 2 ст.", note: "Срабатывание на сигнал 2 ступени МТЗ", group: "measurement", minValue: null, maxValue: null, step: null, units: "null", defaultValue: null, eventRegistration: 0</v>
      </c>
      <c r="BH11" s="58"/>
    </row>
    <row r="12" spans="1:16379" s="44" customFormat="1" ht="16.5" customHeight="1" x14ac:dyDescent="0.25">
      <c r="A12" s="46"/>
      <c r="B12" s="46" t="s">
        <v>59</v>
      </c>
      <c r="C12" s="47"/>
      <c r="D12" s="45"/>
      <c r="E12" s="48" t="s">
        <v>90</v>
      </c>
      <c r="F12" s="48" t="s">
        <v>91</v>
      </c>
      <c r="G12" s="48" t="s">
        <v>91</v>
      </c>
      <c r="H12" s="48"/>
      <c r="I12" s="48">
        <f t="shared" si="0"/>
        <v>18</v>
      </c>
      <c r="J12" s="48" t="str">
        <f t="shared" si="1"/>
        <v>Ср.сигн. МТЗ 3 ст.</v>
      </c>
      <c r="K12" s="46" t="s">
        <v>92</v>
      </c>
      <c r="L12" s="49" t="s">
        <v>62</v>
      </c>
      <c r="M12" s="47" t="s">
        <v>63</v>
      </c>
      <c r="N12" s="47" t="s">
        <v>64</v>
      </c>
      <c r="O12" s="47"/>
      <c r="P12" s="50"/>
      <c r="Q12" s="50"/>
      <c r="R12" s="47" t="s">
        <v>65</v>
      </c>
      <c r="S12" s="47" t="s">
        <v>65</v>
      </c>
      <c r="T12" s="47" t="s">
        <v>65</v>
      </c>
      <c r="U12" s="47" t="s">
        <v>65</v>
      </c>
      <c r="V12" s="47"/>
      <c r="W12" s="47"/>
      <c r="X12" s="47" t="s">
        <v>65</v>
      </c>
      <c r="Y12" s="47">
        <v>0</v>
      </c>
      <c r="Z12" s="51"/>
      <c r="AA12" s="52">
        <v>0</v>
      </c>
      <c r="AB12" s="52"/>
      <c r="AC12" s="52"/>
      <c r="AD12" s="52"/>
      <c r="AE12" s="52"/>
      <c r="AF12" s="52">
        <v>0</v>
      </c>
      <c r="AG12" s="52">
        <v>0</v>
      </c>
      <c r="AH12" s="52">
        <v>0</v>
      </c>
      <c r="AI12" s="53"/>
      <c r="AJ12" s="54"/>
      <c r="AK12" s="54"/>
      <c r="AL12" s="54"/>
      <c r="AM12" s="54"/>
      <c r="AN12" s="54"/>
      <c r="AO12" s="54"/>
      <c r="AP12" s="54"/>
      <c r="AQ12" s="54"/>
      <c r="AR12" s="52">
        <v>0</v>
      </c>
      <c r="AS12" s="52">
        <v>0</v>
      </c>
      <c r="AT12" s="52">
        <v>0</v>
      </c>
      <c r="AU12" s="52">
        <v>0</v>
      </c>
      <c r="AV12" s="52">
        <f t="shared" si="3"/>
        <v>0</v>
      </c>
      <c r="AW12" s="52">
        <v>0</v>
      </c>
      <c r="AX12" s="52">
        <v>0</v>
      </c>
      <c r="AY12" s="52"/>
      <c r="AZ12" s="50"/>
      <c r="BA12" s="52"/>
      <c r="BB12" s="52"/>
      <c r="BC12" s="55"/>
      <c r="BD12" s="52"/>
      <c r="BE12" s="56"/>
      <c r="BF12" s="52"/>
      <c r="BG12" s="57" t="str">
        <f t="shared" si="2"/>
        <v>description: "Ср.сигн. МТЗ 3 ст.", note: "Срабатывание на сигнал 3 ступени МТЗ", group: "measurement", minValue: null, maxValue: null, step: null, units: "null", defaultValue: null, eventRegistration: 0</v>
      </c>
      <c r="BH12" s="58"/>
    </row>
    <row r="13" spans="1:16379" s="44" customFormat="1" ht="16.5" customHeight="1" x14ac:dyDescent="0.25">
      <c r="A13" s="46"/>
      <c r="B13" s="46" t="s">
        <v>59</v>
      </c>
      <c r="C13" s="47"/>
      <c r="D13" s="45"/>
      <c r="E13" s="48" t="s">
        <v>93</v>
      </c>
      <c r="F13" s="48" t="s">
        <v>94</v>
      </c>
      <c r="G13" s="48" t="s">
        <v>94</v>
      </c>
      <c r="H13" s="48"/>
      <c r="I13" s="48">
        <f t="shared" si="0"/>
        <v>12</v>
      </c>
      <c r="J13" s="48" t="str">
        <f t="shared" si="1"/>
        <v>Ср.сигн. ЗОП</v>
      </c>
      <c r="K13" s="46" t="s">
        <v>95</v>
      </c>
      <c r="L13" s="49" t="s">
        <v>62</v>
      </c>
      <c r="M13" s="47" t="s">
        <v>63</v>
      </c>
      <c r="N13" s="47" t="s">
        <v>64</v>
      </c>
      <c r="O13" s="47"/>
      <c r="P13" s="50"/>
      <c r="Q13" s="50"/>
      <c r="R13" s="47" t="s">
        <v>65</v>
      </c>
      <c r="S13" s="47" t="s">
        <v>65</v>
      </c>
      <c r="T13" s="47" t="s">
        <v>65</v>
      </c>
      <c r="U13" s="47" t="s">
        <v>65</v>
      </c>
      <c r="V13" s="47"/>
      <c r="W13" s="47"/>
      <c r="X13" s="47" t="s">
        <v>65</v>
      </c>
      <c r="Y13" s="47">
        <v>0</v>
      </c>
      <c r="Z13" s="51"/>
      <c r="AA13" s="52">
        <v>0</v>
      </c>
      <c r="AB13" s="52"/>
      <c r="AC13" s="52"/>
      <c r="AD13" s="52"/>
      <c r="AE13" s="52"/>
      <c r="AF13" s="52">
        <v>0</v>
      </c>
      <c r="AG13" s="52">
        <v>0</v>
      </c>
      <c r="AH13" s="52">
        <v>0</v>
      </c>
      <c r="AI13" s="53"/>
      <c r="AJ13" s="54"/>
      <c r="AK13" s="54"/>
      <c r="AL13" s="54"/>
      <c r="AM13" s="54"/>
      <c r="AN13" s="54"/>
      <c r="AO13" s="54"/>
      <c r="AP13" s="54"/>
      <c r="AQ13" s="54"/>
      <c r="AR13" s="52">
        <v>0</v>
      </c>
      <c r="AS13" s="52">
        <v>0</v>
      </c>
      <c r="AT13" s="52">
        <v>0</v>
      </c>
      <c r="AU13" s="52">
        <v>0</v>
      </c>
      <c r="AV13" s="52">
        <f t="shared" si="3"/>
        <v>0</v>
      </c>
      <c r="AW13" s="52">
        <v>0</v>
      </c>
      <c r="AX13" s="52">
        <v>0</v>
      </c>
      <c r="AY13" s="52"/>
      <c r="AZ13" s="50"/>
      <c r="BA13" s="52"/>
      <c r="BB13" s="52"/>
      <c r="BC13" s="55"/>
      <c r="BD13" s="52"/>
      <c r="BE13" s="56"/>
      <c r="BF13" s="52"/>
      <c r="BG13" s="57" t="str">
        <f t="shared" si="2"/>
        <v>description: "Ср.сигн. ЗОП", note: "Срабатывание на сигнал ЗОП", group: "measurement", minValue: null, maxValue: null, step: null, units: "null", defaultValue: null, eventRegistration: 0</v>
      </c>
      <c r="BH13" s="58"/>
    </row>
    <row r="14" spans="1:16379" s="44" customFormat="1" ht="16.5" customHeight="1" x14ac:dyDescent="0.25">
      <c r="A14" s="46"/>
      <c r="B14" s="46" t="s">
        <v>59</v>
      </c>
      <c r="C14" s="47"/>
      <c r="D14" s="45"/>
      <c r="E14" s="48" t="s">
        <v>188</v>
      </c>
      <c r="F14" s="48" t="s">
        <v>189</v>
      </c>
      <c r="G14" s="48" t="s">
        <v>189</v>
      </c>
      <c r="H14" s="48"/>
      <c r="I14" s="48">
        <f t="shared" si="0"/>
        <v>11</v>
      </c>
      <c r="J14" s="48" t="str">
        <f t="shared" si="1"/>
        <v>Ср.сигн. ЗП</v>
      </c>
      <c r="K14" s="46" t="s">
        <v>190</v>
      </c>
      <c r="L14" s="49" t="s">
        <v>62</v>
      </c>
      <c r="M14" s="47" t="s">
        <v>63</v>
      </c>
      <c r="N14" s="47" t="s">
        <v>64</v>
      </c>
      <c r="O14" s="47"/>
      <c r="P14" s="50"/>
      <c r="Q14" s="50"/>
      <c r="R14" s="47" t="s">
        <v>65</v>
      </c>
      <c r="S14" s="47" t="s">
        <v>65</v>
      </c>
      <c r="T14" s="47" t="s">
        <v>65</v>
      </c>
      <c r="U14" s="47" t="s">
        <v>65</v>
      </c>
      <c r="V14" s="47"/>
      <c r="W14" s="47"/>
      <c r="X14" s="47" t="s">
        <v>65</v>
      </c>
      <c r="Y14" s="47">
        <v>0</v>
      </c>
      <c r="Z14" s="51"/>
      <c r="AA14" s="52">
        <v>0</v>
      </c>
      <c r="AB14" s="52"/>
      <c r="AC14" s="52"/>
      <c r="AD14" s="52"/>
      <c r="AE14" s="52"/>
      <c r="AF14" s="52">
        <v>0</v>
      </c>
      <c r="AG14" s="52">
        <v>0</v>
      </c>
      <c r="AH14" s="52">
        <v>0</v>
      </c>
      <c r="AI14" s="53"/>
      <c r="AJ14" s="54"/>
      <c r="AK14" s="54"/>
      <c r="AL14" s="54"/>
      <c r="AM14" s="54"/>
      <c r="AN14" s="54"/>
      <c r="AO14" s="54"/>
      <c r="AP14" s="54"/>
      <c r="AQ14" s="54"/>
      <c r="AR14" s="52">
        <v>0</v>
      </c>
      <c r="AS14" s="52">
        <v>0</v>
      </c>
      <c r="AT14" s="52">
        <v>0</v>
      </c>
      <c r="AU14" s="52">
        <v>0</v>
      </c>
      <c r="AV14" s="52">
        <f t="shared" si="3"/>
        <v>0</v>
      </c>
      <c r="AW14" s="52">
        <v>0</v>
      </c>
      <c r="AX14" s="52">
        <v>0</v>
      </c>
      <c r="AY14" s="52"/>
      <c r="AZ14" s="50"/>
      <c r="BA14" s="52"/>
      <c r="BB14" s="52"/>
      <c r="BC14" s="55"/>
      <c r="BD14" s="52"/>
      <c r="BE14" s="56"/>
      <c r="BF14" s="52"/>
      <c r="BG14" s="57" t="str">
        <f t="shared" si="2"/>
        <v>description: "Ср.сигн. ЗП", note: "Срабатывание на сигнал ЗП", group: "measurement", minValue: null, maxValue: null, step: null, units: "null", defaultValue: null, eventRegistration: 0</v>
      </c>
      <c r="BH14" s="58"/>
    </row>
    <row r="15" spans="1:16379" s="44" customFormat="1" ht="16.5" customHeight="1" x14ac:dyDescent="0.25">
      <c r="A15" s="46"/>
      <c r="B15" s="46" t="s">
        <v>59</v>
      </c>
      <c r="C15" s="47"/>
      <c r="D15" s="45"/>
      <c r="E15" s="48" t="s">
        <v>191</v>
      </c>
      <c r="F15" s="48" t="s">
        <v>192</v>
      </c>
      <c r="G15" s="48" t="s">
        <v>192</v>
      </c>
      <c r="H15" s="48"/>
      <c r="I15" s="48">
        <f t="shared" si="0"/>
        <v>17</v>
      </c>
      <c r="J15" s="48" t="str">
        <f t="shared" si="1"/>
        <v>Ср.сигн. ЗМН 1ст.</v>
      </c>
      <c r="K15" s="46" t="s">
        <v>193</v>
      </c>
      <c r="L15" s="49" t="s">
        <v>62</v>
      </c>
      <c r="M15" s="47" t="s">
        <v>63</v>
      </c>
      <c r="N15" s="47" t="s">
        <v>64</v>
      </c>
      <c r="O15" s="47"/>
      <c r="P15" s="50"/>
      <c r="Q15" s="50"/>
      <c r="R15" s="47" t="s">
        <v>65</v>
      </c>
      <c r="S15" s="47" t="s">
        <v>65</v>
      </c>
      <c r="T15" s="47" t="s">
        <v>65</v>
      </c>
      <c r="U15" s="47" t="s">
        <v>65</v>
      </c>
      <c r="V15" s="47"/>
      <c r="W15" s="47"/>
      <c r="X15" s="47" t="s">
        <v>65</v>
      </c>
      <c r="Y15" s="47">
        <v>0</v>
      </c>
      <c r="Z15" s="51"/>
      <c r="AA15" s="52">
        <v>0</v>
      </c>
      <c r="AB15" s="52"/>
      <c r="AC15" s="52"/>
      <c r="AD15" s="52"/>
      <c r="AE15" s="52"/>
      <c r="AF15" s="52">
        <v>0</v>
      </c>
      <c r="AG15" s="52">
        <v>0</v>
      </c>
      <c r="AH15" s="52">
        <v>0</v>
      </c>
      <c r="AI15" s="53"/>
      <c r="AJ15" s="54"/>
      <c r="AK15" s="54"/>
      <c r="AL15" s="54"/>
      <c r="AM15" s="54"/>
      <c r="AN15" s="54"/>
      <c r="AO15" s="54"/>
      <c r="AP15" s="54"/>
      <c r="AQ15" s="54"/>
      <c r="AR15" s="52">
        <v>0</v>
      </c>
      <c r="AS15" s="52">
        <v>0</v>
      </c>
      <c r="AT15" s="52">
        <v>0</v>
      </c>
      <c r="AU15" s="52">
        <v>0</v>
      </c>
      <c r="AV15" s="52">
        <f t="shared" si="3"/>
        <v>0</v>
      </c>
      <c r="AW15" s="52">
        <v>0</v>
      </c>
      <c r="AX15" s="52">
        <v>0</v>
      </c>
      <c r="AY15" s="52"/>
      <c r="AZ15" s="50"/>
      <c r="BA15" s="52"/>
      <c r="BB15" s="52"/>
      <c r="BC15" s="55"/>
      <c r="BD15" s="52"/>
      <c r="BE15" s="56"/>
      <c r="BF15" s="52"/>
      <c r="BG15" s="57" t="str">
        <f t="shared" si="2"/>
        <v>description: "Ср.сигн. ЗМН 1ст.", note: "Срабатывание на сигнал 1 ступени ЗМН", group: "measurement", minValue: null, maxValue: null, step: null, units: "null", defaultValue: null, eventRegistration: 0</v>
      </c>
      <c r="BH15" s="58"/>
    </row>
    <row r="16" spans="1:16379" s="44" customFormat="1" ht="16.5" customHeight="1" x14ac:dyDescent="0.25">
      <c r="A16" s="46"/>
      <c r="B16" s="46" t="s">
        <v>59</v>
      </c>
      <c r="C16" s="47"/>
      <c r="D16" s="45"/>
      <c r="E16" s="48" t="s">
        <v>194</v>
      </c>
      <c r="F16" s="48" t="s">
        <v>195</v>
      </c>
      <c r="G16" s="48" t="s">
        <v>195</v>
      </c>
      <c r="H16" s="48"/>
      <c r="I16" s="48">
        <f t="shared" si="0"/>
        <v>17</v>
      </c>
      <c r="J16" s="48" t="str">
        <f t="shared" si="1"/>
        <v>Ср.сигн. ЗМН 2ст.</v>
      </c>
      <c r="K16" s="46" t="s">
        <v>196</v>
      </c>
      <c r="L16" s="49" t="s">
        <v>62</v>
      </c>
      <c r="M16" s="47" t="s">
        <v>63</v>
      </c>
      <c r="N16" s="47" t="s">
        <v>64</v>
      </c>
      <c r="O16" s="47"/>
      <c r="P16" s="50"/>
      <c r="Q16" s="50"/>
      <c r="R16" s="47" t="s">
        <v>65</v>
      </c>
      <c r="S16" s="47" t="s">
        <v>65</v>
      </c>
      <c r="T16" s="47" t="s">
        <v>65</v>
      </c>
      <c r="U16" s="47" t="s">
        <v>65</v>
      </c>
      <c r="V16" s="47"/>
      <c r="W16" s="47"/>
      <c r="X16" s="47" t="s">
        <v>65</v>
      </c>
      <c r="Y16" s="47">
        <v>0</v>
      </c>
      <c r="Z16" s="51"/>
      <c r="AA16" s="52">
        <v>0</v>
      </c>
      <c r="AB16" s="52"/>
      <c r="AC16" s="52"/>
      <c r="AD16" s="52"/>
      <c r="AE16" s="52"/>
      <c r="AF16" s="52">
        <v>0</v>
      </c>
      <c r="AG16" s="52">
        <v>0</v>
      </c>
      <c r="AH16" s="52">
        <v>0</v>
      </c>
      <c r="AI16" s="53"/>
      <c r="AJ16" s="54"/>
      <c r="AK16" s="54"/>
      <c r="AL16" s="54"/>
      <c r="AM16" s="54"/>
      <c r="AN16" s="54"/>
      <c r="AO16" s="54"/>
      <c r="AP16" s="54"/>
      <c r="AQ16" s="54"/>
      <c r="AR16" s="52">
        <v>0</v>
      </c>
      <c r="AS16" s="52">
        <v>0</v>
      </c>
      <c r="AT16" s="52">
        <v>0</v>
      </c>
      <c r="AU16" s="52">
        <v>0</v>
      </c>
      <c r="AV16" s="52">
        <f t="shared" si="3"/>
        <v>0</v>
      </c>
      <c r="AW16" s="52">
        <v>0</v>
      </c>
      <c r="AX16" s="52">
        <v>0</v>
      </c>
      <c r="AY16" s="52"/>
      <c r="AZ16" s="50"/>
      <c r="BA16" s="52"/>
      <c r="BB16" s="52"/>
      <c r="BC16" s="55"/>
      <c r="BD16" s="52"/>
      <c r="BE16" s="56"/>
      <c r="BF16" s="52"/>
      <c r="BG16" s="57" t="str">
        <f t="shared" si="2"/>
        <v>description: "Ср.сигн. ЗМН 2ст.", note: "Срабатывание на сигнал 2 ступени ЗМН", group: "measurement", minValue: null, maxValue: null, step: null, units: "null", defaultValue: null, eventRegistration: 0</v>
      </c>
      <c r="BH16" s="58"/>
    </row>
    <row r="17" spans="1:60" s="44" customFormat="1" ht="16.5" customHeight="1" x14ac:dyDescent="0.25">
      <c r="A17" s="46"/>
      <c r="B17" s="46" t="s">
        <v>59</v>
      </c>
      <c r="C17" s="47"/>
      <c r="D17" s="45"/>
      <c r="E17" s="48" t="s">
        <v>96</v>
      </c>
      <c r="F17" s="48" t="s">
        <v>97</v>
      </c>
      <c r="G17" s="48" t="s">
        <v>97</v>
      </c>
      <c r="H17" s="48"/>
      <c r="I17" s="48">
        <f t="shared" si="0"/>
        <v>12</v>
      </c>
      <c r="J17" s="48" t="str">
        <f t="shared" si="1"/>
        <v>Ср.сигн. ЗДЗ</v>
      </c>
      <c r="K17" s="46" t="s">
        <v>98</v>
      </c>
      <c r="L17" s="49" t="s">
        <v>62</v>
      </c>
      <c r="M17" s="47" t="s">
        <v>63</v>
      </c>
      <c r="N17" s="47" t="s">
        <v>64</v>
      </c>
      <c r="O17" s="47"/>
      <c r="P17" s="50"/>
      <c r="Q17" s="50"/>
      <c r="R17" s="47" t="s">
        <v>65</v>
      </c>
      <c r="S17" s="47" t="s">
        <v>65</v>
      </c>
      <c r="T17" s="47" t="s">
        <v>65</v>
      </c>
      <c r="U17" s="47" t="s">
        <v>65</v>
      </c>
      <c r="V17" s="47"/>
      <c r="W17" s="47"/>
      <c r="X17" s="47" t="s">
        <v>65</v>
      </c>
      <c r="Y17" s="47">
        <v>0</v>
      </c>
      <c r="Z17" s="51"/>
      <c r="AA17" s="52">
        <v>0</v>
      </c>
      <c r="AB17" s="52"/>
      <c r="AC17" s="52"/>
      <c r="AD17" s="52"/>
      <c r="AE17" s="52"/>
      <c r="AF17" s="52">
        <v>0</v>
      </c>
      <c r="AG17" s="52">
        <v>0</v>
      </c>
      <c r="AH17" s="52">
        <v>0</v>
      </c>
      <c r="AI17" s="53"/>
      <c r="AJ17" s="54"/>
      <c r="AK17" s="54"/>
      <c r="AL17" s="54"/>
      <c r="AM17" s="54"/>
      <c r="AN17" s="54"/>
      <c r="AO17" s="54"/>
      <c r="AP17" s="54"/>
      <c r="AQ17" s="54"/>
      <c r="AR17" s="52">
        <v>0</v>
      </c>
      <c r="AS17" s="52">
        <v>0</v>
      </c>
      <c r="AT17" s="52">
        <v>0</v>
      </c>
      <c r="AU17" s="52">
        <v>0</v>
      </c>
      <c r="AV17" s="52">
        <f t="shared" si="3"/>
        <v>0</v>
      </c>
      <c r="AW17" s="52">
        <v>0</v>
      </c>
      <c r="AX17" s="52">
        <v>0</v>
      </c>
      <c r="AY17" s="52"/>
      <c r="AZ17" s="50"/>
      <c r="BA17" s="52"/>
      <c r="BB17" s="52"/>
      <c r="BC17" s="55"/>
      <c r="BD17" s="52"/>
      <c r="BE17" s="56"/>
      <c r="BF17" s="52"/>
      <c r="BG17" s="57" t="str">
        <f t="shared" si="2"/>
        <v>description: "Ср.сигн. ЗДЗ", note: "Срабатывание на сигнал ЗДЗ", group: "measurement", minValue: null, maxValue: null, step: null, units: "null", defaultValue: null, eventRegistration: 0</v>
      </c>
      <c r="BH17" s="58"/>
    </row>
    <row r="18" spans="1:60" s="44" customFormat="1" ht="16.5" customHeight="1" x14ac:dyDescent="0.25">
      <c r="A18" s="46"/>
      <c r="B18" s="46" t="s">
        <v>59</v>
      </c>
      <c r="C18" s="47"/>
      <c r="D18" s="45"/>
      <c r="E18" s="48" t="s">
        <v>99</v>
      </c>
      <c r="F18" s="48" t="s">
        <v>100</v>
      </c>
      <c r="G18" s="48" t="s">
        <v>100</v>
      </c>
      <c r="H18" s="48"/>
      <c r="I18" s="48">
        <f t="shared" si="0"/>
        <v>11</v>
      </c>
      <c r="J18" s="48" t="str">
        <f t="shared" si="1"/>
        <v>Неиспр. ЗДЗ</v>
      </c>
      <c r="K18" s="46" t="s">
        <v>101</v>
      </c>
      <c r="L18" s="49" t="s">
        <v>62</v>
      </c>
      <c r="M18" s="47" t="s">
        <v>63</v>
      </c>
      <c r="N18" s="47" t="s">
        <v>64</v>
      </c>
      <c r="O18" s="47"/>
      <c r="P18" s="50"/>
      <c r="Q18" s="50"/>
      <c r="R18" s="47" t="s">
        <v>65</v>
      </c>
      <c r="S18" s="47" t="s">
        <v>65</v>
      </c>
      <c r="T18" s="47" t="s">
        <v>65</v>
      </c>
      <c r="U18" s="47" t="s">
        <v>65</v>
      </c>
      <c r="V18" s="47"/>
      <c r="W18" s="47"/>
      <c r="X18" s="47" t="s">
        <v>65</v>
      </c>
      <c r="Y18" s="47">
        <v>0</v>
      </c>
      <c r="Z18" s="51"/>
      <c r="AA18" s="52">
        <v>0</v>
      </c>
      <c r="AB18" s="52"/>
      <c r="AC18" s="52"/>
      <c r="AD18" s="52"/>
      <c r="AE18" s="52"/>
      <c r="AF18" s="52">
        <v>0</v>
      </c>
      <c r="AG18" s="52">
        <v>0</v>
      </c>
      <c r="AH18" s="52">
        <v>0</v>
      </c>
      <c r="AI18" s="53"/>
      <c r="AJ18" s="54"/>
      <c r="AK18" s="54"/>
      <c r="AL18" s="54"/>
      <c r="AM18" s="54"/>
      <c r="AN18" s="54"/>
      <c r="AO18" s="54"/>
      <c r="AP18" s="54"/>
      <c r="AQ18" s="54"/>
      <c r="AR18" s="52">
        <v>0</v>
      </c>
      <c r="AS18" s="52">
        <v>0</v>
      </c>
      <c r="AT18" s="52">
        <v>0</v>
      </c>
      <c r="AU18" s="52">
        <v>0</v>
      </c>
      <c r="AV18" s="52">
        <f t="shared" si="3"/>
        <v>0</v>
      </c>
      <c r="AW18" s="52">
        <v>0</v>
      </c>
      <c r="AX18" s="52">
        <v>0</v>
      </c>
      <c r="AY18" s="52"/>
      <c r="AZ18" s="50"/>
      <c r="BA18" s="52"/>
      <c r="BB18" s="52"/>
      <c r="BC18" s="55"/>
      <c r="BD18" s="52"/>
      <c r="BE18" s="56"/>
      <c r="BF18" s="52"/>
      <c r="BG18" s="57" t="str">
        <f t="shared" si="2"/>
        <v>description: "Неиспр. ЗДЗ", note: "Неисправность ЗДЗ", group: "measurement", minValue: null, maxValue: null, step: null, units: "null", defaultValue: null, eventRegistration: 0</v>
      </c>
      <c r="BH18" s="58"/>
    </row>
    <row r="19" spans="1:60" s="44" customFormat="1" ht="16.5" customHeight="1" x14ac:dyDescent="0.25">
      <c r="A19" s="46"/>
      <c r="B19" s="46" t="s">
        <v>59</v>
      </c>
      <c r="C19" s="47"/>
      <c r="D19" s="45"/>
      <c r="E19" s="48" t="s">
        <v>102</v>
      </c>
      <c r="F19" s="48" t="s">
        <v>103</v>
      </c>
      <c r="G19" s="48" t="s">
        <v>103</v>
      </c>
      <c r="H19" s="48"/>
      <c r="I19" s="48">
        <f t="shared" si="0"/>
        <v>11</v>
      </c>
      <c r="J19" s="48" t="str">
        <f t="shared" si="1"/>
        <v>Неиспр. ЛЗШ</v>
      </c>
      <c r="K19" s="46" t="s">
        <v>104</v>
      </c>
      <c r="L19" s="49" t="s">
        <v>62</v>
      </c>
      <c r="M19" s="47" t="s">
        <v>63</v>
      </c>
      <c r="N19" s="47" t="s">
        <v>64</v>
      </c>
      <c r="O19" s="47"/>
      <c r="P19" s="50"/>
      <c r="Q19" s="50"/>
      <c r="R19" s="47" t="s">
        <v>65</v>
      </c>
      <c r="S19" s="47" t="s">
        <v>65</v>
      </c>
      <c r="T19" s="47" t="s">
        <v>65</v>
      </c>
      <c r="U19" s="47" t="s">
        <v>65</v>
      </c>
      <c r="V19" s="47"/>
      <c r="W19" s="47"/>
      <c r="X19" s="47" t="s">
        <v>65</v>
      </c>
      <c r="Y19" s="47">
        <v>0</v>
      </c>
      <c r="Z19" s="51"/>
      <c r="AA19" s="52">
        <v>0</v>
      </c>
      <c r="AB19" s="52"/>
      <c r="AC19" s="52"/>
      <c r="AD19" s="52"/>
      <c r="AE19" s="52"/>
      <c r="AF19" s="52">
        <v>0</v>
      </c>
      <c r="AG19" s="52">
        <v>0</v>
      </c>
      <c r="AH19" s="52">
        <v>0</v>
      </c>
      <c r="AI19" s="53"/>
      <c r="AJ19" s="54"/>
      <c r="AK19" s="54"/>
      <c r="AL19" s="54"/>
      <c r="AM19" s="54"/>
      <c r="AN19" s="54"/>
      <c r="AO19" s="54"/>
      <c r="AP19" s="54"/>
      <c r="AQ19" s="54"/>
      <c r="AR19" s="52">
        <v>0</v>
      </c>
      <c r="AS19" s="52">
        <v>0</v>
      </c>
      <c r="AT19" s="52">
        <v>0</v>
      </c>
      <c r="AU19" s="52">
        <v>0</v>
      </c>
      <c r="AV19" s="52">
        <f t="shared" si="3"/>
        <v>0</v>
      </c>
      <c r="AW19" s="52">
        <v>0</v>
      </c>
      <c r="AX19" s="52">
        <v>0</v>
      </c>
      <c r="AY19" s="52"/>
      <c r="AZ19" s="50"/>
      <c r="BA19" s="52"/>
      <c r="BB19" s="52"/>
      <c r="BC19" s="55"/>
      <c r="BD19" s="52"/>
      <c r="BE19" s="56"/>
      <c r="BF19" s="52"/>
      <c r="BG19" s="57" t="str">
        <f t="shared" si="2"/>
        <v>description: "Неиспр. ЛЗШ", note: "Неисправность ЛЗШ", group: "measurement", minValue: null, maxValue: null, step: null, units: "null", defaultValue: null, eventRegistration: 0</v>
      </c>
      <c r="BH19" s="58"/>
    </row>
    <row r="20" spans="1:60" s="44" customFormat="1" ht="16.5" customHeight="1" x14ac:dyDescent="0.25">
      <c r="A20" s="46"/>
      <c r="B20" s="46" t="s">
        <v>59</v>
      </c>
      <c r="C20" s="47"/>
      <c r="D20" s="45"/>
      <c r="E20" s="48" t="s">
        <v>197</v>
      </c>
      <c r="F20" s="48" t="s">
        <v>198</v>
      </c>
      <c r="G20" s="48" t="s">
        <v>198</v>
      </c>
      <c r="H20" s="48"/>
      <c r="I20" s="48">
        <f t="shared" si="0"/>
        <v>19</v>
      </c>
      <c r="J20" s="48" t="str">
        <f t="shared" si="1"/>
        <v>Задержка включ. АПВ</v>
      </c>
      <c r="K20" s="46" t="s">
        <v>199</v>
      </c>
      <c r="L20" s="49" t="s">
        <v>62</v>
      </c>
      <c r="M20" s="47" t="s">
        <v>63</v>
      </c>
      <c r="N20" s="47" t="s">
        <v>64</v>
      </c>
      <c r="O20" s="47"/>
      <c r="P20" s="50"/>
      <c r="Q20" s="50"/>
      <c r="R20" s="47" t="s">
        <v>65</v>
      </c>
      <c r="S20" s="47" t="s">
        <v>65</v>
      </c>
      <c r="T20" s="47" t="s">
        <v>65</v>
      </c>
      <c r="U20" s="47" t="s">
        <v>65</v>
      </c>
      <c r="V20" s="47"/>
      <c r="W20" s="47"/>
      <c r="X20" s="47" t="s">
        <v>65</v>
      </c>
      <c r="Y20" s="47">
        <v>0</v>
      </c>
      <c r="Z20" s="51"/>
      <c r="AA20" s="52">
        <v>0</v>
      </c>
      <c r="AB20" s="52"/>
      <c r="AC20" s="52"/>
      <c r="AD20" s="52"/>
      <c r="AE20" s="52"/>
      <c r="AF20" s="52">
        <v>0</v>
      </c>
      <c r="AG20" s="52">
        <v>0</v>
      </c>
      <c r="AH20" s="52">
        <v>0</v>
      </c>
      <c r="AI20" s="53"/>
      <c r="AJ20" s="54"/>
      <c r="AK20" s="54"/>
      <c r="AL20" s="54"/>
      <c r="AM20" s="54"/>
      <c r="AN20" s="54"/>
      <c r="AO20" s="54"/>
      <c r="AP20" s="54"/>
      <c r="AQ20" s="54"/>
      <c r="AR20" s="52">
        <v>0</v>
      </c>
      <c r="AS20" s="52">
        <v>0</v>
      </c>
      <c r="AT20" s="52">
        <v>0</v>
      </c>
      <c r="AU20" s="52">
        <v>0</v>
      </c>
      <c r="AV20" s="52">
        <f t="shared" si="3"/>
        <v>0</v>
      </c>
      <c r="AW20" s="52">
        <v>0</v>
      </c>
      <c r="AX20" s="52">
        <v>0</v>
      </c>
      <c r="AY20" s="52"/>
      <c r="AZ20" s="50"/>
      <c r="BA20" s="52"/>
      <c r="BB20" s="52"/>
      <c r="BC20" s="55"/>
      <c r="BD20" s="52"/>
      <c r="BE20" s="56"/>
      <c r="BF20" s="52"/>
      <c r="BG20" s="57" t="str">
        <f t="shared" si="2"/>
        <v>description: "Задержка включ. АПВ", note: "Задержка включения от АПВ", group: "measurement", minValue: null, maxValue: null, step: null, units: "null", defaultValue: null, eventRegistration: 0</v>
      </c>
      <c r="BH20" s="58"/>
    </row>
    <row r="21" spans="1:60" s="44" customFormat="1" ht="16.5" customHeight="1" x14ac:dyDescent="0.25">
      <c r="A21" s="46"/>
      <c r="B21" s="46" t="s">
        <v>59</v>
      </c>
      <c r="C21" s="47"/>
      <c r="D21" s="45"/>
      <c r="E21" s="48" t="s">
        <v>200</v>
      </c>
      <c r="F21" s="48" t="s">
        <v>202</v>
      </c>
      <c r="G21" s="48" t="s">
        <v>202</v>
      </c>
      <c r="H21" s="48"/>
      <c r="I21" s="48">
        <f t="shared" si="0"/>
        <v>15</v>
      </c>
      <c r="J21" s="48" t="str">
        <f t="shared" si="1"/>
        <v>Неиспр. ЦН БННш</v>
      </c>
      <c r="K21" s="46" t="s">
        <v>105</v>
      </c>
      <c r="L21" s="49" t="s">
        <v>62</v>
      </c>
      <c r="M21" s="47" t="s">
        <v>63</v>
      </c>
      <c r="N21" s="47" t="s">
        <v>64</v>
      </c>
      <c r="O21" s="47"/>
      <c r="P21" s="50"/>
      <c r="Q21" s="50"/>
      <c r="R21" s="47" t="s">
        <v>65</v>
      </c>
      <c r="S21" s="47" t="s">
        <v>65</v>
      </c>
      <c r="T21" s="47" t="s">
        <v>65</v>
      </c>
      <c r="U21" s="47" t="s">
        <v>65</v>
      </c>
      <c r="V21" s="47"/>
      <c r="W21" s="47"/>
      <c r="X21" s="47" t="s">
        <v>65</v>
      </c>
      <c r="Y21" s="47">
        <v>0</v>
      </c>
      <c r="Z21" s="51"/>
      <c r="AA21" s="52">
        <v>0</v>
      </c>
      <c r="AB21" s="52"/>
      <c r="AC21" s="52"/>
      <c r="AD21" s="52"/>
      <c r="AE21" s="52"/>
      <c r="AF21" s="52">
        <v>0</v>
      </c>
      <c r="AG21" s="52">
        <v>0</v>
      </c>
      <c r="AH21" s="52">
        <v>0</v>
      </c>
      <c r="AI21" s="53"/>
      <c r="AJ21" s="54"/>
      <c r="AK21" s="54"/>
      <c r="AL21" s="54"/>
      <c r="AM21" s="54"/>
      <c r="AN21" s="54"/>
      <c r="AO21" s="54"/>
      <c r="AP21" s="54"/>
      <c r="AQ21" s="54"/>
      <c r="AR21" s="52">
        <v>0</v>
      </c>
      <c r="AS21" s="52">
        <v>0</v>
      </c>
      <c r="AT21" s="52">
        <v>0</v>
      </c>
      <c r="AU21" s="52">
        <v>0</v>
      </c>
      <c r="AV21" s="52">
        <f t="shared" si="3"/>
        <v>0</v>
      </c>
      <c r="AW21" s="52">
        <v>0</v>
      </c>
      <c r="AX21" s="52">
        <v>0</v>
      </c>
      <c r="AY21" s="52"/>
      <c r="AZ21" s="50"/>
      <c r="BA21" s="52"/>
      <c r="BB21" s="52"/>
      <c r="BC21" s="55"/>
      <c r="BD21" s="52"/>
      <c r="BE21" s="56"/>
      <c r="BF21" s="52"/>
      <c r="BG21" s="57" t="str">
        <f t="shared" si="2"/>
        <v>description: "Неиспр. ЦН БННш", note: "Неисправность цепей напряжения БНН секции шин", group: "measurement", minValue: null, maxValue: null, step: null, units: "null", defaultValue: null, eventRegistration: 0</v>
      </c>
      <c r="BH21" s="58"/>
    </row>
    <row r="22" spans="1:60" s="44" customFormat="1" ht="16.5" customHeight="1" x14ac:dyDescent="0.25">
      <c r="A22" s="46"/>
      <c r="B22" s="46" t="s">
        <v>59</v>
      </c>
      <c r="C22" s="47"/>
      <c r="D22" s="45"/>
      <c r="E22" s="48" t="s">
        <v>201</v>
      </c>
      <c r="F22" s="48" t="s">
        <v>203</v>
      </c>
      <c r="G22" s="48" t="s">
        <v>203</v>
      </c>
      <c r="H22" s="48"/>
      <c r="I22" s="48">
        <f t="shared" si="0"/>
        <v>16</v>
      </c>
      <c r="J22" s="48" t="str">
        <f t="shared" si="1"/>
        <v>Неиспр. ЦН БННвв</v>
      </c>
      <c r="K22" s="46" t="s">
        <v>106</v>
      </c>
      <c r="L22" s="49" t="s">
        <v>62</v>
      </c>
      <c r="M22" s="47" t="s">
        <v>63</v>
      </c>
      <c r="N22" s="47" t="s">
        <v>64</v>
      </c>
      <c r="O22" s="47"/>
      <c r="P22" s="50"/>
      <c r="Q22" s="50"/>
      <c r="R22" s="47" t="s">
        <v>65</v>
      </c>
      <c r="S22" s="47" t="s">
        <v>65</v>
      </c>
      <c r="T22" s="47" t="s">
        <v>65</v>
      </c>
      <c r="U22" s="47" t="s">
        <v>65</v>
      </c>
      <c r="V22" s="47"/>
      <c r="W22" s="47"/>
      <c r="X22" s="47" t="s">
        <v>65</v>
      </c>
      <c r="Y22" s="47">
        <v>0</v>
      </c>
      <c r="Z22" s="51"/>
      <c r="AA22" s="52">
        <v>0</v>
      </c>
      <c r="AB22" s="52"/>
      <c r="AC22" s="52"/>
      <c r="AD22" s="52"/>
      <c r="AE22" s="52"/>
      <c r="AF22" s="52">
        <v>0</v>
      </c>
      <c r="AG22" s="52">
        <v>0</v>
      </c>
      <c r="AH22" s="52">
        <v>0</v>
      </c>
      <c r="AI22" s="53"/>
      <c r="AJ22" s="54"/>
      <c r="AK22" s="54"/>
      <c r="AL22" s="54"/>
      <c r="AM22" s="54"/>
      <c r="AN22" s="54"/>
      <c r="AO22" s="54"/>
      <c r="AP22" s="54"/>
      <c r="AQ22" s="54"/>
      <c r="AR22" s="52">
        <v>0</v>
      </c>
      <c r="AS22" s="52">
        <v>0</v>
      </c>
      <c r="AT22" s="52">
        <v>0</v>
      </c>
      <c r="AU22" s="52">
        <v>0</v>
      </c>
      <c r="AV22" s="52">
        <f t="shared" si="3"/>
        <v>0</v>
      </c>
      <c r="AW22" s="52">
        <v>0</v>
      </c>
      <c r="AX22" s="52">
        <v>0</v>
      </c>
      <c r="AY22" s="52"/>
      <c r="AZ22" s="50"/>
      <c r="BA22" s="52"/>
      <c r="BB22" s="52"/>
      <c r="BC22" s="55"/>
      <c r="BD22" s="52"/>
      <c r="BE22" s="56"/>
      <c r="BF22" s="52"/>
      <c r="BG22" s="57" t="str">
        <f t="shared" si="2"/>
        <v>description: "Неиспр. ЦН БННвв", note: "Неисправность цепей напряжения БНН до ввода", group: "measurement", minValue: null, maxValue: null, step: null, units: "null", defaultValue: null, eventRegistration: 0</v>
      </c>
      <c r="BH22" s="58"/>
    </row>
    <row r="23" spans="1:60" s="44" customFormat="1" ht="15.75" x14ac:dyDescent="0.25">
      <c r="A23" s="46"/>
      <c r="B23" s="46" t="s">
        <v>59</v>
      </c>
      <c r="C23" s="47"/>
      <c r="D23" s="45"/>
      <c r="E23" s="48" t="s">
        <v>107</v>
      </c>
      <c r="F23" s="48" t="s">
        <v>108</v>
      </c>
      <c r="G23" s="48" t="s">
        <v>108</v>
      </c>
      <c r="H23" s="48"/>
      <c r="I23" s="48">
        <f t="shared" si="0"/>
        <v>15</v>
      </c>
      <c r="J23" s="48" t="str">
        <f t="shared" si="1"/>
        <v>Неисправность В</v>
      </c>
      <c r="K23" s="46" t="s">
        <v>109</v>
      </c>
      <c r="L23" s="49" t="s">
        <v>62</v>
      </c>
      <c r="M23" s="47" t="s">
        <v>63</v>
      </c>
      <c r="N23" s="47" t="s">
        <v>64</v>
      </c>
      <c r="O23" s="47"/>
      <c r="P23" s="50"/>
      <c r="Q23" s="50"/>
      <c r="R23" s="47" t="s">
        <v>65</v>
      </c>
      <c r="S23" s="47" t="s">
        <v>65</v>
      </c>
      <c r="T23" s="47" t="s">
        <v>65</v>
      </c>
      <c r="U23" s="47" t="s">
        <v>65</v>
      </c>
      <c r="V23" s="47"/>
      <c r="W23" s="47"/>
      <c r="X23" s="47" t="s">
        <v>65</v>
      </c>
      <c r="Y23" s="47">
        <v>0</v>
      </c>
      <c r="Z23" s="51"/>
      <c r="AA23" s="52">
        <v>0</v>
      </c>
      <c r="AB23" s="52"/>
      <c r="AC23" s="52"/>
      <c r="AD23" s="52"/>
      <c r="AE23" s="52"/>
      <c r="AF23" s="52">
        <v>0</v>
      </c>
      <c r="AG23" s="52">
        <v>0</v>
      </c>
      <c r="AH23" s="52">
        <v>0</v>
      </c>
      <c r="AI23" s="53"/>
      <c r="AJ23" s="54"/>
      <c r="AK23" s="54"/>
      <c r="AL23" s="54"/>
      <c r="AM23" s="54"/>
      <c r="AN23" s="54"/>
      <c r="AO23" s="54"/>
      <c r="AP23" s="54"/>
      <c r="AQ23" s="54"/>
      <c r="AR23" s="52">
        <v>0</v>
      </c>
      <c r="AS23" s="52">
        <v>0</v>
      </c>
      <c r="AT23" s="52">
        <v>0</v>
      </c>
      <c r="AU23" s="52">
        <v>0</v>
      </c>
      <c r="AV23" s="52">
        <f t="shared" si="3"/>
        <v>0</v>
      </c>
      <c r="AW23" s="52">
        <v>0</v>
      </c>
      <c r="AX23" s="52">
        <v>0</v>
      </c>
      <c r="AY23" s="52"/>
      <c r="AZ23" s="50"/>
      <c r="BA23" s="52"/>
      <c r="BB23" s="52"/>
      <c r="BC23" s="55"/>
      <c r="BD23" s="52"/>
      <c r="BE23" s="56"/>
      <c r="BF23" s="52"/>
      <c r="BG23" s="57" t="str">
        <f t="shared" si="2"/>
        <v>description: "Неисправность В", note: "Неисправность выключателя", group: "measurement", minValue: null, maxValue: null, step: null, units: "null", defaultValue: null, eventRegistration: 0</v>
      </c>
      <c r="BH23" s="58"/>
    </row>
    <row r="24" spans="1:60" s="44" customFormat="1" ht="15.75" x14ac:dyDescent="0.25">
      <c r="A24" s="46"/>
      <c r="B24" s="46" t="s">
        <v>59</v>
      </c>
      <c r="C24" s="47"/>
      <c r="D24" s="45"/>
      <c r="E24" s="48" t="s">
        <v>110</v>
      </c>
      <c r="F24" s="48" t="s">
        <v>111</v>
      </c>
      <c r="G24" s="48" t="s">
        <v>111</v>
      </c>
      <c r="H24" s="48"/>
      <c r="I24" s="48">
        <f t="shared" si="0"/>
        <v>17</v>
      </c>
      <c r="J24" s="48" t="str">
        <f t="shared" si="1"/>
        <v>Превышен ресурс В</v>
      </c>
      <c r="K24" s="46" t="s">
        <v>112</v>
      </c>
      <c r="L24" s="49" t="s">
        <v>62</v>
      </c>
      <c r="M24" s="47" t="s">
        <v>63</v>
      </c>
      <c r="N24" s="47" t="s">
        <v>64</v>
      </c>
      <c r="O24" s="47"/>
      <c r="P24" s="50"/>
      <c r="Q24" s="50"/>
      <c r="R24" s="47" t="s">
        <v>65</v>
      </c>
      <c r="S24" s="47" t="s">
        <v>65</v>
      </c>
      <c r="T24" s="47" t="s">
        <v>65</v>
      </c>
      <c r="U24" s="47" t="s">
        <v>65</v>
      </c>
      <c r="V24" s="47"/>
      <c r="W24" s="47"/>
      <c r="X24" s="47" t="s">
        <v>65</v>
      </c>
      <c r="Y24" s="47">
        <v>0</v>
      </c>
      <c r="Z24" s="51"/>
      <c r="AA24" s="52">
        <v>0</v>
      </c>
      <c r="AB24" s="52"/>
      <c r="AC24" s="52"/>
      <c r="AD24" s="52"/>
      <c r="AE24" s="52"/>
      <c r="AF24" s="52">
        <v>0</v>
      </c>
      <c r="AG24" s="52">
        <v>0</v>
      </c>
      <c r="AH24" s="52">
        <v>0</v>
      </c>
      <c r="AI24" s="53"/>
      <c r="AJ24" s="54"/>
      <c r="AK24" s="54"/>
      <c r="AL24" s="54"/>
      <c r="AM24" s="54"/>
      <c r="AN24" s="54"/>
      <c r="AO24" s="54"/>
      <c r="AP24" s="54"/>
      <c r="AQ24" s="54"/>
      <c r="AR24" s="52">
        <v>0</v>
      </c>
      <c r="AS24" s="52">
        <v>0</v>
      </c>
      <c r="AT24" s="52">
        <v>0</v>
      </c>
      <c r="AU24" s="52">
        <v>0</v>
      </c>
      <c r="AV24" s="52">
        <f t="shared" si="3"/>
        <v>0</v>
      </c>
      <c r="AW24" s="52">
        <v>0</v>
      </c>
      <c r="AX24" s="52">
        <v>0</v>
      </c>
      <c r="AY24" s="52"/>
      <c r="AZ24" s="50"/>
      <c r="BA24" s="52"/>
      <c r="BB24" s="52"/>
      <c r="BC24" s="55"/>
      <c r="BD24" s="52"/>
      <c r="BE24" s="56"/>
      <c r="BF24" s="52"/>
      <c r="BG24" s="57" t="str">
        <f t="shared" si="2"/>
        <v>description: "Превышен ресурс В", note: "Превышен ресурс выключателя", group: "measurement", minValue: null, maxValue: null, step: null, units: "null", defaultValue: null, eventRegistration: 0</v>
      </c>
      <c r="BH24" s="58"/>
    </row>
    <row r="25" spans="1:60" s="44" customFormat="1" ht="16.5" customHeight="1" x14ac:dyDescent="0.25">
      <c r="A25" s="46"/>
      <c r="B25" s="46" t="s">
        <v>59</v>
      </c>
      <c r="C25" s="47"/>
      <c r="D25" s="45"/>
      <c r="E25" s="48" t="s">
        <v>113</v>
      </c>
      <c r="F25" s="48" t="s">
        <v>113</v>
      </c>
      <c r="G25" s="48" t="s">
        <v>113</v>
      </c>
      <c r="H25" s="48"/>
      <c r="I25" s="48">
        <f t="shared" si="0"/>
        <v>19</v>
      </c>
      <c r="J25" s="48" t="str">
        <f t="shared" si="1"/>
        <v>Отключение от ЛО РЗ</v>
      </c>
      <c r="K25" s="46" t="s">
        <v>114</v>
      </c>
      <c r="L25" s="49" t="s">
        <v>62</v>
      </c>
      <c r="M25" s="47" t="s">
        <v>63</v>
      </c>
      <c r="N25" s="47" t="s">
        <v>64</v>
      </c>
      <c r="O25" s="47"/>
      <c r="P25" s="50"/>
      <c r="Q25" s="50"/>
      <c r="R25" s="47" t="s">
        <v>65</v>
      </c>
      <c r="S25" s="47" t="s">
        <v>65</v>
      </c>
      <c r="T25" s="47" t="s">
        <v>65</v>
      </c>
      <c r="U25" s="47" t="s">
        <v>65</v>
      </c>
      <c r="V25" s="47"/>
      <c r="W25" s="47"/>
      <c r="X25" s="47" t="s">
        <v>65</v>
      </c>
      <c r="Y25" s="47">
        <v>0</v>
      </c>
      <c r="Z25" s="51"/>
      <c r="AA25" s="52">
        <v>0</v>
      </c>
      <c r="AB25" s="52"/>
      <c r="AC25" s="52"/>
      <c r="AD25" s="52"/>
      <c r="AE25" s="52"/>
      <c r="AF25" s="52">
        <v>0</v>
      </c>
      <c r="AG25" s="52">
        <v>0</v>
      </c>
      <c r="AH25" s="52">
        <v>0</v>
      </c>
      <c r="AI25" s="53"/>
      <c r="AJ25" s="54"/>
      <c r="AK25" s="54"/>
      <c r="AL25" s="54"/>
      <c r="AM25" s="54"/>
      <c r="AN25" s="54"/>
      <c r="AO25" s="54"/>
      <c r="AP25" s="54"/>
      <c r="AQ25" s="54"/>
      <c r="AR25" s="52">
        <v>0</v>
      </c>
      <c r="AS25" s="52">
        <v>0</v>
      </c>
      <c r="AT25" s="52">
        <v>0</v>
      </c>
      <c r="AU25" s="52">
        <v>0</v>
      </c>
      <c r="AV25" s="52">
        <f t="shared" si="3"/>
        <v>0</v>
      </c>
      <c r="AW25" s="52">
        <v>0</v>
      </c>
      <c r="AX25" s="52">
        <v>0</v>
      </c>
      <c r="AY25" s="52"/>
      <c r="AZ25" s="50"/>
      <c r="BA25" s="52"/>
      <c r="BB25" s="52"/>
      <c r="BC25" s="55"/>
      <c r="BD25" s="52"/>
      <c r="BE25" s="56"/>
      <c r="BF25" s="52"/>
      <c r="BG25" s="57" t="str">
        <f t="shared" si="2"/>
        <v>description: "Отключение от ЛО РЗ", note: "Отключение от ЛО РЗ", group: "measurement", minValue: null, maxValue: null, step: null, units: "null", defaultValue: null, eventRegistration: 0</v>
      </c>
      <c r="BH25" s="58"/>
    </row>
    <row r="26" spans="1:60" s="44" customFormat="1" ht="16.5" customHeight="1" x14ac:dyDescent="0.25">
      <c r="A26" s="46"/>
      <c r="B26" s="46" t="s">
        <v>59</v>
      </c>
      <c r="C26" s="47"/>
      <c r="D26" s="45"/>
      <c r="E26" s="48" t="s">
        <v>115</v>
      </c>
      <c r="F26" s="48" t="s">
        <v>115</v>
      </c>
      <c r="G26" s="48" t="s">
        <v>115</v>
      </c>
      <c r="H26" s="48"/>
      <c r="I26" s="48">
        <f t="shared" si="0"/>
        <v>17</v>
      </c>
      <c r="J26" s="48" t="str">
        <f t="shared" si="1"/>
        <v>Срабатывание УРОВ</v>
      </c>
      <c r="K26" s="46" t="s">
        <v>116</v>
      </c>
      <c r="L26" s="49" t="s">
        <v>62</v>
      </c>
      <c r="M26" s="47" t="s">
        <v>63</v>
      </c>
      <c r="N26" s="47" t="s">
        <v>64</v>
      </c>
      <c r="O26" s="47"/>
      <c r="P26" s="50"/>
      <c r="Q26" s="50"/>
      <c r="R26" s="47" t="s">
        <v>65</v>
      </c>
      <c r="S26" s="47" t="s">
        <v>65</v>
      </c>
      <c r="T26" s="47" t="s">
        <v>65</v>
      </c>
      <c r="U26" s="47" t="s">
        <v>65</v>
      </c>
      <c r="V26" s="47"/>
      <c r="W26" s="47"/>
      <c r="X26" s="47" t="s">
        <v>65</v>
      </c>
      <c r="Y26" s="47">
        <v>0</v>
      </c>
      <c r="Z26" s="51"/>
      <c r="AA26" s="52">
        <v>0</v>
      </c>
      <c r="AB26" s="52"/>
      <c r="AC26" s="52"/>
      <c r="AD26" s="52"/>
      <c r="AE26" s="52"/>
      <c r="AF26" s="52">
        <v>0</v>
      </c>
      <c r="AG26" s="52">
        <v>0</v>
      </c>
      <c r="AH26" s="52">
        <v>0</v>
      </c>
      <c r="AI26" s="53"/>
      <c r="AJ26" s="54"/>
      <c r="AK26" s="54"/>
      <c r="AL26" s="54"/>
      <c r="AM26" s="54"/>
      <c r="AN26" s="54"/>
      <c r="AO26" s="54"/>
      <c r="AP26" s="54"/>
      <c r="AQ26" s="54"/>
      <c r="AR26" s="52">
        <v>0</v>
      </c>
      <c r="AS26" s="52">
        <v>0</v>
      </c>
      <c r="AT26" s="52">
        <v>0</v>
      </c>
      <c r="AU26" s="52">
        <v>0</v>
      </c>
      <c r="AV26" s="52">
        <f t="shared" si="3"/>
        <v>0</v>
      </c>
      <c r="AW26" s="52">
        <v>0</v>
      </c>
      <c r="AX26" s="52">
        <v>0</v>
      </c>
      <c r="AY26" s="52"/>
      <c r="AZ26" s="50"/>
      <c r="BA26" s="52"/>
      <c r="BB26" s="52"/>
      <c r="BC26" s="55"/>
      <c r="BD26" s="52"/>
      <c r="BE26" s="56"/>
      <c r="BF26" s="52"/>
      <c r="BG26" s="57" t="str">
        <f t="shared" si="2"/>
        <v>description: "Срабатывание УРОВ", note: "Срабатывание УРОВ", group: "measurement", minValue: null, maxValue: null, step: null, units: "null", defaultValue: null, eventRegistration: 0</v>
      </c>
      <c r="BH26" s="58"/>
    </row>
    <row r="27" spans="1:60" s="44" customFormat="1" ht="16.5" customHeight="1" x14ac:dyDescent="0.25">
      <c r="A27" s="46"/>
      <c r="B27" s="46" t="s">
        <v>59</v>
      </c>
      <c r="C27" s="47"/>
      <c r="D27" s="45"/>
      <c r="E27" s="65" t="s">
        <v>236</v>
      </c>
      <c r="F27" s="65" t="s">
        <v>221</v>
      </c>
      <c r="G27" s="65" t="s">
        <v>221</v>
      </c>
      <c r="H27" s="48"/>
      <c r="I27" s="48">
        <f t="shared" si="0"/>
        <v>17</v>
      </c>
      <c r="J27" s="48" t="str">
        <f t="shared" si="1"/>
        <v>Сраб УРОВ на себя</v>
      </c>
      <c r="K27" s="46" t="s">
        <v>117</v>
      </c>
      <c r="L27" s="49" t="s">
        <v>62</v>
      </c>
      <c r="M27" s="47" t="s">
        <v>63</v>
      </c>
      <c r="N27" s="47" t="s">
        <v>64</v>
      </c>
      <c r="O27" s="47"/>
      <c r="P27" s="50"/>
      <c r="Q27" s="50"/>
      <c r="R27" s="47" t="s">
        <v>65</v>
      </c>
      <c r="S27" s="47" t="s">
        <v>65</v>
      </c>
      <c r="T27" s="47" t="s">
        <v>65</v>
      </c>
      <c r="U27" s="47" t="s">
        <v>65</v>
      </c>
      <c r="V27" s="47"/>
      <c r="W27" s="47"/>
      <c r="X27" s="47" t="s">
        <v>65</v>
      </c>
      <c r="Y27" s="47">
        <v>0</v>
      </c>
      <c r="Z27" s="51"/>
      <c r="AA27" s="52">
        <v>0</v>
      </c>
      <c r="AB27" s="52"/>
      <c r="AC27" s="52"/>
      <c r="AD27" s="52"/>
      <c r="AE27" s="52"/>
      <c r="AF27" s="52">
        <v>0</v>
      </c>
      <c r="AG27" s="52">
        <v>0</v>
      </c>
      <c r="AH27" s="52">
        <v>0</v>
      </c>
      <c r="AI27" s="53"/>
      <c r="AJ27" s="54"/>
      <c r="AK27" s="54"/>
      <c r="AL27" s="54"/>
      <c r="AM27" s="54"/>
      <c r="AN27" s="54"/>
      <c r="AO27" s="54"/>
      <c r="AP27" s="54"/>
      <c r="AQ27" s="54"/>
      <c r="AR27" s="52">
        <v>0</v>
      </c>
      <c r="AS27" s="52">
        <v>0</v>
      </c>
      <c r="AT27" s="52">
        <v>0</v>
      </c>
      <c r="AU27" s="52">
        <v>0</v>
      </c>
      <c r="AV27" s="52">
        <f t="shared" si="3"/>
        <v>0</v>
      </c>
      <c r="AW27" s="52">
        <v>0</v>
      </c>
      <c r="AX27" s="52">
        <v>0</v>
      </c>
      <c r="AY27" s="52"/>
      <c r="AZ27" s="50"/>
      <c r="BA27" s="52"/>
      <c r="BB27" s="52"/>
      <c r="BC27" s="55"/>
      <c r="BD27" s="52"/>
      <c r="BE27" s="56"/>
      <c r="BF27" s="52"/>
      <c r="BG27" s="57" t="str">
        <f t="shared" si="2"/>
        <v>description: "Сраб УРОВ на себя", note: "Срабатывание УРОВ «на себя»", group: "measurement", minValue: null, maxValue: null, step: null, units: "null", defaultValue: null, eventRegistration: 0</v>
      </c>
      <c r="BH27" s="58"/>
    </row>
    <row r="28" spans="1:60" s="44" customFormat="1" ht="16.5" customHeight="1" x14ac:dyDescent="0.25">
      <c r="A28" s="46"/>
      <c r="B28" s="46" t="s">
        <v>59</v>
      </c>
      <c r="C28" s="47"/>
      <c r="D28" s="45"/>
      <c r="E28" s="48" t="s">
        <v>118</v>
      </c>
      <c r="F28" s="48" t="s">
        <v>119</v>
      </c>
      <c r="G28" s="48" t="s">
        <v>119</v>
      </c>
      <c r="H28" s="48"/>
      <c r="I28" s="48">
        <f t="shared" si="0"/>
        <v>18</v>
      </c>
      <c r="J28" s="48" t="str">
        <f t="shared" si="1"/>
        <v>В самопр. отключен</v>
      </c>
      <c r="K28" s="46" t="s">
        <v>120</v>
      </c>
      <c r="L28" s="49" t="s">
        <v>62</v>
      </c>
      <c r="M28" s="47" t="s">
        <v>63</v>
      </c>
      <c r="N28" s="47" t="s">
        <v>64</v>
      </c>
      <c r="O28" s="47"/>
      <c r="P28" s="50"/>
      <c r="Q28" s="50"/>
      <c r="R28" s="47" t="s">
        <v>65</v>
      </c>
      <c r="S28" s="47" t="s">
        <v>65</v>
      </c>
      <c r="T28" s="47" t="s">
        <v>65</v>
      </c>
      <c r="U28" s="47" t="s">
        <v>65</v>
      </c>
      <c r="V28" s="47"/>
      <c r="W28" s="47"/>
      <c r="X28" s="47" t="s">
        <v>65</v>
      </c>
      <c r="Y28" s="47">
        <v>0</v>
      </c>
      <c r="Z28" s="51"/>
      <c r="AA28" s="52">
        <v>0</v>
      </c>
      <c r="AB28" s="52"/>
      <c r="AC28" s="52"/>
      <c r="AD28" s="52"/>
      <c r="AE28" s="52"/>
      <c r="AF28" s="52">
        <v>0</v>
      </c>
      <c r="AG28" s="52">
        <v>0</v>
      </c>
      <c r="AH28" s="52">
        <v>0</v>
      </c>
      <c r="AI28" s="53"/>
      <c r="AJ28" s="54"/>
      <c r="AK28" s="54"/>
      <c r="AL28" s="54"/>
      <c r="AM28" s="54"/>
      <c r="AN28" s="54"/>
      <c r="AO28" s="54"/>
      <c r="AP28" s="54"/>
      <c r="AQ28" s="54"/>
      <c r="AR28" s="52">
        <v>0</v>
      </c>
      <c r="AS28" s="52">
        <v>0</v>
      </c>
      <c r="AT28" s="52">
        <v>0</v>
      </c>
      <c r="AU28" s="52">
        <v>0</v>
      </c>
      <c r="AV28" s="52">
        <f t="shared" si="3"/>
        <v>0</v>
      </c>
      <c r="AW28" s="52">
        <v>0</v>
      </c>
      <c r="AX28" s="52">
        <v>0</v>
      </c>
      <c r="AY28" s="52"/>
      <c r="AZ28" s="50"/>
      <c r="BA28" s="52"/>
      <c r="BB28" s="52"/>
      <c r="BC28" s="55"/>
      <c r="BD28" s="52"/>
      <c r="BE28" s="56"/>
      <c r="BF28" s="52"/>
      <c r="BG28" s="57" t="str">
        <f t="shared" si="2"/>
        <v>description: "В самопр. отключен", note: "Выключатель самопроизвольно отключен", group: "measurement", minValue: null, maxValue: null, step: null, units: "null", defaultValue: null, eventRegistration: 0</v>
      </c>
      <c r="BH28" s="58"/>
    </row>
    <row r="29" spans="1:60" s="44" customFormat="1" ht="15.75" x14ac:dyDescent="0.25">
      <c r="A29" s="46"/>
      <c r="B29" s="46" t="s">
        <v>59</v>
      </c>
      <c r="C29" s="47"/>
      <c r="D29" s="45"/>
      <c r="E29" s="48" t="s">
        <v>121</v>
      </c>
      <c r="F29" s="48" t="s">
        <v>122</v>
      </c>
      <c r="G29" s="48" t="s">
        <v>122</v>
      </c>
      <c r="H29" s="48"/>
      <c r="I29" s="48">
        <f t="shared" si="0"/>
        <v>19</v>
      </c>
      <c r="J29" s="48" t="str">
        <f t="shared" si="1"/>
        <v>Зад. вкл с КС от КП</v>
      </c>
      <c r="K29" s="46" t="s">
        <v>123</v>
      </c>
      <c r="L29" s="49" t="s">
        <v>62</v>
      </c>
      <c r="M29" s="47" t="s">
        <v>63</v>
      </c>
      <c r="N29" s="47" t="s">
        <v>64</v>
      </c>
      <c r="O29" s="47"/>
      <c r="P29" s="50"/>
      <c r="Q29" s="50"/>
      <c r="R29" s="47" t="s">
        <v>65</v>
      </c>
      <c r="S29" s="47" t="s">
        <v>65</v>
      </c>
      <c r="T29" s="47" t="s">
        <v>65</v>
      </c>
      <c r="U29" s="47" t="s">
        <v>65</v>
      </c>
      <c r="V29" s="47"/>
      <c r="W29" s="47"/>
      <c r="X29" s="47" t="s">
        <v>65</v>
      </c>
      <c r="Y29" s="47">
        <v>0</v>
      </c>
      <c r="Z29" s="51"/>
      <c r="AA29" s="52">
        <v>0</v>
      </c>
      <c r="AB29" s="52"/>
      <c r="AC29" s="52"/>
      <c r="AD29" s="52"/>
      <c r="AE29" s="52"/>
      <c r="AF29" s="52">
        <v>0</v>
      </c>
      <c r="AG29" s="52">
        <v>0</v>
      </c>
      <c r="AH29" s="52">
        <v>0</v>
      </c>
      <c r="AI29" s="53"/>
      <c r="AJ29" s="54"/>
      <c r="AK29" s="54"/>
      <c r="AL29" s="54"/>
      <c r="AM29" s="54"/>
      <c r="AN29" s="54"/>
      <c r="AO29" s="54"/>
      <c r="AP29" s="54"/>
      <c r="AQ29" s="54"/>
      <c r="AR29" s="52">
        <v>0</v>
      </c>
      <c r="AS29" s="52">
        <v>0</v>
      </c>
      <c r="AT29" s="52">
        <v>0</v>
      </c>
      <c r="AU29" s="52">
        <v>0</v>
      </c>
      <c r="AV29" s="52">
        <f t="shared" si="3"/>
        <v>0</v>
      </c>
      <c r="AW29" s="52">
        <v>0</v>
      </c>
      <c r="AX29" s="52">
        <v>0</v>
      </c>
      <c r="AY29" s="52"/>
      <c r="AZ29" s="50"/>
      <c r="BA29" s="52"/>
      <c r="BB29" s="52"/>
      <c r="BC29" s="55"/>
      <c r="BD29" s="52"/>
      <c r="BE29" s="56"/>
      <c r="BF29" s="52"/>
      <c r="BG29" s="57" t="str">
        <f t="shared" si="2"/>
        <v>description: "Зад. вкл с КС от КП", note: "Задержка включения с контролем синхронизма от КП", group: "measurement", minValue: null, maxValue: null, step: null, units: "null", defaultValue: null, eventRegistration: 0</v>
      </c>
      <c r="BH29" s="58"/>
    </row>
    <row r="30" spans="1:60" s="44" customFormat="1" ht="16.5" customHeight="1" x14ac:dyDescent="0.25">
      <c r="A30" s="46"/>
      <c r="B30" s="46" t="s">
        <v>59</v>
      </c>
      <c r="C30" s="47"/>
      <c r="D30" s="45"/>
      <c r="E30" s="48" t="s">
        <v>124</v>
      </c>
      <c r="F30" s="48" t="s">
        <v>125</v>
      </c>
      <c r="G30" s="48" t="s">
        <v>125</v>
      </c>
      <c r="H30" s="48"/>
      <c r="I30" s="48">
        <f t="shared" si="0"/>
        <v>19</v>
      </c>
      <c r="J30" s="48" t="str">
        <f t="shared" si="1"/>
        <v>Зад. вкл с КС от УВ</v>
      </c>
      <c r="K30" s="46" t="s">
        <v>126</v>
      </c>
      <c r="L30" s="49" t="s">
        <v>62</v>
      </c>
      <c r="M30" s="47" t="s">
        <v>63</v>
      </c>
      <c r="N30" s="47" t="s">
        <v>64</v>
      </c>
      <c r="O30" s="47"/>
      <c r="P30" s="50"/>
      <c r="Q30" s="50"/>
      <c r="R30" s="47" t="s">
        <v>65</v>
      </c>
      <c r="S30" s="47" t="s">
        <v>65</v>
      </c>
      <c r="T30" s="47" t="s">
        <v>65</v>
      </c>
      <c r="U30" s="47" t="s">
        <v>65</v>
      </c>
      <c r="V30" s="47"/>
      <c r="W30" s="47"/>
      <c r="X30" s="47" t="s">
        <v>65</v>
      </c>
      <c r="Y30" s="47">
        <v>0</v>
      </c>
      <c r="Z30" s="51"/>
      <c r="AA30" s="52">
        <v>0</v>
      </c>
      <c r="AB30" s="52"/>
      <c r="AC30" s="52"/>
      <c r="AD30" s="52"/>
      <c r="AE30" s="52"/>
      <c r="AF30" s="52">
        <v>0</v>
      </c>
      <c r="AG30" s="52">
        <v>0</v>
      </c>
      <c r="AH30" s="52">
        <v>0</v>
      </c>
      <c r="AI30" s="53"/>
      <c r="AJ30" s="54"/>
      <c r="AK30" s="54"/>
      <c r="AL30" s="54"/>
      <c r="AM30" s="54"/>
      <c r="AN30" s="54"/>
      <c r="AO30" s="54"/>
      <c r="AP30" s="54"/>
      <c r="AQ30" s="54"/>
      <c r="AR30" s="52">
        <v>0</v>
      </c>
      <c r="AS30" s="52">
        <v>0</v>
      </c>
      <c r="AT30" s="52">
        <v>0</v>
      </c>
      <c r="AU30" s="52">
        <v>0</v>
      </c>
      <c r="AV30" s="52">
        <f t="shared" si="3"/>
        <v>0</v>
      </c>
      <c r="AW30" s="52">
        <v>0</v>
      </c>
      <c r="AX30" s="52">
        <v>0</v>
      </c>
      <c r="AY30" s="52"/>
      <c r="AZ30" s="50"/>
      <c r="BA30" s="52"/>
      <c r="BB30" s="52"/>
      <c r="BC30" s="55"/>
      <c r="BD30" s="52"/>
      <c r="BE30" s="56"/>
      <c r="BF30" s="52"/>
      <c r="BG30" s="57" t="str">
        <f t="shared" si="2"/>
        <v>description: "Зад. вкл с КС от УВ", note: "Задержка включения с контролем синхронизма от УВ", group: "measurement", minValue: null, maxValue: null, step: null, units: "null", defaultValue: null, eventRegistration: 0</v>
      </c>
      <c r="BH30" s="58"/>
    </row>
    <row r="31" spans="1:60" s="44" customFormat="1" ht="15.75" x14ac:dyDescent="0.25">
      <c r="A31" s="46"/>
      <c r="B31" s="46" t="s">
        <v>59</v>
      </c>
      <c r="C31" s="47"/>
      <c r="D31" s="45"/>
      <c r="E31" s="48" t="s">
        <v>204</v>
      </c>
      <c r="F31" s="48" t="s">
        <v>206</v>
      </c>
      <c r="G31" s="48" t="s">
        <v>206</v>
      </c>
      <c r="H31" s="48"/>
      <c r="I31" s="48">
        <f t="shared" si="0"/>
        <v>15</v>
      </c>
      <c r="J31" s="48" t="str">
        <f t="shared" si="1"/>
        <v>Зад. вкл от ВНР</v>
      </c>
      <c r="K31" s="46" t="s">
        <v>210</v>
      </c>
      <c r="L31" s="49" t="s">
        <v>62</v>
      </c>
      <c r="M31" s="47" t="s">
        <v>63</v>
      </c>
      <c r="N31" s="47" t="s">
        <v>64</v>
      </c>
      <c r="O31" s="47"/>
      <c r="P31" s="50"/>
      <c r="Q31" s="50"/>
      <c r="R31" s="47" t="s">
        <v>65</v>
      </c>
      <c r="S31" s="47" t="s">
        <v>65</v>
      </c>
      <c r="T31" s="47" t="s">
        <v>65</v>
      </c>
      <c r="U31" s="47" t="s">
        <v>65</v>
      </c>
      <c r="V31" s="47"/>
      <c r="W31" s="47"/>
      <c r="X31" s="47" t="s">
        <v>65</v>
      </c>
      <c r="Y31" s="47">
        <v>0</v>
      </c>
      <c r="Z31" s="51"/>
      <c r="AA31" s="52">
        <v>0</v>
      </c>
      <c r="AB31" s="52"/>
      <c r="AC31" s="52"/>
      <c r="AD31" s="52"/>
      <c r="AE31" s="52"/>
      <c r="AF31" s="52">
        <v>0</v>
      </c>
      <c r="AG31" s="52">
        <v>0</v>
      </c>
      <c r="AH31" s="52">
        <v>0</v>
      </c>
      <c r="AI31" s="53"/>
      <c r="AJ31" s="54"/>
      <c r="AK31" s="54"/>
      <c r="AL31" s="54"/>
      <c r="AM31" s="54"/>
      <c r="AN31" s="54"/>
      <c r="AO31" s="54"/>
      <c r="AP31" s="54"/>
      <c r="AQ31" s="54"/>
      <c r="AR31" s="52">
        <v>0</v>
      </c>
      <c r="AS31" s="52">
        <v>0</v>
      </c>
      <c r="AT31" s="52">
        <v>0</v>
      </c>
      <c r="AU31" s="52">
        <v>0</v>
      </c>
      <c r="AV31" s="52">
        <f t="shared" si="3"/>
        <v>0</v>
      </c>
      <c r="AW31" s="52">
        <v>0</v>
      </c>
      <c r="AX31" s="52">
        <v>0</v>
      </c>
      <c r="AY31" s="52"/>
      <c r="AZ31" s="50"/>
      <c r="BA31" s="52"/>
      <c r="BB31" s="52"/>
      <c r="BC31" s="55"/>
      <c r="BD31" s="52"/>
      <c r="BE31" s="56"/>
      <c r="BF31" s="52"/>
      <c r="BG31" s="57" t="str">
        <f t="shared" si="2"/>
        <v>description: "Зад. вкл от ВНР", note: "Задержка включения с контролем синхронизма от ВНР", group: "measurement", minValue: null, maxValue: null, step: null, units: "null", defaultValue: null, eventRegistration: 0</v>
      </c>
      <c r="BH31" s="58"/>
    </row>
    <row r="32" spans="1:60" s="44" customFormat="1" ht="16.5" customHeight="1" x14ac:dyDescent="0.25">
      <c r="A32" s="46"/>
      <c r="B32" s="46" t="s">
        <v>59</v>
      </c>
      <c r="C32" s="47"/>
      <c r="D32" s="45"/>
      <c r="E32" s="48" t="s">
        <v>205</v>
      </c>
      <c r="F32" s="48" t="s">
        <v>207</v>
      </c>
      <c r="G32" s="48" t="s">
        <v>207</v>
      </c>
      <c r="H32" s="48"/>
      <c r="I32" s="48">
        <f t="shared" si="0"/>
        <v>18</v>
      </c>
      <c r="J32" s="48" t="str">
        <f t="shared" si="1"/>
        <v>Зад. вкл от ЛВ ВНР</v>
      </c>
      <c r="K32" s="46" t="s">
        <v>211</v>
      </c>
      <c r="L32" s="49" t="s">
        <v>62</v>
      </c>
      <c r="M32" s="47" t="s">
        <v>63</v>
      </c>
      <c r="N32" s="47" t="s">
        <v>64</v>
      </c>
      <c r="O32" s="47"/>
      <c r="P32" s="50"/>
      <c r="Q32" s="50"/>
      <c r="R32" s="47" t="s">
        <v>65</v>
      </c>
      <c r="S32" s="47" t="s">
        <v>65</v>
      </c>
      <c r="T32" s="47" t="s">
        <v>65</v>
      </c>
      <c r="U32" s="47" t="s">
        <v>65</v>
      </c>
      <c r="V32" s="47"/>
      <c r="W32" s="47"/>
      <c r="X32" s="47" t="s">
        <v>65</v>
      </c>
      <c r="Y32" s="47">
        <v>0</v>
      </c>
      <c r="Z32" s="51"/>
      <c r="AA32" s="52">
        <v>0</v>
      </c>
      <c r="AB32" s="52"/>
      <c r="AC32" s="52"/>
      <c r="AD32" s="52"/>
      <c r="AE32" s="52"/>
      <c r="AF32" s="52">
        <v>0</v>
      </c>
      <c r="AG32" s="52">
        <v>0</v>
      </c>
      <c r="AH32" s="52">
        <v>0</v>
      </c>
      <c r="AI32" s="53"/>
      <c r="AJ32" s="54"/>
      <c r="AK32" s="54"/>
      <c r="AL32" s="54"/>
      <c r="AM32" s="54"/>
      <c r="AN32" s="54"/>
      <c r="AO32" s="54"/>
      <c r="AP32" s="54"/>
      <c r="AQ32" s="54"/>
      <c r="AR32" s="52">
        <v>0</v>
      </c>
      <c r="AS32" s="52">
        <v>0</v>
      </c>
      <c r="AT32" s="52">
        <v>0</v>
      </c>
      <c r="AU32" s="52">
        <v>0</v>
      </c>
      <c r="AV32" s="52">
        <f t="shared" si="3"/>
        <v>0</v>
      </c>
      <c r="AW32" s="52">
        <v>0</v>
      </c>
      <c r="AX32" s="52">
        <v>0</v>
      </c>
      <c r="AY32" s="52"/>
      <c r="AZ32" s="50"/>
      <c r="BA32" s="52"/>
      <c r="BB32" s="52"/>
      <c r="BC32" s="55"/>
      <c r="BD32" s="52"/>
      <c r="BE32" s="56"/>
      <c r="BF32" s="52"/>
      <c r="BG32" s="57" t="str">
        <f t="shared" si="2"/>
        <v>description: "Зад. вкл от ЛВ ВНР", note: "Задержка включения с контролем синхронизма от ЛВ ВНР", group: "measurement", minValue: null, maxValue: null, step: null, units: "null", defaultValue: null, eventRegistration: 0</v>
      </c>
      <c r="BH32" s="58"/>
    </row>
    <row r="33" spans="1:60" s="44" customFormat="1" ht="16.5" customHeight="1" x14ac:dyDescent="0.25">
      <c r="A33" s="46"/>
      <c r="B33" s="46" t="s">
        <v>59</v>
      </c>
      <c r="C33" s="47"/>
      <c r="D33" s="45"/>
      <c r="E33" s="48" t="s">
        <v>127</v>
      </c>
      <c r="F33" s="48" t="s">
        <v>128</v>
      </c>
      <c r="G33" s="48" t="s">
        <v>128</v>
      </c>
      <c r="H33" s="48"/>
      <c r="I33" s="48">
        <f t="shared" si="0"/>
        <v>18</v>
      </c>
      <c r="J33" s="48" t="str">
        <f t="shared" si="1"/>
        <v>Цепи разобр. от СС</v>
      </c>
      <c r="K33" s="46" t="s">
        <v>129</v>
      </c>
      <c r="L33" s="49" t="s">
        <v>62</v>
      </c>
      <c r="M33" s="47" t="s">
        <v>63</v>
      </c>
      <c r="N33" s="47" t="s">
        <v>64</v>
      </c>
      <c r="O33" s="47"/>
      <c r="P33" s="50"/>
      <c r="Q33" s="50"/>
      <c r="R33" s="47" t="s">
        <v>65</v>
      </c>
      <c r="S33" s="47" t="s">
        <v>65</v>
      </c>
      <c r="T33" s="47" t="s">
        <v>65</v>
      </c>
      <c r="U33" s="47" t="s">
        <v>65</v>
      </c>
      <c r="V33" s="47"/>
      <c r="W33" s="47"/>
      <c r="X33" s="47" t="s">
        <v>65</v>
      </c>
      <c r="Y33" s="47">
        <v>0</v>
      </c>
      <c r="Z33" s="51"/>
      <c r="AA33" s="52">
        <v>0</v>
      </c>
      <c r="AB33" s="52"/>
      <c r="AC33" s="52"/>
      <c r="AD33" s="52"/>
      <c r="AE33" s="52"/>
      <c r="AF33" s="52">
        <v>0</v>
      </c>
      <c r="AG33" s="52">
        <v>0</v>
      </c>
      <c r="AH33" s="52">
        <v>0</v>
      </c>
      <c r="AI33" s="53"/>
      <c r="AJ33" s="54"/>
      <c r="AK33" s="54"/>
      <c r="AL33" s="54"/>
      <c r="AM33" s="54"/>
      <c r="AN33" s="54"/>
      <c r="AO33" s="54"/>
      <c r="AP33" s="54"/>
      <c r="AQ33" s="54"/>
      <c r="AR33" s="52">
        <v>0</v>
      </c>
      <c r="AS33" s="52">
        <v>0</v>
      </c>
      <c r="AT33" s="52">
        <v>0</v>
      </c>
      <c r="AU33" s="52">
        <v>0</v>
      </c>
      <c r="AV33" s="52">
        <f t="shared" si="3"/>
        <v>0</v>
      </c>
      <c r="AW33" s="52">
        <v>0</v>
      </c>
      <c r="AX33" s="52">
        <v>0</v>
      </c>
      <c r="AY33" s="52"/>
      <c r="AZ33" s="50"/>
      <c r="BA33" s="52"/>
      <c r="BB33" s="52"/>
      <c r="BC33" s="55"/>
      <c r="BD33" s="52"/>
      <c r="BE33" s="56"/>
      <c r="BF33" s="52"/>
      <c r="BG33" s="57" t="str">
        <f t="shared" si="2"/>
        <v>description: "Цепи разобр. от СС", note: "Выходные цепи разобраны (от функции сборка сигналов)", group: "measurement", minValue: null, maxValue: null, step: null, units: "null", defaultValue: null, eventRegistration: 0</v>
      </c>
      <c r="BH33" s="58"/>
    </row>
    <row r="34" spans="1:60" s="44" customFormat="1" ht="16.5" customHeight="1" x14ac:dyDescent="0.25">
      <c r="A34" s="46"/>
      <c r="B34" s="46" t="s">
        <v>59</v>
      </c>
      <c r="C34" s="47"/>
      <c r="D34" s="45"/>
      <c r="E34" s="48" t="s">
        <v>130</v>
      </c>
      <c r="F34" s="48" t="s">
        <v>131</v>
      </c>
      <c r="G34" s="48" t="s">
        <v>131</v>
      </c>
      <c r="H34" s="48"/>
      <c r="I34" s="48">
        <f t="shared" si="0"/>
        <v>17</v>
      </c>
      <c r="J34" s="48" t="str">
        <f t="shared" si="1"/>
        <v>БИ выведены от СС</v>
      </c>
      <c r="K34" s="46" t="s">
        <v>132</v>
      </c>
      <c r="L34" s="49" t="s">
        <v>62</v>
      </c>
      <c r="M34" s="47" t="s">
        <v>63</v>
      </c>
      <c r="N34" s="47" t="s">
        <v>64</v>
      </c>
      <c r="O34" s="47"/>
      <c r="P34" s="50"/>
      <c r="Q34" s="50"/>
      <c r="R34" s="47" t="s">
        <v>65</v>
      </c>
      <c r="S34" s="47" t="s">
        <v>65</v>
      </c>
      <c r="T34" s="47" t="s">
        <v>65</v>
      </c>
      <c r="U34" s="47" t="s">
        <v>65</v>
      </c>
      <c r="V34" s="47"/>
      <c r="W34" s="47"/>
      <c r="X34" s="47" t="s">
        <v>65</v>
      </c>
      <c r="Y34" s="47">
        <v>0</v>
      </c>
      <c r="Z34" s="51"/>
      <c r="AA34" s="52">
        <v>0</v>
      </c>
      <c r="AB34" s="52"/>
      <c r="AC34" s="52"/>
      <c r="AD34" s="52"/>
      <c r="AE34" s="52"/>
      <c r="AF34" s="52">
        <v>0</v>
      </c>
      <c r="AG34" s="52">
        <v>0</v>
      </c>
      <c r="AH34" s="52">
        <v>0</v>
      </c>
      <c r="AI34" s="53"/>
      <c r="AJ34" s="54"/>
      <c r="AK34" s="54"/>
      <c r="AL34" s="54"/>
      <c r="AM34" s="54"/>
      <c r="AN34" s="54"/>
      <c r="AO34" s="54"/>
      <c r="AP34" s="54"/>
      <c r="AQ34" s="54"/>
      <c r="AR34" s="52">
        <v>0</v>
      </c>
      <c r="AS34" s="52">
        <v>0</v>
      </c>
      <c r="AT34" s="52">
        <v>0</v>
      </c>
      <c r="AU34" s="52">
        <v>0</v>
      </c>
      <c r="AV34" s="52">
        <f t="shared" si="3"/>
        <v>0</v>
      </c>
      <c r="AW34" s="52">
        <v>0</v>
      </c>
      <c r="AX34" s="52">
        <v>0</v>
      </c>
      <c r="AY34" s="52"/>
      <c r="AZ34" s="50"/>
      <c r="BA34" s="52"/>
      <c r="BB34" s="52"/>
      <c r="BC34" s="55"/>
      <c r="BD34" s="52"/>
      <c r="BE34" s="56"/>
      <c r="BF34" s="52"/>
      <c r="BG34" s="57" t="str">
        <f t="shared" si="2"/>
        <v>description: "БИ выведены от СС", note: "БИ выведены (от функции сборка сигналов)", group: "measurement", minValue: null, maxValue: null, step: null, units: "null", defaultValue: null, eventRegistration: 0</v>
      </c>
      <c r="BH34" s="58"/>
    </row>
    <row r="35" spans="1:60" s="44" customFormat="1" ht="16.5" customHeight="1" x14ac:dyDescent="0.25">
      <c r="A35" s="46"/>
      <c r="B35" s="46" t="s">
        <v>59</v>
      </c>
      <c r="C35" s="47"/>
      <c r="D35" s="45"/>
      <c r="E35" s="48" t="s">
        <v>133</v>
      </c>
      <c r="F35" s="48" t="s">
        <v>134</v>
      </c>
      <c r="G35" s="48" t="s">
        <v>134</v>
      </c>
      <c r="H35" s="48"/>
      <c r="I35" s="48">
        <f t="shared" si="0"/>
        <v>13</v>
      </c>
      <c r="J35" s="48" t="str">
        <f t="shared" si="1"/>
        <v>ОТ сигн от СС</v>
      </c>
      <c r="K35" s="46" t="s">
        <v>135</v>
      </c>
      <c r="L35" s="49" t="s">
        <v>62</v>
      </c>
      <c r="M35" s="47" t="s">
        <v>63</v>
      </c>
      <c r="N35" s="47" t="s">
        <v>64</v>
      </c>
      <c r="O35" s="47"/>
      <c r="P35" s="50"/>
      <c r="Q35" s="50"/>
      <c r="R35" s="47" t="s">
        <v>65</v>
      </c>
      <c r="S35" s="47" t="s">
        <v>65</v>
      </c>
      <c r="T35" s="47" t="s">
        <v>65</v>
      </c>
      <c r="U35" s="47" t="s">
        <v>65</v>
      </c>
      <c r="V35" s="47"/>
      <c r="W35" s="47"/>
      <c r="X35" s="47" t="s">
        <v>65</v>
      </c>
      <c r="Y35" s="47">
        <v>0</v>
      </c>
      <c r="Z35" s="51"/>
      <c r="AA35" s="52">
        <v>0</v>
      </c>
      <c r="AB35" s="52"/>
      <c r="AC35" s="52"/>
      <c r="AD35" s="52"/>
      <c r="AE35" s="52"/>
      <c r="AF35" s="52">
        <v>0</v>
      </c>
      <c r="AG35" s="52">
        <v>0</v>
      </c>
      <c r="AH35" s="52">
        <v>0</v>
      </c>
      <c r="AI35" s="53"/>
      <c r="AJ35" s="54"/>
      <c r="AK35" s="54"/>
      <c r="AL35" s="54"/>
      <c r="AM35" s="54"/>
      <c r="AN35" s="54"/>
      <c r="AO35" s="54"/>
      <c r="AP35" s="54"/>
      <c r="AQ35" s="54"/>
      <c r="AR35" s="52">
        <v>0</v>
      </c>
      <c r="AS35" s="52">
        <v>0</v>
      </c>
      <c r="AT35" s="52">
        <v>0</v>
      </c>
      <c r="AU35" s="52">
        <v>0</v>
      </c>
      <c r="AV35" s="52">
        <f t="shared" si="3"/>
        <v>0</v>
      </c>
      <c r="AW35" s="52">
        <v>0</v>
      </c>
      <c r="AX35" s="52">
        <v>0</v>
      </c>
      <c r="AY35" s="52"/>
      <c r="AZ35" s="50"/>
      <c r="BA35" s="52"/>
      <c r="BB35" s="52"/>
      <c r="BC35" s="55"/>
      <c r="BD35" s="52"/>
      <c r="BE35" s="56"/>
      <c r="BF35" s="52"/>
      <c r="BG35" s="57" t="str">
        <f t="shared" si="2"/>
        <v>description: "ОТ сигн от СС", note: "Сигнализация опер.тока (от функции сборка сигналов)", group: "measurement", minValue: null, maxValue: null, step: null, units: "null", defaultValue: null, eventRegistration: 0</v>
      </c>
      <c r="BH35" s="58"/>
    </row>
    <row r="36" spans="1:60" s="31" customFormat="1" ht="16.5" customHeight="1" x14ac:dyDescent="0.25">
      <c r="A36" s="18"/>
      <c r="B36" s="18" t="s">
        <v>59</v>
      </c>
      <c r="C36" s="19"/>
      <c r="D36" s="20"/>
      <c r="E36" s="21" t="s">
        <v>136</v>
      </c>
      <c r="F36" s="21" t="s">
        <v>137</v>
      </c>
      <c r="G36" s="21" t="s">
        <v>137</v>
      </c>
      <c r="H36" s="21"/>
      <c r="I36" s="48">
        <f t="shared" si="0"/>
        <v>15</v>
      </c>
      <c r="J36" s="48" t="str">
        <f t="shared" si="1"/>
        <v>Неиспр КА от СС</v>
      </c>
      <c r="K36" s="18" t="s">
        <v>138</v>
      </c>
      <c r="L36" s="22" t="s">
        <v>62</v>
      </c>
      <c r="M36" s="19" t="s">
        <v>63</v>
      </c>
      <c r="N36" s="19" t="s">
        <v>64</v>
      </c>
      <c r="O36" s="19"/>
      <c r="P36" s="23"/>
      <c r="Q36" s="23"/>
      <c r="R36" s="19" t="s">
        <v>65</v>
      </c>
      <c r="S36" s="19" t="s">
        <v>65</v>
      </c>
      <c r="T36" s="19" t="s">
        <v>65</v>
      </c>
      <c r="U36" s="19" t="s">
        <v>65</v>
      </c>
      <c r="V36" s="19"/>
      <c r="W36" s="19"/>
      <c r="X36" s="19" t="s">
        <v>65</v>
      </c>
      <c r="Y36" s="19">
        <v>0</v>
      </c>
      <c r="Z36" s="24"/>
      <c r="AA36" s="25">
        <v>0</v>
      </c>
      <c r="AB36" s="25"/>
      <c r="AC36" s="25"/>
      <c r="AD36" s="25"/>
      <c r="AE36" s="25"/>
      <c r="AF36" s="25">
        <v>0</v>
      </c>
      <c r="AG36" s="25">
        <v>0</v>
      </c>
      <c r="AH36" s="25">
        <v>0</v>
      </c>
      <c r="AI36" s="8"/>
      <c r="AJ36" s="26"/>
      <c r="AK36" s="26"/>
      <c r="AL36" s="26"/>
      <c r="AM36" s="26"/>
      <c r="AN36" s="26"/>
      <c r="AO36" s="26"/>
      <c r="AP36" s="26"/>
      <c r="AQ36" s="26"/>
      <c r="AR36" s="25">
        <v>0</v>
      </c>
      <c r="AS36" s="25">
        <v>0</v>
      </c>
      <c r="AT36" s="25">
        <v>0</v>
      </c>
      <c r="AU36" s="25">
        <v>0</v>
      </c>
      <c r="AV36" s="52">
        <f t="shared" si="3"/>
        <v>0</v>
      </c>
      <c r="AW36" s="52">
        <v>0</v>
      </c>
      <c r="AX36" s="52">
        <v>0</v>
      </c>
      <c r="AY36" s="25"/>
      <c r="AZ36" s="23"/>
      <c r="BA36" s="25"/>
      <c r="BB36" s="25"/>
      <c r="BC36" s="27"/>
      <c r="BD36" s="25"/>
      <c r="BE36" s="28"/>
      <c r="BF36" s="25"/>
      <c r="BG36" s="57" t="str">
        <f t="shared" si="2"/>
        <v>description: "Неиспр КА от СС", note: "Неисправность КА (от функции сборка сигналов)", group: "measurement", minValue: null, maxValue: null, step: null, units: "null", defaultValue: null, eventRegistration: 0</v>
      </c>
      <c r="BH36" s="30"/>
    </row>
    <row r="37" spans="1:60" s="31" customFormat="1" ht="16.5" customHeight="1" x14ac:dyDescent="0.25">
      <c r="A37" s="18"/>
      <c r="B37" s="18" t="s">
        <v>59</v>
      </c>
      <c r="C37" s="19"/>
      <c r="D37" s="20"/>
      <c r="E37" s="21" t="s">
        <v>139</v>
      </c>
      <c r="F37" s="21" t="s">
        <v>140</v>
      </c>
      <c r="G37" s="21" t="s">
        <v>140</v>
      </c>
      <c r="H37" s="21"/>
      <c r="I37" s="48">
        <f t="shared" si="0"/>
        <v>18</v>
      </c>
      <c r="J37" s="48" t="str">
        <f t="shared" si="1"/>
        <v>Прев.вр.пер. от СС</v>
      </c>
      <c r="K37" s="18" t="s">
        <v>141</v>
      </c>
      <c r="L37" s="22" t="s">
        <v>62</v>
      </c>
      <c r="M37" s="19" t="s">
        <v>63</v>
      </c>
      <c r="N37" s="19" t="s">
        <v>64</v>
      </c>
      <c r="O37" s="19"/>
      <c r="P37" s="23"/>
      <c r="Q37" s="23"/>
      <c r="R37" s="19" t="s">
        <v>65</v>
      </c>
      <c r="S37" s="19" t="s">
        <v>65</v>
      </c>
      <c r="T37" s="19" t="s">
        <v>65</v>
      </c>
      <c r="U37" s="19" t="s">
        <v>65</v>
      </c>
      <c r="V37" s="19"/>
      <c r="W37" s="19"/>
      <c r="X37" s="19" t="s">
        <v>65</v>
      </c>
      <c r="Y37" s="19">
        <v>0</v>
      </c>
      <c r="Z37" s="24"/>
      <c r="AA37" s="25">
        <v>0</v>
      </c>
      <c r="AB37" s="25"/>
      <c r="AC37" s="25"/>
      <c r="AD37" s="25"/>
      <c r="AE37" s="25"/>
      <c r="AF37" s="25">
        <v>0</v>
      </c>
      <c r="AG37" s="25">
        <v>0</v>
      </c>
      <c r="AH37" s="25">
        <v>0</v>
      </c>
      <c r="AI37" s="8"/>
      <c r="AJ37" s="26"/>
      <c r="AK37" s="26"/>
      <c r="AL37" s="26"/>
      <c r="AM37" s="26"/>
      <c r="AN37" s="26"/>
      <c r="AO37" s="26"/>
      <c r="AP37" s="26"/>
      <c r="AQ37" s="26"/>
      <c r="AR37" s="25">
        <v>0</v>
      </c>
      <c r="AS37" s="25">
        <v>0</v>
      </c>
      <c r="AT37" s="25">
        <v>0</v>
      </c>
      <c r="AU37" s="25">
        <v>0</v>
      </c>
      <c r="AV37" s="52">
        <f t="shared" si="3"/>
        <v>0</v>
      </c>
      <c r="AW37" s="52">
        <v>0</v>
      </c>
      <c r="AX37" s="52">
        <v>0</v>
      </c>
      <c r="AY37" s="25"/>
      <c r="AZ37" s="23"/>
      <c r="BA37" s="25"/>
      <c r="BB37" s="25"/>
      <c r="BC37" s="27"/>
      <c r="BD37" s="25"/>
      <c r="BE37" s="28"/>
      <c r="BF37" s="25"/>
      <c r="BG37" s="57" t="str">
        <f t="shared" si="2"/>
        <v>description: "Прев.вр.пер. от СС", note: "Превышение времени переключения КА (от функции сборка сигналов)", group: "measurement", minValue: null, maxValue: null, step: null, units: "null", defaultValue: null, eventRegistration: 0</v>
      </c>
      <c r="BH37" s="30"/>
    </row>
    <row r="38" spans="1:60" s="31" customFormat="1" ht="16.5" customHeight="1" x14ac:dyDescent="0.25">
      <c r="A38" s="18"/>
      <c r="B38" s="18" t="s">
        <v>59</v>
      </c>
      <c r="C38" s="19"/>
      <c r="D38" s="20"/>
      <c r="E38" s="21" t="s">
        <v>142</v>
      </c>
      <c r="F38" s="21" t="s">
        <v>143</v>
      </c>
      <c r="G38" s="21" t="s">
        <v>143</v>
      </c>
      <c r="H38" s="21"/>
      <c r="I38" s="48">
        <f t="shared" si="0"/>
        <v>18</v>
      </c>
      <c r="J38" s="48" t="str">
        <f t="shared" si="1"/>
        <v>Общ.вн.сигн. от СС</v>
      </c>
      <c r="K38" s="18" t="s">
        <v>144</v>
      </c>
      <c r="L38" s="22" t="s">
        <v>62</v>
      </c>
      <c r="M38" s="19" t="s">
        <v>63</v>
      </c>
      <c r="N38" s="19" t="s">
        <v>64</v>
      </c>
      <c r="O38" s="19"/>
      <c r="P38" s="23"/>
      <c r="Q38" s="23"/>
      <c r="R38" s="19" t="s">
        <v>65</v>
      </c>
      <c r="S38" s="19" t="s">
        <v>65</v>
      </c>
      <c r="T38" s="19" t="s">
        <v>65</v>
      </c>
      <c r="U38" s="19" t="s">
        <v>65</v>
      </c>
      <c r="V38" s="19"/>
      <c r="W38" s="19"/>
      <c r="X38" s="19" t="s">
        <v>65</v>
      </c>
      <c r="Y38" s="19">
        <v>0</v>
      </c>
      <c r="Z38" s="24"/>
      <c r="AA38" s="25">
        <v>0</v>
      </c>
      <c r="AB38" s="25"/>
      <c r="AC38" s="25"/>
      <c r="AD38" s="25"/>
      <c r="AE38" s="25"/>
      <c r="AF38" s="25">
        <v>0</v>
      </c>
      <c r="AG38" s="25">
        <v>0</v>
      </c>
      <c r="AH38" s="25">
        <v>0</v>
      </c>
      <c r="AI38" s="8"/>
      <c r="AJ38" s="26"/>
      <c r="AK38" s="26"/>
      <c r="AL38" s="26"/>
      <c r="AM38" s="26"/>
      <c r="AN38" s="26"/>
      <c r="AO38" s="26"/>
      <c r="AP38" s="26"/>
      <c r="AQ38" s="26"/>
      <c r="AR38" s="25">
        <v>0</v>
      </c>
      <c r="AS38" s="25">
        <v>0</v>
      </c>
      <c r="AT38" s="25">
        <v>0</v>
      </c>
      <c r="AU38" s="25">
        <v>0</v>
      </c>
      <c r="AV38" s="52">
        <f t="shared" si="3"/>
        <v>0</v>
      </c>
      <c r="AW38" s="52">
        <v>0</v>
      </c>
      <c r="AX38" s="52">
        <v>0</v>
      </c>
      <c r="AY38" s="25"/>
      <c r="AZ38" s="23"/>
      <c r="BA38" s="25"/>
      <c r="BB38" s="25"/>
      <c r="BC38" s="27"/>
      <c r="BD38" s="25"/>
      <c r="BE38" s="28"/>
      <c r="BF38" s="25"/>
      <c r="BG38" s="57" t="str">
        <f t="shared" si="2"/>
        <v>description: "Общ.вн.сигн. от СС", note: "Общий внешний сигнал (от функции сборка сигналов)", group: "measurement", minValue: null, maxValue: null, step: null, units: "null", defaultValue: null, eventRegistration: 0</v>
      </c>
      <c r="BH38" s="30"/>
    </row>
    <row r="39" spans="1:60" s="104" customFormat="1" ht="16.5" customHeight="1" x14ac:dyDescent="0.25">
      <c r="A39" s="91"/>
      <c r="B39" s="91" t="s">
        <v>222</v>
      </c>
      <c r="C39" s="92"/>
      <c r="D39" s="93"/>
      <c r="E39" s="89" t="s">
        <v>234</v>
      </c>
      <c r="F39" s="89" t="s">
        <v>223</v>
      </c>
      <c r="G39" s="89" t="s">
        <v>223</v>
      </c>
      <c r="H39" s="89"/>
      <c r="I39" s="89">
        <f t="shared" si="0"/>
        <v>19</v>
      </c>
      <c r="J39" s="89" t="str">
        <f t="shared" si="1"/>
        <v>Полож.пер.ав.дебл.1</v>
      </c>
      <c r="K39" s="91" t="s">
        <v>224</v>
      </c>
      <c r="L39" s="94" t="s">
        <v>62</v>
      </c>
      <c r="M39" s="92" t="s">
        <v>63</v>
      </c>
      <c r="N39" s="92" t="s">
        <v>64</v>
      </c>
      <c r="O39" s="92"/>
      <c r="P39" s="95"/>
      <c r="Q39" s="95"/>
      <c r="R39" s="92" t="s">
        <v>65</v>
      </c>
      <c r="S39" s="92" t="s">
        <v>65</v>
      </c>
      <c r="T39" s="92" t="s">
        <v>65</v>
      </c>
      <c r="U39" s="92" t="s">
        <v>65</v>
      </c>
      <c r="V39" s="92"/>
      <c r="W39" s="92"/>
      <c r="X39" s="92" t="s">
        <v>65</v>
      </c>
      <c r="Y39" s="92">
        <v>0</v>
      </c>
      <c r="Z39" s="96"/>
      <c r="AA39" s="97">
        <v>0</v>
      </c>
      <c r="AB39" s="97"/>
      <c r="AC39" s="97"/>
      <c r="AD39" s="97"/>
      <c r="AE39" s="97"/>
      <c r="AF39" s="97">
        <v>0</v>
      </c>
      <c r="AG39" s="97">
        <v>0</v>
      </c>
      <c r="AH39" s="97">
        <v>0</v>
      </c>
      <c r="AI39" s="98"/>
      <c r="AJ39" s="99"/>
      <c r="AK39" s="99"/>
      <c r="AL39" s="99"/>
      <c r="AM39" s="99"/>
      <c r="AN39" s="99"/>
      <c r="AO39" s="99"/>
      <c r="AP39" s="99"/>
      <c r="AQ39" s="99"/>
      <c r="AR39" s="97">
        <v>0</v>
      </c>
      <c r="AS39" s="97">
        <v>0</v>
      </c>
      <c r="AT39" s="97">
        <v>0</v>
      </c>
      <c r="AU39" s="97">
        <v>0</v>
      </c>
      <c r="AV39" s="97">
        <f t="shared" si="3"/>
        <v>0</v>
      </c>
      <c r="AW39" s="97">
        <v>0</v>
      </c>
      <c r="AX39" s="97">
        <v>0</v>
      </c>
      <c r="AY39" s="97"/>
      <c r="AZ39" s="95"/>
      <c r="BA39" s="97"/>
      <c r="BB39" s="97"/>
      <c r="BC39" s="100"/>
      <c r="BD39" s="97"/>
      <c r="BE39" s="101"/>
      <c r="BF39" s="97"/>
      <c r="BG39" s="102" t="str">
        <f t="shared" si="2"/>
        <v>description: "Полож.пер.ав.дебл.1", note: "Положение переключателя 1 аварийной деблокировки", group: "input", minValue: null, maxValue: null, step: null, units: "null", defaultValue: null, eventRegistration: 0</v>
      </c>
      <c r="BH39" s="103"/>
    </row>
    <row r="40" spans="1:60" s="104" customFormat="1" ht="16.5" customHeight="1" x14ac:dyDescent="0.25">
      <c r="A40" s="91"/>
      <c r="B40" s="91" t="s">
        <v>222</v>
      </c>
      <c r="C40" s="92"/>
      <c r="D40" s="93"/>
      <c r="E40" s="89" t="s">
        <v>235</v>
      </c>
      <c r="F40" s="89" t="s">
        <v>225</v>
      </c>
      <c r="G40" s="89" t="s">
        <v>225</v>
      </c>
      <c r="H40" s="89"/>
      <c r="I40" s="89">
        <f t="shared" si="0"/>
        <v>19</v>
      </c>
      <c r="J40" s="89" t="str">
        <f t="shared" si="1"/>
        <v>Полож.пер.ав.дебл.2</v>
      </c>
      <c r="K40" s="91" t="s">
        <v>226</v>
      </c>
      <c r="L40" s="94" t="s">
        <v>62</v>
      </c>
      <c r="M40" s="92" t="s">
        <v>63</v>
      </c>
      <c r="N40" s="92" t="s">
        <v>64</v>
      </c>
      <c r="O40" s="92"/>
      <c r="P40" s="95"/>
      <c r="Q40" s="95"/>
      <c r="R40" s="92" t="s">
        <v>65</v>
      </c>
      <c r="S40" s="92" t="s">
        <v>65</v>
      </c>
      <c r="T40" s="92" t="s">
        <v>65</v>
      </c>
      <c r="U40" s="92" t="s">
        <v>65</v>
      </c>
      <c r="V40" s="92"/>
      <c r="W40" s="92"/>
      <c r="X40" s="92" t="s">
        <v>65</v>
      </c>
      <c r="Y40" s="92">
        <v>0</v>
      </c>
      <c r="Z40" s="96"/>
      <c r="AA40" s="97">
        <v>0</v>
      </c>
      <c r="AB40" s="97"/>
      <c r="AC40" s="97"/>
      <c r="AD40" s="97"/>
      <c r="AE40" s="97"/>
      <c r="AF40" s="97">
        <v>0</v>
      </c>
      <c r="AG40" s="97">
        <v>0</v>
      </c>
      <c r="AH40" s="97">
        <v>0</v>
      </c>
      <c r="AI40" s="98"/>
      <c r="AJ40" s="99"/>
      <c r="AK40" s="99"/>
      <c r="AL40" s="99"/>
      <c r="AM40" s="99"/>
      <c r="AN40" s="99"/>
      <c r="AO40" s="99"/>
      <c r="AP40" s="99"/>
      <c r="AQ40" s="99"/>
      <c r="AR40" s="97">
        <v>0</v>
      </c>
      <c r="AS40" s="97">
        <v>0</v>
      </c>
      <c r="AT40" s="97">
        <v>0</v>
      </c>
      <c r="AU40" s="97">
        <v>0</v>
      </c>
      <c r="AV40" s="97">
        <f t="shared" si="3"/>
        <v>0</v>
      </c>
      <c r="AW40" s="97">
        <v>0</v>
      </c>
      <c r="AX40" s="97">
        <v>0</v>
      </c>
      <c r="AY40" s="97"/>
      <c r="AZ40" s="95"/>
      <c r="BA40" s="97"/>
      <c r="BB40" s="97"/>
      <c r="BC40" s="100"/>
      <c r="BD40" s="97"/>
      <c r="BE40" s="101"/>
      <c r="BF40" s="97"/>
      <c r="BG40" s="102" t="str">
        <f t="shared" si="2"/>
        <v>description: "Полож.пер.ав.дебл.2", note: "Положение переключателя 2 аварийной деблокировки", group: "input", minValue: null, maxValue: null, step: null, units: "null", defaultValue: null, eventRegistration: 0</v>
      </c>
      <c r="BH40" s="103"/>
    </row>
    <row r="41" spans="1:60" s="31" customFormat="1" ht="16.5" customHeight="1" x14ac:dyDescent="0.25">
      <c r="A41" s="18"/>
      <c r="B41" s="18" t="s">
        <v>59</v>
      </c>
      <c r="C41" s="19"/>
      <c r="D41" s="20"/>
      <c r="E41" s="21" t="s">
        <v>145</v>
      </c>
      <c r="F41" s="21" t="s">
        <v>146</v>
      </c>
      <c r="G41" s="21" t="s">
        <v>146</v>
      </c>
      <c r="H41" s="21"/>
      <c r="I41" s="48">
        <f t="shared" si="0"/>
        <v>3</v>
      </c>
      <c r="J41" s="48" t="str">
        <f t="shared" si="1"/>
        <v>IRF</v>
      </c>
      <c r="K41" s="18" t="s">
        <v>147</v>
      </c>
      <c r="L41" s="22" t="s">
        <v>62</v>
      </c>
      <c r="M41" s="19" t="s">
        <v>63</v>
      </c>
      <c r="N41" s="19" t="s">
        <v>64</v>
      </c>
      <c r="O41" s="19"/>
      <c r="P41" s="23"/>
      <c r="Q41" s="23"/>
      <c r="R41" s="19" t="s">
        <v>65</v>
      </c>
      <c r="S41" s="19" t="s">
        <v>65</v>
      </c>
      <c r="T41" s="19" t="s">
        <v>65</v>
      </c>
      <c r="U41" s="19" t="s">
        <v>65</v>
      </c>
      <c r="V41" s="19"/>
      <c r="W41" s="19"/>
      <c r="X41" s="19" t="s">
        <v>65</v>
      </c>
      <c r="Y41" s="19">
        <v>0</v>
      </c>
      <c r="Z41" s="24"/>
      <c r="AA41" s="25">
        <v>0</v>
      </c>
      <c r="AB41" s="25"/>
      <c r="AC41" s="25"/>
      <c r="AD41" s="25"/>
      <c r="AE41" s="25"/>
      <c r="AF41" s="25">
        <v>0</v>
      </c>
      <c r="AG41" s="25">
        <v>0</v>
      </c>
      <c r="AH41" s="25">
        <v>0</v>
      </c>
      <c r="AI41" s="8"/>
      <c r="AJ41" s="26"/>
      <c r="AK41" s="26"/>
      <c r="AL41" s="26"/>
      <c r="AM41" s="26"/>
      <c r="AN41" s="26"/>
      <c r="AO41" s="26"/>
      <c r="AP41" s="26"/>
      <c r="AQ41" s="26"/>
      <c r="AR41" s="25">
        <v>0</v>
      </c>
      <c r="AS41" s="25">
        <v>0</v>
      </c>
      <c r="AT41" s="25">
        <v>0</v>
      </c>
      <c r="AU41" s="25">
        <v>0</v>
      </c>
      <c r="AV41" s="52">
        <f t="shared" si="3"/>
        <v>0</v>
      </c>
      <c r="AW41" s="52">
        <v>0</v>
      </c>
      <c r="AX41" s="52">
        <v>0</v>
      </c>
      <c r="AY41" s="25"/>
      <c r="AZ41" s="23"/>
      <c r="BA41" s="25"/>
      <c r="BB41" s="25"/>
      <c r="BC41" s="27"/>
      <c r="BD41" s="25"/>
      <c r="BE41" s="28"/>
      <c r="BF41" s="25"/>
      <c r="BG41" s="57" t="str">
        <f t="shared" si="2"/>
        <v>description: "IRF", note: "Внутренняя неисправность", group: "measurement", minValue: null, maxValue: null, step: null, units: "null", defaultValue: null, eventRegistration: 0</v>
      </c>
      <c r="BH41" s="30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3"/>
      <c r="BC42" s="4"/>
      <c r="BD42" s="33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3"/>
      <c r="BC43" s="4"/>
      <c r="BD43" s="33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3"/>
      <c r="BC44" s="4"/>
      <c r="BD44" s="33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3"/>
      <c r="BC45" s="4"/>
      <c r="BD45" s="33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3"/>
      <c r="BC46" s="4"/>
      <c r="BD46" s="33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3"/>
      <c r="BC47" s="4"/>
      <c r="BD47" s="3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3"/>
      <c r="BC48" s="4"/>
      <c r="BD48" s="3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3"/>
      <c r="BC49" s="4"/>
      <c r="BD49" s="3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3"/>
      <c r="BC50" s="4"/>
      <c r="BD50" s="3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3"/>
      <c r="BC51" s="4"/>
      <c r="BD51" s="3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3"/>
      <c r="BC52" s="4"/>
      <c r="BD52" s="3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3"/>
      <c r="BC53" s="4"/>
      <c r="BD53" s="3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3"/>
      <c r="BC54" s="4"/>
      <c r="BD54" s="3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3"/>
      <c r="BC55" s="4"/>
      <c r="BD55" s="3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3"/>
      <c r="BC56" s="4"/>
      <c r="BD56" s="3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3"/>
      <c r="BC57" s="4"/>
      <c r="BD57" s="3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3"/>
      <c r="BC58" s="4"/>
      <c r="BD58" s="3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3"/>
      <c r="BC59" s="4"/>
      <c r="BD59" s="3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3"/>
      <c r="BC60" s="4"/>
      <c r="BD60" s="3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3"/>
      <c r="BC61" s="4"/>
      <c r="BD61" s="3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3"/>
      <c r="BC62" s="4"/>
      <c r="BD62" s="3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3"/>
      <c r="BC63" s="4"/>
      <c r="BD63" s="3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3"/>
      <c r="BC64" s="4"/>
      <c r="BD64" s="3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3"/>
      <c r="BC65" s="4"/>
      <c r="BD65" s="3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3"/>
      <c r="BC66" s="4"/>
      <c r="BD66" s="3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3"/>
      <c r="BC67" s="4"/>
      <c r="BD67" s="3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3"/>
      <c r="BC68" s="4"/>
      <c r="BD68" s="3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3"/>
      <c r="BC69" s="4"/>
      <c r="BD69" s="3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3"/>
      <c r="BC70" s="4"/>
      <c r="BD70" s="3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3"/>
      <c r="BC71" s="4"/>
      <c r="BD71" s="3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3"/>
      <c r="BC72" s="4"/>
      <c r="BD72" s="3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3"/>
      <c r="BC73" s="4"/>
      <c r="BD73" s="3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3"/>
      <c r="BC74" s="4"/>
      <c r="BD74" s="3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3"/>
      <c r="BC75" s="4"/>
      <c r="BD75" s="3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3"/>
      <c r="BC76" s="4"/>
      <c r="BD76" s="3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3"/>
      <c r="BC77" s="4"/>
      <c r="BD77" s="3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3"/>
      <c r="BC78" s="4"/>
      <c r="BD78" s="3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3"/>
      <c r="BC79" s="4"/>
      <c r="BD79" s="3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3"/>
      <c r="BC80" s="4"/>
      <c r="BD80" s="3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3"/>
      <c r="BC81" s="4"/>
      <c r="BD81" s="3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3"/>
      <c r="BC82" s="4"/>
      <c r="BD82" s="3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3"/>
      <c r="BC83" s="4"/>
      <c r="BD83" s="3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3"/>
      <c r="BC84" s="4"/>
      <c r="BD84" s="3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3"/>
      <c r="BC85" s="4"/>
      <c r="BD85" s="3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3"/>
      <c r="BC86" s="4"/>
      <c r="BD86" s="3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3"/>
      <c r="BC87" s="4"/>
      <c r="BD87" s="3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3"/>
      <c r="BC88" s="4"/>
      <c r="BD88" s="3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3"/>
      <c r="BC89" s="4"/>
      <c r="BD89" s="3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3"/>
      <c r="BC90" s="4"/>
      <c r="BD90" s="3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3"/>
      <c r="BC91" s="4"/>
      <c r="BD91" s="3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3"/>
      <c r="BC92" s="4"/>
      <c r="BD92" s="3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3"/>
      <c r="BC93" s="4"/>
      <c r="BD93" s="3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1"/>
      <c r="AS94" s="1"/>
      <c r="AT94" s="1"/>
      <c r="AU94" s="1"/>
      <c r="AV94" s="1"/>
      <c r="AW94" s="1"/>
      <c r="AX94" s="1"/>
      <c r="AY94" s="4"/>
      <c r="AZ94" s="4"/>
      <c r="BA94" s="4"/>
      <c r="BB94" s="33"/>
      <c r="BC94" s="4"/>
      <c r="BD94" s="3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1"/>
      <c r="AR95" s="1"/>
      <c r="AS95" s="1"/>
      <c r="AT95" s="1"/>
      <c r="AU95" s="1"/>
      <c r="AV95" s="1"/>
      <c r="AW95" s="1"/>
      <c r="AX95" s="1"/>
      <c r="AY95" s="4"/>
      <c r="AZ95" s="4"/>
      <c r="BA95" s="4"/>
      <c r="BB95" s="33"/>
      <c r="BC95" s="4"/>
      <c r="BD95" s="3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1"/>
      <c r="AR96" s="1"/>
      <c r="AS96" s="1"/>
      <c r="AT96" s="1"/>
      <c r="AU96" s="1"/>
      <c r="AV96" s="1"/>
      <c r="AW96" s="1"/>
      <c r="AX96" s="1"/>
      <c r="AY96" s="4"/>
      <c r="AZ96" s="4"/>
      <c r="BA96" s="4"/>
      <c r="BB96" s="33"/>
      <c r="BC96" s="4"/>
      <c r="BD96" s="3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1"/>
      <c r="AR97" s="1"/>
      <c r="AS97" s="1"/>
      <c r="AT97" s="1"/>
      <c r="AU97" s="1"/>
      <c r="AV97" s="1"/>
      <c r="AW97" s="1"/>
      <c r="AX97" s="1"/>
      <c r="AY97" s="4"/>
      <c r="AZ97" s="4"/>
      <c r="BA97" s="4"/>
      <c r="BB97" s="33"/>
      <c r="BC97" s="4"/>
      <c r="BD97" s="3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1"/>
      <c r="AR98" s="1"/>
      <c r="AS98" s="1"/>
      <c r="AT98" s="1"/>
      <c r="AU98" s="1"/>
      <c r="AV98" s="1"/>
      <c r="AW98" s="1"/>
      <c r="AX98" s="1"/>
      <c r="AY98" s="4"/>
      <c r="AZ98" s="4"/>
      <c r="BA98" s="4"/>
      <c r="BB98" s="33"/>
      <c r="BC98" s="4"/>
      <c r="BD98" s="3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1"/>
      <c r="AR99" s="1"/>
      <c r="AS99" s="1"/>
      <c r="AT99" s="1"/>
      <c r="AU99" s="1"/>
      <c r="AV99" s="1"/>
      <c r="AW99" s="1"/>
      <c r="AX99" s="1"/>
      <c r="AY99" s="4"/>
      <c r="AZ99" s="4"/>
      <c r="BA99" s="4"/>
      <c r="BB99" s="33"/>
      <c r="BC99" s="4"/>
      <c r="BD99" s="3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1"/>
      <c r="AR100" s="1"/>
      <c r="AS100" s="1"/>
      <c r="AT100" s="1"/>
      <c r="AU100" s="1"/>
      <c r="AV100" s="1"/>
      <c r="AW100" s="1"/>
      <c r="AX100" s="1"/>
      <c r="AY100" s="4"/>
      <c r="AZ100" s="4"/>
      <c r="BA100" s="4"/>
      <c r="BB100" s="33"/>
      <c r="BC100" s="4"/>
      <c r="BD100" s="3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1"/>
      <c r="AR101" s="1"/>
      <c r="AS101" s="1"/>
      <c r="AT101" s="1"/>
      <c r="AU101" s="1"/>
      <c r="AV101" s="1"/>
      <c r="AW101" s="1"/>
      <c r="AX101" s="1"/>
      <c r="AY101" s="4"/>
      <c r="AZ101" s="4"/>
      <c r="BA101" s="4"/>
      <c r="BB101" s="33"/>
      <c r="BC101" s="4"/>
      <c r="BD101" s="3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1"/>
      <c r="AR102" s="1"/>
      <c r="AS102" s="1"/>
      <c r="AT102" s="1"/>
      <c r="AU102" s="1"/>
      <c r="AV102" s="1"/>
      <c r="AW102" s="1"/>
      <c r="AX102" s="1"/>
      <c r="AY102" s="4"/>
      <c r="AZ102" s="4"/>
      <c r="BA102" s="4"/>
      <c r="BB102" s="33"/>
      <c r="BC102" s="4"/>
      <c r="BD102" s="3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1"/>
      <c r="AR103" s="1"/>
      <c r="AS103" s="1"/>
      <c r="AT103" s="1"/>
      <c r="AU103" s="1"/>
      <c r="AV103" s="1"/>
      <c r="AW103" s="1"/>
      <c r="AX103" s="1"/>
      <c r="AY103" s="4"/>
      <c r="AZ103" s="4"/>
      <c r="BA103" s="4"/>
      <c r="BB103" s="33"/>
      <c r="BC103" s="4"/>
      <c r="BD103" s="3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1"/>
      <c r="AR104" s="1"/>
      <c r="AS104" s="1"/>
      <c r="AT104" s="1"/>
      <c r="AU104" s="1"/>
      <c r="AV104" s="1"/>
      <c r="AW104" s="1"/>
      <c r="AX104" s="1"/>
      <c r="AY104" s="4"/>
      <c r="AZ104" s="4"/>
      <c r="BA104" s="4"/>
      <c r="BB104" s="33"/>
      <c r="BC104" s="4"/>
      <c r="BD104" s="3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1"/>
      <c r="AR105" s="1"/>
      <c r="AS105" s="1"/>
      <c r="AT105" s="1"/>
      <c r="AU105" s="1"/>
      <c r="AV105" s="1"/>
      <c r="AW105" s="1"/>
      <c r="AX105" s="1"/>
      <c r="AY105" s="4"/>
      <c r="AZ105" s="4"/>
      <c r="BA105" s="4"/>
      <c r="BB105" s="33"/>
      <c r="BC105" s="4"/>
      <c r="BD105" s="3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R106" s="1"/>
      <c r="AS106" s="1"/>
      <c r="AT106" s="1"/>
      <c r="AU106" s="1"/>
      <c r="AV106" s="1"/>
      <c r="AW106" s="1"/>
      <c r="AX106" s="1"/>
      <c r="AY106" s="4"/>
      <c r="AZ106" s="4"/>
      <c r="BA106" s="4"/>
      <c r="BB106" s="33"/>
      <c r="BC106" s="4"/>
      <c r="BD106" s="3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R107" s="1"/>
      <c r="AS107" s="1"/>
      <c r="AT107" s="1"/>
      <c r="AU107" s="1"/>
      <c r="AV107" s="1"/>
      <c r="AW107" s="1"/>
      <c r="AX107" s="1"/>
      <c r="AY107" s="4"/>
      <c r="AZ107" s="4"/>
      <c r="BA107" s="4"/>
      <c r="BB107" s="33"/>
      <c r="BC107" s="4"/>
      <c r="BD107" s="3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R108" s="1"/>
      <c r="AS108" s="1"/>
      <c r="AT108" s="1"/>
      <c r="AU108" s="1"/>
      <c r="AV108" s="1"/>
      <c r="AW108" s="1"/>
      <c r="AX108" s="1"/>
      <c r="AY108" s="4"/>
      <c r="AZ108" s="4"/>
      <c r="BA108" s="4"/>
      <c r="BB108" s="33"/>
      <c r="BC108" s="4"/>
      <c r="BD108" s="3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R109" s="1"/>
      <c r="AS109" s="1"/>
      <c r="AT109" s="1"/>
      <c r="AU109" s="1"/>
      <c r="AV109" s="1"/>
      <c r="AW109" s="1"/>
      <c r="AX109" s="1"/>
      <c r="AY109" s="4"/>
      <c r="AZ109" s="4"/>
      <c r="BA109" s="4"/>
      <c r="BB109" s="33"/>
      <c r="BC109" s="4"/>
      <c r="BD109" s="3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R110" s="1"/>
      <c r="AS110" s="1"/>
      <c r="AT110" s="1"/>
      <c r="AU110" s="1"/>
      <c r="AV110" s="1"/>
      <c r="AW110" s="1"/>
      <c r="AX110" s="1"/>
      <c r="AY110" s="4"/>
      <c r="AZ110" s="4"/>
      <c r="BA110" s="4"/>
      <c r="BB110" s="33"/>
      <c r="BC110" s="4"/>
      <c r="BD110" s="3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R111" s="1"/>
      <c r="AS111" s="1"/>
      <c r="AT111" s="1"/>
      <c r="AU111" s="1"/>
      <c r="AV111" s="1"/>
      <c r="AW111" s="1"/>
      <c r="AX111" s="1"/>
      <c r="AY111" s="4"/>
      <c r="AZ111" s="4"/>
      <c r="BA111" s="4"/>
      <c r="BB111" s="33"/>
      <c r="BC111" s="4"/>
      <c r="BD111" s="3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R112" s="1"/>
      <c r="AS112" s="1"/>
      <c r="AT112" s="1"/>
      <c r="AU112" s="1"/>
      <c r="AV112" s="1"/>
      <c r="AW112" s="1"/>
      <c r="AX112" s="1"/>
      <c r="AY112" s="4"/>
      <c r="AZ112" s="4"/>
      <c r="BA112" s="4"/>
      <c r="BB112" s="33"/>
      <c r="BC112" s="4"/>
      <c r="BD112" s="3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R113" s="1"/>
      <c r="AS113" s="1"/>
      <c r="AT113" s="1"/>
      <c r="AU113" s="1"/>
      <c r="AV113" s="1"/>
      <c r="AW113" s="1"/>
      <c r="AX113" s="1"/>
      <c r="AY113" s="4"/>
      <c r="AZ113" s="4"/>
      <c r="BA113" s="4"/>
      <c r="BB113" s="33"/>
      <c r="BC113" s="4"/>
      <c r="BD113" s="3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R114" s="1"/>
      <c r="AS114" s="1"/>
      <c r="AT114" s="1"/>
      <c r="AU114" s="1"/>
      <c r="AV114" s="1"/>
      <c r="AW114" s="1"/>
      <c r="AX114" s="1"/>
      <c r="AY114" s="4"/>
      <c r="AZ114" s="4"/>
      <c r="BA114" s="4"/>
      <c r="BB114" s="33"/>
      <c r="BC114" s="4"/>
      <c r="BD114" s="3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R115" s="1"/>
      <c r="AS115" s="1"/>
      <c r="AT115" s="1"/>
      <c r="AU115" s="1"/>
      <c r="AV115" s="1"/>
      <c r="AW115" s="1"/>
      <c r="AX115" s="1"/>
      <c r="AY115" s="4"/>
      <c r="AZ115" s="4"/>
      <c r="BA115" s="4"/>
      <c r="BB115" s="33"/>
      <c r="BC115" s="4"/>
      <c r="BD115" s="3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R116" s="1"/>
      <c r="AS116" s="1"/>
      <c r="AT116" s="1"/>
      <c r="AU116" s="1"/>
      <c r="AV116" s="1"/>
      <c r="AW116" s="1"/>
      <c r="AX116" s="1"/>
      <c r="AY116" s="4"/>
      <c r="AZ116" s="4"/>
      <c r="BA116" s="4"/>
      <c r="BB116" s="33"/>
      <c r="BC116" s="4"/>
      <c r="BD116" s="3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R117" s="1"/>
      <c r="AS117" s="1"/>
      <c r="AT117" s="1"/>
      <c r="AU117" s="1"/>
      <c r="AV117" s="1"/>
      <c r="AW117" s="1"/>
      <c r="AX117" s="1"/>
      <c r="AY117" s="4"/>
      <c r="AZ117" s="4"/>
      <c r="BA117" s="4"/>
      <c r="BB117" s="33"/>
      <c r="BC117" s="4"/>
      <c r="BD117" s="3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R118" s="1"/>
      <c r="AS118" s="1"/>
      <c r="AT118" s="1"/>
      <c r="AU118" s="1"/>
      <c r="AV118" s="1"/>
      <c r="AW118" s="1"/>
      <c r="AX118" s="1"/>
      <c r="AY118" s="4"/>
      <c r="AZ118" s="4"/>
      <c r="BA118" s="4"/>
      <c r="BB118" s="33"/>
      <c r="BC118" s="4"/>
      <c r="BD118" s="3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R119" s="1"/>
      <c r="AS119" s="1"/>
      <c r="AT119" s="1"/>
      <c r="AU119" s="1"/>
      <c r="AV119" s="1"/>
      <c r="AW119" s="1"/>
      <c r="AX119" s="1"/>
      <c r="AY119" s="4"/>
      <c r="AZ119" s="4"/>
      <c r="BA119" s="4"/>
      <c r="BB119" s="33"/>
      <c r="BC119" s="4"/>
      <c r="BD119" s="3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R120" s="1"/>
      <c r="AS120" s="1"/>
      <c r="AT120" s="1"/>
      <c r="AU120" s="1"/>
      <c r="AV120" s="1"/>
      <c r="AW120" s="1"/>
      <c r="AX120" s="1"/>
      <c r="AY120" s="4"/>
      <c r="AZ120" s="4"/>
      <c r="BA120" s="4"/>
      <c r="BB120" s="33"/>
      <c r="BC120" s="4"/>
      <c r="BD120" s="3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R121" s="1"/>
      <c r="AS121" s="1"/>
      <c r="AT121" s="1"/>
      <c r="AU121" s="1"/>
      <c r="AV121" s="1"/>
      <c r="AW121" s="1"/>
      <c r="AX121" s="1"/>
      <c r="AY121" s="4"/>
      <c r="AZ121" s="4"/>
      <c r="BA121" s="4"/>
      <c r="BB121" s="33"/>
      <c r="BC121" s="4"/>
      <c r="BD121" s="3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R122" s="1"/>
      <c r="AS122" s="1"/>
      <c r="AT122" s="1"/>
      <c r="AU122" s="1"/>
      <c r="AV122" s="1"/>
      <c r="AW122" s="1"/>
      <c r="AX122" s="1"/>
      <c r="AY122" s="4"/>
      <c r="AZ122" s="4"/>
      <c r="BA122" s="4"/>
      <c r="BB122" s="33"/>
      <c r="BC122" s="4"/>
      <c r="BD122" s="3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R123" s="1"/>
      <c r="AS123" s="1"/>
      <c r="AT123" s="1"/>
      <c r="AU123" s="1"/>
      <c r="AV123" s="1"/>
      <c r="AW123" s="1"/>
      <c r="AX123" s="1"/>
      <c r="AY123" s="4"/>
      <c r="AZ123" s="4"/>
      <c r="BA123" s="4"/>
      <c r="BB123" s="33"/>
      <c r="BC123" s="4"/>
      <c r="BD123" s="3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R124" s="1"/>
      <c r="AS124" s="1"/>
      <c r="AT124" s="1"/>
      <c r="AU124" s="1"/>
      <c r="AV124" s="1"/>
      <c r="AW124" s="1"/>
      <c r="AX124" s="1"/>
      <c r="AY124" s="4"/>
      <c r="AZ124" s="4"/>
      <c r="BA124" s="4"/>
      <c r="BB124" s="33"/>
      <c r="BC124" s="4"/>
      <c r="BD124" s="3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R125" s="1"/>
      <c r="AS125" s="1"/>
      <c r="AT125" s="1"/>
      <c r="AU125" s="1"/>
      <c r="AV125" s="1"/>
      <c r="AW125" s="1"/>
      <c r="AX125" s="1"/>
      <c r="AY125" s="4"/>
      <c r="AZ125" s="4"/>
      <c r="BA125" s="4"/>
      <c r="BB125" s="33"/>
      <c r="BC125" s="4"/>
      <c r="BD125" s="3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R126" s="1"/>
      <c r="AS126" s="1"/>
      <c r="AT126" s="1"/>
      <c r="AU126" s="1"/>
      <c r="AV126" s="1"/>
      <c r="AW126" s="1"/>
      <c r="AX126" s="1"/>
      <c r="AY126" s="4"/>
      <c r="AZ126" s="4"/>
      <c r="BA126" s="4"/>
      <c r="BB126" s="33"/>
      <c r="BC126" s="4"/>
      <c r="BD126" s="3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R127" s="1"/>
      <c r="AS127" s="1"/>
      <c r="AT127" s="1"/>
      <c r="AU127" s="1"/>
      <c r="AV127" s="1"/>
      <c r="AW127" s="1"/>
      <c r="AX127" s="1"/>
      <c r="AY127" s="4"/>
      <c r="AZ127" s="4"/>
      <c r="BA127" s="4"/>
      <c r="BB127" s="33"/>
      <c r="BC127" s="4"/>
      <c r="BD127" s="3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R128" s="1"/>
      <c r="AS128" s="1"/>
      <c r="AT128" s="1"/>
      <c r="AU128" s="1"/>
      <c r="AV128" s="1"/>
      <c r="AW128" s="1"/>
      <c r="AX128" s="1"/>
      <c r="AY128" s="4"/>
      <c r="AZ128" s="4"/>
      <c r="BA128" s="4"/>
      <c r="BB128" s="33"/>
      <c r="BC128" s="4"/>
      <c r="BD128" s="3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R129" s="1"/>
      <c r="AS129" s="1"/>
      <c r="AT129" s="1"/>
      <c r="AU129" s="1"/>
      <c r="AV129" s="1"/>
      <c r="AW129" s="1"/>
      <c r="AX129" s="1"/>
      <c r="AY129" s="4"/>
      <c r="AZ129" s="4"/>
      <c r="BA129" s="4"/>
      <c r="BB129" s="33"/>
      <c r="BC129" s="4"/>
      <c r="BD129" s="3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R130" s="1"/>
      <c r="AS130" s="1"/>
      <c r="AT130" s="1"/>
      <c r="AU130" s="1"/>
      <c r="AV130" s="1"/>
      <c r="AW130" s="1"/>
      <c r="AX130" s="1"/>
      <c r="AY130" s="4"/>
      <c r="AZ130" s="4"/>
      <c r="BA130" s="4"/>
      <c r="BB130" s="33"/>
      <c r="BC130" s="4"/>
      <c r="BD130" s="3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R131" s="1"/>
      <c r="AS131" s="1"/>
      <c r="AT131" s="1"/>
      <c r="AU131" s="1"/>
      <c r="AV131" s="1"/>
      <c r="AW131" s="1"/>
      <c r="AX131" s="1"/>
      <c r="AY131" s="4"/>
      <c r="AZ131" s="4"/>
      <c r="BA131" s="4"/>
      <c r="BB131" s="33"/>
      <c r="BC131" s="4"/>
      <c r="BD131" s="3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R132" s="1"/>
      <c r="AS132" s="1"/>
      <c r="AT132" s="1"/>
      <c r="AU132" s="1"/>
      <c r="AV132" s="1"/>
      <c r="AW132" s="1"/>
      <c r="AX132" s="1"/>
      <c r="AY132" s="4"/>
      <c r="AZ132" s="4"/>
      <c r="BA132" s="4"/>
      <c r="BB132" s="33"/>
      <c r="BC132" s="4"/>
      <c r="BD132" s="33"/>
      <c r="BE132" s="4"/>
      <c r="BF132" s="4"/>
      <c r="BG132" s="1"/>
      <c r="BH13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4"/>
  <sheetViews>
    <sheetView zoomScale="80" zoomScaleNormal="80" workbookViewId="0">
      <selection activeCell="AV3" sqref="AV3:AX3"/>
    </sheetView>
  </sheetViews>
  <sheetFormatPr defaultColWidth="9.140625" defaultRowHeight="15.75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3.85546875" style="2" customWidth="1"/>
    <col min="6" max="7" width="20.28515625" style="2" bestFit="1" customWidth="1" outlineLevel="1"/>
    <col min="8" max="8" width="33.140625" style="2" bestFit="1" customWidth="1" outlineLevel="1"/>
    <col min="9" max="9" width="15.7109375" style="2" customWidth="1"/>
    <col min="10" max="10" width="24.5703125" style="2" customWidth="1"/>
    <col min="11" max="11" width="29.140625" style="2" bestFit="1" customWidth="1"/>
    <col min="12" max="12" width="9.42578125" style="2" customWidth="1"/>
    <col min="13" max="13" width="14.28515625" style="2" customWidth="1" outlineLevel="1"/>
    <col min="14" max="14" width="14.85546875" style="2" customWidth="1" outlineLevel="1"/>
    <col min="15" max="15" width="8.85546875" style="2" bestFit="1" customWidth="1" outlineLevel="1"/>
    <col min="16" max="16" width="12.28515625" style="2" customWidth="1" outlineLevel="1"/>
    <col min="17" max="17" width="12.7109375" style="2" customWidth="1" outlineLevel="1"/>
    <col min="18" max="18" width="7.5703125" style="3" customWidth="1" outlineLevel="1"/>
    <col min="19" max="19" width="9.5703125" style="4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12.85546875" style="1" customWidth="1"/>
    <col min="32" max="33" width="12.7109375" style="1" customWidth="1"/>
    <col min="34" max="34" width="9.28515625" style="1" bestFit="1" customWidth="1"/>
    <col min="35" max="35" width="15.2851562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6.5703125" style="2" bestFit="1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3" hidden="1" customWidth="1" outlineLevel="1"/>
    <col min="55" max="55" width="13.28515625" style="4" hidden="1" customWidth="1" outlineLevel="1"/>
    <col min="56" max="56" width="13" style="3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83.140625" style="1" customWidth="1" collapsed="1"/>
    <col min="60" max="16384" width="9.140625" style="1"/>
  </cols>
  <sheetData>
    <row r="1" spans="1:16379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05" t="s">
        <v>0</v>
      </c>
      <c r="BA1" s="106"/>
      <c r="BB1" s="106"/>
      <c r="BC1" s="106"/>
      <c r="BD1" s="106"/>
      <c r="BE1" s="106"/>
      <c r="BF1" s="106"/>
    </row>
    <row r="2" spans="1:16379" s="17" customFormat="1" ht="47.25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3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63" t="s">
        <v>217</v>
      </c>
      <c r="AW2" s="63" t="s">
        <v>218</v>
      </c>
      <c r="AX2" s="63" t="s">
        <v>219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6" customFormat="1" x14ac:dyDescent="0.25">
      <c r="A3" s="18"/>
      <c r="B3" s="62" t="s">
        <v>216</v>
      </c>
      <c r="C3" s="25"/>
      <c r="D3" s="32" t="s">
        <v>148</v>
      </c>
      <c r="E3" s="21" t="s">
        <v>149</v>
      </c>
      <c r="F3" s="34" t="s">
        <v>150</v>
      </c>
      <c r="G3" s="34" t="s">
        <v>150</v>
      </c>
      <c r="H3" s="8"/>
      <c r="I3" s="21">
        <f t="shared" ref="I3:I4" si="0">LEN(F3)</f>
        <v>10</v>
      </c>
      <c r="J3" s="21" t="str">
        <f>IF(LEN(F3)&lt;=$J$1,F3,"")</f>
        <v>Пуск (имп)</v>
      </c>
      <c r="K3" s="24" t="s">
        <v>151</v>
      </c>
      <c r="L3" s="22" t="s">
        <v>62</v>
      </c>
      <c r="M3" s="19" t="s">
        <v>63</v>
      </c>
      <c r="N3" s="19" t="s">
        <v>64</v>
      </c>
      <c r="O3" s="19"/>
      <c r="P3" s="23"/>
      <c r="Q3" s="23"/>
      <c r="R3" s="19" t="s">
        <v>65</v>
      </c>
      <c r="S3" s="19" t="s">
        <v>65</v>
      </c>
      <c r="T3" s="19" t="s">
        <v>65</v>
      </c>
      <c r="U3" s="19" t="s">
        <v>65</v>
      </c>
      <c r="V3" s="25"/>
      <c r="W3" s="25"/>
      <c r="X3" s="19" t="s">
        <v>65</v>
      </c>
      <c r="Y3" s="19">
        <v>2</v>
      </c>
      <c r="Z3" s="25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8"/>
      <c r="AJ3" s="35"/>
      <c r="AK3" s="35"/>
      <c r="AL3" s="35"/>
      <c r="AM3" s="35"/>
      <c r="AN3" s="35"/>
      <c r="AO3" s="35"/>
      <c r="AP3" s="35"/>
      <c r="AQ3" s="35"/>
      <c r="AR3" s="25">
        <v>0</v>
      </c>
      <c r="AS3" s="25">
        <v>1</v>
      </c>
      <c r="AT3" s="25">
        <v>0</v>
      </c>
      <c r="AU3" s="25">
        <v>1</v>
      </c>
      <c r="AV3" s="64">
        <v>1</v>
      </c>
      <c r="AW3" s="64">
        <v>1</v>
      </c>
      <c r="AX3" s="64">
        <v>1</v>
      </c>
      <c r="AY3" s="23"/>
      <c r="AZ3" s="25"/>
      <c r="BA3" s="25"/>
      <c r="BB3" s="25"/>
      <c r="BC3" s="25"/>
      <c r="BD3" s="25"/>
      <c r="BE3" s="25"/>
      <c r="BF3" s="25"/>
      <c r="BG3" s="29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"Пуск (имп)", note: "Пуск предупредительной сигнализации (импульс)", group: "status", minValue: null, maxValue: null, step: null, units: "null", defaultValue: null, eventRegistration: 2</v>
      </c>
    </row>
    <row r="4" spans="1:16379" s="36" customFormat="1" x14ac:dyDescent="0.25">
      <c r="A4" s="18"/>
      <c r="B4" s="62" t="s">
        <v>216</v>
      </c>
      <c r="C4" s="25"/>
      <c r="D4" s="32" t="s">
        <v>148</v>
      </c>
      <c r="E4" s="21" t="s">
        <v>152</v>
      </c>
      <c r="F4" s="34" t="s">
        <v>153</v>
      </c>
      <c r="G4" s="34" t="s">
        <v>153</v>
      </c>
      <c r="H4" s="8"/>
      <c r="I4" s="21">
        <f t="shared" si="0"/>
        <v>4</v>
      </c>
      <c r="J4" s="21" t="str">
        <f t="shared" ref="J4" si="2">IF(LEN(F4)&lt;=$J$1,F4,"")</f>
        <v>Пуск</v>
      </c>
      <c r="K4" s="24" t="s">
        <v>154</v>
      </c>
      <c r="L4" s="22" t="s">
        <v>62</v>
      </c>
      <c r="M4" s="19" t="s">
        <v>63</v>
      </c>
      <c r="N4" s="19" t="s">
        <v>64</v>
      </c>
      <c r="O4" s="19"/>
      <c r="P4" s="23"/>
      <c r="Q4" s="23"/>
      <c r="R4" s="19" t="s">
        <v>65</v>
      </c>
      <c r="S4" s="19" t="s">
        <v>65</v>
      </c>
      <c r="T4" s="19" t="s">
        <v>65</v>
      </c>
      <c r="U4" s="19" t="s">
        <v>65</v>
      </c>
      <c r="V4" s="25"/>
      <c r="W4" s="25"/>
      <c r="X4" s="19" t="s">
        <v>65</v>
      </c>
      <c r="Y4" s="19">
        <v>2</v>
      </c>
      <c r="Z4" s="25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8"/>
      <c r="AJ4" s="35"/>
      <c r="AK4" s="35"/>
      <c r="AL4" s="35"/>
      <c r="AM4" s="35"/>
      <c r="AN4" s="35"/>
      <c r="AO4" s="35"/>
      <c r="AP4" s="35"/>
      <c r="AQ4" s="35"/>
      <c r="AR4" s="25">
        <v>0</v>
      </c>
      <c r="AS4" s="25">
        <v>1</v>
      </c>
      <c r="AT4" s="25">
        <v>0</v>
      </c>
      <c r="AU4" s="25">
        <v>1</v>
      </c>
      <c r="AV4" s="64">
        <v>1</v>
      </c>
      <c r="AW4" s="64">
        <v>1</v>
      </c>
      <c r="AX4" s="64">
        <v>1</v>
      </c>
      <c r="AY4" s="23"/>
      <c r="AZ4" s="25"/>
      <c r="BA4" s="25"/>
      <c r="BB4" s="25"/>
      <c r="BC4" s="25"/>
      <c r="BD4" s="25"/>
      <c r="BE4" s="25"/>
      <c r="BF4" s="25"/>
      <c r="BG4" s="29" t="str">
        <f t="shared" si="1"/>
        <v>description: "Пуск", note: "Пуск предупредительной сигнализации", group: "status", minValue: null, maxValue: null, step: null, units: "null", defaultValue: null, eventRegistration: 2</v>
      </c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0"/>
  <sheetViews>
    <sheetView zoomScale="80" zoomScaleNormal="80" workbookViewId="0">
      <selection activeCell="E17" sqref="E17"/>
    </sheetView>
  </sheetViews>
  <sheetFormatPr defaultColWidth="9.140625" defaultRowHeight="15.75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1.5703125" style="1" customWidth="1"/>
    <col min="5" max="5" width="68.28515625" style="2" customWidth="1"/>
    <col min="6" max="6" width="22" style="2" customWidth="1" outlineLevel="1"/>
    <col min="7" max="7" width="19.5703125" style="2" bestFit="1" customWidth="1" outlineLevel="1"/>
    <col min="8" max="8" width="40.28515625" style="2" bestFit="1" customWidth="1" outlineLevel="1"/>
    <col min="9" max="9" width="7.28515625" style="2" bestFit="1" customWidth="1"/>
    <col min="10" max="10" width="25.28515625" style="2" bestFit="1" customWidth="1"/>
    <col min="11" max="11" width="29.42578125" style="2" bestFit="1" customWidth="1"/>
    <col min="12" max="12" width="9.42578125" style="2" customWidth="1"/>
    <col min="13" max="14" width="14.28515625" style="2" customWidth="1" outlineLevel="1"/>
    <col min="15" max="15" width="8.85546875" style="2" bestFit="1" customWidth="1" outlineLevel="1"/>
    <col min="16" max="16" width="16" style="2" bestFit="1" customWidth="1" outlineLevel="1"/>
    <col min="17" max="17" width="17.140625" style="2" bestFit="1" customWidth="1" outlineLevel="1"/>
    <col min="18" max="18" width="9.140625" style="3" customWidth="1" outlineLevel="1"/>
    <col min="19" max="19" width="9.5703125" style="4" customWidth="1" outlineLevel="1"/>
    <col min="20" max="20" width="11.28515625" style="4" customWidth="1" outlineLevel="1"/>
    <col min="21" max="21" width="8.28515625" style="4" customWidth="1" outlineLevel="1"/>
    <col min="22" max="22" width="12.5703125" style="4" customWidth="1" outlineLevel="1"/>
    <col min="23" max="23" width="13.5703125" style="4" customWidth="1" outlineLevel="1"/>
    <col min="24" max="24" width="13.1406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customWidth="1"/>
    <col min="32" max="33" width="12.7109375" style="1" customWidth="1"/>
    <col min="34" max="34" width="12.85546875" style="1" customWidth="1"/>
    <col min="35" max="35" width="15.85546875" style="1" bestFit="1" customWidth="1"/>
    <col min="36" max="36" width="24.5703125" style="2" customWidth="1"/>
    <col min="37" max="37" width="26.42578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9.57031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1" style="1" bestFit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3" hidden="1" customWidth="1" outlineLevel="1"/>
    <col min="55" max="55" width="13.28515625" style="4" hidden="1" customWidth="1" outlineLevel="1"/>
    <col min="56" max="56" width="13" style="3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85.28515625" style="1" bestFit="1" customWidth="1" collapsed="1"/>
    <col min="60" max="16384" width="9.140625" style="1"/>
  </cols>
  <sheetData>
    <row r="1" spans="1:16379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SUM(AA3:AA9)</f>
        <v>0</v>
      </c>
      <c r="AI1" s="37"/>
      <c r="AJ1" s="7"/>
      <c r="AK1" s="7"/>
      <c r="AL1" s="7"/>
      <c r="AM1" s="7"/>
      <c r="AN1" s="7"/>
      <c r="AO1" s="7"/>
      <c r="AP1" s="7"/>
      <c r="AQ1" s="7"/>
      <c r="AR1" s="37"/>
      <c r="AS1" s="6"/>
      <c r="AT1" s="6"/>
      <c r="AU1" s="6"/>
      <c r="AV1" s="6"/>
      <c r="AW1" s="6"/>
      <c r="AX1" s="6"/>
      <c r="AY1" s="8"/>
      <c r="AZ1" s="105" t="s">
        <v>0</v>
      </c>
      <c r="BA1" s="106"/>
      <c r="BB1" s="106"/>
      <c r="BC1" s="106"/>
      <c r="BD1" s="106"/>
      <c r="BE1" s="106"/>
      <c r="BF1" s="106"/>
    </row>
    <row r="2" spans="1:16379" s="17" customFormat="1" ht="47.25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1" customFormat="1" x14ac:dyDescent="0.25">
      <c r="A3" s="18"/>
      <c r="B3" s="18" t="s">
        <v>155</v>
      </c>
      <c r="C3" s="19"/>
      <c r="D3" s="32" t="s">
        <v>148</v>
      </c>
      <c r="E3" s="21" t="s">
        <v>156</v>
      </c>
      <c r="F3" s="21" t="s">
        <v>157</v>
      </c>
      <c r="G3" s="21" t="s">
        <v>158</v>
      </c>
      <c r="H3" s="21" t="s">
        <v>159</v>
      </c>
      <c r="I3" s="21">
        <f t="shared" ref="I3:I10" si="0">LEN(F3)</f>
        <v>11</v>
      </c>
      <c r="J3" s="21" t="str">
        <f t="shared" ref="J3:J10" si="1">IF(LEN(F3)&lt;=$J$1,F3,"")</f>
        <v>Контр_цепей</v>
      </c>
      <c r="K3" s="18" t="s">
        <v>160</v>
      </c>
      <c r="L3" s="22" t="s">
        <v>62</v>
      </c>
      <c r="M3" s="19" t="s">
        <v>64</v>
      </c>
      <c r="N3" s="19" t="s">
        <v>64</v>
      </c>
      <c r="O3" s="19"/>
      <c r="P3" s="23">
        <v>0</v>
      </c>
      <c r="Q3" s="23"/>
      <c r="R3" s="19" t="s">
        <v>65</v>
      </c>
      <c r="S3" s="19">
        <v>0</v>
      </c>
      <c r="T3" s="19">
        <v>1</v>
      </c>
      <c r="U3" s="19">
        <v>1</v>
      </c>
      <c r="V3" s="19"/>
      <c r="W3" s="19"/>
      <c r="X3" s="19">
        <v>0</v>
      </c>
      <c r="Y3" s="19">
        <v>0</v>
      </c>
      <c r="Z3" s="24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25"/>
      <c r="AJ3" s="25"/>
      <c r="AK3" s="25"/>
      <c r="AL3" s="25"/>
      <c r="AM3" s="25"/>
      <c r="AN3" s="25"/>
      <c r="AO3" s="25"/>
      <c r="AP3" s="25"/>
      <c r="AQ3" s="25"/>
      <c r="AR3" s="25">
        <v>0</v>
      </c>
      <c r="AS3" s="25">
        <v>0</v>
      </c>
      <c r="AT3" s="25">
        <v>0</v>
      </c>
      <c r="AU3" s="25">
        <v>0</v>
      </c>
      <c r="AV3" s="25">
        <f t="shared" ref="AV3:AV10" si="2">BIN2DEC(CONCATENATE(0,0,0,0,AR3,AS3,AT3,AU3))</f>
        <v>0</v>
      </c>
      <c r="AW3" s="25" t="s">
        <v>161</v>
      </c>
      <c r="AX3" s="25"/>
      <c r="AY3" s="23"/>
      <c r="AZ3" s="25"/>
      <c r="BA3" s="25"/>
      <c r="BB3" s="25"/>
      <c r="BC3" s="25"/>
      <c r="BD3" s="25"/>
      <c r="BE3" s="25"/>
      <c r="BF3" s="25"/>
      <c r="BG3" s="29" t="str">
        <f t="shared" ref="BG3:BG10" si="3">CONCATENATE("description: """,F3,"""", ", ", "note: """,E3,"""",", ","group: """, B3, """",", ","minValue: ", S3,", ","maxValue: ", T3,", ","step: ", U3,", ","units: """, R3, """",", ","defaultValue: ", X3,", ","eventRegistration: ", Y3,)</f>
        <v>description: "Контр_цепей", note: "Контроль выходных цепей", group: "setting", minValue: 0, maxValue: 1, step: 1, units: "null", defaultValue: 0, eventRegistration: 0</v>
      </c>
    </row>
    <row r="4" spans="1:16379" s="31" customFormat="1" x14ac:dyDescent="0.25">
      <c r="A4" s="18"/>
      <c r="B4" s="18" t="s">
        <v>155</v>
      </c>
      <c r="C4" s="19"/>
      <c r="D4" s="32" t="s">
        <v>148</v>
      </c>
      <c r="E4" s="21" t="s">
        <v>162</v>
      </c>
      <c r="F4" s="21" t="s">
        <v>163</v>
      </c>
      <c r="G4" s="21" t="s">
        <v>164</v>
      </c>
      <c r="H4" s="21" t="s">
        <v>159</v>
      </c>
      <c r="I4" s="21">
        <f t="shared" si="0"/>
        <v>15</v>
      </c>
      <c r="J4" s="21" t="str">
        <f t="shared" si="1"/>
        <v>Контр_вывода_БИ</v>
      </c>
      <c r="K4" s="18" t="s">
        <v>165</v>
      </c>
      <c r="L4" s="22" t="s">
        <v>62</v>
      </c>
      <c r="M4" s="19" t="s">
        <v>64</v>
      </c>
      <c r="N4" s="19" t="s">
        <v>64</v>
      </c>
      <c r="O4" s="19"/>
      <c r="P4" s="23">
        <v>0</v>
      </c>
      <c r="Q4" s="23"/>
      <c r="R4" s="19" t="s">
        <v>65</v>
      </c>
      <c r="S4" s="19">
        <v>0</v>
      </c>
      <c r="T4" s="19">
        <v>1</v>
      </c>
      <c r="U4" s="19">
        <v>1</v>
      </c>
      <c r="V4" s="19"/>
      <c r="W4" s="19"/>
      <c r="X4" s="19">
        <v>0</v>
      </c>
      <c r="Y4" s="19">
        <v>0</v>
      </c>
      <c r="Z4" s="24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25"/>
      <c r="AJ4" s="25"/>
      <c r="AK4" s="25"/>
      <c r="AL4" s="25"/>
      <c r="AM4" s="25"/>
      <c r="AN4" s="25"/>
      <c r="AO4" s="25"/>
      <c r="AP4" s="25"/>
      <c r="AQ4" s="25"/>
      <c r="AR4" s="25">
        <v>0</v>
      </c>
      <c r="AS4" s="25">
        <v>0</v>
      </c>
      <c r="AT4" s="25">
        <v>0</v>
      </c>
      <c r="AU4" s="25">
        <v>0</v>
      </c>
      <c r="AV4" s="25">
        <f t="shared" si="2"/>
        <v>0</v>
      </c>
      <c r="AW4" s="25" t="s">
        <v>161</v>
      </c>
      <c r="AX4" s="25"/>
      <c r="AY4" s="23"/>
      <c r="AZ4" s="25"/>
      <c r="BA4" s="25"/>
      <c r="BB4" s="25"/>
      <c r="BC4" s="25"/>
      <c r="BD4" s="25"/>
      <c r="BE4" s="25"/>
      <c r="BF4" s="25"/>
      <c r="BG4" s="29" t="str">
        <f t="shared" si="3"/>
        <v>description: "Контр_вывода_БИ", note: "Контроль выведенного положения БИ", group: "setting", minValue: 0, maxValue: 1, step: 1, units: "null", defaultValue: 0, eventRegistration: 0</v>
      </c>
    </row>
    <row r="5" spans="1:16379" s="31" customFormat="1" x14ac:dyDescent="0.25">
      <c r="A5" s="18"/>
      <c r="B5" s="18" t="s">
        <v>155</v>
      </c>
      <c r="C5" s="19"/>
      <c r="D5" s="32" t="s">
        <v>148</v>
      </c>
      <c r="E5" s="21" t="s">
        <v>166</v>
      </c>
      <c r="F5" s="21" t="s">
        <v>167</v>
      </c>
      <c r="G5" s="21" t="s">
        <v>168</v>
      </c>
      <c r="H5" s="21" t="s">
        <v>159</v>
      </c>
      <c r="I5" s="21">
        <f t="shared" si="0"/>
        <v>13</v>
      </c>
      <c r="J5" s="21" t="str">
        <f t="shared" si="1"/>
        <v>Контр_ОТ_сигн</v>
      </c>
      <c r="K5" s="18" t="s">
        <v>169</v>
      </c>
      <c r="L5" s="22" t="s">
        <v>62</v>
      </c>
      <c r="M5" s="19" t="s">
        <v>64</v>
      </c>
      <c r="N5" s="19" t="s">
        <v>64</v>
      </c>
      <c r="O5" s="19"/>
      <c r="P5" s="23">
        <v>0</v>
      </c>
      <c r="Q5" s="23"/>
      <c r="R5" s="19" t="s">
        <v>65</v>
      </c>
      <c r="S5" s="19">
        <v>0</v>
      </c>
      <c r="T5" s="19">
        <v>1</v>
      </c>
      <c r="U5" s="19">
        <v>1</v>
      </c>
      <c r="V5" s="19"/>
      <c r="W5" s="19"/>
      <c r="X5" s="19">
        <v>0</v>
      </c>
      <c r="Y5" s="19">
        <v>0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25"/>
      <c r="AJ5" s="25"/>
      <c r="AK5" s="25"/>
      <c r="AL5" s="25"/>
      <c r="AM5" s="25"/>
      <c r="AN5" s="25"/>
      <c r="AO5" s="25"/>
      <c r="AP5" s="25"/>
      <c r="AQ5" s="25"/>
      <c r="AR5" s="25">
        <v>0</v>
      </c>
      <c r="AS5" s="25">
        <v>0</v>
      </c>
      <c r="AT5" s="25">
        <v>0</v>
      </c>
      <c r="AU5" s="25">
        <v>0</v>
      </c>
      <c r="AV5" s="25">
        <f t="shared" si="2"/>
        <v>0</v>
      </c>
      <c r="AW5" s="25" t="s">
        <v>161</v>
      </c>
      <c r="AX5" s="25"/>
      <c r="AY5" s="23"/>
      <c r="AZ5" s="25"/>
      <c r="BA5" s="25"/>
      <c r="BB5" s="25"/>
      <c r="BC5" s="25"/>
      <c r="BD5" s="25"/>
      <c r="BE5" s="25"/>
      <c r="BF5" s="25"/>
      <c r="BG5" s="29" t="str">
        <f t="shared" si="3"/>
        <v>description: "Контр_ОТ_сигн", note: "Контроль сигнализации опер.тока", group: "setting", minValue: 0, maxValue: 1, step: 1, units: "null", defaultValue: 0, eventRegistration: 0</v>
      </c>
    </row>
    <row r="6" spans="1:16379" s="31" customFormat="1" x14ac:dyDescent="0.25">
      <c r="A6" s="18"/>
      <c r="B6" s="18" t="s">
        <v>155</v>
      </c>
      <c r="C6" s="19"/>
      <c r="D6" s="32" t="s">
        <v>148</v>
      </c>
      <c r="E6" s="21" t="s">
        <v>170</v>
      </c>
      <c r="F6" s="21" t="s">
        <v>171</v>
      </c>
      <c r="G6" s="21" t="s">
        <v>172</v>
      </c>
      <c r="H6" s="21" t="s">
        <v>159</v>
      </c>
      <c r="I6" s="21">
        <f t="shared" si="0"/>
        <v>15</v>
      </c>
      <c r="J6" s="21" t="str">
        <f t="shared" si="1"/>
        <v>Контр_Неиспр_КА</v>
      </c>
      <c r="K6" s="18" t="s">
        <v>173</v>
      </c>
      <c r="L6" s="22" t="s">
        <v>62</v>
      </c>
      <c r="M6" s="19" t="s">
        <v>64</v>
      </c>
      <c r="N6" s="19" t="s">
        <v>64</v>
      </c>
      <c r="O6" s="19"/>
      <c r="P6" s="23">
        <v>0</v>
      </c>
      <c r="Q6" s="23"/>
      <c r="R6" s="19" t="s">
        <v>65</v>
      </c>
      <c r="S6" s="19">
        <v>0</v>
      </c>
      <c r="T6" s="19">
        <v>1</v>
      </c>
      <c r="U6" s="19">
        <v>1</v>
      </c>
      <c r="V6" s="19"/>
      <c r="W6" s="19"/>
      <c r="X6" s="19">
        <v>0</v>
      </c>
      <c r="Y6" s="19">
        <v>0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25"/>
      <c r="AJ6" s="25"/>
      <c r="AK6" s="25"/>
      <c r="AL6" s="25"/>
      <c r="AM6" s="25"/>
      <c r="AN6" s="25"/>
      <c r="AO6" s="25"/>
      <c r="AP6" s="25"/>
      <c r="AQ6" s="25"/>
      <c r="AR6" s="25">
        <v>0</v>
      </c>
      <c r="AS6" s="25">
        <v>0</v>
      </c>
      <c r="AT6" s="25">
        <v>0</v>
      </c>
      <c r="AU6" s="25">
        <v>0</v>
      </c>
      <c r="AV6" s="25">
        <f t="shared" si="2"/>
        <v>0</v>
      </c>
      <c r="AW6" s="25" t="s">
        <v>161</v>
      </c>
      <c r="AX6" s="25"/>
      <c r="AY6" s="23"/>
      <c r="AZ6" s="25"/>
      <c r="BA6" s="25"/>
      <c r="BB6" s="25"/>
      <c r="BC6" s="25"/>
      <c r="BD6" s="25"/>
      <c r="BE6" s="25"/>
      <c r="BF6" s="25"/>
      <c r="BG6" s="29" t="str">
        <f t="shared" si="3"/>
        <v>description: "Контр_Неиспр_КА", note: "Контроль неисправности КА", group: "setting", minValue: 0, maxValue: 1, step: 1, units: "null", defaultValue: 0, eventRegistration: 0</v>
      </c>
    </row>
    <row r="7" spans="1:16379" s="31" customFormat="1" ht="16.5" customHeight="1" x14ac:dyDescent="0.25">
      <c r="A7" s="18"/>
      <c r="B7" s="18" t="s">
        <v>155</v>
      </c>
      <c r="C7" s="19"/>
      <c r="D7" s="32" t="s">
        <v>148</v>
      </c>
      <c r="E7" s="21" t="s">
        <v>174</v>
      </c>
      <c r="F7" s="21" t="s">
        <v>208</v>
      </c>
      <c r="G7" s="21" t="s">
        <v>175</v>
      </c>
      <c r="H7" s="21" t="s">
        <v>159</v>
      </c>
      <c r="I7" s="21">
        <f t="shared" si="0"/>
        <v>17</v>
      </c>
      <c r="J7" s="21" t="str">
        <f t="shared" si="1"/>
        <v>Контр_прев_вр_пер</v>
      </c>
      <c r="K7" s="18" t="s">
        <v>176</v>
      </c>
      <c r="L7" s="22" t="s">
        <v>62</v>
      </c>
      <c r="M7" s="19" t="s">
        <v>64</v>
      </c>
      <c r="N7" s="19" t="s">
        <v>64</v>
      </c>
      <c r="O7" s="19"/>
      <c r="P7" s="23">
        <v>0</v>
      </c>
      <c r="Q7" s="23"/>
      <c r="R7" s="19" t="s">
        <v>65</v>
      </c>
      <c r="S7" s="19">
        <v>0</v>
      </c>
      <c r="T7" s="19">
        <v>1</v>
      </c>
      <c r="U7" s="19">
        <v>1</v>
      </c>
      <c r="V7" s="19"/>
      <c r="W7" s="19"/>
      <c r="X7" s="19">
        <v>0</v>
      </c>
      <c r="Y7" s="19">
        <v>0</v>
      </c>
      <c r="Z7" s="24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25"/>
      <c r="AJ7" s="25"/>
      <c r="AK7" s="25"/>
      <c r="AL7" s="25"/>
      <c r="AM7" s="25"/>
      <c r="AN7" s="25"/>
      <c r="AO7" s="25"/>
      <c r="AP7" s="25"/>
      <c r="AQ7" s="25"/>
      <c r="AR7" s="25">
        <v>0</v>
      </c>
      <c r="AS7" s="25">
        <v>0</v>
      </c>
      <c r="AT7" s="25">
        <v>0</v>
      </c>
      <c r="AU7" s="25">
        <v>0</v>
      </c>
      <c r="AV7" s="25">
        <f t="shared" si="2"/>
        <v>0</v>
      </c>
      <c r="AW7" s="25" t="s">
        <v>161</v>
      </c>
      <c r="AX7" s="25"/>
      <c r="AY7" s="23"/>
      <c r="AZ7" s="25"/>
      <c r="BA7" s="25"/>
      <c r="BB7" s="25"/>
      <c r="BC7" s="25"/>
      <c r="BD7" s="25"/>
      <c r="BE7" s="25"/>
      <c r="BF7" s="25"/>
      <c r="BG7" s="29" t="str">
        <f t="shared" si="3"/>
        <v>description: "Контр_прев_вр_пер", note: "Контроль превышения времени переключения КА", group: "setting", minValue: 0, maxValue: 1, step: 1, units: "null", defaultValue: 0, eventRegistration: 0</v>
      </c>
    </row>
    <row r="8" spans="1:16379" s="31" customFormat="1" ht="16.5" customHeight="1" x14ac:dyDescent="0.25">
      <c r="A8" s="18"/>
      <c r="B8" s="18" t="s">
        <v>155</v>
      </c>
      <c r="C8" s="19"/>
      <c r="D8" s="32" t="s">
        <v>148</v>
      </c>
      <c r="E8" s="21" t="s">
        <v>177</v>
      </c>
      <c r="F8" s="21" t="s">
        <v>209</v>
      </c>
      <c r="G8" s="21" t="s">
        <v>178</v>
      </c>
      <c r="H8" s="21" t="s">
        <v>159</v>
      </c>
      <c r="I8" s="21">
        <f t="shared" si="0"/>
        <v>17</v>
      </c>
      <c r="J8" s="21" t="str">
        <f t="shared" si="1"/>
        <v>Контр_общ_вн_сигн</v>
      </c>
      <c r="K8" s="18" t="s">
        <v>179</v>
      </c>
      <c r="L8" s="22" t="s">
        <v>62</v>
      </c>
      <c r="M8" s="19" t="s">
        <v>64</v>
      </c>
      <c r="N8" s="19" t="s">
        <v>64</v>
      </c>
      <c r="O8" s="19"/>
      <c r="P8" s="23">
        <v>0</v>
      </c>
      <c r="Q8" s="23"/>
      <c r="R8" s="19" t="s">
        <v>65</v>
      </c>
      <c r="S8" s="19">
        <v>0</v>
      </c>
      <c r="T8" s="19">
        <v>1</v>
      </c>
      <c r="U8" s="19">
        <v>1</v>
      </c>
      <c r="V8" s="19"/>
      <c r="W8" s="19"/>
      <c r="X8" s="19">
        <v>0</v>
      </c>
      <c r="Y8" s="19">
        <v>0</v>
      </c>
      <c r="Z8" s="24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25"/>
      <c r="AJ8" s="25"/>
      <c r="AK8" s="25"/>
      <c r="AL8" s="25"/>
      <c r="AM8" s="25"/>
      <c r="AN8" s="25"/>
      <c r="AO8" s="25"/>
      <c r="AP8" s="25"/>
      <c r="AQ8" s="25"/>
      <c r="AR8" s="25">
        <v>0</v>
      </c>
      <c r="AS8" s="25">
        <v>0</v>
      </c>
      <c r="AT8" s="25">
        <v>0</v>
      </c>
      <c r="AU8" s="25">
        <v>0</v>
      </c>
      <c r="AV8" s="25">
        <f t="shared" si="2"/>
        <v>0</v>
      </c>
      <c r="AW8" s="25" t="s">
        <v>161</v>
      </c>
      <c r="AX8" s="25"/>
      <c r="AY8" s="23"/>
      <c r="AZ8" s="25"/>
      <c r="BA8" s="25"/>
      <c r="BB8" s="25"/>
      <c r="BC8" s="25"/>
      <c r="BD8" s="25"/>
      <c r="BE8" s="25"/>
      <c r="BF8" s="25"/>
      <c r="BG8" s="29" t="str">
        <f t="shared" si="3"/>
        <v>description: "Контр_общ_вн_сигн", note: "Контроль общего внешнего сигнала", group: "setting", minValue: 0, maxValue: 1, step: 1, units: "null", defaultValue: 0, eventRegistration: 0</v>
      </c>
    </row>
    <row r="9" spans="1:16379" s="38" customFormat="1" ht="16.5" customHeight="1" x14ac:dyDescent="0.25">
      <c r="A9" s="81"/>
      <c r="B9" s="81" t="s">
        <v>155</v>
      </c>
      <c r="C9" s="82"/>
      <c r="D9" s="20" t="s">
        <v>148</v>
      </c>
      <c r="E9" s="90" t="s">
        <v>227</v>
      </c>
      <c r="F9" s="90" t="s">
        <v>228</v>
      </c>
      <c r="G9" s="83" t="s">
        <v>180</v>
      </c>
      <c r="H9" s="83" t="s">
        <v>159</v>
      </c>
      <c r="I9" s="83">
        <f t="shared" si="0"/>
        <v>19</v>
      </c>
      <c r="J9" s="83" t="str">
        <f t="shared" si="1"/>
        <v>Контр_пол_ав_дебл_1</v>
      </c>
      <c r="K9" s="81" t="s">
        <v>229</v>
      </c>
      <c r="L9" s="84" t="s">
        <v>62</v>
      </c>
      <c r="M9" s="82" t="s">
        <v>64</v>
      </c>
      <c r="N9" s="82" t="s">
        <v>64</v>
      </c>
      <c r="O9" s="82"/>
      <c r="P9" s="85">
        <v>0</v>
      </c>
      <c r="Q9" s="85"/>
      <c r="R9" s="82" t="s">
        <v>65</v>
      </c>
      <c r="S9" s="82">
        <v>0</v>
      </c>
      <c r="T9" s="82">
        <v>1</v>
      </c>
      <c r="U9" s="82">
        <v>1</v>
      </c>
      <c r="V9" s="82"/>
      <c r="W9" s="82"/>
      <c r="X9" s="82">
        <v>0</v>
      </c>
      <c r="Y9" s="82">
        <v>0</v>
      </c>
      <c r="Z9" s="86"/>
      <c r="AA9" s="87">
        <v>0</v>
      </c>
      <c r="AB9" s="87"/>
      <c r="AC9" s="87"/>
      <c r="AD9" s="87"/>
      <c r="AE9" s="87"/>
      <c r="AF9" s="87">
        <v>0</v>
      </c>
      <c r="AG9" s="87">
        <v>0</v>
      </c>
      <c r="AH9" s="87">
        <v>0</v>
      </c>
      <c r="AI9" s="87"/>
      <c r="AJ9" s="87"/>
      <c r="AK9" s="87"/>
      <c r="AL9" s="87"/>
      <c r="AM9" s="87"/>
      <c r="AN9" s="87"/>
      <c r="AO9" s="87"/>
      <c r="AP9" s="87"/>
      <c r="AQ9" s="87"/>
      <c r="AR9" s="87">
        <v>0</v>
      </c>
      <c r="AS9" s="87">
        <v>0</v>
      </c>
      <c r="AT9" s="87">
        <v>0</v>
      </c>
      <c r="AU9" s="87">
        <v>0</v>
      </c>
      <c r="AV9" s="87">
        <f t="shared" si="2"/>
        <v>0</v>
      </c>
      <c r="AW9" s="87" t="s">
        <v>161</v>
      </c>
      <c r="AX9" s="87"/>
      <c r="AY9" s="85"/>
      <c r="AZ9" s="87"/>
      <c r="BA9" s="87"/>
      <c r="BB9" s="87"/>
      <c r="BC9" s="87"/>
      <c r="BD9" s="87"/>
      <c r="BE9" s="87"/>
      <c r="BF9" s="87"/>
      <c r="BG9" s="88" t="str">
        <f t="shared" si="3"/>
        <v>description: "Контр_пол_ав_дебл_1", note: "Контроль положения переключателя 1 аварийной деблокировки", group: "setting", minValue: 0, maxValue: 1, step: 1, units: "null", defaultValue: 0, eventRegistration: 0</v>
      </c>
    </row>
    <row r="10" spans="1:16379" s="38" customFormat="1" ht="16.5" customHeight="1" x14ac:dyDescent="0.25">
      <c r="A10" s="81"/>
      <c r="B10" s="81" t="s">
        <v>155</v>
      </c>
      <c r="C10" s="82"/>
      <c r="D10" s="20" t="s">
        <v>148</v>
      </c>
      <c r="E10" s="90" t="s">
        <v>230</v>
      </c>
      <c r="F10" s="90" t="s">
        <v>231</v>
      </c>
      <c r="G10" s="83" t="s">
        <v>232</v>
      </c>
      <c r="H10" s="83" t="s">
        <v>159</v>
      </c>
      <c r="I10" s="83">
        <f t="shared" si="0"/>
        <v>19</v>
      </c>
      <c r="J10" s="83" t="str">
        <f t="shared" si="1"/>
        <v>Контр_пол_ав_дебл_2</v>
      </c>
      <c r="K10" s="81" t="s">
        <v>233</v>
      </c>
      <c r="L10" s="84" t="s">
        <v>62</v>
      </c>
      <c r="M10" s="82" t="s">
        <v>64</v>
      </c>
      <c r="N10" s="82" t="s">
        <v>64</v>
      </c>
      <c r="O10" s="82"/>
      <c r="P10" s="85">
        <v>0</v>
      </c>
      <c r="Q10" s="85"/>
      <c r="R10" s="82" t="s">
        <v>65</v>
      </c>
      <c r="S10" s="82">
        <v>0</v>
      </c>
      <c r="T10" s="82">
        <v>1</v>
      </c>
      <c r="U10" s="82">
        <v>1</v>
      </c>
      <c r="V10" s="82"/>
      <c r="W10" s="82"/>
      <c r="X10" s="82">
        <v>0</v>
      </c>
      <c r="Y10" s="82">
        <v>0</v>
      </c>
      <c r="Z10" s="86"/>
      <c r="AA10" s="87">
        <v>0</v>
      </c>
      <c r="AB10" s="87"/>
      <c r="AC10" s="87"/>
      <c r="AD10" s="87"/>
      <c r="AE10" s="87"/>
      <c r="AF10" s="87">
        <v>0</v>
      </c>
      <c r="AG10" s="87">
        <v>0</v>
      </c>
      <c r="AH10" s="87">
        <v>0</v>
      </c>
      <c r="AI10" s="87"/>
      <c r="AJ10" s="87"/>
      <c r="AK10" s="87"/>
      <c r="AL10" s="87"/>
      <c r="AM10" s="87"/>
      <c r="AN10" s="87"/>
      <c r="AO10" s="87"/>
      <c r="AP10" s="87"/>
      <c r="AQ10" s="87"/>
      <c r="AR10" s="87">
        <v>0</v>
      </c>
      <c r="AS10" s="87">
        <v>0</v>
      </c>
      <c r="AT10" s="87">
        <v>0</v>
      </c>
      <c r="AU10" s="87">
        <v>0</v>
      </c>
      <c r="AV10" s="87">
        <f t="shared" si="2"/>
        <v>0</v>
      </c>
      <c r="AW10" s="87" t="s">
        <v>161</v>
      </c>
      <c r="AX10" s="87"/>
      <c r="AY10" s="85"/>
      <c r="AZ10" s="87"/>
      <c r="BA10" s="87"/>
      <c r="BB10" s="87"/>
      <c r="BC10" s="87"/>
      <c r="BD10" s="87"/>
      <c r="BE10" s="87"/>
      <c r="BF10" s="87"/>
      <c r="BG10" s="88" t="str">
        <f t="shared" si="3"/>
        <v>description: "Контр_пол_ав_дебл_2", note: "Контроль положения переключателя 2 аварийной деблокировки", group: "setting", minValue: 0, maxValue: 1, step: 1, units: "null", defaultValue: 0, eventRegistration: 0</v>
      </c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16" sqref="B16"/>
    </sheetView>
  </sheetViews>
  <sheetFormatPr defaultRowHeight="15.75" x14ac:dyDescent="0.25"/>
  <cols>
    <col min="1" max="1" width="22.42578125" style="38" customWidth="1"/>
    <col min="2" max="2" width="57.5703125" style="38" customWidth="1"/>
    <col min="3" max="16384" width="9.140625" style="38"/>
  </cols>
  <sheetData>
    <row r="2" spans="1:2" x14ac:dyDescent="0.25">
      <c r="A2" s="9" t="s">
        <v>181</v>
      </c>
      <c r="B2" s="9" t="s">
        <v>182</v>
      </c>
    </row>
    <row r="3" spans="1:2" x14ac:dyDescent="0.25">
      <c r="A3" s="39" t="s">
        <v>183</v>
      </c>
      <c r="B3" s="40" t="s">
        <v>148</v>
      </c>
    </row>
    <row r="4" spans="1:2" x14ac:dyDescent="0.25">
      <c r="A4" s="39" t="s">
        <v>184</v>
      </c>
      <c r="B4" s="41">
        <v>580</v>
      </c>
    </row>
    <row r="5" spans="1:2" x14ac:dyDescent="0.25">
      <c r="A5" s="39" t="s">
        <v>185</v>
      </c>
      <c r="B5" s="42" t="s">
        <v>64</v>
      </c>
    </row>
    <row r="6" spans="1:2" x14ac:dyDescent="0.25">
      <c r="A6" s="43" t="s">
        <v>186</v>
      </c>
      <c r="B6" s="42" t="s">
        <v>212</v>
      </c>
    </row>
    <row r="7" spans="1:2" x14ac:dyDescent="0.25">
      <c r="A7" s="43" t="s">
        <v>187</v>
      </c>
      <c r="B7" s="42">
        <v>2</v>
      </c>
    </row>
    <row r="8" spans="1:2" s="60" customFormat="1" x14ac:dyDescent="0.25">
      <c r="A8" s="59" t="s">
        <v>213</v>
      </c>
      <c r="B8" t="s">
        <v>214</v>
      </c>
    </row>
    <row r="9" spans="1:2" s="60" customFormat="1" x14ac:dyDescent="0.25">
      <c r="A9" s="59" t="s">
        <v>215</v>
      </c>
      <c r="B9" s="59"/>
    </row>
    <row r="10" spans="1:2" s="60" customFormat="1" x14ac:dyDescent="0.25">
      <c r="A10" s="61" t="s">
        <v>148</v>
      </c>
      <c r="B10" t="s">
        <v>214</v>
      </c>
    </row>
    <row r="11" spans="1:2" s="60" customFormat="1" x14ac:dyDescent="0.25">
      <c r="A11" s="59" t="s">
        <v>215</v>
      </c>
      <c r="B11" s="59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2025-10-17T05:49:19Z</dcterms:modified>
</cp:coreProperties>
</file>