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27" i="5" l="1"/>
  <c r="AP25" i="5"/>
  <c r="AP24" i="5"/>
  <c r="AP23" i="5"/>
  <c r="AP22" i="5"/>
  <c r="AP21" i="5"/>
  <c r="AP20" i="5"/>
  <c r="AP19" i="5"/>
  <c r="AP18" i="5"/>
  <c r="AP17" i="5"/>
  <c r="AP15" i="5"/>
  <c r="AP14" i="5"/>
  <c r="AP13" i="5"/>
  <c r="AP12" i="5"/>
  <c r="AP11" i="5"/>
  <c r="AP10" i="5"/>
  <c r="AP9" i="5"/>
  <c r="AP8" i="5"/>
  <c r="AP7" i="5"/>
  <c r="AP5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J11" i="4"/>
  <c r="J12" i="4"/>
  <c r="J13" i="4"/>
  <c r="J10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I13" i="4"/>
  <c r="BG12" i="4"/>
  <c r="AV12" i="4"/>
  <c r="I12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8" i="5"/>
  <c r="I29" i="5"/>
  <c r="I30" i="5"/>
  <c r="I31" i="5"/>
  <c r="J4" i="5"/>
  <c r="J5" i="5"/>
  <c r="J6" i="5"/>
  <c r="J7" i="5"/>
  <c r="J8" i="5"/>
  <c r="J28" i="5"/>
  <c r="J29" i="5"/>
  <c r="J30" i="5"/>
  <c r="J31" i="5"/>
  <c r="J3" i="4"/>
  <c r="J4" i="4"/>
  <c r="J27" i="4"/>
  <c r="J28" i="4"/>
  <c r="J29" i="4"/>
  <c r="I3" i="4"/>
  <c r="I4" i="4"/>
  <c r="I27" i="4"/>
  <c r="I28" i="4"/>
  <c r="I29" i="4"/>
  <c r="AV28" i="5" l="1"/>
  <c r="AV29" i="5"/>
  <c r="AV30" i="5"/>
  <c r="AV31" i="5"/>
  <c r="AV3" i="6" l="1"/>
  <c r="BG7" i="5"/>
  <c r="BG5" i="5"/>
  <c r="BG4" i="4"/>
  <c r="AV4" i="4"/>
  <c r="BG3" i="4"/>
  <c r="BG4" i="5"/>
  <c r="BG6" i="5"/>
  <c r="BG8" i="5"/>
  <c r="BG28" i="5"/>
  <c r="BG29" i="5"/>
  <c r="BG30" i="5"/>
  <c r="BG31" i="5"/>
  <c r="BG27" i="4"/>
  <c r="BG28" i="4"/>
  <c r="BG29" i="4"/>
  <c r="BG3" i="6"/>
  <c r="J3" i="6"/>
  <c r="I3" i="6"/>
  <c r="AH1" i="6"/>
  <c r="AP31" i="5"/>
  <c r="AP30" i="5"/>
  <c r="AP29" i="5"/>
  <c r="AP28" i="5"/>
  <c r="AP6" i="5"/>
  <c r="BG3" i="5"/>
  <c r="J3" i="5"/>
  <c r="I3" i="5"/>
  <c r="AH1" i="5"/>
  <c r="AV29" i="4"/>
  <c r="AV28" i="4"/>
  <c r="AV27" i="4"/>
  <c r="AP27" i="4"/>
  <c r="AH1" i="4"/>
</calcChain>
</file>

<file path=xl/sharedStrings.xml><?xml version="1.0" encoding="utf-8"?>
<sst xmlns="http://schemas.openxmlformats.org/spreadsheetml/2006/main" count="1609" uniqueCount="358">
  <si>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</si>
  <si>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</si>
  <si>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</si>
  <si>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</si>
  <si>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</si>
  <si>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</si>
  <si>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</si>
  <si>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</si>
  <si>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</si>
  <si>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</si>
  <si>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</si>
  <si>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</si>
  <si>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</si>
  <si>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</si>
  <si>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</si>
  <si>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</si>
  <si>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</si>
  <si>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</si>
  <si>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</si>
  <si>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</si>
  <si>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</si>
  <si>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</si>
  <si>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</si>
  <si>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</si>
  <si>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</si>
  <si>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</si>
  <si>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</si>
  <si>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</si>
  <si>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</si>
  <si>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</si>
  <si>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</si>
  <si>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</si>
  <si>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</si>
  <si>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</si>
  <si>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</si>
  <si>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</si>
  <si>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</si>
  <si>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</si>
  <si>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</si>
  <si>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</si>
  <si>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</si>
  <si>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</si>
  <si>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</si>
  <si>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</si>
  <si>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</si>
  <si>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</si>
  <si>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</si>
  <si>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</si>
  <si>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</si>
  <si>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</si>
  <si>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</si>
  <si>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</si>
  <si>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</si>
  <si>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</si>
  <si>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</si>
  <si>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</si>
  <si>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</si>
  <si>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</si>
  <si>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</si>
  <si>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</si>
  <si>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</si>
  <si>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</si>
  <si>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</si>
  <si>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</si>
  <si>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</si>
  <si>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</si>
  <si>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</si>
  <si>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</si>
  <si>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</si>
  <si>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</si>
  <si>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</si>
  <si>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</si>
  <si>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</si>
  <si>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</si>
  <si>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</si>
  <si>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</si>
  <si>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</si>
  <si>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</si>
  <si>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</si>
  <si>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</si>
  <si>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</si>
  <si>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</si>
  <si>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</si>
  <si>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</si>
  <si>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</si>
  <si>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</si>
  <si>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</si>
  <si>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</si>
  <si>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Срабатывание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</si>
  <si>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</si>
  <si>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</si>
  <si>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</si>
  <si>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</si>
  <si>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</si>
  <si>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</si>
  <si>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</si>
  <si>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</si>
  <si>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</si>
  <si>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</si>
  <si>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</si>
  <si>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</si>
  <si>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</si>
  <si>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</si>
  <si>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</si>
  <si>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</si>
  <si>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</si>
  <si>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</si>
  <si>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</si>
  <si>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</si>
  <si>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</si>
  <si>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</si>
  <si>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</si>
  <si>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</si>
  <si>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</si>
  <si>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</si>
  <si>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</si>
  <si>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IO_operOutFunction</t>
  </si>
  <si>
    <t>Оперативный вывод функции ПДС</t>
  </si>
  <si>
    <t>ОВ ПДС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</si>
  <si>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</si>
  <si>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</si>
  <si>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</si>
  <si>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</si>
  <si>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</si>
  <si>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</si>
  <si>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</si>
  <si>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</si>
  <si>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</si>
  <si>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</si>
  <si>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</si>
  <si>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</si>
  <si>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</si>
  <si>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</si>
  <si>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</si>
  <si>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</si>
  <si>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</si>
  <si>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</si>
  <si>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 давл.</t>
  </si>
  <si>
    <t>VLVop</t>
  </si>
  <si>
    <t>Срабатывание устройства контроля изоляции датчика давления</t>
  </si>
  <si>
    <t xml:space="preserve">Сраб.КИ датч.давл. </t>
  </si>
  <si>
    <t>VLVIsolOp</t>
  </si>
  <si>
    <t>Срабатывание сигнального контакта газового реле</t>
  </si>
  <si>
    <t>Сигн.конт.газ. реле</t>
  </si>
  <si>
    <t>SignContact</t>
  </si>
  <si>
    <t>Срабатывание отключающего контакта газового реле</t>
  </si>
  <si>
    <t>Откл.конт.газ. реле</t>
  </si>
  <si>
    <t>TripContact</t>
  </si>
  <si>
    <t>Сраб. КИ ГЗ_сигн</t>
  </si>
  <si>
    <t>GASSignIsolOp</t>
  </si>
  <si>
    <t>Сраб. КИ ГЗ_откл</t>
  </si>
  <si>
    <t>GASTripIsolOp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</si>
  <si>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</si>
  <si>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</si>
  <si>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</si>
  <si>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</si>
  <si>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</si>
  <si>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</si>
  <si>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</si>
  <si>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</si>
  <si>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</si>
  <si>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</si>
  <si>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</si>
  <si>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</si>
  <si>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</si>
  <si>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</si>
  <si>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</si>
  <si>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</si>
  <si>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</si>
  <si>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</si>
  <si>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</si>
  <si>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</si>
  <si>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</si>
  <si>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</si>
  <si>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Отказ системы охлаждения</t>
  </si>
  <si>
    <t>Отказ сист.охл.</t>
  </si>
  <si>
    <t>FailCoolSys</t>
  </si>
  <si>
    <t>Неисправность системы охлаждения</t>
  </si>
  <si>
    <t>Неиспр. сист. охл.</t>
  </si>
  <si>
    <t>ProblemCoolSys</t>
  </si>
  <si>
    <t>Низкая температура масла РПН</t>
  </si>
  <si>
    <t>Низк. t масла РПН</t>
  </si>
  <si>
    <t>OILTempLowLTC</t>
  </si>
  <si>
    <t>OILIsolOp</t>
  </si>
  <si>
    <t>ПДС</t>
  </si>
  <si>
    <t>IO_FuncEnabled</t>
  </si>
  <si>
    <t>IO_FuncOperDisabled</t>
  </si>
  <si>
    <t>Отключение</t>
  </si>
  <si>
    <t>OILSTMP1_OILSensorTrip</t>
  </si>
  <si>
    <t>Сигнал</t>
  </si>
  <si>
    <t>OILSTMP1_OILSensorSign</t>
  </si>
  <si>
    <t>Низкая изоляция</t>
  </si>
  <si>
    <t>OILSTMP1_LowIsolOIL</t>
  </si>
  <si>
    <t>WINSTMP1_WINSensorTrip</t>
  </si>
  <si>
    <t>WINSTMP1_WINSensorSign</t>
  </si>
  <si>
    <t>WINSTMP1_LowIsolWIN</t>
  </si>
  <si>
    <t>SIML1_PressDetector</t>
  </si>
  <si>
    <t>SIML1_LowIsolPressDetector</t>
  </si>
  <si>
    <t>PTRSIML1_SignContactOp</t>
  </si>
  <si>
    <t>PTRSIML1_TripContactOp</t>
  </si>
  <si>
    <t>Низкая изоляция ГЗсигн</t>
  </si>
  <si>
    <t>PTRSIML1_LowIsolGASTrip</t>
  </si>
  <si>
    <t>Низкая изол. ГЗсигн</t>
  </si>
  <si>
    <t>Низкая изоляция ГЗоткл</t>
  </si>
  <si>
    <t>Низкая изол. ГЗоткл</t>
  </si>
  <si>
    <t>PTRSIML1_LowIsolGASSign</t>
  </si>
  <si>
    <t>LTCSIML1_TripContactOp</t>
  </si>
  <si>
    <t>LTCSIML1_LowIsol</t>
  </si>
  <si>
    <t>Высокий уровень масла</t>
  </si>
  <si>
    <t>Высокий уровень</t>
  </si>
  <si>
    <t>OILSIML1_HighOILLevel</t>
  </si>
  <si>
    <t>Низкий уровень масла</t>
  </si>
  <si>
    <t>Низкий уровень</t>
  </si>
  <si>
    <t>OILSIML1_LowOILLevel</t>
  </si>
  <si>
    <t>LTCOILSIML1_HighOILLevel</t>
  </si>
  <si>
    <t>LTCOILSIML1_LowOILLevel</t>
  </si>
  <si>
    <t>PRVKVLV1_Op</t>
  </si>
  <si>
    <t>SHVKVLV1_Op</t>
  </si>
  <si>
    <t>Авария</t>
  </si>
  <si>
    <t>SCSSALC1_Emergency</t>
  </si>
  <si>
    <t>Неисправность</t>
  </si>
  <si>
    <t>SCSSALC1_Failure</t>
  </si>
  <si>
    <t>STMP1_Op</t>
  </si>
  <si>
    <t>ДТм</t>
  </si>
  <si>
    <t>ДТо</t>
  </si>
  <si>
    <t>РД</t>
  </si>
  <si>
    <t>ГЗ Т</t>
  </si>
  <si>
    <t>ГЗ РПН</t>
  </si>
  <si>
    <t>ДУм РПН</t>
  </si>
  <si>
    <t>ПК</t>
  </si>
  <si>
    <t>ОК</t>
  </si>
  <si>
    <t>КСО</t>
  </si>
  <si>
    <t>ДТм_РПН</t>
  </si>
  <si>
    <t>OILSTMP1_Beh</t>
  </si>
  <si>
    <t>OILSTMP1_Health</t>
  </si>
  <si>
    <t>WINSTMP1_Beh</t>
  </si>
  <si>
    <t>WINSTMP1_Health</t>
  </si>
  <si>
    <t>SIML1_Beh</t>
  </si>
  <si>
    <t>SIML1_Health</t>
  </si>
  <si>
    <t>PTRSIML1_Beh</t>
  </si>
  <si>
    <t>PTRSIML1_Health</t>
  </si>
  <si>
    <t>LTCSIML1_Beh</t>
  </si>
  <si>
    <t>LTCSIML1_Health</t>
  </si>
  <si>
    <t>OILSIML1_Beh</t>
  </si>
  <si>
    <t>OILSIML1_Health</t>
  </si>
  <si>
    <t>LTCOILSIML1_Beh</t>
  </si>
  <si>
    <t>LTCOILSIML1_Health</t>
  </si>
  <si>
    <t>PRVKVLV1_Beh</t>
  </si>
  <si>
    <t>PRVKVLV1_Health</t>
  </si>
  <si>
    <t>SHVKVLV1_Beh</t>
  </si>
  <si>
    <t>SHVKVLV1_Health</t>
  </si>
  <si>
    <t>SCSSALC1_Beh</t>
  </si>
  <si>
    <t>SCSSALC1_Health</t>
  </si>
  <si>
    <t>STMP1_Beh</t>
  </si>
  <si>
    <t>STMP1_Health</t>
  </si>
  <si>
    <t>Индикация поведения логического узла ДТм</t>
  </si>
  <si>
    <t>Индикация исправности логического узла ДТм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</si>
  <si>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</si>
  <si>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</si>
  <si>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РД</t>
  </si>
  <si>
    <t>Индикация исправности логического узла РД</t>
  </si>
  <si>
    <t>Индикация поведения логического узла ГЗ Т</t>
  </si>
  <si>
    <t>Индикация исправности логического узла ГЗ Т</t>
  </si>
  <si>
    <t>Индикация поведения логического узла ГЗ РПН</t>
  </si>
  <si>
    <t>Индикация исправности логического узла ГЗ РПН</t>
  </si>
  <si>
    <t>Индикация поведения логического узла ДУм РПН</t>
  </si>
  <si>
    <t>Индикация исправности логического узла ДУм РПН</t>
  </si>
  <si>
    <t>Индикация поведения логического узла ПК</t>
  </si>
  <si>
    <t>Индикация исправности логического узла ПК</t>
  </si>
  <si>
    <t>Индикация поведения логического узла ОК</t>
  </si>
  <si>
    <t>Индикация исправности логического узла ОК</t>
  </si>
  <si>
    <t>Индикация поведения логического узла КСО</t>
  </si>
  <si>
    <t>Индикация исправности логического узла КСО</t>
  </si>
  <si>
    <t>Индикация поведения логического узла ДТм_РПН</t>
  </si>
  <si>
    <t>Индикация исправности логического узла ДТм_РПН</t>
  </si>
  <si>
    <t>IO_EnaDis</t>
  </si>
  <si>
    <t>OILSTMP1.Beh</t>
  </si>
  <si>
    <t>OILSTMP1.Health</t>
  </si>
  <si>
    <t>WINSTMP1.Beh</t>
  </si>
  <si>
    <t>WINSTMP1.Health</t>
  </si>
  <si>
    <t>SIML1.Beh</t>
  </si>
  <si>
    <t>SIML1.Health</t>
  </si>
  <si>
    <t>PTRSIML1.Beh</t>
  </si>
  <si>
    <t>PTRSIML1.Health</t>
  </si>
  <si>
    <t>LTCSIML1.Beh</t>
  </si>
  <si>
    <t>LTCSIML1.Health</t>
  </si>
  <si>
    <t>OILSIML1.Beh</t>
  </si>
  <si>
    <t>OILSIML1.Health</t>
  </si>
  <si>
    <t>LTCOILSIML1.Beh</t>
  </si>
  <si>
    <t>LTCOILSIML1.Health</t>
  </si>
  <si>
    <t>PRVKVLV1.Beh</t>
  </si>
  <si>
    <t>PRVKVLV1.Health</t>
  </si>
  <si>
    <t>SHVKVLV1.Beh</t>
  </si>
  <si>
    <t>SHVKVLV1.Health</t>
  </si>
  <si>
    <t>SCSSALC1.Beh</t>
  </si>
  <si>
    <t>SCSSALC1.Health</t>
  </si>
  <si>
    <t>STMP1.Beh</t>
  </si>
  <si>
    <t>STMP1.Health</t>
  </si>
  <si>
    <t>SCSSALC</t>
  </si>
  <si>
    <t>EQ1STMP</t>
  </si>
  <si>
    <t>EQ2STMP</t>
  </si>
  <si>
    <t>EQ3STMP</t>
  </si>
  <si>
    <t>EQSIML</t>
  </si>
  <si>
    <t>OILEQ1KVLV</t>
  </si>
  <si>
    <t>OILEQ2KVLV</t>
  </si>
  <si>
    <t>TRIPINSSIML</t>
  </si>
  <si>
    <t>LTCSIML</t>
  </si>
  <si>
    <t>LEVSIML</t>
  </si>
  <si>
    <t>OILSTMP1.Alm</t>
  </si>
  <si>
    <t>SPS</t>
  </si>
  <si>
    <t>OILSTMP1.Trip</t>
  </si>
  <si>
    <t>OILSTMP1.Flt</t>
  </si>
  <si>
    <t>WINSTMP1.Flt</t>
  </si>
  <si>
    <t>WINSTMP1.Trip</t>
  </si>
  <si>
    <t>WINSTMP1.Alm</t>
  </si>
  <si>
    <t>SIML1.Trip</t>
  </si>
  <si>
    <t>SIML1.Flt</t>
  </si>
  <si>
    <t>PTRSIML1.Flt</t>
  </si>
  <si>
    <t>PTRSIML1.GasInsAlm</t>
  </si>
  <si>
    <t>PTRSIML1.GasInsTr</t>
  </si>
  <si>
    <t>LTCSIML1.Flt</t>
  </si>
  <si>
    <t>LTCSIML1.GasInsTr</t>
  </si>
  <si>
    <t>OILSIML1.InsLevMax</t>
  </si>
  <si>
    <t>OILSIML1.InsLevMin</t>
  </si>
  <si>
    <t>LTCOILSIML1.InsLevMax</t>
  </si>
  <si>
    <t>LTCOILSIML1.InsLevMin</t>
  </si>
  <si>
    <t>PRVKVLV1.OpnPos</t>
  </si>
  <si>
    <t>SHVKVLV1.ClsPos</t>
  </si>
  <si>
    <t>SCSSALC1.Alm</t>
  </si>
  <si>
    <t>STMP1.Alm</t>
  </si>
  <si>
    <t>ДУм расширителя</t>
  </si>
  <si>
    <t>Индикация поведения логического узла ДУм расширителя</t>
  </si>
  <si>
    <t>Индикация исправности логического узла ДУм расширителя</t>
  </si>
  <si>
    <t>Срабатывание предохранительного клапана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</si>
  <si>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</si>
  <si>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</si>
  <si>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</si>
  <si>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</si>
  <si>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</si>
  <si>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</si>
  <si>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</si>
  <si>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</si>
  <si>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Преобразователь дискретных сигналов</t>
  </si>
  <si>
    <t>Датчик температуры масла</t>
  </si>
  <si>
    <t>Датчик температуры обмотки</t>
  </si>
  <si>
    <t>Реле давления</t>
  </si>
  <si>
    <t>Газовое реле трансформатора</t>
  </si>
  <si>
    <t>Струйное реле РПН</t>
  </si>
  <si>
    <t>Датчик уровня масла в расширителе</t>
  </si>
  <si>
    <t>Контроль системы охлаждения</t>
  </si>
  <si>
    <t>Датчик уровня масла РПН</t>
  </si>
  <si>
    <t>Предохранительный клапан</t>
  </si>
  <si>
    <t>Отсечной клапан</t>
  </si>
  <si>
    <t>Датчик температуры масла РПН</t>
  </si>
  <si>
    <t>Срабатывание устройства контроля изоляции ГЗоткл</t>
  </si>
  <si>
    <t>Срабатывание устройства контроля изоляции ГЗсигн</t>
  </si>
  <si>
    <t>Срабатывание устройства контроля изоляции ГЗ РПН</t>
  </si>
  <si>
    <t>DZT2_IO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</si>
</sst>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/>
    <xf numFmtId="0" fontId="3" fillId="9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4" borderId="1" xfId="1" applyFont="1" applyFill="1" applyBorder="1" applyAlignment="1">
      <alignment vertical="center" wrapText="1"/>
    </xf>
    <xf numFmtId="0" fontId="3" fillId="10" borderId="1" xfId="1" applyFont="1" applyFill="1" applyBorder="1" applyAlignment="1">
      <alignment vertical="center" wrapText="1"/>
    </xf>
    <xf numFmtId="0" fontId="3" fillId="11" borderId="1" xfId="1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3" fillId="13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topLeftCell="AJ1" zoomScale="70" zoomScaleNormal="70" workbookViewId="0">
      <selection activeCell="AV13" sqref="AV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6.28515625" style="2" customWidth="1"/>
    <col min="6" max="6" width="20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8" t="s">
        <v>0</v>
      </c>
      <c r="BA1" s="99"/>
      <c r="BB1" s="99"/>
      <c r="BC1" s="99"/>
      <c r="BD1" s="99"/>
      <c r="BE1" s="99"/>
      <c r="BF1" s="9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92" t="s">
        <v>336</v>
      </c>
      <c r="AW2" s="92" t="s">
        <v>337</v>
      </c>
      <c r="AX2" s="92" t="s">
        <v>338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5" customFormat="1" ht="15.75" x14ac:dyDescent="0.25">
      <c r="A3" s="100"/>
      <c r="B3" s="100" t="s">
        <v>334</v>
      </c>
      <c r="C3" s="101"/>
      <c r="D3" s="102" t="s">
        <v>184</v>
      </c>
      <c r="E3" s="103" t="s">
        <v>117</v>
      </c>
      <c r="F3" s="104" t="s">
        <v>118</v>
      </c>
      <c r="G3" s="104" t="s">
        <v>118</v>
      </c>
      <c r="H3" s="103"/>
      <c r="I3" s="103">
        <f t="shared" ref="I3:I4" si="0">LEN(F3)</f>
        <v>6</v>
      </c>
      <c r="J3" s="103" t="str">
        <f t="shared" ref="J3:J4" si="1">IF(LEN(F3)&lt;=$J$1,F3,"")</f>
        <v>ОВ ПДС</v>
      </c>
      <c r="K3" s="100" t="s">
        <v>116</v>
      </c>
      <c r="L3" s="105" t="s">
        <v>63</v>
      </c>
      <c r="M3" s="101" t="s">
        <v>60</v>
      </c>
      <c r="N3" s="101" t="s">
        <v>61</v>
      </c>
      <c r="O3" s="101"/>
      <c r="P3" s="106"/>
      <c r="Q3" s="106"/>
      <c r="R3" s="101" t="s">
        <v>62</v>
      </c>
      <c r="S3" s="101" t="s">
        <v>62</v>
      </c>
      <c r="T3" s="101" t="s">
        <v>62</v>
      </c>
      <c r="U3" s="101" t="s">
        <v>62</v>
      </c>
      <c r="V3" s="101"/>
      <c r="W3" s="101"/>
      <c r="X3" s="101" t="s">
        <v>62</v>
      </c>
      <c r="Y3" s="101">
        <v>0</v>
      </c>
      <c r="Z3" s="107"/>
      <c r="AA3" s="108">
        <v>0</v>
      </c>
      <c r="AB3" s="108"/>
      <c r="AC3" s="108"/>
      <c r="AD3" s="108"/>
      <c r="AE3" s="108"/>
      <c r="AF3" s="108">
        <v>0</v>
      </c>
      <c r="AG3" s="108">
        <v>0</v>
      </c>
      <c r="AH3" s="108">
        <v>0</v>
      </c>
      <c r="AI3" s="109"/>
      <c r="AJ3" s="110"/>
      <c r="AK3" s="110"/>
      <c r="AL3" s="110"/>
      <c r="AM3" s="110"/>
      <c r="AN3" s="110"/>
      <c r="AO3" s="110"/>
      <c r="AP3" s="110"/>
      <c r="AQ3" s="110"/>
      <c r="AR3" s="108">
        <v>0</v>
      </c>
      <c r="AS3" s="108">
        <v>0</v>
      </c>
      <c r="AT3" s="116">
        <v>1</v>
      </c>
      <c r="AU3" s="25">
        <v>0</v>
      </c>
      <c r="AV3" s="116">
        <v>1</v>
      </c>
      <c r="AW3" s="116">
        <v>1</v>
      </c>
      <c r="AX3" s="116">
        <v>1</v>
      </c>
      <c r="AY3" s="108"/>
      <c r="AZ3" s="106"/>
      <c r="BA3" s="108"/>
      <c r="BB3" s="108"/>
      <c r="BC3" s="111"/>
      <c r="BD3" s="108"/>
      <c r="BE3" s="112"/>
      <c r="BF3" s="108"/>
      <c r="BG3" s="11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"control", minValue: null, maxValue: null, step: null, units: "null", defaultValue: null, eventRegistration: 0</v>
      </c>
      <c r="BH3" s="114"/>
    </row>
    <row r="4" spans="1:16379" s="34" customFormat="1" ht="15.75" x14ac:dyDescent="0.25">
      <c r="A4" s="18"/>
      <c r="B4" s="91" t="s">
        <v>335</v>
      </c>
      <c r="C4" s="19"/>
      <c r="D4" s="20"/>
      <c r="E4" s="21" t="s">
        <v>119</v>
      </c>
      <c r="F4" s="30" t="s">
        <v>120</v>
      </c>
      <c r="G4" s="30" t="s">
        <v>120</v>
      </c>
      <c r="H4" s="21"/>
      <c r="I4" s="21">
        <f t="shared" si="0"/>
        <v>13</v>
      </c>
      <c r="J4" s="21" t="str">
        <f t="shared" si="1"/>
        <v>Авар. t масла</v>
      </c>
      <c r="K4" s="18" t="s">
        <v>121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3">BIN2DEC(CONCATENATE(0,0,0,0,AR4,AS4,AT4,AU4))</f>
        <v>0</v>
      </c>
      <c r="AW4" s="25">
        <v>0</v>
      </c>
      <c r="AX4" s="25">
        <v>0</v>
      </c>
      <c r="AY4" s="25"/>
      <c r="AZ4" s="23"/>
      <c r="BA4" s="25"/>
      <c r="BB4" s="25"/>
      <c r="BC4" s="31"/>
      <c r="BD4" s="25"/>
      <c r="BE4" s="32"/>
      <c r="BF4" s="25"/>
      <c r="BG4" s="29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"Авар. t масла", note: "Аварийная температура масла", group: "input",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91" t="s">
        <v>335</v>
      </c>
      <c r="C5" s="19"/>
      <c r="D5" s="20"/>
      <c r="E5" s="21" t="s">
        <v>122</v>
      </c>
      <c r="F5" s="30" t="s">
        <v>123</v>
      </c>
      <c r="G5" s="30" t="s">
        <v>123</v>
      </c>
      <c r="H5" s="21"/>
      <c r="I5" s="21">
        <f t="shared" ref="I5:I26" si="5">LEN(F5)</f>
        <v>14</v>
      </c>
      <c r="J5" s="21" t="str">
        <f t="shared" ref="J5:J26" si="6">IF(LEN(F5)&lt;=$J$1,F5,"")</f>
        <v>Повыш. t масла</v>
      </c>
      <c r="K5" s="18" t="s">
        <v>124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26" si="7">BIN2DEC(CONCATENATE(0,0,0,0,AR5,AS5,AT5,AU5))</f>
        <v>0</v>
      </c>
      <c r="AW5" s="25">
        <v>0</v>
      </c>
      <c r="AX5" s="25">
        <v>0</v>
      </c>
      <c r="AY5" s="25"/>
      <c r="AZ5" s="23"/>
      <c r="BA5" s="25"/>
      <c r="BB5" s="25"/>
      <c r="BC5" s="31"/>
      <c r="BD5" s="25"/>
      <c r="BE5" s="32"/>
      <c r="BF5" s="25"/>
      <c r="BG5" s="29" t="str">
        <f t="shared" ref="BG5:BG26" si="8">CONCATENATE("description: """,F5,"""", ", ", "note: """,E5,"""",", ","group: """, B5, """",", ","minValue: ", S5,", ","maxValue: ", T5,", ","step: ", U5,", ","units: """, R5, """",", ","defaultValue: ", X5,", ","eventRegistration: ", Y5,)</f>
        <v>description: "Повыш. t масла", note: "Повышенная температура масла", group: "input",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91" t="s">
        <v>335</v>
      </c>
      <c r="C6" s="19"/>
      <c r="D6" s="20"/>
      <c r="E6" s="96" t="s">
        <v>125</v>
      </c>
      <c r="F6" s="30" t="s">
        <v>126</v>
      </c>
      <c r="G6" s="30" t="s">
        <v>126</v>
      </c>
      <c r="H6" s="21"/>
      <c r="I6" s="21">
        <f t="shared" si="5"/>
        <v>12</v>
      </c>
      <c r="J6" s="21" t="str">
        <f t="shared" si="6"/>
        <v>Сраб. КИ ДТм</v>
      </c>
      <c r="K6" s="18" t="s">
        <v>183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7"/>
        <v>0</v>
      </c>
      <c r="AW6" s="25">
        <v>0</v>
      </c>
      <c r="AX6" s="25">
        <v>0</v>
      </c>
      <c r="AY6" s="25"/>
      <c r="AZ6" s="23"/>
      <c r="BA6" s="25"/>
      <c r="BB6" s="25"/>
      <c r="BC6" s="31"/>
      <c r="BD6" s="25"/>
      <c r="BE6" s="32"/>
      <c r="BF6" s="25"/>
      <c r="BG6" s="29" t="str">
        <f t="shared" si="8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91" t="s">
        <v>335</v>
      </c>
      <c r="C7" s="19"/>
      <c r="D7" s="20"/>
      <c r="E7" s="21" t="s">
        <v>127</v>
      </c>
      <c r="F7" s="30" t="s">
        <v>128</v>
      </c>
      <c r="G7" s="30" t="s">
        <v>128</v>
      </c>
      <c r="H7" s="21"/>
      <c r="I7" s="21">
        <f t="shared" si="5"/>
        <v>15</v>
      </c>
      <c r="J7" s="21" t="str">
        <f t="shared" si="6"/>
        <v>Авар. t обмотки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7"/>
        <v>0</v>
      </c>
      <c r="AW7" s="25">
        <v>0</v>
      </c>
      <c r="AX7" s="25">
        <v>0</v>
      </c>
      <c r="AY7" s="25"/>
      <c r="AZ7" s="23"/>
      <c r="BA7" s="25"/>
      <c r="BB7" s="25"/>
      <c r="BC7" s="31"/>
      <c r="BD7" s="25"/>
      <c r="BE7" s="32"/>
      <c r="BF7" s="25"/>
      <c r="BG7" s="29" t="str">
        <f t="shared" si="8"/>
        <v>description: "Авар. t обмотки", note: "Аварийная температура обмотки", group: "input", minValue: null, maxValue: null, step: null, units: "null", defaultValue: null, eventRegistration: 0</v>
      </c>
      <c r="BH7" s="33"/>
    </row>
    <row r="8" spans="1:16379" s="34" customFormat="1" ht="15.75" x14ac:dyDescent="0.25">
      <c r="A8" s="18"/>
      <c r="B8" s="91" t="s">
        <v>335</v>
      </c>
      <c r="C8" s="19"/>
      <c r="D8" s="20"/>
      <c r="E8" s="21" t="s">
        <v>130</v>
      </c>
      <c r="F8" s="30" t="s">
        <v>131</v>
      </c>
      <c r="G8" s="30" t="s">
        <v>131</v>
      </c>
      <c r="H8" s="21"/>
      <c r="I8" s="21">
        <f t="shared" si="5"/>
        <v>16</v>
      </c>
      <c r="J8" s="21" t="str">
        <f t="shared" si="6"/>
        <v>Повыш. t обмотки</v>
      </c>
      <c r="K8" s="18" t="s">
        <v>132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7"/>
        <v>0</v>
      </c>
      <c r="AW8" s="25">
        <v>0</v>
      </c>
      <c r="AX8" s="25">
        <v>0</v>
      </c>
      <c r="AY8" s="25"/>
      <c r="AZ8" s="23"/>
      <c r="BA8" s="25"/>
      <c r="BB8" s="25"/>
      <c r="BC8" s="31"/>
      <c r="BD8" s="25"/>
      <c r="BE8" s="32"/>
      <c r="BF8" s="25"/>
      <c r="BG8" s="29" t="str">
        <f t="shared" si="8"/>
        <v>description: "Повыш. t обмотки", note: "Повышенная температура обмотки", group: "input", minValue: null, maxValue: null, step: null, units: "null", defaultValue: null, eventRegistration: 0</v>
      </c>
      <c r="BH8" s="33"/>
    </row>
    <row r="9" spans="1:16379" s="34" customFormat="1" ht="15.75" x14ac:dyDescent="0.25">
      <c r="A9" s="18"/>
      <c r="B9" s="91" t="s">
        <v>335</v>
      </c>
      <c r="C9" s="19"/>
      <c r="D9" s="20"/>
      <c r="E9" s="97" t="s">
        <v>133</v>
      </c>
      <c r="F9" s="30" t="s">
        <v>134</v>
      </c>
      <c r="G9" s="30" t="s">
        <v>134</v>
      </c>
      <c r="H9" s="21"/>
      <c r="I9" s="21">
        <f t="shared" si="5"/>
        <v>12</v>
      </c>
      <c r="J9" s="21" t="str">
        <f t="shared" si="6"/>
        <v>Сраб. КИ ДТо</v>
      </c>
      <c r="K9" s="18" t="s">
        <v>135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7"/>
        <v>0</v>
      </c>
      <c r="AW9" s="25">
        <v>0</v>
      </c>
      <c r="AX9" s="25">
        <v>0</v>
      </c>
      <c r="AY9" s="25"/>
      <c r="AZ9" s="23"/>
      <c r="BA9" s="25"/>
      <c r="BB9" s="25"/>
      <c r="BC9" s="31"/>
      <c r="BD9" s="25"/>
      <c r="BE9" s="32"/>
      <c r="BF9" s="25"/>
      <c r="BG9" s="29" t="str">
        <f t="shared" si="8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9" s="33"/>
    </row>
    <row r="10" spans="1:16379" s="34" customFormat="1" ht="15.75" x14ac:dyDescent="0.25">
      <c r="A10" s="18"/>
      <c r="B10" s="91" t="s">
        <v>335</v>
      </c>
      <c r="C10" s="19"/>
      <c r="D10" s="20"/>
      <c r="E10" s="21" t="s">
        <v>136</v>
      </c>
      <c r="F10" s="30" t="s">
        <v>137</v>
      </c>
      <c r="G10" s="30" t="s">
        <v>137</v>
      </c>
      <c r="H10" s="21"/>
      <c r="I10" s="21">
        <f t="shared" si="5"/>
        <v>17</v>
      </c>
      <c r="J10" s="21" t="str">
        <f t="shared" si="6"/>
        <v>Сраб. датч. давл.</v>
      </c>
      <c r="K10" s="18" t="s">
        <v>138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7"/>
        <v>0</v>
      </c>
      <c r="AW10" s="25">
        <v>0</v>
      </c>
      <c r="AX10" s="25">
        <v>0</v>
      </c>
      <c r="AY10" s="25"/>
      <c r="AZ10" s="23"/>
      <c r="BA10" s="25"/>
      <c r="BB10" s="25"/>
      <c r="BC10" s="31"/>
      <c r="BD10" s="25"/>
      <c r="BE10" s="32"/>
      <c r="BF10" s="25"/>
      <c r="BG10" s="29" t="str">
        <f t="shared" si="8"/>
        <v>description: "Сраб. датч. давл.", note: "Срабатывание датчика давления", group: "input", minValue: null, maxValue: null, step: null, units: "null", defaultValue: null, eventRegistration: 0</v>
      </c>
      <c r="BH10" s="33"/>
    </row>
    <row r="11" spans="1:16379" s="34" customFormat="1" ht="15.75" x14ac:dyDescent="0.25">
      <c r="A11" s="18"/>
      <c r="B11" s="91" t="s">
        <v>335</v>
      </c>
      <c r="C11" s="19"/>
      <c r="D11" s="20"/>
      <c r="E11" s="96" t="s">
        <v>139</v>
      </c>
      <c r="F11" s="30" t="s">
        <v>140</v>
      </c>
      <c r="G11" s="30" t="s">
        <v>140</v>
      </c>
      <c r="H11" s="21"/>
      <c r="I11" s="21">
        <f t="shared" si="5"/>
        <v>19</v>
      </c>
      <c r="J11" s="21" t="str">
        <f t="shared" si="6"/>
        <v xml:space="preserve">Сраб.КИ датч.давл. </v>
      </c>
      <c r="K11" s="18" t="s">
        <v>141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7"/>
        <v>0</v>
      </c>
      <c r="AW11" s="25">
        <v>0</v>
      </c>
      <c r="AX11" s="25">
        <v>0</v>
      </c>
      <c r="AY11" s="25"/>
      <c r="AZ11" s="23"/>
      <c r="BA11" s="25"/>
      <c r="BB11" s="25"/>
      <c r="BC11" s="31"/>
      <c r="BD11" s="25"/>
      <c r="BE11" s="32"/>
      <c r="BF11" s="25"/>
      <c r="BG11" s="29" t="str">
        <f t="shared" si="8"/>
        <v>description: "Сраб.КИ датч.давл. ", note: "Срабатывание устройства контроля изоляции датчика давления", group: "input", minValue: null, maxValue: null, step: null, units: "null", defaultValue: null, eventRegistration: 0</v>
      </c>
      <c r="BH11" s="33"/>
    </row>
    <row r="12" spans="1:16379" s="34" customFormat="1" ht="15.75" x14ac:dyDescent="0.25">
      <c r="A12" s="18"/>
      <c r="B12" s="91" t="s">
        <v>335</v>
      </c>
      <c r="C12" s="19"/>
      <c r="D12" s="20"/>
      <c r="E12" s="21" t="s">
        <v>142</v>
      </c>
      <c r="F12" s="30" t="s">
        <v>143</v>
      </c>
      <c r="G12" s="30" t="s">
        <v>143</v>
      </c>
      <c r="H12" s="21"/>
      <c r="I12" s="21">
        <f t="shared" si="5"/>
        <v>19</v>
      </c>
      <c r="J12" s="21" t="str">
        <f t="shared" si="6"/>
        <v>Сигн.конт.газ. реле</v>
      </c>
      <c r="K12" s="18" t="s">
        <v>144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7"/>
        <v>0</v>
      </c>
      <c r="AW12" s="25">
        <v>0</v>
      </c>
      <c r="AX12" s="25">
        <v>0</v>
      </c>
      <c r="AY12" s="25"/>
      <c r="AZ12" s="23"/>
      <c r="BA12" s="25"/>
      <c r="BB12" s="25"/>
      <c r="BC12" s="31"/>
      <c r="BD12" s="25"/>
      <c r="BE12" s="32"/>
      <c r="BF12" s="25"/>
      <c r="BG12" s="29" t="str">
        <f t="shared" si="8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12" s="33"/>
    </row>
    <row r="13" spans="1:16379" s="34" customFormat="1" ht="15.75" x14ac:dyDescent="0.25">
      <c r="A13" s="18"/>
      <c r="B13" s="91" t="s">
        <v>335</v>
      </c>
      <c r="C13" s="19"/>
      <c r="D13" s="20"/>
      <c r="E13" s="21" t="s">
        <v>145</v>
      </c>
      <c r="F13" s="30" t="s">
        <v>146</v>
      </c>
      <c r="G13" s="30" t="s">
        <v>146</v>
      </c>
      <c r="H13" s="21"/>
      <c r="I13" s="21">
        <f t="shared" si="5"/>
        <v>19</v>
      </c>
      <c r="J13" s="21" t="str">
        <f t="shared" si="6"/>
        <v>Откл.конт.газ. реле</v>
      </c>
      <c r="K13" s="18" t="s">
        <v>147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7"/>
        <v>0</v>
      </c>
      <c r="AW13" s="25">
        <v>0</v>
      </c>
      <c r="AX13" s="25">
        <v>0</v>
      </c>
      <c r="AY13" s="25"/>
      <c r="AZ13" s="23"/>
      <c r="BA13" s="25"/>
      <c r="BB13" s="25"/>
      <c r="BC13" s="31"/>
      <c r="BD13" s="25"/>
      <c r="BE13" s="32"/>
      <c r="BF13" s="25"/>
      <c r="BG13" s="29" t="str">
        <f t="shared" si="8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13" s="33"/>
    </row>
    <row r="14" spans="1:16379" s="34" customFormat="1" ht="15.75" x14ac:dyDescent="0.25">
      <c r="A14" s="18"/>
      <c r="B14" s="91" t="s">
        <v>335</v>
      </c>
      <c r="C14" s="19"/>
      <c r="D14" s="20"/>
      <c r="E14" s="95" t="s">
        <v>355</v>
      </c>
      <c r="F14" s="30" t="s">
        <v>148</v>
      </c>
      <c r="G14" s="30" t="s">
        <v>148</v>
      </c>
      <c r="H14" s="21"/>
      <c r="I14" s="21">
        <f t="shared" si="5"/>
        <v>16</v>
      </c>
      <c r="J14" s="21" t="str">
        <f t="shared" si="6"/>
        <v>Сраб. КИ ГЗ_сигн</v>
      </c>
      <c r="K14" s="18" t="s">
        <v>149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7"/>
        <v>0</v>
      </c>
      <c r="AW14" s="25">
        <v>0</v>
      </c>
      <c r="AX14" s="25">
        <v>0</v>
      </c>
      <c r="AY14" s="25"/>
      <c r="AZ14" s="23"/>
      <c r="BA14" s="25"/>
      <c r="BB14" s="25"/>
      <c r="BC14" s="31"/>
      <c r="BD14" s="25"/>
      <c r="BE14" s="32"/>
      <c r="BF14" s="25"/>
      <c r="BG14" s="29" t="str">
        <f t="shared" si="8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14" s="33"/>
    </row>
    <row r="15" spans="1:16379" s="34" customFormat="1" ht="15.75" x14ac:dyDescent="0.25">
      <c r="A15" s="18"/>
      <c r="B15" s="91" t="s">
        <v>335</v>
      </c>
      <c r="C15" s="19"/>
      <c r="D15" s="20"/>
      <c r="E15" s="95" t="s">
        <v>354</v>
      </c>
      <c r="F15" s="30" t="s">
        <v>150</v>
      </c>
      <c r="G15" s="30" t="s">
        <v>150</v>
      </c>
      <c r="H15" s="21"/>
      <c r="I15" s="21">
        <f t="shared" si="5"/>
        <v>16</v>
      </c>
      <c r="J15" s="21" t="str">
        <f t="shared" si="6"/>
        <v>Сраб. КИ ГЗ_откл</v>
      </c>
      <c r="K15" s="18" t="s">
        <v>151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7"/>
        <v>0</v>
      </c>
      <c r="AW15" s="25">
        <v>0</v>
      </c>
      <c r="AX15" s="25">
        <v>0</v>
      </c>
      <c r="AY15" s="25"/>
      <c r="AZ15" s="23"/>
      <c r="BA15" s="25"/>
      <c r="BB15" s="25"/>
      <c r="BC15" s="31"/>
      <c r="BD15" s="25"/>
      <c r="BE15" s="32"/>
      <c r="BF15" s="25"/>
      <c r="BG15" s="29" t="str">
        <f t="shared" si="8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15" s="33"/>
    </row>
    <row r="16" spans="1:16379" s="34" customFormat="1" ht="15.75" x14ac:dyDescent="0.25">
      <c r="A16" s="18"/>
      <c r="B16" s="91" t="s">
        <v>335</v>
      </c>
      <c r="C16" s="19"/>
      <c r="D16" s="20"/>
      <c r="E16" s="21" t="s">
        <v>152</v>
      </c>
      <c r="F16" s="30" t="s">
        <v>153</v>
      </c>
      <c r="G16" s="30" t="s">
        <v>153</v>
      </c>
      <c r="H16" s="21"/>
      <c r="I16" s="21">
        <f t="shared" si="5"/>
        <v>17</v>
      </c>
      <c r="J16" s="21" t="str">
        <f t="shared" si="6"/>
        <v>Конт.струйн. реле</v>
      </c>
      <c r="K16" s="18" t="s">
        <v>154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7"/>
        <v>0</v>
      </c>
      <c r="AW16" s="25">
        <v>0</v>
      </c>
      <c r="AX16" s="25">
        <v>0</v>
      </c>
      <c r="AY16" s="25"/>
      <c r="AZ16" s="23"/>
      <c r="BA16" s="25"/>
      <c r="BB16" s="25"/>
      <c r="BC16" s="31"/>
      <c r="BD16" s="25"/>
      <c r="BE16" s="32"/>
      <c r="BF16" s="25"/>
      <c r="BG16" s="29" t="str">
        <f t="shared" si="8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16" s="33"/>
    </row>
    <row r="17" spans="1:60" s="34" customFormat="1" ht="15.75" x14ac:dyDescent="0.25">
      <c r="A17" s="18"/>
      <c r="B17" s="91" t="s">
        <v>335</v>
      </c>
      <c r="C17" s="19"/>
      <c r="D17" s="20"/>
      <c r="E17" s="95" t="s">
        <v>356</v>
      </c>
      <c r="F17" s="30" t="s">
        <v>155</v>
      </c>
      <c r="G17" s="30" t="s">
        <v>155</v>
      </c>
      <c r="H17" s="21"/>
      <c r="I17" s="21">
        <f t="shared" si="5"/>
        <v>14</v>
      </c>
      <c r="J17" s="21" t="str">
        <f t="shared" si="6"/>
        <v>Сраб. КИГЗ_РПН</v>
      </c>
      <c r="K17" s="18" t="s">
        <v>156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7"/>
        <v>0</v>
      </c>
      <c r="AW17" s="25">
        <v>0</v>
      </c>
      <c r="AX17" s="25">
        <v>0</v>
      </c>
      <c r="AY17" s="25"/>
      <c r="AZ17" s="23"/>
      <c r="BA17" s="25"/>
      <c r="BB17" s="25"/>
      <c r="BC17" s="31"/>
      <c r="BD17" s="25"/>
      <c r="BE17" s="32"/>
      <c r="BF17" s="25"/>
      <c r="BG17" s="29" t="str">
        <f t="shared" si="8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17" s="33"/>
    </row>
    <row r="18" spans="1:60" s="34" customFormat="1" ht="15.75" x14ac:dyDescent="0.25">
      <c r="A18" s="18"/>
      <c r="B18" s="91" t="s">
        <v>335</v>
      </c>
      <c r="C18" s="19"/>
      <c r="D18" s="20"/>
      <c r="E18" s="21" t="s">
        <v>157</v>
      </c>
      <c r="F18" s="30" t="s">
        <v>158</v>
      </c>
      <c r="G18" s="30" t="s">
        <v>158</v>
      </c>
      <c r="H18" s="21"/>
      <c r="I18" s="21">
        <f t="shared" si="5"/>
        <v>16</v>
      </c>
      <c r="J18" s="21" t="str">
        <f t="shared" si="6"/>
        <v>Выс.ур.масла тр.</v>
      </c>
      <c r="K18" s="18" t="s">
        <v>159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7"/>
        <v>0</v>
      </c>
      <c r="AW18" s="25">
        <v>0</v>
      </c>
      <c r="AX18" s="25">
        <v>0</v>
      </c>
      <c r="AY18" s="25"/>
      <c r="AZ18" s="23"/>
      <c r="BA18" s="25"/>
      <c r="BB18" s="25"/>
      <c r="BC18" s="31"/>
      <c r="BD18" s="25"/>
      <c r="BE18" s="32"/>
      <c r="BF18" s="25"/>
      <c r="BG18" s="29" t="str">
        <f t="shared" si="8"/>
        <v>description: "Выс.ур.масла тр.", note: "Высокий уровень масла трансформатора", group: "input", minValue: null, maxValue: null, step: null, units: "null", defaultValue: null, eventRegistration: 0</v>
      </c>
      <c r="BH18" s="33"/>
    </row>
    <row r="19" spans="1:60" s="34" customFormat="1" ht="15.75" x14ac:dyDescent="0.25">
      <c r="A19" s="18"/>
      <c r="B19" s="91" t="s">
        <v>335</v>
      </c>
      <c r="C19" s="19"/>
      <c r="D19" s="20"/>
      <c r="E19" s="21" t="s">
        <v>160</v>
      </c>
      <c r="F19" s="30" t="s">
        <v>161</v>
      </c>
      <c r="G19" s="30" t="s">
        <v>161</v>
      </c>
      <c r="H19" s="21"/>
      <c r="I19" s="21">
        <f t="shared" si="5"/>
        <v>17</v>
      </c>
      <c r="J19" s="21" t="str">
        <f t="shared" si="6"/>
        <v>Низк.ур.масла тр.</v>
      </c>
      <c r="K19" s="18" t="s">
        <v>162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f t="shared" si="7"/>
        <v>0</v>
      </c>
      <c r="AW19" s="25">
        <v>0</v>
      </c>
      <c r="AX19" s="25">
        <v>0</v>
      </c>
      <c r="AY19" s="25"/>
      <c r="AZ19" s="23"/>
      <c r="BA19" s="25"/>
      <c r="BB19" s="25"/>
      <c r="BC19" s="31"/>
      <c r="BD19" s="25"/>
      <c r="BE19" s="32"/>
      <c r="BF19" s="25"/>
      <c r="BG19" s="29" t="str">
        <f t="shared" si="8"/>
        <v>description: "Низк.ур.масла тр.", note: "Низкий уровень масла трансформатора", group: "input", minValue: null, maxValue: null, step: null, units: "null", defaultValue: null, eventRegistration: 0</v>
      </c>
      <c r="BH19" s="33"/>
    </row>
    <row r="20" spans="1:60" s="34" customFormat="1" ht="15.75" x14ac:dyDescent="0.25">
      <c r="A20" s="18"/>
      <c r="B20" s="91" t="s">
        <v>335</v>
      </c>
      <c r="C20" s="19"/>
      <c r="D20" s="20"/>
      <c r="E20" s="21" t="s">
        <v>163</v>
      </c>
      <c r="F20" s="30" t="s">
        <v>164</v>
      </c>
      <c r="G20" s="30" t="s">
        <v>164</v>
      </c>
      <c r="H20" s="21"/>
      <c r="I20" s="21">
        <f t="shared" si="5"/>
        <v>16</v>
      </c>
      <c r="J20" s="21" t="str">
        <f t="shared" si="6"/>
        <v>Выс.ур.масла РПН</v>
      </c>
      <c r="K20" s="18" t="s">
        <v>165</v>
      </c>
      <c r="L20" s="22" t="s">
        <v>63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/>
      <c r="AJ20" s="27"/>
      <c r="AK20" s="27"/>
      <c r="AL20" s="27"/>
      <c r="AM20" s="27"/>
      <c r="AN20" s="27"/>
      <c r="AO20" s="27"/>
      <c r="AP20" s="27"/>
      <c r="AQ20" s="27"/>
      <c r="AR20" s="25">
        <v>0</v>
      </c>
      <c r="AS20" s="25">
        <v>0</v>
      </c>
      <c r="AT20" s="25">
        <v>0</v>
      </c>
      <c r="AU20" s="25">
        <v>0</v>
      </c>
      <c r="AV20" s="25">
        <f t="shared" si="7"/>
        <v>0</v>
      </c>
      <c r="AW20" s="25">
        <v>0</v>
      </c>
      <c r="AX20" s="25">
        <v>0</v>
      </c>
      <c r="AY20" s="25"/>
      <c r="AZ20" s="23"/>
      <c r="BA20" s="25"/>
      <c r="BB20" s="25"/>
      <c r="BC20" s="31"/>
      <c r="BD20" s="25"/>
      <c r="BE20" s="32"/>
      <c r="BF20" s="25"/>
      <c r="BG20" s="29" t="str">
        <f t="shared" si="8"/>
        <v>description: "Выс.ур.масла РПН", note: "Высокий уровень масла РПН", group: "input", minValue: null, maxValue: null, step: null, units: "null", defaultValue: null, eventRegistration: 0</v>
      </c>
      <c r="BH20" s="33"/>
    </row>
    <row r="21" spans="1:60" s="34" customFormat="1" ht="15.75" x14ac:dyDescent="0.25">
      <c r="A21" s="18"/>
      <c r="B21" s="91" t="s">
        <v>335</v>
      </c>
      <c r="C21" s="19"/>
      <c r="D21" s="20"/>
      <c r="E21" s="21" t="s">
        <v>166</v>
      </c>
      <c r="F21" s="30" t="s">
        <v>167</v>
      </c>
      <c r="G21" s="30" t="s">
        <v>167</v>
      </c>
      <c r="H21" s="21"/>
      <c r="I21" s="21">
        <f t="shared" si="5"/>
        <v>17</v>
      </c>
      <c r="J21" s="21" t="str">
        <f t="shared" si="6"/>
        <v>Низк.ур.масла РПН</v>
      </c>
      <c r="K21" s="18" t="s">
        <v>168</v>
      </c>
      <c r="L21" s="22" t="s">
        <v>63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/>
      <c r="AJ21" s="27"/>
      <c r="AK21" s="27"/>
      <c r="AL21" s="27"/>
      <c r="AM21" s="27"/>
      <c r="AN21" s="27"/>
      <c r="AO21" s="27"/>
      <c r="AP21" s="27"/>
      <c r="AQ21" s="27"/>
      <c r="AR21" s="25">
        <v>0</v>
      </c>
      <c r="AS21" s="25">
        <v>0</v>
      </c>
      <c r="AT21" s="25">
        <v>0</v>
      </c>
      <c r="AU21" s="25">
        <v>0</v>
      </c>
      <c r="AV21" s="25">
        <f t="shared" si="7"/>
        <v>0</v>
      </c>
      <c r="AW21" s="25">
        <v>0</v>
      </c>
      <c r="AX21" s="25">
        <v>0</v>
      </c>
      <c r="AY21" s="25"/>
      <c r="AZ21" s="23"/>
      <c r="BA21" s="25"/>
      <c r="BB21" s="25"/>
      <c r="BC21" s="31"/>
      <c r="BD21" s="25"/>
      <c r="BE21" s="32"/>
      <c r="BF21" s="25"/>
      <c r="BG21" s="29" t="str">
        <f t="shared" si="8"/>
        <v>description: "Низк.ур.масла РПН", note: "Низкий уровень масла РПН", group: "input", minValue: null, maxValue: null, step: null, units: "null", defaultValue: null, eventRegistration: 0</v>
      </c>
      <c r="BH21" s="33"/>
    </row>
    <row r="22" spans="1:60" s="34" customFormat="1" ht="15.75" x14ac:dyDescent="0.25">
      <c r="A22" s="18"/>
      <c r="B22" s="91" t="s">
        <v>335</v>
      </c>
      <c r="C22" s="19"/>
      <c r="D22" s="20"/>
      <c r="E22" s="21" t="s">
        <v>333</v>
      </c>
      <c r="F22" s="30" t="s">
        <v>169</v>
      </c>
      <c r="G22" s="30" t="s">
        <v>169</v>
      </c>
      <c r="H22" s="21"/>
      <c r="I22" s="21">
        <f t="shared" si="5"/>
        <v>17</v>
      </c>
      <c r="J22" s="21" t="str">
        <f t="shared" si="6"/>
        <v>Сраб.пред.клапана</v>
      </c>
      <c r="K22" s="18" t="s">
        <v>170</v>
      </c>
      <c r="L22" s="22" t="s">
        <v>63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/>
      <c r="AJ22" s="27"/>
      <c r="AK22" s="27"/>
      <c r="AL22" s="27"/>
      <c r="AM22" s="27"/>
      <c r="AN22" s="27"/>
      <c r="AO22" s="27"/>
      <c r="AP22" s="27"/>
      <c r="AQ22" s="27"/>
      <c r="AR22" s="25">
        <v>0</v>
      </c>
      <c r="AS22" s="25">
        <v>0</v>
      </c>
      <c r="AT22" s="25">
        <v>0</v>
      </c>
      <c r="AU22" s="25">
        <v>0</v>
      </c>
      <c r="AV22" s="25">
        <f t="shared" si="7"/>
        <v>0</v>
      </c>
      <c r="AW22" s="25">
        <v>0</v>
      </c>
      <c r="AX22" s="25">
        <v>0</v>
      </c>
      <c r="AY22" s="25"/>
      <c r="AZ22" s="23"/>
      <c r="BA22" s="25"/>
      <c r="BB22" s="25"/>
      <c r="BC22" s="31"/>
      <c r="BD22" s="25"/>
      <c r="BE22" s="32"/>
      <c r="BF22" s="25"/>
      <c r="BG22" s="29" t="str">
        <f t="shared" si="8"/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  <c r="BH22" s="33"/>
    </row>
    <row r="23" spans="1:60" s="34" customFormat="1" ht="15.75" x14ac:dyDescent="0.25">
      <c r="A23" s="18"/>
      <c r="B23" s="91" t="s">
        <v>335</v>
      </c>
      <c r="C23" s="19"/>
      <c r="D23" s="20"/>
      <c r="E23" s="21" t="s">
        <v>171</v>
      </c>
      <c r="F23" s="30" t="s">
        <v>172</v>
      </c>
      <c r="G23" s="30" t="s">
        <v>172</v>
      </c>
      <c r="H23" s="21"/>
      <c r="I23" s="21">
        <f t="shared" si="5"/>
        <v>18</v>
      </c>
      <c r="J23" s="21" t="str">
        <f t="shared" si="6"/>
        <v>Сраб.отсеч.клапана</v>
      </c>
      <c r="K23" s="18" t="s">
        <v>173</v>
      </c>
      <c r="L23" s="22" t="s">
        <v>63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/>
      <c r="AJ23" s="27"/>
      <c r="AK23" s="27"/>
      <c r="AL23" s="27"/>
      <c r="AM23" s="27"/>
      <c r="AN23" s="27"/>
      <c r="AO23" s="27"/>
      <c r="AP23" s="27"/>
      <c r="AQ23" s="27"/>
      <c r="AR23" s="25">
        <v>0</v>
      </c>
      <c r="AS23" s="25">
        <v>0</v>
      </c>
      <c r="AT23" s="25">
        <v>0</v>
      </c>
      <c r="AU23" s="25">
        <v>0</v>
      </c>
      <c r="AV23" s="25">
        <f t="shared" si="7"/>
        <v>0</v>
      </c>
      <c r="AW23" s="25">
        <v>0</v>
      </c>
      <c r="AX23" s="25">
        <v>0</v>
      </c>
      <c r="AY23" s="25"/>
      <c r="AZ23" s="23"/>
      <c r="BA23" s="25"/>
      <c r="BB23" s="25"/>
      <c r="BC23" s="31"/>
      <c r="BD23" s="25"/>
      <c r="BE23" s="32"/>
      <c r="BF23" s="25"/>
      <c r="BG23" s="29" t="str">
        <f t="shared" si="8"/>
        <v>description: "Сраб.отсеч.клапана", note: "Срабатывание отсечного клапана", group: "input", minValue: null, maxValue: null, step: null, units: "null", defaultValue: null, eventRegistration: 0</v>
      </c>
      <c r="BH23" s="33"/>
    </row>
    <row r="24" spans="1:60" s="34" customFormat="1" ht="15.75" x14ac:dyDescent="0.25">
      <c r="A24" s="18"/>
      <c r="B24" s="91" t="s">
        <v>335</v>
      </c>
      <c r="C24" s="19"/>
      <c r="D24" s="20"/>
      <c r="E24" s="21" t="s">
        <v>174</v>
      </c>
      <c r="F24" s="30" t="s">
        <v>175</v>
      </c>
      <c r="G24" s="30" t="s">
        <v>175</v>
      </c>
      <c r="H24" s="21"/>
      <c r="I24" s="21">
        <f t="shared" si="5"/>
        <v>15</v>
      </c>
      <c r="J24" s="21" t="str">
        <f t="shared" si="6"/>
        <v>Отказ сист.охл.</v>
      </c>
      <c r="K24" s="18" t="s">
        <v>176</v>
      </c>
      <c r="L24" s="22" t="s">
        <v>63</v>
      </c>
      <c r="M24" s="19" t="s">
        <v>60</v>
      </c>
      <c r="N24" s="19" t="s">
        <v>61</v>
      </c>
      <c r="O24" s="19"/>
      <c r="P24" s="23"/>
      <c r="Q24" s="23"/>
      <c r="R24" s="19" t="s">
        <v>62</v>
      </c>
      <c r="S24" s="19" t="s">
        <v>62</v>
      </c>
      <c r="T24" s="19" t="s">
        <v>62</v>
      </c>
      <c r="U24" s="19" t="s">
        <v>62</v>
      </c>
      <c r="V24" s="19"/>
      <c r="W24" s="19"/>
      <c r="X24" s="19" t="s">
        <v>62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26"/>
      <c r="AJ24" s="27"/>
      <c r="AK24" s="27"/>
      <c r="AL24" s="27"/>
      <c r="AM24" s="27"/>
      <c r="AN24" s="27"/>
      <c r="AO24" s="27"/>
      <c r="AP24" s="27"/>
      <c r="AQ24" s="27"/>
      <c r="AR24" s="25">
        <v>0</v>
      </c>
      <c r="AS24" s="25">
        <v>0</v>
      </c>
      <c r="AT24" s="25">
        <v>0</v>
      </c>
      <c r="AU24" s="25">
        <v>0</v>
      </c>
      <c r="AV24" s="25">
        <f t="shared" si="7"/>
        <v>0</v>
      </c>
      <c r="AW24" s="25">
        <v>0</v>
      </c>
      <c r="AX24" s="25">
        <v>0</v>
      </c>
      <c r="AY24" s="25"/>
      <c r="AZ24" s="23"/>
      <c r="BA24" s="25"/>
      <c r="BB24" s="25"/>
      <c r="BC24" s="31"/>
      <c r="BD24" s="25"/>
      <c r="BE24" s="32"/>
      <c r="BF24" s="25"/>
      <c r="BG24" s="29" t="str">
        <f t="shared" si="8"/>
        <v>description: "Отказ сист.охл.", note: "Отказ системы охлаждения", group: "input", minValue: null, maxValue: null, step: null, units: "null", defaultValue: null, eventRegistration: 0</v>
      </c>
      <c r="BH24" s="33"/>
    </row>
    <row r="25" spans="1:60" s="34" customFormat="1" ht="15.75" x14ac:dyDescent="0.25">
      <c r="A25" s="18"/>
      <c r="B25" s="91" t="s">
        <v>335</v>
      </c>
      <c r="C25" s="19"/>
      <c r="D25" s="20"/>
      <c r="E25" s="21" t="s">
        <v>177</v>
      </c>
      <c r="F25" s="30" t="s">
        <v>178</v>
      </c>
      <c r="G25" s="30" t="s">
        <v>178</v>
      </c>
      <c r="H25" s="21"/>
      <c r="I25" s="21">
        <f t="shared" si="5"/>
        <v>18</v>
      </c>
      <c r="J25" s="21" t="str">
        <f t="shared" si="6"/>
        <v>Неиспр. сист. охл.</v>
      </c>
      <c r="K25" s="18" t="s">
        <v>179</v>
      </c>
      <c r="L25" s="22" t="s">
        <v>63</v>
      </c>
      <c r="M25" s="19" t="s">
        <v>60</v>
      </c>
      <c r="N25" s="19" t="s">
        <v>61</v>
      </c>
      <c r="O25" s="19"/>
      <c r="P25" s="23"/>
      <c r="Q25" s="23"/>
      <c r="R25" s="19" t="s">
        <v>62</v>
      </c>
      <c r="S25" s="19" t="s">
        <v>62</v>
      </c>
      <c r="T25" s="19" t="s">
        <v>62</v>
      </c>
      <c r="U25" s="19" t="s">
        <v>62</v>
      </c>
      <c r="V25" s="19"/>
      <c r="W25" s="19"/>
      <c r="X25" s="19" t="s">
        <v>62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/>
      <c r="AJ25" s="27"/>
      <c r="AK25" s="27"/>
      <c r="AL25" s="27"/>
      <c r="AM25" s="27"/>
      <c r="AN25" s="27"/>
      <c r="AO25" s="27"/>
      <c r="AP25" s="27"/>
      <c r="AQ25" s="27"/>
      <c r="AR25" s="25">
        <v>0</v>
      </c>
      <c r="AS25" s="25">
        <v>0</v>
      </c>
      <c r="AT25" s="25">
        <v>0</v>
      </c>
      <c r="AU25" s="25">
        <v>0</v>
      </c>
      <c r="AV25" s="25">
        <f t="shared" si="7"/>
        <v>0</v>
      </c>
      <c r="AW25" s="25">
        <v>0</v>
      </c>
      <c r="AX25" s="25">
        <v>0</v>
      </c>
      <c r="AY25" s="25"/>
      <c r="AZ25" s="23"/>
      <c r="BA25" s="25"/>
      <c r="BB25" s="25"/>
      <c r="BC25" s="31"/>
      <c r="BD25" s="25"/>
      <c r="BE25" s="32"/>
      <c r="BF25" s="25"/>
      <c r="BG25" s="29" t="str">
        <f t="shared" si="8"/>
        <v>description: "Неиспр. сист. охл.", note: "Неисправность системы охлаждения", group: "input", minValue: null, maxValue: null, step: null, units: "null", defaultValue: null, eventRegistration: 0</v>
      </c>
      <c r="BH25" s="33"/>
    </row>
    <row r="26" spans="1:60" s="34" customFormat="1" ht="15.75" x14ac:dyDescent="0.25">
      <c r="A26" s="18"/>
      <c r="B26" s="91" t="s">
        <v>335</v>
      </c>
      <c r="C26" s="19"/>
      <c r="D26" s="20"/>
      <c r="E26" s="21" t="s">
        <v>180</v>
      </c>
      <c r="F26" s="30" t="s">
        <v>181</v>
      </c>
      <c r="G26" s="30" t="s">
        <v>181</v>
      </c>
      <c r="H26" s="21"/>
      <c r="I26" s="21">
        <f t="shared" si="5"/>
        <v>17</v>
      </c>
      <c r="J26" s="21" t="str">
        <f t="shared" si="6"/>
        <v>Низк. t масла РПН</v>
      </c>
      <c r="K26" s="18" t="s">
        <v>182</v>
      </c>
      <c r="L26" s="22" t="s">
        <v>63</v>
      </c>
      <c r="M26" s="19" t="s">
        <v>60</v>
      </c>
      <c r="N26" s="19" t="s">
        <v>61</v>
      </c>
      <c r="O26" s="19"/>
      <c r="P26" s="23"/>
      <c r="Q26" s="23"/>
      <c r="R26" s="19" t="s">
        <v>62</v>
      </c>
      <c r="S26" s="19" t="s">
        <v>62</v>
      </c>
      <c r="T26" s="19" t="s">
        <v>62</v>
      </c>
      <c r="U26" s="19" t="s">
        <v>62</v>
      </c>
      <c r="V26" s="19"/>
      <c r="W26" s="19"/>
      <c r="X26" s="19" t="s">
        <v>62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/>
      <c r="AJ26" s="27"/>
      <c r="AK26" s="27"/>
      <c r="AL26" s="27"/>
      <c r="AM26" s="27"/>
      <c r="AN26" s="27"/>
      <c r="AO26" s="27"/>
      <c r="AP26" s="27"/>
      <c r="AQ26" s="27"/>
      <c r="AR26" s="25">
        <v>0</v>
      </c>
      <c r="AS26" s="25">
        <v>0</v>
      </c>
      <c r="AT26" s="25">
        <v>0</v>
      </c>
      <c r="AU26" s="25">
        <v>0</v>
      </c>
      <c r="AV26" s="25">
        <f t="shared" si="7"/>
        <v>0</v>
      </c>
      <c r="AW26" s="25">
        <v>0</v>
      </c>
      <c r="AX26" s="25">
        <v>0</v>
      </c>
      <c r="AY26" s="25"/>
      <c r="AZ26" s="23"/>
      <c r="BA26" s="25"/>
      <c r="BB26" s="25"/>
      <c r="BC26" s="31"/>
      <c r="BD26" s="25"/>
      <c r="BE26" s="32"/>
      <c r="BF26" s="25"/>
      <c r="BG26" s="29" t="str">
        <f t="shared" si="8"/>
        <v>description: "Низк. t масла РПН", note: "Низкая температура масла РПН", group: "input", minValue: null, maxValue: null, step: null, units: "null", defaultValue: null, eventRegistration: 0</v>
      </c>
      <c r="BH26" s="33"/>
    </row>
    <row r="27" spans="1:60" s="66" customFormat="1" ht="15.75" x14ac:dyDescent="0.25">
      <c r="A27" s="51"/>
      <c r="B27" s="52" t="s">
        <v>59</v>
      </c>
      <c r="C27" s="53"/>
      <c r="D27" s="54"/>
      <c r="E27" s="55" t="s">
        <v>64</v>
      </c>
      <c r="F27" s="55" t="s">
        <v>65</v>
      </c>
      <c r="G27" s="55" t="s">
        <v>65</v>
      </c>
      <c r="H27" s="54"/>
      <c r="I27" s="56">
        <f>LEN(F27)</f>
        <v>10</v>
      </c>
      <c r="J27" s="56" t="str">
        <f>IF(LEN(F27)&lt;=$J$1,F27,"")</f>
        <v>Насл.режим</v>
      </c>
      <c r="K27" s="57" t="s">
        <v>68</v>
      </c>
      <c r="L27" s="58" t="s">
        <v>66</v>
      </c>
      <c r="M27" s="59" t="s">
        <v>60</v>
      </c>
      <c r="N27" s="59" t="s">
        <v>61</v>
      </c>
      <c r="O27" s="59"/>
      <c r="P27" s="53"/>
      <c r="Q27" s="53"/>
      <c r="R27" s="59" t="s">
        <v>62</v>
      </c>
      <c r="S27" s="59" t="s">
        <v>62</v>
      </c>
      <c r="T27" s="59" t="s">
        <v>62</v>
      </c>
      <c r="U27" s="59" t="s">
        <v>62</v>
      </c>
      <c r="V27" s="53"/>
      <c r="W27" s="53"/>
      <c r="X27" s="59" t="s">
        <v>62</v>
      </c>
      <c r="Y27" s="60">
        <v>0</v>
      </c>
      <c r="Z27" s="53"/>
      <c r="AA27" s="61">
        <v>0</v>
      </c>
      <c r="AB27" s="61"/>
      <c r="AC27" s="61"/>
      <c r="AD27" s="61"/>
      <c r="AE27" s="61"/>
      <c r="AF27" s="61">
        <v>0</v>
      </c>
      <c r="AG27" s="61">
        <v>0</v>
      </c>
      <c r="AH27" s="61">
        <v>0</v>
      </c>
      <c r="AI27" s="62" t="s">
        <v>67</v>
      </c>
      <c r="AJ27" s="63" t="s">
        <v>111</v>
      </c>
      <c r="AK27" s="63" t="s">
        <v>69</v>
      </c>
      <c r="AL27" s="63" t="s">
        <v>70</v>
      </c>
      <c r="AM27" s="63" t="s">
        <v>71</v>
      </c>
      <c r="AN27" s="63"/>
      <c r="AO27" s="63" t="s">
        <v>72</v>
      </c>
      <c r="AP27" s="63" t="str">
        <f>CONCATENATE(AJ27, ".", AL27)</f>
        <v>LLN0.GrRef.setSrcRef</v>
      </c>
      <c r="AQ27" s="63" t="s">
        <v>73</v>
      </c>
      <c r="AR27" s="61">
        <v>0</v>
      </c>
      <c r="AS27" s="61">
        <v>0</v>
      </c>
      <c r="AT27" s="61">
        <v>0</v>
      </c>
      <c r="AU27" s="61">
        <v>0</v>
      </c>
      <c r="AV27" s="61">
        <f t="shared" ref="AV27" si="9">BIN2DEC(CONCATENATE(0,0,0,0,AR27,AS27,AT27,AU27))</f>
        <v>0</v>
      </c>
      <c r="AW27" s="61">
        <v>0</v>
      </c>
      <c r="AX27" s="61">
        <v>0</v>
      </c>
      <c r="AY27" s="64"/>
      <c r="AZ27" s="53"/>
      <c r="BA27" s="53"/>
      <c r="BB27" s="53"/>
      <c r="BC27" s="53"/>
      <c r="BD27" s="53"/>
      <c r="BE27" s="53"/>
      <c r="BF27" s="53"/>
      <c r="BG27" s="65" t="str">
        <f t="shared" ref="BG27:BG29" si="1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"Насл.режим", note: "Наследуемый режим работы", group: "measurement", minValue: null, maxValue: null, step: null, units: "null", defaultValue: null, eventRegistration: 0</v>
      </c>
    </row>
    <row r="28" spans="1:60" s="66" customFormat="1" ht="15.75" x14ac:dyDescent="0.25">
      <c r="A28" s="51"/>
      <c r="B28" s="52" t="s">
        <v>59</v>
      </c>
      <c r="C28" s="53"/>
      <c r="D28" s="54"/>
      <c r="E28" s="55" t="s">
        <v>78</v>
      </c>
      <c r="F28" s="55" t="s">
        <v>79</v>
      </c>
      <c r="G28" s="55" t="s">
        <v>79</v>
      </c>
      <c r="H28" s="54"/>
      <c r="I28" s="56">
        <f>LEN(F28)</f>
        <v>8</v>
      </c>
      <c r="J28" s="56" t="str">
        <f>IF(LEN(F28)&lt;=$J$1,F28,"")</f>
        <v>Ош.крит.</v>
      </c>
      <c r="K28" s="57" t="s">
        <v>80</v>
      </c>
      <c r="L28" s="67" t="s">
        <v>63</v>
      </c>
      <c r="M28" s="59" t="s">
        <v>60</v>
      </c>
      <c r="N28" s="59" t="s">
        <v>61</v>
      </c>
      <c r="O28" s="59"/>
      <c r="P28" s="53"/>
      <c r="Q28" s="53"/>
      <c r="R28" s="59" t="s">
        <v>62</v>
      </c>
      <c r="S28" s="59" t="s">
        <v>62</v>
      </c>
      <c r="T28" s="59" t="s">
        <v>62</v>
      </c>
      <c r="U28" s="59" t="s">
        <v>62</v>
      </c>
      <c r="V28" s="53"/>
      <c r="W28" s="53"/>
      <c r="X28" s="59" t="s">
        <v>62</v>
      </c>
      <c r="Y28" s="60">
        <v>0</v>
      </c>
      <c r="Z28" s="53"/>
      <c r="AA28" s="61">
        <v>0</v>
      </c>
      <c r="AB28" s="61"/>
      <c r="AC28" s="61"/>
      <c r="AD28" s="61"/>
      <c r="AE28" s="61"/>
      <c r="AF28" s="61">
        <v>0</v>
      </c>
      <c r="AG28" s="61">
        <v>0</v>
      </c>
      <c r="AH28" s="61">
        <v>0</v>
      </c>
      <c r="AI28" s="68"/>
      <c r="AJ28" s="63"/>
      <c r="AK28" s="63"/>
      <c r="AL28" s="63"/>
      <c r="AM28" s="63"/>
      <c r="AN28" s="63"/>
      <c r="AO28" s="63"/>
      <c r="AP28" s="63"/>
      <c r="AQ28" s="63"/>
      <c r="AR28" s="61">
        <v>0</v>
      </c>
      <c r="AS28" s="61">
        <v>0</v>
      </c>
      <c r="AT28" s="61">
        <v>0</v>
      </c>
      <c r="AU28" s="61">
        <v>0</v>
      </c>
      <c r="AV28" s="61">
        <f t="shared" ref="AV28:AV29" si="11">BIN2DEC(CONCATENATE(0,0,0,0,AR28,AS28,AT28,AU28))</f>
        <v>0</v>
      </c>
      <c r="AW28" s="61">
        <v>0</v>
      </c>
      <c r="AX28" s="61">
        <v>0</v>
      </c>
      <c r="AY28" s="64"/>
      <c r="AZ28" s="53"/>
      <c r="BA28" s="53"/>
      <c r="BB28" s="53"/>
      <c r="BC28" s="53"/>
      <c r="BD28" s="53"/>
      <c r="BE28" s="53"/>
      <c r="BF28" s="53"/>
      <c r="BG28" s="65" t="str">
        <f t="shared" si="1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60" s="66" customFormat="1" ht="15.75" x14ac:dyDescent="0.25">
      <c r="A29" s="51"/>
      <c r="B29" s="52" t="s">
        <v>59</v>
      </c>
      <c r="C29" s="53"/>
      <c r="D29" s="54"/>
      <c r="E29" s="55" t="s">
        <v>81</v>
      </c>
      <c r="F29" s="55" t="s">
        <v>82</v>
      </c>
      <c r="G29" s="55" t="s">
        <v>82</v>
      </c>
      <c r="H29" s="54"/>
      <c r="I29" s="56">
        <f>LEN(F29)</f>
        <v>6</v>
      </c>
      <c r="J29" s="56" t="str">
        <f>IF(LEN(F29)&lt;=$J$1,F29,"")</f>
        <v>Ошибка</v>
      </c>
      <c r="K29" s="57" t="s">
        <v>83</v>
      </c>
      <c r="L29" s="67" t="s">
        <v>63</v>
      </c>
      <c r="M29" s="59" t="s">
        <v>60</v>
      </c>
      <c r="N29" s="59" t="s">
        <v>61</v>
      </c>
      <c r="O29" s="59"/>
      <c r="P29" s="53"/>
      <c r="Q29" s="53"/>
      <c r="R29" s="59" t="s">
        <v>62</v>
      </c>
      <c r="S29" s="59" t="s">
        <v>62</v>
      </c>
      <c r="T29" s="59" t="s">
        <v>62</v>
      </c>
      <c r="U29" s="59" t="s">
        <v>62</v>
      </c>
      <c r="V29" s="53"/>
      <c r="W29" s="53"/>
      <c r="X29" s="59" t="s">
        <v>62</v>
      </c>
      <c r="Y29" s="60">
        <v>0</v>
      </c>
      <c r="Z29" s="53"/>
      <c r="AA29" s="61">
        <v>0</v>
      </c>
      <c r="AB29" s="61"/>
      <c r="AC29" s="61"/>
      <c r="AD29" s="61"/>
      <c r="AE29" s="61"/>
      <c r="AF29" s="61">
        <v>0</v>
      </c>
      <c r="AG29" s="61">
        <v>0</v>
      </c>
      <c r="AH29" s="61">
        <v>0</v>
      </c>
      <c r="AI29" s="68"/>
      <c r="AJ29" s="63"/>
      <c r="AK29" s="63"/>
      <c r="AL29" s="63"/>
      <c r="AM29" s="63"/>
      <c r="AN29" s="63"/>
      <c r="AO29" s="63"/>
      <c r="AP29" s="63"/>
      <c r="AQ29" s="63"/>
      <c r="AR29" s="61">
        <v>0</v>
      </c>
      <c r="AS29" s="61">
        <v>0</v>
      </c>
      <c r="AT29" s="61">
        <v>0</v>
      </c>
      <c r="AU29" s="61">
        <v>0</v>
      </c>
      <c r="AV29" s="61">
        <f t="shared" si="11"/>
        <v>0</v>
      </c>
      <c r="AW29" s="61">
        <v>0</v>
      </c>
      <c r="AX29" s="61">
        <v>0</v>
      </c>
      <c r="AY29" s="64"/>
      <c r="AZ29" s="53"/>
      <c r="BA29" s="53"/>
      <c r="BB29" s="53"/>
      <c r="BC29" s="53"/>
      <c r="BD29" s="53"/>
      <c r="BE29" s="53"/>
      <c r="BF29" s="53"/>
      <c r="BG29" s="65" t="str">
        <f t="shared" si="10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="80" zoomScaleNormal="80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.7109375" style="1" bestFit="1" customWidth="1"/>
    <col min="5" max="5" width="66" style="2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8" t="s">
        <v>0</v>
      </c>
      <c r="BA1" s="99"/>
      <c r="BB1" s="99"/>
      <c r="BC1" s="99"/>
      <c r="BD1" s="99"/>
      <c r="BE1" s="99"/>
      <c r="BF1" s="9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92" t="s">
        <v>336</v>
      </c>
      <c r="AW2" s="92" t="s">
        <v>337</v>
      </c>
      <c r="AX2" s="92" t="s">
        <v>338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93" t="s">
        <v>339</v>
      </c>
      <c r="C3" s="36"/>
      <c r="D3" s="20" t="s">
        <v>184</v>
      </c>
      <c r="E3" s="30" t="s">
        <v>84</v>
      </c>
      <c r="F3" s="46" t="s">
        <v>85</v>
      </c>
      <c r="G3" s="46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7" t="s">
        <v>185</v>
      </c>
      <c r="L3" s="38" t="s">
        <v>63</v>
      </c>
      <c r="M3" s="39" t="s">
        <v>60</v>
      </c>
      <c r="N3" s="39" t="s">
        <v>61</v>
      </c>
      <c r="O3" s="39"/>
      <c r="P3" s="23"/>
      <c r="Q3" s="23"/>
      <c r="R3" s="39" t="s">
        <v>62</v>
      </c>
      <c r="S3" s="39" t="s">
        <v>62</v>
      </c>
      <c r="T3" s="39" t="s">
        <v>62</v>
      </c>
      <c r="U3" s="39" t="s">
        <v>62</v>
      </c>
      <c r="V3" s="36"/>
      <c r="W3" s="36"/>
      <c r="X3" s="39" t="s">
        <v>62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7"/>
      <c r="AZ3" s="36"/>
      <c r="BA3" s="36"/>
      <c r="BB3" s="36"/>
      <c r="BC3" s="36"/>
      <c r="BD3" s="36"/>
      <c r="BE3" s="36"/>
      <c r="BF3" s="36"/>
      <c r="BG3" s="4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93" t="s">
        <v>339</v>
      </c>
      <c r="C4" s="36"/>
      <c r="D4" s="35" t="s">
        <v>184</v>
      </c>
      <c r="E4" s="30" t="s">
        <v>86</v>
      </c>
      <c r="F4" s="46" t="s">
        <v>109</v>
      </c>
      <c r="G4" s="45" t="s">
        <v>109</v>
      </c>
      <c r="H4" s="8"/>
      <c r="I4" s="30">
        <f t="shared" si="0"/>
        <v>17</v>
      </c>
      <c r="J4" s="30" t="str">
        <f t="shared" si="1"/>
        <v>Оперативный вывод</v>
      </c>
      <c r="K4" s="37" t="s">
        <v>186</v>
      </c>
      <c r="L4" s="38" t="s">
        <v>63</v>
      </c>
      <c r="M4" s="39" t="s">
        <v>60</v>
      </c>
      <c r="N4" s="39" t="s">
        <v>61</v>
      </c>
      <c r="O4" s="39"/>
      <c r="P4" s="23"/>
      <c r="Q4" s="23"/>
      <c r="R4" s="39" t="s">
        <v>62</v>
      </c>
      <c r="S4" s="39" t="s">
        <v>62</v>
      </c>
      <c r="T4" s="39" t="s">
        <v>62</v>
      </c>
      <c r="U4" s="39" t="s">
        <v>62</v>
      </c>
      <c r="V4" s="36"/>
      <c r="W4" s="36"/>
      <c r="X4" s="39" t="s">
        <v>62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9" customFormat="1" ht="15.75" x14ac:dyDescent="0.25">
      <c r="A5" s="73"/>
      <c r="B5" s="93" t="s">
        <v>339</v>
      </c>
      <c r="C5" s="74"/>
      <c r="D5" s="75" t="s">
        <v>223</v>
      </c>
      <c r="E5" s="76" t="s">
        <v>187</v>
      </c>
      <c r="F5" s="77" t="s">
        <v>187</v>
      </c>
      <c r="G5" s="78" t="s">
        <v>187</v>
      </c>
      <c r="H5" s="79"/>
      <c r="I5" s="76">
        <f t="shared" si="0"/>
        <v>10</v>
      </c>
      <c r="J5" s="76" t="str">
        <f t="shared" si="1"/>
        <v>Отключение</v>
      </c>
      <c r="K5" s="80" t="s">
        <v>188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299</v>
      </c>
      <c r="AJ5" s="86" t="s">
        <v>310</v>
      </c>
      <c r="AK5" s="86" t="s">
        <v>309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OILSTMP1.Trip.stVal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v>1</v>
      </c>
      <c r="AW5" s="74">
        <v>1</v>
      </c>
      <c r="AX5" s="74">
        <v>1</v>
      </c>
      <c r="AY5" s="87"/>
      <c r="AZ5" s="74"/>
      <c r="BA5" s="74"/>
      <c r="BB5" s="74"/>
      <c r="BC5" s="74"/>
      <c r="BD5" s="74"/>
      <c r="BE5" s="74"/>
      <c r="BF5" s="74"/>
      <c r="BG5" s="88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89" customFormat="1" ht="15.75" x14ac:dyDescent="0.25">
      <c r="A6" s="73"/>
      <c r="B6" s="93" t="s">
        <v>339</v>
      </c>
      <c r="C6" s="82"/>
      <c r="D6" s="75" t="s">
        <v>223</v>
      </c>
      <c r="E6" s="76" t="s">
        <v>189</v>
      </c>
      <c r="F6" s="76" t="s">
        <v>189</v>
      </c>
      <c r="G6" s="76" t="s">
        <v>189</v>
      </c>
      <c r="H6" s="76"/>
      <c r="I6" s="76">
        <f t="shared" si="0"/>
        <v>6</v>
      </c>
      <c r="J6" s="76" t="str">
        <f t="shared" si="1"/>
        <v>Сигнал</v>
      </c>
      <c r="K6" s="73" t="s">
        <v>190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299</v>
      </c>
      <c r="AJ6" s="86" t="s">
        <v>308</v>
      </c>
      <c r="AK6" s="86" t="s">
        <v>309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" si="5">CONCATENATE(AJ6, ".", AL6)</f>
        <v>OILSTMP1.Alm.stVal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v>1</v>
      </c>
      <c r="AW6" s="74">
        <v>1</v>
      </c>
      <c r="AX6" s="74">
        <v>1</v>
      </c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"Сигнал", note: "Сигнал", group: "status", minValue: null, maxValue: null, step: null, units: "null", defaultValue: null, eventRegistration: 2</v>
      </c>
    </row>
    <row r="7" spans="1:16379" s="89" customFormat="1" ht="15.75" x14ac:dyDescent="0.25">
      <c r="A7" s="73"/>
      <c r="B7" s="93" t="s">
        <v>339</v>
      </c>
      <c r="C7" s="82"/>
      <c r="D7" s="75" t="s">
        <v>223</v>
      </c>
      <c r="E7" s="76" t="s">
        <v>191</v>
      </c>
      <c r="F7" s="76" t="s">
        <v>191</v>
      </c>
      <c r="G7" s="76" t="s">
        <v>191</v>
      </c>
      <c r="H7" s="76"/>
      <c r="I7" s="76">
        <f t="shared" si="0"/>
        <v>15</v>
      </c>
      <c r="J7" s="76" t="str">
        <f t="shared" si="1"/>
        <v>Низкая изоляция</v>
      </c>
      <c r="K7" s="73" t="s">
        <v>192</v>
      </c>
      <c r="L7" s="81" t="s">
        <v>63</v>
      </c>
      <c r="M7" s="82" t="s">
        <v>60</v>
      </c>
      <c r="N7" s="82" t="s">
        <v>61</v>
      </c>
      <c r="O7" s="82"/>
      <c r="P7" s="87"/>
      <c r="Q7" s="87"/>
      <c r="R7" s="82" t="s">
        <v>62</v>
      </c>
      <c r="S7" s="82" t="s">
        <v>62</v>
      </c>
      <c r="T7" s="82" t="s">
        <v>62</v>
      </c>
      <c r="U7" s="82" t="s">
        <v>62</v>
      </c>
      <c r="V7" s="82"/>
      <c r="W7" s="82"/>
      <c r="X7" s="82" t="s">
        <v>62</v>
      </c>
      <c r="Y7" s="82">
        <v>2</v>
      </c>
      <c r="Z7" s="80"/>
      <c r="AA7" s="84">
        <v>0</v>
      </c>
      <c r="AB7" s="84"/>
      <c r="AC7" s="84"/>
      <c r="AD7" s="84"/>
      <c r="AE7" s="84"/>
      <c r="AF7" s="84">
        <v>0</v>
      </c>
      <c r="AG7" s="84">
        <v>0</v>
      </c>
      <c r="AH7" s="84">
        <v>0</v>
      </c>
      <c r="AI7" s="85" t="s">
        <v>299</v>
      </c>
      <c r="AJ7" s="86" t="s">
        <v>311</v>
      </c>
      <c r="AK7" s="86" t="s">
        <v>309</v>
      </c>
      <c r="AL7" s="86" t="s">
        <v>74</v>
      </c>
      <c r="AM7" s="86" t="s">
        <v>87</v>
      </c>
      <c r="AN7" s="86"/>
      <c r="AO7" s="86" t="s">
        <v>77</v>
      </c>
      <c r="AP7" s="86" t="str">
        <f t="shared" ref="AP7" si="6">CONCATENATE(AJ7, ".", AL7)</f>
        <v>OILSTMP1.Flt.stVal</v>
      </c>
      <c r="AQ7" s="86" t="s">
        <v>73</v>
      </c>
      <c r="AR7" s="74">
        <v>0</v>
      </c>
      <c r="AS7" s="74">
        <v>1</v>
      </c>
      <c r="AT7" s="74">
        <v>0</v>
      </c>
      <c r="AU7" s="74">
        <v>1</v>
      </c>
      <c r="AV7" s="74">
        <v>1</v>
      </c>
      <c r="AW7" s="74">
        <v>1</v>
      </c>
      <c r="AX7" s="74">
        <v>1</v>
      </c>
      <c r="AY7" s="87"/>
      <c r="AZ7" s="74"/>
      <c r="BA7" s="74"/>
      <c r="BB7" s="74"/>
      <c r="BC7" s="74"/>
      <c r="BD7" s="74"/>
      <c r="BE7" s="74"/>
      <c r="BF7" s="74"/>
      <c r="BG7" s="88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"Низкая изоляция", note: "Низкая изоляция", group: "status", minValue: null, maxValue: null, step: null, units: "null", defaultValue: null, eventRegistration: 2</v>
      </c>
    </row>
    <row r="8" spans="1:16379" s="42" customFormat="1" ht="15.75" x14ac:dyDescent="0.25">
      <c r="A8" s="35"/>
      <c r="B8" s="93" t="s">
        <v>339</v>
      </c>
      <c r="C8" s="39"/>
      <c r="D8" s="20" t="s">
        <v>224</v>
      </c>
      <c r="E8" s="30" t="s">
        <v>187</v>
      </c>
      <c r="F8" s="30" t="s">
        <v>187</v>
      </c>
      <c r="G8" s="30" t="s">
        <v>187</v>
      </c>
      <c r="H8" s="30"/>
      <c r="I8" s="30">
        <f t="shared" si="0"/>
        <v>10</v>
      </c>
      <c r="J8" s="30" t="str">
        <f t="shared" si="1"/>
        <v>Отключение</v>
      </c>
      <c r="K8" s="35" t="s">
        <v>193</v>
      </c>
      <c r="L8" s="38" t="s">
        <v>63</v>
      </c>
      <c r="M8" s="39" t="s">
        <v>60</v>
      </c>
      <c r="N8" s="39" t="s">
        <v>61</v>
      </c>
      <c r="O8" s="39"/>
      <c r="P8" s="47"/>
      <c r="Q8" s="47"/>
      <c r="R8" s="39" t="s">
        <v>62</v>
      </c>
      <c r="S8" s="39" t="s">
        <v>62</v>
      </c>
      <c r="T8" s="39" t="s">
        <v>62</v>
      </c>
      <c r="U8" s="39" t="s">
        <v>62</v>
      </c>
      <c r="V8" s="39"/>
      <c r="W8" s="39"/>
      <c r="X8" s="39" t="s">
        <v>62</v>
      </c>
      <c r="Y8" s="39">
        <v>2</v>
      </c>
      <c r="Z8" s="37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300</v>
      </c>
      <c r="AJ8" s="40" t="s">
        <v>313</v>
      </c>
      <c r="AK8" s="40" t="s">
        <v>309</v>
      </c>
      <c r="AL8" s="40" t="s">
        <v>74</v>
      </c>
      <c r="AM8" s="40" t="s">
        <v>87</v>
      </c>
      <c r="AN8" s="40"/>
      <c r="AO8" s="40" t="s">
        <v>77</v>
      </c>
      <c r="AP8" s="40" t="str">
        <f t="shared" ref="AP8:AP27" si="8">CONCATENATE(AJ8, ".", AL8)</f>
        <v>WINSTMP1.Trip.stVal</v>
      </c>
      <c r="AQ8" s="40" t="s">
        <v>73</v>
      </c>
      <c r="AR8" s="36">
        <v>0</v>
      </c>
      <c r="AS8" s="36">
        <v>1</v>
      </c>
      <c r="AT8" s="36">
        <v>0</v>
      </c>
      <c r="AU8" s="36">
        <v>1</v>
      </c>
      <c r="AV8" s="36">
        <v>1</v>
      </c>
      <c r="AW8" s="36">
        <v>1</v>
      </c>
      <c r="AX8" s="36">
        <v>1</v>
      </c>
      <c r="AY8" s="47"/>
      <c r="AZ8" s="36"/>
      <c r="BA8" s="36"/>
      <c r="BB8" s="36"/>
      <c r="BC8" s="36"/>
      <c r="BD8" s="36"/>
      <c r="BE8" s="36"/>
      <c r="BF8" s="36"/>
      <c r="BG8" s="43" t="str">
        <f t="shared" si="2"/>
        <v>description: "Отключение", note: "Отключение",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93" t="s">
        <v>339</v>
      </c>
      <c r="C9" s="39"/>
      <c r="D9" s="20" t="s">
        <v>224</v>
      </c>
      <c r="E9" s="30" t="s">
        <v>189</v>
      </c>
      <c r="F9" s="30" t="s">
        <v>189</v>
      </c>
      <c r="G9" s="30" t="s">
        <v>189</v>
      </c>
      <c r="H9" s="30"/>
      <c r="I9" s="30">
        <f t="shared" ref="I9:I27" si="9">LEN(F9)</f>
        <v>6</v>
      </c>
      <c r="J9" s="30" t="str">
        <f t="shared" ref="J9:J27" si="10">IF(LEN(F9)&lt;=$J$1,F9,"")</f>
        <v>Сигнал</v>
      </c>
      <c r="K9" s="35" t="s">
        <v>194</v>
      </c>
      <c r="L9" s="38" t="s">
        <v>63</v>
      </c>
      <c r="M9" s="39" t="s">
        <v>60</v>
      </c>
      <c r="N9" s="39" t="s">
        <v>61</v>
      </c>
      <c r="O9" s="39"/>
      <c r="P9" s="47"/>
      <c r="Q9" s="47"/>
      <c r="R9" s="39" t="s">
        <v>62</v>
      </c>
      <c r="S9" s="39" t="s">
        <v>62</v>
      </c>
      <c r="T9" s="39" t="s">
        <v>62</v>
      </c>
      <c r="U9" s="39" t="s">
        <v>62</v>
      </c>
      <c r="V9" s="39"/>
      <c r="W9" s="39"/>
      <c r="X9" s="39" t="s">
        <v>62</v>
      </c>
      <c r="Y9" s="39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300</v>
      </c>
      <c r="AJ9" s="40" t="s">
        <v>314</v>
      </c>
      <c r="AK9" s="40" t="s">
        <v>309</v>
      </c>
      <c r="AL9" s="40" t="s">
        <v>74</v>
      </c>
      <c r="AM9" s="40" t="s">
        <v>87</v>
      </c>
      <c r="AN9" s="40"/>
      <c r="AO9" s="40" t="s">
        <v>77</v>
      </c>
      <c r="AP9" s="40" t="str">
        <f t="shared" si="8"/>
        <v>WINSTMP1.Alm.stVal</v>
      </c>
      <c r="AQ9" s="40" t="s">
        <v>73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7"/>
      <c r="AZ9" s="36"/>
      <c r="BA9" s="36"/>
      <c r="BB9" s="36"/>
      <c r="BC9" s="36"/>
      <c r="BD9" s="36"/>
      <c r="BE9" s="36"/>
      <c r="BF9" s="36"/>
      <c r="BG9" s="43" t="str">
        <f t="shared" ref="BG9:BG27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"Сигнал", note: "Сигнал", group: "status", minValue: null, maxValue: null, step: null, units: "null", defaultValue: null, eventRegistration: 2</v>
      </c>
    </row>
    <row r="10" spans="1:16379" s="42" customFormat="1" ht="15.75" x14ac:dyDescent="0.25">
      <c r="A10" s="35"/>
      <c r="B10" s="93" t="s">
        <v>339</v>
      </c>
      <c r="C10" s="39"/>
      <c r="D10" s="20" t="s">
        <v>224</v>
      </c>
      <c r="E10" s="30" t="s">
        <v>191</v>
      </c>
      <c r="F10" s="30" t="s">
        <v>191</v>
      </c>
      <c r="G10" s="30" t="s">
        <v>191</v>
      </c>
      <c r="H10" s="30"/>
      <c r="I10" s="30">
        <f t="shared" si="9"/>
        <v>15</v>
      </c>
      <c r="J10" s="30" t="str">
        <f t="shared" si="10"/>
        <v>Низкая изоляция</v>
      </c>
      <c r="K10" s="35" t="s">
        <v>195</v>
      </c>
      <c r="L10" s="38" t="s">
        <v>63</v>
      </c>
      <c r="M10" s="39" t="s">
        <v>60</v>
      </c>
      <c r="N10" s="39" t="s">
        <v>61</v>
      </c>
      <c r="O10" s="39"/>
      <c r="P10" s="47"/>
      <c r="Q10" s="47"/>
      <c r="R10" s="39" t="s">
        <v>62</v>
      </c>
      <c r="S10" s="39" t="s">
        <v>62</v>
      </c>
      <c r="T10" s="39" t="s">
        <v>62</v>
      </c>
      <c r="U10" s="39" t="s">
        <v>62</v>
      </c>
      <c r="V10" s="39"/>
      <c r="W10" s="39"/>
      <c r="X10" s="39" t="s">
        <v>62</v>
      </c>
      <c r="Y10" s="39">
        <v>2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300</v>
      </c>
      <c r="AJ10" s="40" t="s">
        <v>312</v>
      </c>
      <c r="AK10" s="40" t="s">
        <v>309</v>
      </c>
      <c r="AL10" s="40" t="s">
        <v>74</v>
      </c>
      <c r="AM10" s="40" t="s">
        <v>87</v>
      </c>
      <c r="AN10" s="40"/>
      <c r="AO10" s="40" t="s">
        <v>77</v>
      </c>
      <c r="AP10" s="40" t="str">
        <f t="shared" si="8"/>
        <v>WINSTMP1.Flt.stVal</v>
      </c>
      <c r="AQ10" s="40" t="s">
        <v>73</v>
      </c>
      <c r="AR10" s="36">
        <v>0</v>
      </c>
      <c r="AS10" s="36">
        <v>1</v>
      </c>
      <c r="AT10" s="36">
        <v>0</v>
      </c>
      <c r="AU10" s="36">
        <v>1</v>
      </c>
      <c r="AV10" s="36">
        <v>1</v>
      </c>
      <c r="AW10" s="36">
        <v>1</v>
      </c>
      <c r="AX10" s="36">
        <v>1</v>
      </c>
      <c r="AY10" s="47"/>
      <c r="AZ10" s="36"/>
      <c r="BA10" s="36"/>
      <c r="BB10" s="36"/>
      <c r="BC10" s="36"/>
      <c r="BD10" s="36"/>
      <c r="BE10" s="36"/>
      <c r="BF10" s="36"/>
      <c r="BG10" s="43" t="str">
        <f t="shared" si="11"/>
        <v>description: "Низкая изоляция", note: "Низкая изоляция", group: "status", minValue: null, maxValue: null, step: null, units: "null", defaultValue: null, eventRegistration: 2</v>
      </c>
    </row>
    <row r="11" spans="1:16379" s="89" customFormat="1" ht="15.75" x14ac:dyDescent="0.25">
      <c r="A11" s="73"/>
      <c r="B11" s="93" t="s">
        <v>339</v>
      </c>
      <c r="C11" s="82"/>
      <c r="D11" s="75" t="s">
        <v>225</v>
      </c>
      <c r="E11" s="76" t="s">
        <v>187</v>
      </c>
      <c r="F11" s="76" t="s">
        <v>187</v>
      </c>
      <c r="G11" s="76" t="s">
        <v>187</v>
      </c>
      <c r="H11" s="76"/>
      <c r="I11" s="76">
        <f t="shared" si="9"/>
        <v>10</v>
      </c>
      <c r="J11" s="76" t="str">
        <f t="shared" si="10"/>
        <v>Отключение</v>
      </c>
      <c r="K11" s="73" t="s">
        <v>196</v>
      </c>
      <c r="L11" s="81" t="s">
        <v>63</v>
      </c>
      <c r="M11" s="82" t="s">
        <v>60</v>
      </c>
      <c r="N11" s="82" t="s">
        <v>61</v>
      </c>
      <c r="O11" s="82"/>
      <c r="P11" s="87"/>
      <c r="Q11" s="87"/>
      <c r="R11" s="82" t="s">
        <v>62</v>
      </c>
      <c r="S11" s="82" t="s">
        <v>62</v>
      </c>
      <c r="T11" s="82" t="s">
        <v>62</v>
      </c>
      <c r="U11" s="82" t="s">
        <v>62</v>
      </c>
      <c r="V11" s="82"/>
      <c r="W11" s="82"/>
      <c r="X11" s="82" t="s">
        <v>62</v>
      </c>
      <c r="Y11" s="82">
        <v>2</v>
      </c>
      <c r="Z11" s="80"/>
      <c r="AA11" s="84">
        <v>0</v>
      </c>
      <c r="AB11" s="84"/>
      <c r="AC11" s="84"/>
      <c r="AD11" s="84"/>
      <c r="AE11" s="84"/>
      <c r="AF11" s="84">
        <v>0</v>
      </c>
      <c r="AG11" s="84">
        <v>0</v>
      </c>
      <c r="AH11" s="84">
        <v>0</v>
      </c>
      <c r="AI11" s="85" t="s">
        <v>302</v>
      </c>
      <c r="AJ11" s="86" t="s">
        <v>315</v>
      </c>
      <c r="AK11" s="86" t="s">
        <v>309</v>
      </c>
      <c r="AL11" s="86" t="s">
        <v>74</v>
      </c>
      <c r="AM11" s="86" t="s">
        <v>87</v>
      </c>
      <c r="AN11" s="86"/>
      <c r="AO11" s="86" t="s">
        <v>77</v>
      </c>
      <c r="AP11" s="86" t="str">
        <f t="shared" si="8"/>
        <v>SIML1.Trip.stVal</v>
      </c>
      <c r="AQ11" s="86" t="s">
        <v>73</v>
      </c>
      <c r="AR11" s="74">
        <v>0</v>
      </c>
      <c r="AS11" s="74">
        <v>1</v>
      </c>
      <c r="AT11" s="74">
        <v>0</v>
      </c>
      <c r="AU11" s="74">
        <v>1</v>
      </c>
      <c r="AV11" s="74">
        <v>1</v>
      </c>
      <c r="AW11" s="74">
        <v>1</v>
      </c>
      <c r="AX11" s="74">
        <v>1</v>
      </c>
      <c r="AY11" s="87"/>
      <c r="AZ11" s="74"/>
      <c r="BA11" s="74"/>
      <c r="BB11" s="74"/>
      <c r="BC11" s="74"/>
      <c r="BD11" s="74"/>
      <c r="BE11" s="74"/>
      <c r="BF11" s="74"/>
      <c r="BG11" s="88" t="str">
        <f t="shared" si="11"/>
        <v>description: "Отключение", note: "Отключение", group: "status", minValue: null, maxValue: null, step: null, units: "null", defaultValue: null, eventRegistration: 2</v>
      </c>
    </row>
    <row r="12" spans="1:16379" s="89" customFormat="1" ht="15.75" x14ac:dyDescent="0.25">
      <c r="A12" s="73"/>
      <c r="B12" s="93" t="s">
        <v>339</v>
      </c>
      <c r="C12" s="82"/>
      <c r="D12" s="75" t="s">
        <v>225</v>
      </c>
      <c r="E12" s="76" t="s">
        <v>191</v>
      </c>
      <c r="F12" s="76" t="s">
        <v>191</v>
      </c>
      <c r="G12" s="76" t="s">
        <v>191</v>
      </c>
      <c r="H12" s="76"/>
      <c r="I12" s="76">
        <f t="shared" si="9"/>
        <v>15</v>
      </c>
      <c r="J12" s="76" t="str">
        <f t="shared" si="10"/>
        <v>Низкая изоляция</v>
      </c>
      <c r="K12" s="73" t="s">
        <v>197</v>
      </c>
      <c r="L12" s="81" t="s">
        <v>63</v>
      </c>
      <c r="M12" s="82" t="s">
        <v>60</v>
      </c>
      <c r="N12" s="82" t="s">
        <v>61</v>
      </c>
      <c r="O12" s="82"/>
      <c r="P12" s="87"/>
      <c r="Q12" s="87"/>
      <c r="R12" s="82" t="s">
        <v>62</v>
      </c>
      <c r="S12" s="82" t="s">
        <v>62</v>
      </c>
      <c r="T12" s="82" t="s">
        <v>62</v>
      </c>
      <c r="U12" s="82" t="s">
        <v>62</v>
      </c>
      <c r="V12" s="82"/>
      <c r="W12" s="82"/>
      <c r="X12" s="82" t="s">
        <v>62</v>
      </c>
      <c r="Y12" s="82">
        <v>2</v>
      </c>
      <c r="Z12" s="80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 t="s">
        <v>302</v>
      </c>
      <c r="AJ12" s="86" t="s">
        <v>316</v>
      </c>
      <c r="AK12" s="86" t="s">
        <v>309</v>
      </c>
      <c r="AL12" s="86" t="s">
        <v>74</v>
      </c>
      <c r="AM12" s="86" t="s">
        <v>87</v>
      </c>
      <c r="AN12" s="86"/>
      <c r="AO12" s="86" t="s">
        <v>77</v>
      </c>
      <c r="AP12" s="86" t="str">
        <f t="shared" si="8"/>
        <v>SIML1.Flt.stVal</v>
      </c>
      <c r="AQ12" s="86" t="s">
        <v>73</v>
      </c>
      <c r="AR12" s="74">
        <v>0</v>
      </c>
      <c r="AS12" s="74">
        <v>1</v>
      </c>
      <c r="AT12" s="74">
        <v>0</v>
      </c>
      <c r="AU12" s="74">
        <v>1</v>
      </c>
      <c r="AV12" s="74">
        <v>1</v>
      </c>
      <c r="AW12" s="74">
        <v>1</v>
      </c>
      <c r="AX12" s="74">
        <v>1</v>
      </c>
      <c r="AY12" s="87"/>
      <c r="AZ12" s="74"/>
      <c r="BA12" s="74"/>
      <c r="BB12" s="74"/>
      <c r="BC12" s="74"/>
      <c r="BD12" s="74"/>
      <c r="BE12" s="74"/>
      <c r="BF12" s="74"/>
      <c r="BG12" s="88" t="str">
        <f t="shared" si="11"/>
        <v>description: "Низкая изоляция", note: "Низкая изоляция", group: "status", minValue: null, maxValue: null, step: null, units: "null", defaultValue: null, eventRegistration: 2</v>
      </c>
    </row>
    <row r="13" spans="1:16379" s="42" customFormat="1" ht="15.75" x14ac:dyDescent="0.25">
      <c r="A13" s="35"/>
      <c r="B13" s="93" t="s">
        <v>339</v>
      </c>
      <c r="C13" s="39"/>
      <c r="D13" s="20" t="s">
        <v>226</v>
      </c>
      <c r="E13" s="30" t="s">
        <v>189</v>
      </c>
      <c r="F13" s="30" t="s">
        <v>189</v>
      </c>
      <c r="G13" s="30" t="s">
        <v>189</v>
      </c>
      <c r="H13" s="30"/>
      <c r="I13" s="30">
        <f t="shared" si="9"/>
        <v>6</v>
      </c>
      <c r="J13" s="30" t="str">
        <f t="shared" si="10"/>
        <v>Сигнал</v>
      </c>
      <c r="K13" s="35" t="s">
        <v>198</v>
      </c>
      <c r="L13" s="38" t="s">
        <v>63</v>
      </c>
      <c r="M13" s="39" t="s">
        <v>60</v>
      </c>
      <c r="N13" s="39" t="s">
        <v>61</v>
      </c>
      <c r="O13" s="39"/>
      <c r="P13" s="47"/>
      <c r="Q13" s="47"/>
      <c r="R13" s="39" t="s">
        <v>62</v>
      </c>
      <c r="S13" s="39" t="s">
        <v>62</v>
      </c>
      <c r="T13" s="39" t="s">
        <v>62</v>
      </c>
      <c r="U13" s="39" t="s">
        <v>62</v>
      </c>
      <c r="V13" s="39"/>
      <c r="W13" s="39"/>
      <c r="X13" s="39" t="s">
        <v>62</v>
      </c>
      <c r="Y13" s="39">
        <v>2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305</v>
      </c>
      <c r="AJ13" s="40" t="s">
        <v>318</v>
      </c>
      <c r="AK13" s="40" t="s">
        <v>309</v>
      </c>
      <c r="AL13" s="40" t="s">
        <v>74</v>
      </c>
      <c r="AM13" s="40" t="s">
        <v>87</v>
      </c>
      <c r="AN13" s="40"/>
      <c r="AO13" s="40" t="s">
        <v>77</v>
      </c>
      <c r="AP13" s="40" t="str">
        <f t="shared" si="8"/>
        <v>PTRSIML1.GasInsAlm.stVal</v>
      </c>
      <c r="AQ13" s="40" t="s">
        <v>73</v>
      </c>
      <c r="AR13" s="36">
        <v>0</v>
      </c>
      <c r="AS13" s="36">
        <v>1</v>
      </c>
      <c r="AT13" s="36">
        <v>0</v>
      </c>
      <c r="AU13" s="36">
        <v>1</v>
      </c>
      <c r="AV13" s="36">
        <v>1</v>
      </c>
      <c r="AW13" s="36">
        <v>1</v>
      </c>
      <c r="AX13" s="36">
        <v>1</v>
      </c>
      <c r="AY13" s="47"/>
      <c r="AZ13" s="36"/>
      <c r="BA13" s="36"/>
      <c r="BB13" s="36"/>
      <c r="BC13" s="36"/>
      <c r="BD13" s="36"/>
      <c r="BE13" s="36"/>
      <c r="BF13" s="36"/>
      <c r="BG13" s="43" t="str">
        <f t="shared" si="11"/>
        <v>description: "Сигнал", note: "Сигнал", group: "status", minValue: null, maxValue: null, step: null, units: "null", defaultValue: null, eventRegistration: 2</v>
      </c>
    </row>
    <row r="14" spans="1:16379" s="42" customFormat="1" ht="15.75" x14ac:dyDescent="0.25">
      <c r="A14" s="35"/>
      <c r="B14" s="93" t="s">
        <v>339</v>
      </c>
      <c r="C14" s="39"/>
      <c r="D14" s="20" t="s">
        <v>226</v>
      </c>
      <c r="E14" s="30" t="s">
        <v>187</v>
      </c>
      <c r="F14" s="30" t="s">
        <v>187</v>
      </c>
      <c r="G14" s="30" t="s">
        <v>187</v>
      </c>
      <c r="H14" s="30"/>
      <c r="I14" s="30">
        <f t="shared" si="9"/>
        <v>10</v>
      </c>
      <c r="J14" s="30" t="str">
        <f t="shared" si="10"/>
        <v>Отключение</v>
      </c>
      <c r="K14" s="35" t="s">
        <v>199</v>
      </c>
      <c r="L14" s="38" t="s">
        <v>63</v>
      </c>
      <c r="M14" s="39" t="s">
        <v>60</v>
      </c>
      <c r="N14" s="39" t="s">
        <v>61</v>
      </c>
      <c r="O14" s="39"/>
      <c r="P14" s="47"/>
      <c r="Q14" s="47"/>
      <c r="R14" s="39" t="s">
        <v>62</v>
      </c>
      <c r="S14" s="39" t="s">
        <v>62</v>
      </c>
      <c r="T14" s="39" t="s">
        <v>62</v>
      </c>
      <c r="U14" s="39" t="s">
        <v>62</v>
      </c>
      <c r="V14" s="39"/>
      <c r="W14" s="39"/>
      <c r="X14" s="39" t="s">
        <v>62</v>
      </c>
      <c r="Y14" s="39">
        <v>2</v>
      </c>
      <c r="Z14" s="37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 t="s">
        <v>305</v>
      </c>
      <c r="AJ14" s="40" t="s">
        <v>319</v>
      </c>
      <c r="AK14" s="40" t="s">
        <v>309</v>
      </c>
      <c r="AL14" s="40" t="s">
        <v>74</v>
      </c>
      <c r="AM14" s="40" t="s">
        <v>87</v>
      </c>
      <c r="AN14" s="40"/>
      <c r="AO14" s="40" t="s">
        <v>77</v>
      </c>
      <c r="AP14" s="40" t="str">
        <f t="shared" si="8"/>
        <v>PTRSIML1.GasInsTr.stVal</v>
      </c>
      <c r="AQ14" s="40" t="s">
        <v>73</v>
      </c>
      <c r="AR14" s="36">
        <v>0</v>
      </c>
      <c r="AS14" s="36">
        <v>1</v>
      </c>
      <c r="AT14" s="36">
        <v>0</v>
      </c>
      <c r="AU14" s="36">
        <v>1</v>
      </c>
      <c r="AV14" s="36">
        <v>1</v>
      </c>
      <c r="AW14" s="36">
        <v>1</v>
      </c>
      <c r="AX14" s="36">
        <v>1</v>
      </c>
      <c r="AY14" s="47"/>
      <c r="AZ14" s="36"/>
      <c r="BA14" s="36"/>
      <c r="BB14" s="36"/>
      <c r="BC14" s="36"/>
      <c r="BD14" s="36"/>
      <c r="BE14" s="36"/>
      <c r="BF14" s="36"/>
      <c r="BG14" s="43" t="str">
        <f t="shared" si="11"/>
        <v>description: "Отключение", note: "Отключение", group: "status", minValue: null, maxValue: null, step: null, units: "null", defaultValue: null, eventRegistration: 2</v>
      </c>
    </row>
    <row r="15" spans="1:16379" s="42" customFormat="1" ht="15.75" x14ac:dyDescent="0.25">
      <c r="A15" s="35"/>
      <c r="B15" s="93" t="s">
        <v>339</v>
      </c>
      <c r="C15" s="39"/>
      <c r="D15" s="20" t="s">
        <v>226</v>
      </c>
      <c r="E15" s="30" t="s">
        <v>200</v>
      </c>
      <c r="F15" s="30" t="s">
        <v>202</v>
      </c>
      <c r="G15" s="30" t="s">
        <v>202</v>
      </c>
      <c r="H15" s="30"/>
      <c r="I15" s="30">
        <f t="shared" si="9"/>
        <v>19</v>
      </c>
      <c r="J15" s="30" t="str">
        <f t="shared" si="10"/>
        <v>Низкая изол. ГЗсигн</v>
      </c>
      <c r="K15" s="35" t="s">
        <v>201</v>
      </c>
      <c r="L15" s="38" t="s">
        <v>63</v>
      </c>
      <c r="M15" s="39" t="s">
        <v>60</v>
      </c>
      <c r="N15" s="39" t="s">
        <v>61</v>
      </c>
      <c r="O15" s="39"/>
      <c r="P15" s="47"/>
      <c r="Q15" s="47"/>
      <c r="R15" s="39" t="s">
        <v>62</v>
      </c>
      <c r="S15" s="39" t="s">
        <v>62</v>
      </c>
      <c r="T15" s="39" t="s">
        <v>62</v>
      </c>
      <c r="U15" s="39" t="s">
        <v>62</v>
      </c>
      <c r="V15" s="39"/>
      <c r="W15" s="39"/>
      <c r="X15" s="39" t="s">
        <v>62</v>
      </c>
      <c r="Y15" s="39">
        <v>2</v>
      </c>
      <c r="Z15" s="37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305</v>
      </c>
      <c r="AJ15" s="40" t="s">
        <v>317</v>
      </c>
      <c r="AK15" s="40" t="s">
        <v>309</v>
      </c>
      <c r="AL15" s="40" t="s">
        <v>74</v>
      </c>
      <c r="AM15" s="40" t="s">
        <v>87</v>
      </c>
      <c r="AN15" s="40"/>
      <c r="AO15" s="40" t="s">
        <v>77</v>
      </c>
      <c r="AP15" s="40" t="str">
        <f t="shared" si="8"/>
        <v>PTRSIML1.Flt.stVal</v>
      </c>
      <c r="AQ15" s="40" t="s">
        <v>73</v>
      </c>
      <c r="AR15" s="36">
        <v>0</v>
      </c>
      <c r="AS15" s="36">
        <v>1</v>
      </c>
      <c r="AT15" s="36">
        <v>0</v>
      </c>
      <c r="AU15" s="36">
        <v>1</v>
      </c>
      <c r="AV15" s="36">
        <v>1</v>
      </c>
      <c r="AW15" s="36">
        <v>1</v>
      </c>
      <c r="AX15" s="36">
        <v>1</v>
      </c>
      <c r="AY15" s="47"/>
      <c r="AZ15" s="36"/>
      <c r="BA15" s="36"/>
      <c r="BB15" s="36"/>
      <c r="BC15" s="36"/>
      <c r="BD15" s="36"/>
      <c r="BE15" s="36"/>
      <c r="BF15" s="36"/>
      <c r="BG15" s="43" t="str">
        <f t="shared" si="11"/>
        <v>description: "Низкая изол. ГЗсигн", note: "Низкая изоляция ГЗсигн", group: "status", minValue: null, maxValue: null, step: null, units: "null", defaultValue: null, eventRegistration: 2</v>
      </c>
    </row>
    <row r="16" spans="1:16379" s="42" customFormat="1" ht="15.75" x14ac:dyDescent="0.25">
      <c r="A16" s="35"/>
      <c r="B16" s="93" t="s">
        <v>339</v>
      </c>
      <c r="C16" s="39"/>
      <c r="D16" s="20" t="s">
        <v>226</v>
      </c>
      <c r="E16" s="30" t="s">
        <v>203</v>
      </c>
      <c r="F16" s="30" t="s">
        <v>204</v>
      </c>
      <c r="G16" s="30" t="s">
        <v>204</v>
      </c>
      <c r="H16" s="30"/>
      <c r="I16" s="30">
        <f t="shared" si="9"/>
        <v>19</v>
      </c>
      <c r="J16" s="30" t="str">
        <f t="shared" si="10"/>
        <v>Низкая изол. ГЗоткл</v>
      </c>
      <c r="K16" s="35" t="s">
        <v>205</v>
      </c>
      <c r="L16" s="38" t="s">
        <v>63</v>
      </c>
      <c r="M16" s="39" t="s">
        <v>60</v>
      </c>
      <c r="N16" s="39" t="s">
        <v>61</v>
      </c>
      <c r="O16" s="39"/>
      <c r="P16" s="47"/>
      <c r="Q16" s="47"/>
      <c r="R16" s="39" t="s">
        <v>62</v>
      </c>
      <c r="S16" s="39" t="s">
        <v>62</v>
      </c>
      <c r="T16" s="39" t="s">
        <v>62</v>
      </c>
      <c r="U16" s="39" t="s">
        <v>62</v>
      </c>
      <c r="V16" s="39"/>
      <c r="W16" s="39"/>
      <c r="X16" s="39" t="s">
        <v>62</v>
      </c>
      <c r="Y16" s="39">
        <v>2</v>
      </c>
      <c r="Z16" s="37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40"/>
      <c r="AK16" s="40"/>
      <c r="AL16" s="40"/>
      <c r="AM16" s="40"/>
      <c r="AN16" s="40"/>
      <c r="AO16" s="40"/>
      <c r="AP16" s="40"/>
      <c r="AQ16" s="40"/>
      <c r="AR16" s="36">
        <v>0</v>
      </c>
      <c r="AS16" s="36">
        <v>1</v>
      </c>
      <c r="AT16" s="36">
        <v>0</v>
      </c>
      <c r="AU16" s="36">
        <v>1</v>
      </c>
      <c r="AV16" s="36">
        <v>1</v>
      </c>
      <c r="AW16" s="36">
        <v>1</v>
      </c>
      <c r="AX16" s="36">
        <v>1</v>
      </c>
      <c r="AY16" s="47"/>
      <c r="AZ16" s="36"/>
      <c r="BA16" s="36"/>
      <c r="BB16" s="36"/>
      <c r="BC16" s="36"/>
      <c r="BD16" s="36"/>
      <c r="BE16" s="36"/>
      <c r="BF16" s="36"/>
      <c r="BG16" s="43" t="str">
        <f t="shared" si="11"/>
        <v>description: "Низкая изол. ГЗоткл", note: "Низкая изоляция ГЗоткл", group: "status", minValue: null, maxValue: null, step: null, units: "null", defaultValue: null, eventRegistration: 2</v>
      </c>
    </row>
    <row r="17" spans="1:59" s="89" customFormat="1" ht="15.75" x14ac:dyDescent="0.25">
      <c r="A17" s="73"/>
      <c r="B17" s="93" t="s">
        <v>339</v>
      </c>
      <c r="C17" s="82"/>
      <c r="D17" s="75" t="s">
        <v>227</v>
      </c>
      <c r="E17" s="76" t="s">
        <v>187</v>
      </c>
      <c r="F17" s="76" t="s">
        <v>187</v>
      </c>
      <c r="G17" s="76" t="s">
        <v>187</v>
      </c>
      <c r="H17" s="76"/>
      <c r="I17" s="76">
        <f t="shared" si="9"/>
        <v>10</v>
      </c>
      <c r="J17" s="76" t="str">
        <f t="shared" si="10"/>
        <v>Отключение</v>
      </c>
      <c r="K17" s="73" t="s">
        <v>206</v>
      </c>
      <c r="L17" s="81" t="s">
        <v>63</v>
      </c>
      <c r="M17" s="82" t="s">
        <v>60</v>
      </c>
      <c r="N17" s="82" t="s">
        <v>61</v>
      </c>
      <c r="O17" s="82"/>
      <c r="P17" s="87"/>
      <c r="Q17" s="87"/>
      <c r="R17" s="82" t="s">
        <v>62</v>
      </c>
      <c r="S17" s="82" t="s">
        <v>62</v>
      </c>
      <c r="T17" s="82" t="s">
        <v>62</v>
      </c>
      <c r="U17" s="82" t="s">
        <v>62</v>
      </c>
      <c r="V17" s="82"/>
      <c r="W17" s="82"/>
      <c r="X17" s="82" t="s">
        <v>62</v>
      </c>
      <c r="Y17" s="82">
        <v>2</v>
      </c>
      <c r="Z17" s="80"/>
      <c r="AA17" s="84">
        <v>0</v>
      </c>
      <c r="AB17" s="84"/>
      <c r="AC17" s="84"/>
      <c r="AD17" s="84"/>
      <c r="AE17" s="84"/>
      <c r="AF17" s="84">
        <v>0</v>
      </c>
      <c r="AG17" s="84">
        <v>0</v>
      </c>
      <c r="AH17" s="84">
        <v>0</v>
      </c>
      <c r="AI17" s="85" t="s">
        <v>306</v>
      </c>
      <c r="AJ17" s="86" t="s">
        <v>321</v>
      </c>
      <c r="AK17" s="86" t="s">
        <v>309</v>
      </c>
      <c r="AL17" s="86" t="s">
        <v>74</v>
      </c>
      <c r="AM17" s="86" t="s">
        <v>87</v>
      </c>
      <c r="AN17" s="86"/>
      <c r="AO17" s="86" t="s">
        <v>77</v>
      </c>
      <c r="AP17" s="86" t="str">
        <f t="shared" si="8"/>
        <v>LTCSIML1.GasInsTr.stVal</v>
      </c>
      <c r="AQ17" s="86" t="s">
        <v>73</v>
      </c>
      <c r="AR17" s="74">
        <v>0</v>
      </c>
      <c r="AS17" s="74">
        <v>1</v>
      </c>
      <c r="AT17" s="74">
        <v>0</v>
      </c>
      <c r="AU17" s="74">
        <v>1</v>
      </c>
      <c r="AV17" s="74">
        <v>1</v>
      </c>
      <c r="AW17" s="74">
        <v>1</v>
      </c>
      <c r="AX17" s="74">
        <v>1</v>
      </c>
      <c r="AY17" s="87"/>
      <c r="AZ17" s="74"/>
      <c r="BA17" s="74"/>
      <c r="BB17" s="74"/>
      <c r="BC17" s="74"/>
      <c r="BD17" s="74"/>
      <c r="BE17" s="74"/>
      <c r="BF17" s="74"/>
      <c r="BG17" s="88" t="str">
        <f t="shared" si="11"/>
        <v>description: "Отключение", note: "Отключение", group: "status", minValue: null, maxValue: null, step: null, units: "null", defaultValue: null, eventRegistration: 2</v>
      </c>
    </row>
    <row r="18" spans="1:59" s="89" customFormat="1" ht="15.75" x14ac:dyDescent="0.25">
      <c r="A18" s="73"/>
      <c r="B18" s="93" t="s">
        <v>339</v>
      </c>
      <c r="C18" s="82"/>
      <c r="D18" s="75" t="s">
        <v>227</v>
      </c>
      <c r="E18" s="76" t="s">
        <v>191</v>
      </c>
      <c r="F18" s="76" t="s">
        <v>191</v>
      </c>
      <c r="G18" s="76" t="s">
        <v>191</v>
      </c>
      <c r="H18" s="76"/>
      <c r="I18" s="76">
        <f t="shared" si="9"/>
        <v>15</v>
      </c>
      <c r="J18" s="76" t="str">
        <f t="shared" si="10"/>
        <v>Низкая изоляция</v>
      </c>
      <c r="K18" s="73" t="s">
        <v>207</v>
      </c>
      <c r="L18" s="81" t="s">
        <v>63</v>
      </c>
      <c r="M18" s="82" t="s">
        <v>60</v>
      </c>
      <c r="N18" s="82" t="s">
        <v>61</v>
      </c>
      <c r="O18" s="82"/>
      <c r="P18" s="87"/>
      <c r="Q18" s="87"/>
      <c r="R18" s="82" t="s">
        <v>62</v>
      </c>
      <c r="S18" s="82" t="s">
        <v>62</v>
      </c>
      <c r="T18" s="82" t="s">
        <v>62</v>
      </c>
      <c r="U18" s="82" t="s">
        <v>62</v>
      </c>
      <c r="V18" s="82"/>
      <c r="W18" s="82"/>
      <c r="X18" s="82" t="s">
        <v>62</v>
      </c>
      <c r="Y18" s="82">
        <v>2</v>
      </c>
      <c r="Z18" s="80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306</v>
      </c>
      <c r="AJ18" s="86" t="s">
        <v>320</v>
      </c>
      <c r="AK18" s="86" t="s">
        <v>309</v>
      </c>
      <c r="AL18" s="86" t="s">
        <v>74</v>
      </c>
      <c r="AM18" s="86" t="s">
        <v>87</v>
      </c>
      <c r="AN18" s="86"/>
      <c r="AO18" s="86" t="s">
        <v>77</v>
      </c>
      <c r="AP18" s="86" t="str">
        <f t="shared" si="8"/>
        <v>LTCSIML1.Flt.stVal</v>
      </c>
      <c r="AQ18" s="86" t="s">
        <v>73</v>
      </c>
      <c r="AR18" s="74">
        <v>0</v>
      </c>
      <c r="AS18" s="74">
        <v>1</v>
      </c>
      <c r="AT18" s="74">
        <v>0</v>
      </c>
      <c r="AU18" s="74">
        <v>1</v>
      </c>
      <c r="AV18" s="74">
        <v>1</v>
      </c>
      <c r="AW18" s="74">
        <v>1</v>
      </c>
      <c r="AX18" s="74">
        <v>1</v>
      </c>
      <c r="AY18" s="87"/>
      <c r="AZ18" s="74"/>
      <c r="BA18" s="74"/>
      <c r="BB18" s="74"/>
      <c r="BC18" s="74"/>
      <c r="BD18" s="74"/>
      <c r="BE18" s="74"/>
      <c r="BF18" s="74"/>
      <c r="BG18" s="88" t="str">
        <f t="shared" si="11"/>
        <v>description: "Низкая изоляция", note: "Низкая изоляция", group: "status", minValue: null, maxValue: null, step: null, units: "null", defaultValue: null, eventRegistration: 2</v>
      </c>
    </row>
    <row r="19" spans="1:59" s="42" customFormat="1" ht="15.75" x14ac:dyDescent="0.25">
      <c r="A19" s="35"/>
      <c r="B19" s="93" t="s">
        <v>339</v>
      </c>
      <c r="C19" s="39"/>
      <c r="D19" s="20" t="s">
        <v>330</v>
      </c>
      <c r="E19" s="30" t="s">
        <v>208</v>
      </c>
      <c r="F19" s="30" t="s">
        <v>209</v>
      </c>
      <c r="G19" s="30" t="s">
        <v>209</v>
      </c>
      <c r="H19" s="30"/>
      <c r="I19" s="30">
        <f t="shared" si="9"/>
        <v>15</v>
      </c>
      <c r="J19" s="30" t="str">
        <f t="shared" si="10"/>
        <v>Высокий уровень</v>
      </c>
      <c r="K19" s="35" t="s">
        <v>210</v>
      </c>
      <c r="L19" s="38" t="s">
        <v>63</v>
      </c>
      <c r="M19" s="39" t="s">
        <v>60</v>
      </c>
      <c r="N19" s="39" t="s">
        <v>61</v>
      </c>
      <c r="O19" s="39"/>
      <c r="P19" s="47"/>
      <c r="Q19" s="47"/>
      <c r="R19" s="39" t="s">
        <v>62</v>
      </c>
      <c r="S19" s="39" t="s">
        <v>62</v>
      </c>
      <c r="T19" s="39" t="s">
        <v>62</v>
      </c>
      <c r="U19" s="39" t="s">
        <v>62</v>
      </c>
      <c r="V19" s="39"/>
      <c r="W19" s="39"/>
      <c r="X19" s="39" t="s">
        <v>62</v>
      </c>
      <c r="Y19" s="39">
        <v>2</v>
      </c>
      <c r="Z19" s="37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307</v>
      </c>
      <c r="AJ19" s="40" t="s">
        <v>322</v>
      </c>
      <c r="AK19" s="40" t="s">
        <v>309</v>
      </c>
      <c r="AL19" s="40" t="s">
        <v>74</v>
      </c>
      <c r="AM19" s="40" t="s">
        <v>87</v>
      </c>
      <c r="AN19" s="40"/>
      <c r="AO19" s="40" t="s">
        <v>77</v>
      </c>
      <c r="AP19" s="40" t="str">
        <f t="shared" si="8"/>
        <v>OILSIML1.InsLevMax.stVal</v>
      </c>
      <c r="AQ19" s="40" t="s">
        <v>73</v>
      </c>
      <c r="AR19" s="36">
        <v>0</v>
      </c>
      <c r="AS19" s="36">
        <v>1</v>
      </c>
      <c r="AT19" s="36">
        <v>0</v>
      </c>
      <c r="AU19" s="36">
        <v>1</v>
      </c>
      <c r="AV19" s="36">
        <v>1</v>
      </c>
      <c r="AW19" s="36">
        <v>1</v>
      </c>
      <c r="AX19" s="36">
        <v>1</v>
      </c>
      <c r="AY19" s="47"/>
      <c r="AZ19" s="36"/>
      <c r="BA19" s="36"/>
      <c r="BB19" s="36"/>
      <c r="BC19" s="36"/>
      <c r="BD19" s="36"/>
      <c r="BE19" s="36"/>
      <c r="BF19" s="36"/>
      <c r="BG19" s="43" t="str">
        <f t="shared" si="11"/>
        <v>description: "Высокий уровень", note: "Высокий уровень масла", group: "status", minValue: null, maxValue: null, step: null, units: "null", defaultValue: null, eventRegistration: 2</v>
      </c>
    </row>
    <row r="20" spans="1:59" s="42" customFormat="1" ht="15.75" x14ac:dyDescent="0.25">
      <c r="A20" s="35"/>
      <c r="B20" s="93" t="s">
        <v>339</v>
      </c>
      <c r="C20" s="39"/>
      <c r="D20" s="20" t="s">
        <v>330</v>
      </c>
      <c r="E20" s="30" t="s">
        <v>211</v>
      </c>
      <c r="F20" s="30" t="s">
        <v>212</v>
      </c>
      <c r="G20" s="30" t="s">
        <v>212</v>
      </c>
      <c r="H20" s="30"/>
      <c r="I20" s="30">
        <f t="shared" si="9"/>
        <v>14</v>
      </c>
      <c r="J20" s="30" t="str">
        <f t="shared" si="10"/>
        <v>Низкий уровень</v>
      </c>
      <c r="K20" s="35" t="s">
        <v>213</v>
      </c>
      <c r="L20" s="38" t="s">
        <v>63</v>
      </c>
      <c r="M20" s="39" t="s">
        <v>60</v>
      </c>
      <c r="N20" s="39" t="s">
        <v>61</v>
      </c>
      <c r="O20" s="39"/>
      <c r="P20" s="47"/>
      <c r="Q20" s="47"/>
      <c r="R20" s="39" t="s">
        <v>62</v>
      </c>
      <c r="S20" s="39" t="s">
        <v>62</v>
      </c>
      <c r="T20" s="39" t="s">
        <v>62</v>
      </c>
      <c r="U20" s="39" t="s">
        <v>62</v>
      </c>
      <c r="V20" s="39"/>
      <c r="W20" s="39"/>
      <c r="X20" s="39" t="s">
        <v>62</v>
      </c>
      <c r="Y20" s="39">
        <v>2</v>
      </c>
      <c r="Z20" s="37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 t="s">
        <v>307</v>
      </c>
      <c r="AJ20" s="40" t="s">
        <v>323</v>
      </c>
      <c r="AK20" s="40" t="s">
        <v>309</v>
      </c>
      <c r="AL20" s="40" t="s">
        <v>74</v>
      </c>
      <c r="AM20" s="40" t="s">
        <v>87</v>
      </c>
      <c r="AN20" s="40"/>
      <c r="AO20" s="40" t="s">
        <v>77</v>
      </c>
      <c r="AP20" s="40" t="str">
        <f t="shared" si="8"/>
        <v>OILSIML1.InsLevMin.stVal</v>
      </c>
      <c r="AQ20" s="40" t="s">
        <v>73</v>
      </c>
      <c r="AR20" s="36">
        <v>0</v>
      </c>
      <c r="AS20" s="36">
        <v>1</v>
      </c>
      <c r="AT20" s="36">
        <v>0</v>
      </c>
      <c r="AU20" s="36">
        <v>1</v>
      </c>
      <c r="AV20" s="36">
        <v>1</v>
      </c>
      <c r="AW20" s="36">
        <v>1</v>
      </c>
      <c r="AX20" s="36">
        <v>1</v>
      </c>
      <c r="AY20" s="47"/>
      <c r="AZ20" s="36"/>
      <c r="BA20" s="36"/>
      <c r="BB20" s="36"/>
      <c r="BC20" s="36"/>
      <c r="BD20" s="36"/>
      <c r="BE20" s="36"/>
      <c r="BF20" s="36"/>
      <c r="BG20" s="43" t="str">
        <f t="shared" si="11"/>
        <v>description: "Низкий уровень", note: "Низкий уровень масла", group: "status", minValue: null, maxValue: null, step: null, units: "null", defaultValue: null, eventRegistration: 2</v>
      </c>
    </row>
    <row r="21" spans="1:59" s="89" customFormat="1" ht="15.75" x14ac:dyDescent="0.25">
      <c r="A21" s="73"/>
      <c r="B21" s="93" t="s">
        <v>339</v>
      </c>
      <c r="C21" s="82"/>
      <c r="D21" s="75" t="s">
        <v>228</v>
      </c>
      <c r="E21" s="76" t="s">
        <v>208</v>
      </c>
      <c r="F21" s="76" t="s">
        <v>209</v>
      </c>
      <c r="G21" s="76" t="s">
        <v>209</v>
      </c>
      <c r="H21" s="76"/>
      <c r="I21" s="76">
        <f t="shared" si="9"/>
        <v>15</v>
      </c>
      <c r="J21" s="76" t="str">
        <f t="shared" si="10"/>
        <v>Высокий уровень</v>
      </c>
      <c r="K21" s="73" t="s">
        <v>214</v>
      </c>
      <c r="L21" s="81" t="s">
        <v>63</v>
      </c>
      <c r="M21" s="82" t="s">
        <v>60</v>
      </c>
      <c r="N21" s="82" t="s">
        <v>61</v>
      </c>
      <c r="O21" s="82"/>
      <c r="P21" s="87"/>
      <c r="Q21" s="87"/>
      <c r="R21" s="82" t="s">
        <v>62</v>
      </c>
      <c r="S21" s="82" t="s">
        <v>62</v>
      </c>
      <c r="T21" s="82" t="s">
        <v>62</v>
      </c>
      <c r="U21" s="82" t="s">
        <v>62</v>
      </c>
      <c r="V21" s="82"/>
      <c r="W21" s="82"/>
      <c r="X21" s="82" t="s">
        <v>62</v>
      </c>
      <c r="Y21" s="82">
        <v>2</v>
      </c>
      <c r="Z21" s="80"/>
      <c r="AA21" s="84">
        <v>0</v>
      </c>
      <c r="AB21" s="84"/>
      <c r="AC21" s="84"/>
      <c r="AD21" s="84"/>
      <c r="AE21" s="84"/>
      <c r="AF21" s="84">
        <v>0</v>
      </c>
      <c r="AG21" s="84">
        <v>0</v>
      </c>
      <c r="AH21" s="84">
        <v>0</v>
      </c>
      <c r="AI21" s="85" t="s">
        <v>307</v>
      </c>
      <c r="AJ21" s="86" t="s">
        <v>324</v>
      </c>
      <c r="AK21" s="86" t="s">
        <v>309</v>
      </c>
      <c r="AL21" s="86" t="s">
        <v>74</v>
      </c>
      <c r="AM21" s="86" t="s">
        <v>87</v>
      </c>
      <c r="AN21" s="86"/>
      <c r="AO21" s="86" t="s">
        <v>77</v>
      </c>
      <c r="AP21" s="86" t="str">
        <f t="shared" si="8"/>
        <v>LTCOILSIML1.InsLevMax.stVal</v>
      </c>
      <c r="AQ21" s="86" t="s">
        <v>73</v>
      </c>
      <c r="AR21" s="74">
        <v>0</v>
      </c>
      <c r="AS21" s="74">
        <v>1</v>
      </c>
      <c r="AT21" s="74">
        <v>0</v>
      </c>
      <c r="AU21" s="74">
        <v>1</v>
      </c>
      <c r="AV21" s="74">
        <v>1</v>
      </c>
      <c r="AW21" s="74">
        <v>1</v>
      </c>
      <c r="AX21" s="74">
        <v>1</v>
      </c>
      <c r="AY21" s="87"/>
      <c r="AZ21" s="74"/>
      <c r="BA21" s="74"/>
      <c r="BB21" s="74"/>
      <c r="BC21" s="74"/>
      <c r="BD21" s="74"/>
      <c r="BE21" s="74"/>
      <c r="BF21" s="74"/>
      <c r="BG21" s="88" t="str">
        <f t="shared" si="11"/>
        <v>description: "Высокий уровень", note: "Высокий уровень масла", group: "status", minValue: null, maxValue: null, step: null, units: "null", defaultValue: null, eventRegistration: 2</v>
      </c>
    </row>
    <row r="22" spans="1:59" s="89" customFormat="1" ht="15.75" x14ac:dyDescent="0.25">
      <c r="A22" s="73"/>
      <c r="B22" s="93" t="s">
        <v>339</v>
      </c>
      <c r="C22" s="82"/>
      <c r="D22" s="75" t="s">
        <v>228</v>
      </c>
      <c r="E22" s="76" t="s">
        <v>211</v>
      </c>
      <c r="F22" s="76" t="s">
        <v>212</v>
      </c>
      <c r="G22" s="76" t="s">
        <v>212</v>
      </c>
      <c r="H22" s="76"/>
      <c r="I22" s="76">
        <f t="shared" si="9"/>
        <v>14</v>
      </c>
      <c r="J22" s="76" t="str">
        <f t="shared" si="10"/>
        <v>Низкий уровень</v>
      </c>
      <c r="K22" s="73" t="s">
        <v>215</v>
      </c>
      <c r="L22" s="81" t="s">
        <v>63</v>
      </c>
      <c r="M22" s="82" t="s">
        <v>60</v>
      </c>
      <c r="N22" s="82" t="s">
        <v>61</v>
      </c>
      <c r="O22" s="82"/>
      <c r="P22" s="87"/>
      <c r="Q22" s="87"/>
      <c r="R22" s="82" t="s">
        <v>62</v>
      </c>
      <c r="S22" s="82" t="s">
        <v>62</v>
      </c>
      <c r="T22" s="82" t="s">
        <v>62</v>
      </c>
      <c r="U22" s="82" t="s">
        <v>62</v>
      </c>
      <c r="V22" s="82"/>
      <c r="W22" s="82"/>
      <c r="X22" s="82" t="s">
        <v>62</v>
      </c>
      <c r="Y22" s="82">
        <v>2</v>
      </c>
      <c r="Z22" s="80"/>
      <c r="AA22" s="84">
        <v>0</v>
      </c>
      <c r="AB22" s="84"/>
      <c r="AC22" s="84"/>
      <c r="AD22" s="84"/>
      <c r="AE22" s="84"/>
      <c r="AF22" s="84">
        <v>0</v>
      </c>
      <c r="AG22" s="84">
        <v>0</v>
      </c>
      <c r="AH22" s="84">
        <v>0</v>
      </c>
      <c r="AI22" s="85" t="s">
        <v>307</v>
      </c>
      <c r="AJ22" s="86" t="s">
        <v>325</v>
      </c>
      <c r="AK22" s="86" t="s">
        <v>309</v>
      </c>
      <c r="AL22" s="86" t="s">
        <v>74</v>
      </c>
      <c r="AM22" s="86" t="s">
        <v>87</v>
      </c>
      <c r="AN22" s="86"/>
      <c r="AO22" s="86" t="s">
        <v>77</v>
      </c>
      <c r="AP22" s="86" t="str">
        <f t="shared" si="8"/>
        <v>LTCOILSIML1.InsLevMin.stVal</v>
      </c>
      <c r="AQ22" s="86" t="s">
        <v>73</v>
      </c>
      <c r="AR22" s="74">
        <v>0</v>
      </c>
      <c r="AS22" s="74">
        <v>1</v>
      </c>
      <c r="AT22" s="74">
        <v>0</v>
      </c>
      <c r="AU22" s="74">
        <v>1</v>
      </c>
      <c r="AV22" s="74">
        <v>1</v>
      </c>
      <c r="AW22" s="74">
        <v>1</v>
      </c>
      <c r="AX22" s="74">
        <v>1</v>
      </c>
      <c r="AY22" s="87"/>
      <c r="AZ22" s="74"/>
      <c r="BA22" s="74"/>
      <c r="BB22" s="74"/>
      <c r="BC22" s="74"/>
      <c r="BD22" s="74"/>
      <c r="BE22" s="74"/>
      <c r="BF22" s="74"/>
      <c r="BG22" s="88" t="str">
        <f t="shared" si="11"/>
        <v>description: "Низкий уровень", note: "Низкий уровень масла", group: "status", minValue: null, maxValue: null, step: null, units: "null", defaultValue: null, eventRegistration: 2</v>
      </c>
    </row>
    <row r="23" spans="1:59" s="42" customFormat="1" ht="15.75" x14ac:dyDescent="0.25">
      <c r="A23" s="35"/>
      <c r="B23" s="93" t="s">
        <v>339</v>
      </c>
      <c r="C23" s="39"/>
      <c r="D23" s="20" t="s">
        <v>229</v>
      </c>
      <c r="E23" s="30" t="s">
        <v>88</v>
      </c>
      <c r="F23" s="30" t="s">
        <v>88</v>
      </c>
      <c r="G23" s="30" t="s">
        <v>88</v>
      </c>
      <c r="H23" s="30"/>
      <c r="I23" s="30">
        <f t="shared" si="9"/>
        <v>12</v>
      </c>
      <c r="J23" s="30" t="str">
        <f t="shared" si="10"/>
        <v>Срабатывание</v>
      </c>
      <c r="K23" s="35" t="s">
        <v>216</v>
      </c>
      <c r="L23" s="38" t="s">
        <v>63</v>
      </c>
      <c r="M23" s="39" t="s">
        <v>60</v>
      </c>
      <c r="N23" s="39" t="s">
        <v>61</v>
      </c>
      <c r="O23" s="39"/>
      <c r="P23" s="47"/>
      <c r="Q23" s="47"/>
      <c r="R23" s="39" t="s">
        <v>62</v>
      </c>
      <c r="S23" s="39" t="s">
        <v>62</v>
      </c>
      <c r="T23" s="39" t="s">
        <v>62</v>
      </c>
      <c r="U23" s="39" t="s">
        <v>62</v>
      </c>
      <c r="V23" s="39"/>
      <c r="W23" s="39"/>
      <c r="X23" s="39" t="s">
        <v>62</v>
      </c>
      <c r="Y23" s="39">
        <v>2</v>
      </c>
      <c r="Z23" s="37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303</v>
      </c>
      <c r="AJ23" s="40" t="s">
        <v>326</v>
      </c>
      <c r="AK23" s="40" t="s">
        <v>309</v>
      </c>
      <c r="AL23" s="40" t="s">
        <v>74</v>
      </c>
      <c r="AM23" s="40" t="s">
        <v>87</v>
      </c>
      <c r="AN23" s="40"/>
      <c r="AO23" s="40" t="s">
        <v>77</v>
      </c>
      <c r="AP23" s="40" t="str">
        <f t="shared" si="8"/>
        <v>PRVKVLV1.OpnPos.stVal</v>
      </c>
      <c r="AQ23" s="40" t="s">
        <v>73</v>
      </c>
      <c r="AR23" s="36">
        <v>0</v>
      </c>
      <c r="AS23" s="36">
        <v>1</v>
      </c>
      <c r="AT23" s="36">
        <v>0</v>
      </c>
      <c r="AU23" s="36">
        <v>1</v>
      </c>
      <c r="AV23" s="36">
        <v>1</v>
      </c>
      <c r="AW23" s="36">
        <v>1</v>
      </c>
      <c r="AX23" s="36">
        <v>1</v>
      </c>
      <c r="AY23" s="47"/>
      <c r="AZ23" s="36"/>
      <c r="BA23" s="36"/>
      <c r="BB23" s="36"/>
      <c r="BC23" s="36"/>
      <c r="BD23" s="36"/>
      <c r="BE23" s="36"/>
      <c r="BF23" s="36"/>
      <c r="BG23" s="43" t="str">
        <f t="shared" si="11"/>
        <v>description: "Срабатывание", note: "Срабатывание", group: "status", minValue: null, maxValue: null, step: null, units: "null", defaultValue: null, eventRegistration: 2</v>
      </c>
    </row>
    <row r="24" spans="1:59" s="89" customFormat="1" ht="15.75" x14ac:dyDescent="0.25">
      <c r="A24" s="73"/>
      <c r="B24" s="93" t="s">
        <v>339</v>
      </c>
      <c r="C24" s="82"/>
      <c r="D24" s="75" t="s">
        <v>230</v>
      </c>
      <c r="E24" s="76" t="s">
        <v>88</v>
      </c>
      <c r="F24" s="76" t="s">
        <v>88</v>
      </c>
      <c r="G24" s="76" t="s">
        <v>88</v>
      </c>
      <c r="H24" s="76"/>
      <c r="I24" s="76">
        <f t="shared" si="9"/>
        <v>12</v>
      </c>
      <c r="J24" s="76" t="str">
        <f t="shared" si="10"/>
        <v>Срабатывание</v>
      </c>
      <c r="K24" s="73" t="s">
        <v>217</v>
      </c>
      <c r="L24" s="81" t="s">
        <v>63</v>
      </c>
      <c r="M24" s="82" t="s">
        <v>60</v>
      </c>
      <c r="N24" s="82" t="s">
        <v>61</v>
      </c>
      <c r="O24" s="82"/>
      <c r="P24" s="87"/>
      <c r="Q24" s="87"/>
      <c r="R24" s="82" t="s">
        <v>62</v>
      </c>
      <c r="S24" s="82" t="s">
        <v>62</v>
      </c>
      <c r="T24" s="82" t="s">
        <v>62</v>
      </c>
      <c r="U24" s="82" t="s">
        <v>62</v>
      </c>
      <c r="V24" s="82"/>
      <c r="W24" s="82"/>
      <c r="X24" s="82" t="s">
        <v>62</v>
      </c>
      <c r="Y24" s="82">
        <v>2</v>
      </c>
      <c r="Z24" s="80"/>
      <c r="AA24" s="84">
        <v>0</v>
      </c>
      <c r="AB24" s="84"/>
      <c r="AC24" s="84"/>
      <c r="AD24" s="84"/>
      <c r="AE24" s="84"/>
      <c r="AF24" s="84">
        <v>0</v>
      </c>
      <c r="AG24" s="84">
        <v>0</v>
      </c>
      <c r="AH24" s="84">
        <v>0</v>
      </c>
      <c r="AI24" s="85" t="s">
        <v>304</v>
      </c>
      <c r="AJ24" s="86" t="s">
        <v>327</v>
      </c>
      <c r="AK24" s="86" t="s">
        <v>309</v>
      </c>
      <c r="AL24" s="86" t="s">
        <v>74</v>
      </c>
      <c r="AM24" s="86" t="s">
        <v>87</v>
      </c>
      <c r="AN24" s="86"/>
      <c r="AO24" s="86" t="s">
        <v>77</v>
      </c>
      <c r="AP24" s="86" t="str">
        <f t="shared" si="8"/>
        <v>SHVKVLV1.ClsPos.stVal</v>
      </c>
      <c r="AQ24" s="86" t="s">
        <v>73</v>
      </c>
      <c r="AR24" s="74">
        <v>0</v>
      </c>
      <c r="AS24" s="74">
        <v>1</v>
      </c>
      <c r="AT24" s="74">
        <v>0</v>
      </c>
      <c r="AU24" s="74">
        <v>1</v>
      </c>
      <c r="AV24" s="74">
        <v>1</v>
      </c>
      <c r="AW24" s="74">
        <v>1</v>
      </c>
      <c r="AX24" s="74">
        <v>1</v>
      </c>
      <c r="AY24" s="87"/>
      <c r="AZ24" s="74"/>
      <c r="BA24" s="74"/>
      <c r="BB24" s="74"/>
      <c r="BC24" s="74"/>
      <c r="BD24" s="74"/>
      <c r="BE24" s="74"/>
      <c r="BF24" s="74"/>
      <c r="BG24" s="88" t="str">
        <f t="shared" si="11"/>
        <v>description: "Срабатывание", note: "Срабатывание", group: "status", minValue: null, maxValue: null, step: null, units: "null", defaultValue: null, eventRegistration: 2</v>
      </c>
    </row>
    <row r="25" spans="1:59" s="42" customFormat="1" ht="15.75" x14ac:dyDescent="0.25">
      <c r="A25" s="35"/>
      <c r="B25" s="93" t="s">
        <v>339</v>
      </c>
      <c r="C25" s="39"/>
      <c r="D25" s="20" t="s">
        <v>231</v>
      </c>
      <c r="E25" s="30" t="s">
        <v>218</v>
      </c>
      <c r="F25" s="30" t="s">
        <v>218</v>
      </c>
      <c r="G25" s="30" t="s">
        <v>218</v>
      </c>
      <c r="H25" s="30"/>
      <c r="I25" s="30">
        <f t="shared" si="9"/>
        <v>6</v>
      </c>
      <c r="J25" s="30" t="str">
        <f t="shared" si="10"/>
        <v>Авария</v>
      </c>
      <c r="K25" s="35" t="s">
        <v>219</v>
      </c>
      <c r="L25" s="38" t="s">
        <v>63</v>
      </c>
      <c r="M25" s="39" t="s">
        <v>60</v>
      </c>
      <c r="N25" s="39" t="s">
        <v>61</v>
      </c>
      <c r="O25" s="39"/>
      <c r="P25" s="47"/>
      <c r="Q25" s="47"/>
      <c r="R25" s="39" t="s">
        <v>62</v>
      </c>
      <c r="S25" s="39" t="s">
        <v>62</v>
      </c>
      <c r="T25" s="39" t="s">
        <v>62</v>
      </c>
      <c r="U25" s="39" t="s">
        <v>62</v>
      </c>
      <c r="V25" s="39"/>
      <c r="W25" s="39"/>
      <c r="X25" s="39" t="s">
        <v>62</v>
      </c>
      <c r="Y25" s="39">
        <v>2</v>
      </c>
      <c r="Z25" s="37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298</v>
      </c>
      <c r="AJ25" s="40" t="s">
        <v>328</v>
      </c>
      <c r="AK25" s="40" t="s">
        <v>309</v>
      </c>
      <c r="AL25" s="40" t="s">
        <v>74</v>
      </c>
      <c r="AM25" s="40" t="s">
        <v>87</v>
      </c>
      <c r="AN25" s="40"/>
      <c r="AO25" s="40" t="s">
        <v>77</v>
      </c>
      <c r="AP25" s="40" t="str">
        <f t="shared" si="8"/>
        <v>SCSSALC1.Alm.stVal</v>
      </c>
      <c r="AQ25" s="40" t="s">
        <v>73</v>
      </c>
      <c r="AR25" s="36">
        <v>0</v>
      </c>
      <c r="AS25" s="36">
        <v>1</v>
      </c>
      <c r="AT25" s="36">
        <v>0</v>
      </c>
      <c r="AU25" s="36">
        <v>1</v>
      </c>
      <c r="AV25" s="36">
        <v>1</v>
      </c>
      <c r="AW25" s="36">
        <v>1</v>
      </c>
      <c r="AX25" s="36">
        <v>1</v>
      </c>
      <c r="AY25" s="47"/>
      <c r="AZ25" s="36"/>
      <c r="BA25" s="36"/>
      <c r="BB25" s="36"/>
      <c r="BC25" s="36"/>
      <c r="BD25" s="36"/>
      <c r="BE25" s="36"/>
      <c r="BF25" s="36"/>
      <c r="BG25" s="43" t="str">
        <f t="shared" si="11"/>
        <v>description: "Авария", note: "Авария", group: "status", minValue: null, maxValue: null, step: null, units: "null", defaultValue: null, eventRegistration: 2</v>
      </c>
    </row>
    <row r="26" spans="1:59" s="42" customFormat="1" ht="15.75" x14ac:dyDescent="0.25">
      <c r="A26" s="35"/>
      <c r="B26" s="93" t="s">
        <v>339</v>
      </c>
      <c r="C26" s="39"/>
      <c r="D26" s="20" t="s">
        <v>231</v>
      </c>
      <c r="E26" s="30" t="s">
        <v>220</v>
      </c>
      <c r="F26" s="30" t="s">
        <v>220</v>
      </c>
      <c r="G26" s="30" t="s">
        <v>220</v>
      </c>
      <c r="H26" s="30"/>
      <c r="I26" s="30">
        <f t="shared" si="9"/>
        <v>13</v>
      </c>
      <c r="J26" s="30" t="str">
        <f t="shared" si="10"/>
        <v>Неисправность</v>
      </c>
      <c r="K26" s="35" t="s">
        <v>221</v>
      </c>
      <c r="L26" s="38" t="s">
        <v>63</v>
      </c>
      <c r="M26" s="39" t="s">
        <v>60</v>
      </c>
      <c r="N26" s="39" t="s">
        <v>61</v>
      </c>
      <c r="O26" s="39"/>
      <c r="P26" s="47"/>
      <c r="Q26" s="47"/>
      <c r="R26" s="39" t="s">
        <v>62</v>
      </c>
      <c r="S26" s="39" t="s">
        <v>62</v>
      </c>
      <c r="T26" s="39" t="s">
        <v>62</v>
      </c>
      <c r="U26" s="39" t="s">
        <v>62</v>
      </c>
      <c r="V26" s="39"/>
      <c r="W26" s="39"/>
      <c r="X26" s="39" t="s">
        <v>62</v>
      </c>
      <c r="Y26" s="39">
        <v>2</v>
      </c>
      <c r="Z26" s="37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/>
      <c r="AJ26" s="40"/>
      <c r="AK26" s="40"/>
      <c r="AL26" s="40"/>
      <c r="AM26" s="40"/>
      <c r="AN26" s="40"/>
      <c r="AO26" s="40"/>
      <c r="AP26" s="40"/>
      <c r="AQ26" s="40"/>
      <c r="AR26" s="36">
        <v>0</v>
      </c>
      <c r="AS26" s="36">
        <v>1</v>
      </c>
      <c r="AT26" s="36">
        <v>0</v>
      </c>
      <c r="AU26" s="36">
        <v>1</v>
      </c>
      <c r="AV26" s="36">
        <v>1</v>
      </c>
      <c r="AW26" s="36">
        <v>1</v>
      </c>
      <c r="AX26" s="36">
        <v>1</v>
      </c>
      <c r="AY26" s="47"/>
      <c r="AZ26" s="36"/>
      <c r="BA26" s="36"/>
      <c r="BB26" s="36"/>
      <c r="BC26" s="36"/>
      <c r="BD26" s="36"/>
      <c r="BE26" s="36"/>
      <c r="BF26" s="36"/>
      <c r="BG26" s="43" t="str">
        <f t="shared" si="11"/>
        <v>description: "Неисправность", note: "Неисправность", group: "status", minValue: null, maxValue: null, step: null, units: "null", defaultValue: null, eventRegistration: 2</v>
      </c>
    </row>
    <row r="27" spans="1:59" s="89" customFormat="1" ht="15.75" x14ac:dyDescent="0.25">
      <c r="A27" s="73"/>
      <c r="B27" s="93" t="s">
        <v>339</v>
      </c>
      <c r="C27" s="82"/>
      <c r="D27" s="75" t="s">
        <v>232</v>
      </c>
      <c r="E27" s="76" t="s">
        <v>88</v>
      </c>
      <c r="F27" s="76" t="s">
        <v>88</v>
      </c>
      <c r="G27" s="76" t="s">
        <v>88</v>
      </c>
      <c r="H27" s="76"/>
      <c r="I27" s="76">
        <f t="shared" si="9"/>
        <v>12</v>
      </c>
      <c r="J27" s="76" t="str">
        <f t="shared" si="10"/>
        <v>Срабатывание</v>
      </c>
      <c r="K27" s="73" t="s">
        <v>222</v>
      </c>
      <c r="L27" s="81" t="s">
        <v>63</v>
      </c>
      <c r="M27" s="82" t="s">
        <v>60</v>
      </c>
      <c r="N27" s="82" t="s">
        <v>61</v>
      </c>
      <c r="O27" s="82"/>
      <c r="P27" s="87"/>
      <c r="Q27" s="87"/>
      <c r="R27" s="82" t="s">
        <v>62</v>
      </c>
      <c r="S27" s="82" t="s">
        <v>62</v>
      </c>
      <c r="T27" s="82" t="s">
        <v>62</v>
      </c>
      <c r="U27" s="82" t="s">
        <v>62</v>
      </c>
      <c r="V27" s="82"/>
      <c r="W27" s="82"/>
      <c r="X27" s="82" t="s">
        <v>62</v>
      </c>
      <c r="Y27" s="82">
        <v>2</v>
      </c>
      <c r="Z27" s="80"/>
      <c r="AA27" s="84">
        <v>0</v>
      </c>
      <c r="AB27" s="84"/>
      <c r="AC27" s="84"/>
      <c r="AD27" s="84"/>
      <c r="AE27" s="84"/>
      <c r="AF27" s="84">
        <v>0</v>
      </c>
      <c r="AG27" s="84">
        <v>0</v>
      </c>
      <c r="AH27" s="84">
        <v>0</v>
      </c>
      <c r="AI27" s="85" t="s">
        <v>301</v>
      </c>
      <c r="AJ27" s="86" t="s">
        <v>329</v>
      </c>
      <c r="AK27" s="86" t="s">
        <v>309</v>
      </c>
      <c r="AL27" s="86" t="s">
        <v>74</v>
      </c>
      <c r="AM27" s="86" t="s">
        <v>87</v>
      </c>
      <c r="AN27" s="86"/>
      <c r="AO27" s="86" t="s">
        <v>77</v>
      </c>
      <c r="AP27" s="86" t="str">
        <f t="shared" si="8"/>
        <v>STMP1.Alm.stVal</v>
      </c>
      <c r="AQ27" s="86" t="s">
        <v>73</v>
      </c>
      <c r="AR27" s="74">
        <v>0</v>
      </c>
      <c r="AS27" s="74">
        <v>1</v>
      </c>
      <c r="AT27" s="74">
        <v>0</v>
      </c>
      <c r="AU27" s="74">
        <v>1</v>
      </c>
      <c r="AV27" s="74">
        <v>1</v>
      </c>
      <c r="AW27" s="74">
        <v>1</v>
      </c>
      <c r="AX27" s="74">
        <v>1</v>
      </c>
      <c r="AY27" s="87"/>
      <c r="AZ27" s="74"/>
      <c r="BA27" s="74"/>
      <c r="BB27" s="74"/>
      <c r="BC27" s="74"/>
      <c r="BD27" s="74"/>
      <c r="BE27" s="74"/>
      <c r="BF27" s="74"/>
      <c r="BG27" s="88" t="str">
        <f t="shared" si="11"/>
        <v>description: "Срабатывание", note: "Срабатывание", group: "status", minValue: null, maxValue: null, step: null, units: "null", defaultValue: null, eventRegistration: 2</v>
      </c>
    </row>
    <row r="28" spans="1:59" s="66" customFormat="1" ht="15.75" x14ac:dyDescent="0.25">
      <c r="A28" s="51"/>
      <c r="B28" s="93" t="s">
        <v>339</v>
      </c>
      <c r="C28" s="53"/>
      <c r="D28" s="69"/>
      <c r="E28" s="55" t="s">
        <v>89</v>
      </c>
      <c r="F28" s="55" t="s">
        <v>90</v>
      </c>
      <c r="G28" s="55" t="s">
        <v>90</v>
      </c>
      <c r="H28" s="53"/>
      <c r="I28" s="55">
        <f t="shared" ref="I28:I51" si="12">LEN(F28)</f>
        <v>12</v>
      </c>
      <c r="J28" s="55" t="str">
        <f t="shared" ref="J28:J51" si="13">IF(LEN(F28)&lt;=$J$1,F28,"")</f>
        <v>Поведение LD</v>
      </c>
      <c r="K28" s="57" t="s">
        <v>91</v>
      </c>
      <c r="L28" s="58" t="s">
        <v>66</v>
      </c>
      <c r="M28" s="60" t="s">
        <v>60</v>
      </c>
      <c r="N28" s="60" t="s">
        <v>61</v>
      </c>
      <c r="O28" s="60"/>
      <c r="P28" s="53"/>
      <c r="Q28" s="53"/>
      <c r="R28" s="60" t="s">
        <v>62</v>
      </c>
      <c r="S28" s="60" t="s">
        <v>62</v>
      </c>
      <c r="T28" s="60" t="s">
        <v>62</v>
      </c>
      <c r="U28" s="60" t="s">
        <v>62</v>
      </c>
      <c r="V28" s="53"/>
      <c r="W28" s="53"/>
      <c r="X28" s="60" t="s">
        <v>62</v>
      </c>
      <c r="Y28" s="60">
        <v>0</v>
      </c>
      <c r="Z28" s="53"/>
      <c r="AA28" s="61">
        <v>0</v>
      </c>
      <c r="AB28" s="61"/>
      <c r="AC28" s="61"/>
      <c r="AD28" s="61"/>
      <c r="AE28" s="61"/>
      <c r="AF28" s="61">
        <v>0</v>
      </c>
      <c r="AG28" s="61">
        <v>0</v>
      </c>
      <c r="AH28" s="61">
        <v>0</v>
      </c>
      <c r="AI28" s="62" t="s">
        <v>67</v>
      </c>
      <c r="AJ28" s="63" t="s">
        <v>112</v>
      </c>
      <c r="AK28" s="63" t="s">
        <v>92</v>
      </c>
      <c r="AL28" s="63" t="s">
        <v>74</v>
      </c>
      <c r="AM28" s="63" t="s">
        <v>75</v>
      </c>
      <c r="AN28" s="63" t="s">
        <v>76</v>
      </c>
      <c r="AO28" s="63" t="s">
        <v>77</v>
      </c>
      <c r="AP28" s="63" t="str">
        <f t="shared" ref="AP28:AP51" si="14">CONCATENATE(AJ28, ".", AL28)</f>
        <v>LLN0.Beh.stVal</v>
      </c>
      <c r="AQ28" s="63" t="s">
        <v>73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ref="AV28:AV51" si="15">BIN2DEC(CONCATENATE(0,0,0,0,AR28,AS28,AT28,AU28))</f>
        <v>0</v>
      </c>
      <c r="AW28" s="53">
        <v>0</v>
      </c>
      <c r="AX28" s="53">
        <v>0</v>
      </c>
      <c r="AY28" s="64"/>
      <c r="AZ28" s="53"/>
      <c r="BA28" s="53"/>
      <c r="BB28" s="53"/>
      <c r="BC28" s="53"/>
      <c r="BD28" s="53"/>
      <c r="BE28" s="53"/>
      <c r="BF28" s="53"/>
      <c r="BG28" s="70" t="str">
        <f t="shared" ref="BG28:BG51" si="16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9" spans="1:59" s="66" customFormat="1" ht="15.75" x14ac:dyDescent="0.25">
      <c r="A29" s="51"/>
      <c r="B29" s="93" t="s">
        <v>339</v>
      </c>
      <c r="C29" s="53"/>
      <c r="D29" s="69"/>
      <c r="E29" s="55" t="s">
        <v>93</v>
      </c>
      <c r="F29" s="55" t="s">
        <v>94</v>
      </c>
      <c r="G29" s="55" t="s">
        <v>94</v>
      </c>
      <c r="H29" s="53"/>
      <c r="I29" s="55">
        <f t="shared" si="12"/>
        <v>14</v>
      </c>
      <c r="J29" s="55" t="str">
        <f t="shared" si="13"/>
        <v>Исправность LD</v>
      </c>
      <c r="K29" s="57" t="s">
        <v>95</v>
      </c>
      <c r="L29" s="58" t="s">
        <v>66</v>
      </c>
      <c r="M29" s="60" t="s">
        <v>60</v>
      </c>
      <c r="N29" s="60" t="s">
        <v>61</v>
      </c>
      <c r="O29" s="60"/>
      <c r="P29" s="71"/>
      <c r="Q29" s="71"/>
      <c r="R29" s="60" t="s">
        <v>62</v>
      </c>
      <c r="S29" s="60" t="s">
        <v>62</v>
      </c>
      <c r="T29" s="60" t="s">
        <v>62</v>
      </c>
      <c r="U29" s="60" t="s">
        <v>62</v>
      </c>
      <c r="V29" s="53"/>
      <c r="W29" s="53"/>
      <c r="X29" s="60" t="s">
        <v>62</v>
      </c>
      <c r="Y29" s="60">
        <v>0</v>
      </c>
      <c r="Z29" s="53"/>
      <c r="AA29" s="61">
        <v>0</v>
      </c>
      <c r="AB29" s="61"/>
      <c r="AC29" s="61"/>
      <c r="AD29" s="61"/>
      <c r="AE29" s="61"/>
      <c r="AF29" s="61">
        <v>0</v>
      </c>
      <c r="AG29" s="61">
        <v>0</v>
      </c>
      <c r="AH29" s="61">
        <v>0</v>
      </c>
      <c r="AI29" s="62" t="s">
        <v>67</v>
      </c>
      <c r="AJ29" s="63" t="s">
        <v>113</v>
      </c>
      <c r="AK29" s="63" t="s">
        <v>92</v>
      </c>
      <c r="AL29" s="63" t="s">
        <v>74</v>
      </c>
      <c r="AM29" s="63" t="s">
        <v>75</v>
      </c>
      <c r="AN29" s="63" t="s">
        <v>96</v>
      </c>
      <c r="AO29" s="63" t="s">
        <v>77</v>
      </c>
      <c r="AP29" s="63" t="str">
        <f t="shared" si="14"/>
        <v>LLN0.Health.stVal</v>
      </c>
      <c r="AQ29" s="63" t="s">
        <v>73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15"/>
        <v>0</v>
      </c>
      <c r="AW29" s="53">
        <v>0</v>
      </c>
      <c r="AX29" s="53">
        <v>0</v>
      </c>
      <c r="AY29" s="64"/>
      <c r="AZ29" s="53"/>
      <c r="BA29" s="53"/>
      <c r="BB29" s="53"/>
      <c r="BC29" s="53"/>
      <c r="BD29" s="53"/>
      <c r="BE29" s="53"/>
      <c r="BF29" s="53"/>
      <c r="BG29" s="70" t="str">
        <f t="shared" si="1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30" spans="1:59" s="42" customFormat="1" ht="15.75" x14ac:dyDescent="0.25">
      <c r="A30" s="35"/>
      <c r="B30" s="93" t="s">
        <v>339</v>
      </c>
      <c r="C30" s="36"/>
      <c r="D30" s="20" t="s">
        <v>223</v>
      </c>
      <c r="E30" s="30" t="s">
        <v>255</v>
      </c>
      <c r="F30" s="30" t="s">
        <v>97</v>
      </c>
      <c r="G30" s="30" t="s">
        <v>97</v>
      </c>
      <c r="H30" s="36"/>
      <c r="I30" s="30">
        <f t="shared" si="12"/>
        <v>9</v>
      </c>
      <c r="J30" s="30" t="str">
        <f t="shared" si="13"/>
        <v>Поведение</v>
      </c>
      <c r="K30" s="37" t="s">
        <v>233</v>
      </c>
      <c r="L30" s="38" t="s">
        <v>66</v>
      </c>
      <c r="M30" s="39" t="s">
        <v>60</v>
      </c>
      <c r="N30" s="39" t="s">
        <v>61</v>
      </c>
      <c r="O30" s="39"/>
      <c r="P30" s="36"/>
      <c r="Q30" s="36"/>
      <c r="R30" s="39" t="s">
        <v>62</v>
      </c>
      <c r="S30" s="39" t="s">
        <v>62</v>
      </c>
      <c r="T30" s="39" t="s">
        <v>62</v>
      </c>
      <c r="U30" s="39" t="s">
        <v>62</v>
      </c>
      <c r="V30" s="36"/>
      <c r="W30" s="36"/>
      <c r="X30" s="39" t="s">
        <v>62</v>
      </c>
      <c r="Y30" s="39">
        <v>0</v>
      </c>
      <c r="Z30" s="36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6" t="s">
        <v>299</v>
      </c>
      <c r="AJ30" s="40" t="s">
        <v>276</v>
      </c>
      <c r="AK30" s="40" t="s">
        <v>92</v>
      </c>
      <c r="AL30" s="40" t="s">
        <v>74</v>
      </c>
      <c r="AM30" s="40" t="s">
        <v>75</v>
      </c>
      <c r="AN30" s="40" t="s">
        <v>76</v>
      </c>
      <c r="AO30" s="40" t="s">
        <v>77</v>
      </c>
      <c r="AP30" s="40" t="str">
        <f t="shared" si="14"/>
        <v>OILSTMP1.Beh.stVal</v>
      </c>
      <c r="AQ30" s="40" t="s">
        <v>73</v>
      </c>
      <c r="AR30" s="36">
        <v>0</v>
      </c>
      <c r="AS30" s="36">
        <v>0</v>
      </c>
      <c r="AT30" s="36">
        <v>0</v>
      </c>
      <c r="AU30" s="36">
        <v>0</v>
      </c>
      <c r="AV30" s="36">
        <f t="shared" si="15"/>
        <v>0</v>
      </c>
      <c r="AW30" s="36">
        <v>0</v>
      </c>
      <c r="AX30" s="36">
        <v>0</v>
      </c>
      <c r="AY30" s="47"/>
      <c r="AZ30" s="41"/>
      <c r="BA30" s="41"/>
      <c r="BB30" s="41"/>
      <c r="BC30" s="41"/>
      <c r="BD30" s="41"/>
      <c r="BE30" s="41"/>
      <c r="BF30" s="41"/>
      <c r="BG30" s="43" t="str">
        <f t="shared" si="16"/>
        <v>description: "Поведение", note: "Индикация поведения логического узла ДТм", group: "status", minValue: null, maxValue: null, step: null, units: "null", defaultValue: null, eventRegistration: 0</v>
      </c>
    </row>
    <row r="31" spans="1:59" s="42" customFormat="1" ht="15.75" x14ac:dyDescent="0.25">
      <c r="A31" s="35"/>
      <c r="B31" s="93" t="s">
        <v>339</v>
      </c>
      <c r="C31" s="36"/>
      <c r="D31" s="20" t="s">
        <v>223</v>
      </c>
      <c r="E31" s="30" t="s">
        <v>256</v>
      </c>
      <c r="F31" s="30" t="s">
        <v>98</v>
      </c>
      <c r="G31" s="30" t="s">
        <v>98</v>
      </c>
      <c r="H31" s="36"/>
      <c r="I31" s="30">
        <f t="shared" si="12"/>
        <v>11</v>
      </c>
      <c r="J31" s="30" t="str">
        <f t="shared" si="13"/>
        <v>Исправность</v>
      </c>
      <c r="K31" s="37" t="s">
        <v>234</v>
      </c>
      <c r="L31" s="38" t="s">
        <v>66</v>
      </c>
      <c r="M31" s="39" t="s">
        <v>60</v>
      </c>
      <c r="N31" s="39" t="s">
        <v>61</v>
      </c>
      <c r="O31" s="39"/>
      <c r="P31" s="23"/>
      <c r="Q31" s="23"/>
      <c r="R31" s="39" t="s">
        <v>62</v>
      </c>
      <c r="S31" s="39" t="s">
        <v>62</v>
      </c>
      <c r="T31" s="39" t="s">
        <v>62</v>
      </c>
      <c r="U31" s="39" t="s">
        <v>62</v>
      </c>
      <c r="V31" s="36"/>
      <c r="W31" s="36"/>
      <c r="X31" s="39" t="s">
        <v>62</v>
      </c>
      <c r="Y31" s="39">
        <v>0</v>
      </c>
      <c r="Z31" s="36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6" t="s">
        <v>299</v>
      </c>
      <c r="AJ31" s="40" t="s">
        <v>277</v>
      </c>
      <c r="AK31" s="40" t="s">
        <v>92</v>
      </c>
      <c r="AL31" s="40" t="s">
        <v>74</v>
      </c>
      <c r="AM31" s="40" t="s">
        <v>75</v>
      </c>
      <c r="AN31" s="40" t="s">
        <v>96</v>
      </c>
      <c r="AO31" s="40" t="s">
        <v>77</v>
      </c>
      <c r="AP31" s="40" t="str">
        <f t="shared" si="14"/>
        <v>OILSTMP1.Health.stVal</v>
      </c>
      <c r="AQ31" s="40" t="s">
        <v>73</v>
      </c>
      <c r="AR31" s="36">
        <v>0</v>
      </c>
      <c r="AS31" s="36">
        <v>0</v>
      </c>
      <c r="AT31" s="36">
        <v>0</v>
      </c>
      <c r="AU31" s="36">
        <v>0</v>
      </c>
      <c r="AV31" s="36">
        <f t="shared" si="15"/>
        <v>0</v>
      </c>
      <c r="AW31" s="36">
        <v>0</v>
      </c>
      <c r="AX31" s="36">
        <v>0</v>
      </c>
      <c r="AY31" s="47"/>
      <c r="AZ31" s="41"/>
      <c r="BA31" s="41"/>
      <c r="BB31" s="41"/>
      <c r="BC31" s="41"/>
      <c r="BD31" s="41"/>
      <c r="BE31" s="41"/>
      <c r="BF31" s="41"/>
      <c r="BG31" s="43" t="str">
        <f t="shared" si="16"/>
        <v>description: "Исправность", note: "Индикация исправности логического узла ДТм", group: "status", minValue: null, maxValue: null, step: null, units: "null", defaultValue: null, eventRegistration: 0</v>
      </c>
    </row>
    <row r="32" spans="1:59" s="66" customFormat="1" ht="15.75" x14ac:dyDescent="0.25">
      <c r="A32" s="51"/>
      <c r="B32" s="93" t="s">
        <v>339</v>
      </c>
      <c r="C32" s="53"/>
      <c r="D32" s="72" t="s">
        <v>224</v>
      </c>
      <c r="E32" s="55" t="s">
        <v>257</v>
      </c>
      <c r="F32" s="55" t="s">
        <v>97</v>
      </c>
      <c r="G32" s="55" t="s">
        <v>97</v>
      </c>
      <c r="H32" s="53"/>
      <c r="I32" s="55">
        <f t="shared" si="12"/>
        <v>9</v>
      </c>
      <c r="J32" s="55" t="str">
        <f t="shared" si="13"/>
        <v>Поведение</v>
      </c>
      <c r="K32" s="57" t="s">
        <v>235</v>
      </c>
      <c r="L32" s="58" t="s">
        <v>66</v>
      </c>
      <c r="M32" s="60" t="s">
        <v>60</v>
      </c>
      <c r="N32" s="60" t="s">
        <v>61</v>
      </c>
      <c r="O32" s="60"/>
      <c r="P32" s="53"/>
      <c r="Q32" s="53"/>
      <c r="R32" s="60" t="s">
        <v>62</v>
      </c>
      <c r="S32" s="60" t="s">
        <v>62</v>
      </c>
      <c r="T32" s="60" t="s">
        <v>62</v>
      </c>
      <c r="U32" s="60" t="s">
        <v>62</v>
      </c>
      <c r="V32" s="53"/>
      <c r="W32" s="53"/>
      <c r="X32" s="60" t="s">
        <v>62</v>
      </c>
      <c r="Y32" s="60">
        <v>0</v>
      </c>
      <c r="Z32" s="53"/>
      <c r="AA32" s="61">
        <v>0</v>
      </c>
      <c r="AB32" s="61"/>
      <c r="AC32" s="61"/>
      <c r="AD32" s="61"/>
      <c r="AE32" s="61"/>
      <c r="AF32" s="61">
        <v>0</v>
      </c>
      <c r="AG32" s="61">
        <v>0</v>
      </c>
      <c r="AH32" s="61">
        <v>0</v>
      </c>
      <c r="AI32" s="62" t="s">
        <v>300</v>
      </c>
      <c r="AJ32" s="63" t="s">
        <v>278</v>
      </c>
      <c r="AK32" s="63" t="s">
        <v>92</v>
      </c>
      <c r="AL32" s="63" t="s">
        <v>74</v>
      </c>
      <c r="AM32" s="63" t="s">
        <v>75</v>
      </c>
      <c r="AN32" s="63" t="s">
        <v>76</v>
      </c>
      <c r="AO32" s="63" t="s">
        <v>77</v>
      </c>
      <c r="AP32" s="63" t="str">
        <f t="shared" si="14"/>
        <v>WINSTMP1.Beh.stVal</v>
      </c>
      <c r="AQ32" s="63" t="s">
        <v>73</v>
      </c>
      <c r="AR32" s="53">
        <v>0</v>
      </c>
      <c r="AS32" s="53">
        <v>0</v>
      </c>
      <c r="AT32" s="53">
        <v>0</v>
      </c>
      <c r="AU32" s="53">
        <v>0</v>
      </c>
      <c r="AV32" s="53">
        <f t="shared" si="15"/>
        <v>0</v>
      </c>
      <c r="AW32" s="53">
        <v>0</v>
      </c>
      <c r="AX32" s="53">
        <v>0</v>
      </c>
      <c r="AY32" s="64"/>
      <c r="AZ32" s="53"/>
      <c r="BA32" s="53"/>
      <c r="BB32" s="53"/>
      <c r="BC32" s="53"/>
      <c r="BD32" s="53"/>
      <c r="BE32" s="53"/>
      <c r="BF32" s="53"/>
      <c r="BG32" s="70" t="str">
        <f t="shared" si="16"/>
        <v>description: "Поведение", note: "Индикация поведения логического узла ДТо", group: "status", minValue: null, maxValue: null, step: null, units: "null", defaultValue: null, eventRegistration: 0</v>
      </c>
    </row>
    <row r="33" spans="1:59" s="66" customFormat="1" ht="15.75" x14ac:dyDescent="0.25">
      <c r="A33" s="51"/>
      <c r="B33" s="93" t="s">
        <v>339</v>
      </c>
      <c r="C33" s="53"/>
      <c r="D33" s="72" t="s">
        <v>224</v>
      </c>
      <c r="E33" s="55" t="s">
        <v>258</v>
      </c>
      <c r="F33" s="55" t="s">
        <v>98</v>
      </c>
      <c r="G33" s="55" t="s">
        <v>98</v>
      </c>
      <c r="H33" s="53"/>
      <c r="I33" s="55">
        <f t="shared" si="12"/>
        <v>11</v>
      </c>
      <c r="J33" s="55" t="str">
        <f t="shared" si="13"/>
        <v>Исправность</v>
      </c>
      <c r="K33" s="57" t="s">
        <v>236</v>
      </c>
      <c r="L33" s="58" t="s">
        <v>66</v>
      </c>
      <c r="M33" s="60" t="s">
        <v>60</v>
      </c>
      <c r="N33" s="60" t="s">
        <v>61</v>
      </c>
      <c r="O33" s="60"/>
      <c r="P33" s="71"/>
      <c r="Q33" s="71"/>
      <c r="R33" s="60" t="s">
        <v>62</v>
      </c>
      <c r="S33" s="60" t="s">
        <v>62</v>
      </c>
      <c r="T33" s="60" t="s">
        <v>62</v>
      </c>
      <c r="U33" s="60" t="s">
        <v>62</v>
      </c>
      <c r="V33" s="53"/>
      <c r="W33" s="53"/>
      <c r="X33" s="60" t="s">
        <v>62</v>
      </c>
      <c r="Y33" s="60">
        <v>0</v>
      </c>
      <c r="Z33" s="53"/>
      <c r="AA33" s="61">
        <v>0</v>
      </c>
      <c r="AB33" s="61"/>
      <c r="AC33" s="61"/>
      <c r="AD33" s="61"/>
      <c r="AE33" s="61"/>
      <c r="AF33" s="61">
        <v>0</v>
      </c>
      <c r="AG33" s="61">
        <v>0</v>
      </c>
      <c r="AH33" s="61">
        <v>0</v>
      </c>
      <c r="AI33" s="62" t="s">
        <v>300</v>
      </c>
      <c r="AJ33" s="63" t="s">
        <v>279</v>
      </c>
      <c r="AK33" s="63" t="s">
        <v>92</v>
      </c>
      <c r="AL33" s="63" t="s">
        <v>74</v>
      </c>
      <c r="AM33" s="63" t="s">
        <v>75</v>
      </c>
      <c r="AN33" s="63" t="s">
        <v>96</v>
      </c>
      <c r="AO33" s="63" t="s">
        <v>77</v>
      </c>
      <c r="AP33" s="63" t="str">
        <f t="shared" si="14"/>
        <v>WINSTMP1.Health.stVal</v>
      </c>
      <c r="AQ33" s="63" t="s">
        <v>73</v>
      </c>
      <c r="AR33" s="53">
        <v>0</v>
      </c>
      <c r="AS33" s="53">
        <v>0</v>
      </c>
      <c r="AT33" s="53">
        <v>0</v>
      </c>
      <c r="AU33" s="53">
        <v>0</v>
      </c>
      <c r="AV33" s="53">
        <f t="shared" si="15"/>
        <v>0</v>
      </c>
      <c r="AW33" s="53">
        <v>0</v>
      </c>
      <c r="AX33" s="53">
        <v>0</v>
      </c>
      <c r="AY33" s="64"/>
      <c r="AZ33" s="53"/>
      <c r="BA33" s="53"/>
      <c r="BB33" s="53"/>
      <c r="BC33" s="53"/>
      <c r="BD33" s="53"/>
      <c r="BE33" s="53"/>
      <c r="BF33" s="53"/>
      <c r="BG33" s="70" t="str">
        <f t="shared" si="16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</row>
    <row r="34" spans="1:59" s="42" customFormat="1" ht="15.75" x14ac:dyDescent="0.25">
      <c r="A34" s="35"/>
      <c r="B34" s="93" t="s">
        <v>339</v>
      </c>
      <c r="C34" s="36"/>
      <c r="D34" s="20" t="s">
        <v>225</v>
      </c>
      <c r="E34" s="30" t="s">
        <v>259</v>
      </c>
      <c r="F34" s="30" t="s">
        <v>97</v>
      </c>
      <c r="G34" s="30" t="s">
        <v>97</v>
      </c>
      <c r="H34" s="36"/>
      <c r="I34" s="30">
        <f t="shared" si="12"/>
        <v>9</v>
      </c>
      <c r="J34" s="30" t="str">
        <f t="shared" si="13"/>
        <v>Поведение</v>
      </c>
      <c r="K34" s="37" t="s">
        <v>237</v>
      </c>
      <c r="L34" s="38" t="s">
        <v>66</v>
      </c>
      <c r="M34" s="39" t="s">
        <v>60</v>
      </c>
      <c r="N34" s="39" t="s">
        <v>61</v>
      </c>
      <c r="O34" s="39"/>
      <c r="P34" s="36"/>
      <c r="Q34" s="36"/>
      <c r="R34" s="39" t="s">
        <v>62</v>
      </c>
      <c r="S34" s="39" t="s">
        <v>62</v>
      </c>
      <c r="T34" s="39" t="s">
        <v>62</v>
      </c>
      <c r="U34" s="39" t="s">
        <v>62</v>
      </c>
      <c r="V34" s="36"/>
      <c r="W34" s="36"/>
      <c r="X34" s="39" t="s">
        <v>62</v>
      </c>
      <c r="Y34" s="39">
        <v>0</v>
      </c>
      <c r="Z34" s="36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26" t="s">
        <v>302</v>
      </c>
      <c r="AJ34" s="40" t="s">
        <v>280</v>
      </c>
      <c r="AK34" s="40" t="s">
        <v>92</v>
      </c>
      <c r="AL34" s="40" t="s">
        <v>74</v>
      </c>
      <c r="AM34" s="40" t="s">
        <v>75</v>
      </c>
      <c r="AN34" s="40" t="s">
        <v>76</v>
      </c>
      <c r="AO34" s="40" t="s">
        <v>77</v>
      </c>
      <c r="AP34" s="40" t="str">
        <f t="shared" si="14"/>
        <v>SIML1.Beh.stVal</v>
      </c>
      <c r="AQ34" s="40" t="s">
        <v>73</v>
      </c>
      <c r="AR34" s="36">
        <v>0</v>
      </c>
      <c r="AS34" s="36">
        <v>0</v>
      </c>
      <c r="AT34" s="36">
        <v>0</v>
      </c>
      <c r="AU34" s="36">
        <v>0</v>
      </c>
      <c r="AV34" s="36">
        <f t="shared" si="15"/>
        <v>0</v>
      </c>
      <c r="AW34" s="36">
        <v>0</v>
      </c>
      <c r="AX34" s="36">
        <v>0</v>
      </c>
      <c r="AY34" s="47"/>
      <c r="AZ34" s="41"/>
      <c r="BA34" s="41"/>
      <c r="BB34" s="41"/>
      <c r="BC34" s="41"/>
      <c r="BD34" s="41"/>
      <c r="BE34" s="41"/>
      <c r="BF34" s="41"/>
      <c r="BG34" s="43" t="str">
        <f t="shared" si="16"/>
        <v>description: "Поведение", note: "Индикация поведения логического узла РД", group: "status", minValue: null, maxValue: null, step: null, units: "null", defaultValue: null, eventRegistration: 0</v>
      </c>
    </row>
    <row r="35" spans="1:59" s="42" customFormat="1" ht="15.75" x14ac:dyDescent="0.25">
      <c r="A35" s="35"/>
      <c r="B35" s="93" t="s">
        <v>339</v>
      </c>
      <c r="C35" s="36"/>
      <c r="D35" s="20" t="s">
        <v>225</v>
      </c>
      <c r="E35" s="30" t="s">
        <v>260</v>
      </c>
      <c r="F35" s="30" t="s">
        <v>98</v>
      </c>
      <c r="G35" s="30" t="s">
        <v>98</v>
      </c>
      <c r="H35" s="36"/>
      <c r="I35" s="30">
        <f t="shared" si="12"/>
        <v>11</v>
      </c>
      <c r="J35" s="30" t="str">
        <f t="shared" si="13"/>
        <v>Исправность</v>
      </c>
      <c r="K35" s="37" t="s">
        <v>238</v>
      </c>
      <c r="L35" s="38" t="s">
        <v>66</v>
      </c>
      <c r="M35" s="39" t="s">
        <v>60</v>
      </c>
      <c r="N35" s="39" t="s">
        <v>61</v>
      </c>
      <c r="O35" s="39"/>
      <c r="P35" s="23"/>
      <c r="Q35" s="23"/>
      <c r="R35" s="39" t="s">
        <v>62</v>
      </c>
      <c r="S35" s="39" t="s">
        <v>62</v>
      </c>
      <c r="T35" s="39" t="s">
        <v>62</v>
      </c>
      <c r="U35" s="39" t="s">
        <v>62</v>
      </c>
      <c r="V35" s="36"/>
      <c r="W35" s="36"/>
      <c r="X35" s="39" t="s">
        <v>62</v>
      </c>
      <c r="Y35" s="39">
        <v>0</v>
      </c>
      <c r="Z35" s="36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26" t="s">
        <v>302</v>
      </c>
      <c r="AJ35" s="40" t="s">
        <v>281</v>
      </c>
      <c r="AK35" s="40" t="s">
        <v>92</v>
      </c>
      <c r="AL35" s="40" t="s">
        <v>74</v>
      </c>
      <c r="AM35" s="40" t="s">
        <v>75</v>
      </c>
      <c r="AN35" s="40" t="s">
        <v>96</v>
      </c>
      <c r="AO35" s="40" t="s">
        <v>77</v>
      </c>
      <c r="AP35" s="40" t="str">
        <f t="shared" si="14"/>
        <v>SIML1.Health.stVal</v>
      </c>
      <c r="AQ35" s="40" t="s">
        <v>73</v>
      </c>
      <c r="AR35" s="36">
        <v>0</v>
      </c>
      <c r="AS35" s="36">
        <v>0</v>
      </c>
      <c r="AT35" s="36">
        <v>0</v>
      </c>
      <c r="AU35" s="36">
        <v>0</v>
      </c>
      <c r="AV35" s="36">
        <f t="shared" si="15"/>
        <v>0</v>
      </c>
      <c r="AW35" s="36">
        <v>0</v>
      </c>
      <c r="AX35" s="36">
        <v>0</v>
      </c>
      <c r="AY35" s="47"/>
      <c r="AZ35" s="41"/>
      <c r="BA35" s="41"/>
      <c r="BB35" s="41"/>
      <c r="BC35" s="41"/>
      <c r="BD35" s="41"/>
      <c r="BE35" s="41"/>
      <c r="BF35" s="41"/>
      <c r="BG35" s="43" t="str">
        <f t="shared" si="16"/>
        <v>description: "Исправность", note: "Индикация исправности логического узла РД", group: "status", minValue: null, maxValue: null, step: null, units: "null", defaultValue: null, eventRegistration: 0</v>
      </c>
    </row>
    <row r="36" spans="1:59" s="66" customFormat="1" ht="15.75" x14ac:dyDescent="0.25">
      <c r="A36" s="51"/>
      <c r="B36" s="93" t="s">
        <v>339</v>
      </c>
      <c r="C36" s="53"/>
      <c r="D36" s="72" t="s">
        <v>226</v>
      </c>
      <c r="E36" s="55" t="s">
        <v>261</v>
      </c>
      <c r="F36" s="55" t="s">
        <v>97</v>
      </c>
      <c r="G36" s="55" t="s">
        <v>97</v>
      </c>
      <c r="H36" s="53"/>
      <c r="I36" s="55">
        <f t="shared" si="12"/>
        <v>9</v>
      </c>
      <c r="J36" s="55" t="str">
        <f t="shared" si="13"/>
        <v>Поведение</v>
      </c>
      <c r="K36" s="57" t="s">
        <v>239</v>
      </c>
      <c r="L36" s="58" t="s">
        <v>66</v>
      </c>
      <c r="M36" s="60" t="s">
        <v>60</v>
      </c>
      <c r="N36" s="60" t="s">
        <v>61</v>
      </c>
      <c r="O36" s="60"/>
      <c r="P36" s="53"/>
      <c r="Q36" s="53"/>
      <c r="R36" s="60" t="s">
        <v>62</v>
      </c>
      <c r="S36" s="60" t="s">
        <v>62</v>
      </c>
      <c r="T36" s="60" t="s">
        <v>62</v>
      </c>
      <c r="U36" s="60" t="s">
        <v>62</v>
      </c>
      <c r="V36" s="53"/>
      <c r="W36" s="53"/>
      <c r="X36" s="60" t="s">
        <v>62</v>
      </c>
      <c r="Y36" s="60">
        <v>0</v>
      </c>
      <c r="Z36" s="53"/>
      <c r="AA36" s="61">
        <v>0</v>
      </c>
      <c r="AB36" s="61"/>
      <c r="AC36" s="61"/>
      <c r="AD36" s="61"/>
      <c r="AE36" s="61"/>
      <c r="AF36" s="61">
        <v>0</v>
      </c>
      <c r="AG36" s="61">
        <v>0</v>
      </c>
      <c r="AH36" s="61">
        <v>0</v>
      </c>
      <c r="AI36" s="62" t="s">
        <v>305</v>
      </c>
      <c r="AJ36" s="63" t="s">
        <v>282</v>
      </c>
      <c r="AK36" s="63" t="s">
        <v>92</v>
      </c>
      <c r="AL36" s="63" t="s">
        <v>74</v>
      </c>
      <c r="AM36" s="63" t="s">
        <v>75</v>
      </c>
      <c r="AN36" s="63" t="s">
        <v>76</v>
      </c>
      <c r="AO36" s="63" t="s">
        <v>77</v>
      </c>
      <c r="AP36" s="63" t="str">
        <f t="shared" si="14"/>
        <v>PTRSIML1.Beh.stVal</v>
      </c>
      <c r="AQ36" s="63" t="s">
        <v>73</v>
      </c>
      <c r="AR36" s="53">
        <v>0</v>
      </c>
      <c r="AS36" s="53">
        <v>0</v>
      </c>
      <c r="AT36" s="53">
        <v>0</v>
      </c>
      <c r="AU36" s="53">
        <v>0</v>
      </c>
      <c r="AV36" s="53">
        <f t="shared" si="15"/>
        <v>0</v>
      </c>
      <c r="AW36" s="53">
        <v>0</v>
      </c>
      <c r="AX36" s="53">
        <v>0</v>
      </c>
      <c r="AY36" s="64"/>
      <c r="AZ36" s="53"/>
      <c r="BA36" s="53"/>
      <c r="BB36" s="53"/>
      <c r="BC36" s="53"/>
      <c r="BD36" s="53"/>
      <c r="BE36" s="53"/>
      <c r="BF36" s="53"/>
      <c r="BG36" s="70" t="str">
        <f t="shared" si="16"/>
        <v>description: "Поведение", note: "Индикация поведения логического узла ГЗ Т", group: "status", minValue: null, maxValue: null, step: null, units: "null", defaultValue: null, eventRegistration: 0</v>
      </c>
    </row>
    <row r="37" spans="1:59" s="66" customFormat="1" ht="15.75" x14ac:dyDescent="0.25">
      <c r="A37" s="51"/>
      <c r="B37" s="93" t="s">
        <v>339</v>
      </c>
      <c r="C37" s="53"/>
      <c r="D37" s="72" t="s">
        <v>226</v>
      </c>
      <c r="E37" s="55" t="s">
        <v>262</v>
      </c>
      <c r="F37" s="55" t="s">
        <v>98</v>
      </c>
      <c r="G37" s="55" t="s">
        <v>98</v>
      </c>
      <c r="H37" s="53"/>
      <c r="I37" s="55">
        <f t="shared" si="12"/>
        <v>11</v>
      </c>
      <c r="J37" s="55" t="str">
        <f t="shared" si="13"/>
        <v>Исправность</v>
      </c>
      <c r="K37" s="57" t="s">
        <v>240</v>
      </c>
      <c r="L37" s="58" t="s">
        <v>66</v>
      </c>
      <c r="M37" s="60" t="s">
        <v>60</v>
      </c>
      <c r="N37" s="60" t="s">
        <v>61</v>
      </c>
      <c r="O37" s="60"/>
      <c r="P37" s="71"/>
      <c r="Q37" s="71"/>
      <c r="R37" s="60" t="s">
        <v>62</v>
      </c>
      <c r="S37" s="60" t="s">
        <v>62</v>
      </c>
      <c r="T37" s="60" t="s">
        <v>62</v>
      </c>
      <c r="U37" s="60" t="s">
        <v>62</v>
      </c>
      <c r="V37" s="53"/>
      <c r="W37" s="53"/>
      <c r="X37" s="60" t="s">
        <v>62</v>
      </c>
      <c r="Y37" s="60">
        <v>0</v>
      </c>
      <c r="Z37" s="53"/>
      <c r="AA37" s="61">
        <v>0</v>
      </c>
      <c r="AB37" s="61"/>
      <c r="AC37" s="61"/>
      <c r="AD37" s="61"/>
      <c r="AE37" s="61"/>
      <c r="AF37" s="61">
        <v>0</v>
      </c>
      <c r="AG37" s="61">
        <v>0</v>
      </c>
      <c r="AH37" s="61">
        <v>0</v>
      </c>
      <c r="AI37" s="62" t="s">
        <v>305</v>
      </c>
      <c r="AJ37" s="63" t="s">
        <v>283</v>
      </c>
      <c r="AK37" s="63" t="s">
        <v>92</v>
      </c>
      <c r="AL37" s="63" t="s">
        <v>74</v>
      </c>
      <c r="AM37" s="63" t="s">
        <v>75</v>
      </c>
      <c r="AN37" s="63" t="s">
        <v>96</v>
      </c>
      <c r="AO37" s="63" t="s">
        <v>77</v>
      </c>
      <c r="AP37" s="63" t="str">
        <f t="shared" si="14"/>
        <v>PTRSIML1.Health.stVal</v>
      </c>
      <c r="AQ37" s="63" t="s">
        <v>73</v>
      </c>
      <c r="AR37" s="53">
        <v>0</v>
      </c>
      <c r="AS37" s="53">
        <v>0</v>
      </c>
      <c r="AT37" s="53">
        <v>0</v>
      </c>
      <c r="AU37" s="53">
        <v>0</v>
      </c>
      <c r="AV37" s="53">
        <f t="shared" si="15"/>
        <v>0</v>
      </c>
      <c r="AW37" s="53">
        <v>0</v>
      </c>
      <c r="AX37" s="53">
        <v>0</v>
      </c>
      <c r="AY37" s="64"/>
      <c r="AZ37" s="53"/>
      <c r="BA37" s="53"/>
      <c r="BB37" s="53"/>
      <c r="BC37" s="53"/>
      <c r="BD37" s="53"/>
      <c r="BE37" s="53"/>
      <c r="BF37" s="53"/>
      <c r="BG37" s="70" t="str">
        <f t="shared" si="16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</row>
    <row r="38" spans="1:59" s="42" customFormat="1" ht="15.75" x14ac:dyDescent="0.25">
      <c r="A38" s="35"/>
      <c r="B38" s="93" t="s">
        <v>339</v>
      </c>
      <c r="C38" s="36"/>
      <c r="D38" s="20" t="s">
        <v>227</v>
      </c>
      <c r="E38" s="30" t="s">
        <v>263</v>
      </c>
      <c r="F38" s="30" t="s">
        <v>97</v>
      </c>
      <c r="G38" s="30" t="s">
        <v>97</v>
      </c>
      <c r="H38" s="36"/>
      <c r="I38" s="30">
        <f t="shared" si="12"/>
        <v>9</v>
      </c>
      <c r="J38" s="30" t="str">
        <f t="shared" si="13"/>
        <v>Поведение</v>
      </c>
      <c r="K38" s="37" t="s">
        <v>241</v>
      </c>
      <c r="L38" s="38" t="s">
        <v>66</v>
      </c>
      <c r="M38" s="39" t="s">
        <v>60</v>
      </c>
      <c r="N38" s="39" t="s">
        <v>61</v>
      </c>
      <c r="O38" s="39"/>
      <c r="P38" s="36"/>
      <c r="Q38" s="36"/>
      <c r="R38" s="39" t="s">
        <v>62</v>
      </c>
      <c r="S38" s="39" t="s">
        <v>62</v>
      </c>
      <c r="T38" s="39" t="s">
        <v>62</v>
      </c>
      <c r="U38" s="39" t="s">
        <v>62</v>
      </c>
      <c r="V38" s="36"/>
      <c r="W38" s="36"/>
      <c r="X38" s="39" t="s">
        <v>62</v>
      </c>
      <c r="Y38" s="39">
        <v>0</v>
      </c>
      <c r="Z38" s="36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26" t="s">
        <v>306</v>
      </c>
      <c r="AJ38" s="40" t="s">
        <v>284</v>
      </c>
      <c r="AK38" s="40" t="s">
        <v>92</v>
      </c>
      <c r="AL38" s="40" t="s">
        <v>74</v>
      </c>
      <c r="AM38" s="40" t="s">
        <v>75</v>
      </c>
      <c r="AN38" s="40" t="s">
        <v>76</v>
      </c>
      <c r="AO38" s="40" t="s">
        <v>77</v>
      </c>
      <c r="AP38" s="40" t="str">
        <f t="shared" si="14"/>
        <v>LTCSIML1.Beh.stVal</v>
      </c>
      <c r="AQ38" s="40" t="s">
        <v>73</v>
      </c>
      <c r="AR38" s="36">
        <v>0</v>
      </c>
      <c r="AS38" s="36">
        <v>0</v>
      </c>
      <c r="AT38" s="36">
        <v>0</v>
      </c>
      <c r="AU38" s="36">
        <v>0</v>
      </c>
      <c r="AV38" s="36">
        <f t="shared" si="15"/>
        <v>0</v>
      </c>
      <c r="AW38" s="36">
        <v>0</v>
      </c>
      <c r="AX38" s="36">
        <v>0</v>
      </c>
      <c r="AY38" s="47"/>
      <c r="AZ38" s="41"/>
      <c r="BA38" s="41"/>
      <c r="BB38" s="41"/>
      <c r="BC38" s="41"/>
      <c r="BD38" s="41"/>
      <c r="BE38" s="41"/>
      <c r="BF38" s="41"/>
      <c r="BG38" s="43" t="str">
        <f t="shared" si="16"/>
        <v>description: "Поведение", note: "Индикация поведения логического узла ГЗ РПН", group: "status", minValue: null, maxValue: null, step: null, units: "null", defaultValue: null, eventRegistration: 0</v>
      </c>
    </row>
    <row r="39" spans="1:59" s="42" customFormat="1" ht="15.75" x14ac:dyDescent="0.25">
      <c r="A39" s="35"/>
      <c r="B39" s="93" t="s">
        <v>339</v>
      </c>
      <c r="C39" s="36"/>
      <c r="D39" s="20" t="s">
        <v>227</v>
      </c>
      <c r="E39" s="30" t="s">
        <v>264</v>
      </c>
      <c r="F39" s="30" t="s">
        <v>98</v>
      </c>
      <c r="G39" s="30" t="s">
        <v>98</v>
      </c>
      <c r="H39" s="36"/>
      <c r="I39" s="30">
        <f t="shared" si="12"/>
        <v>11</v>
      </c>
      <c r="J39" s="30" t="str">
        <f t="shared" si="13"/>
        <v>Исправность</v>
      </c>
      <c r="K39" s="37" t="s">
        <v>242</v>
      </c>
      <c r="L39" s="38" t="s">
        <v>66</v>
      </c>
      <c r="M39" s="39" t="s">
        <v>60</v>
      </c>
      <c r="N39" s="39" t="s">
        <v>61</v>
      </c>
      <c r="O39" s="39"/>
      <c r="P39" s="23"/>
      <c r="Q39" s="23"/>
      <c r="R39" s="39" t="s">
        <v>62</v>
      </c>
      <c r="S39" s="39" t="s">
        <v>62</v>
      </c>
      <c r="T39" s="39" t="s">
        <v>62</v>
      </c>
      <c r="U39" s="39" t="s">
        <v>62</v>
      </c>
      <c r="V39" s="36"/>
      <c r="W39" s="36"/>
      <c r="X39" s="39" t="s">
        <v>62</v>
      </c>
      <c r="Y39" s="39">
        <v>0</v>
      </c>
      <c r="Z39" s="36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26" t="s">
        <v>306</v>
      </c>
      <c r="AJ39" s="40" t="s">
        <v>285</v>
      </c>
      <c r="AK39" s="40" t="s">
        <v>92</v>
      </c>
      <c r="AL39" s="40" t="s">
        <v>74</v>
      </c>
      <c r="AM39" s="40" t="s">
        <v>75</v>
      </c>
      <c r="AN39" s="40" t="s">
        <v>96</v>
      </c>
      <c r="AO39" s="40" t="s">
        <v>77</v>
      </c>
      <c r="AP39" s="40" t="str">
        <f t="shared" si="14"/>
        <v>LTCSIML1.Health.stVal</v>
      </c>
      <c r="AQ39" s="40" t="s">
        <v>73</v>
      </c>
      <c r="AR39" s="36">
        <v>0</v>
      </c>
      <c r="AS39" s="36">
        <v>0</v>
      </c>
      <c r="AT39" s="36">
        <v>0</v>
      </c>
      <c r="AU39" s="36">
        <v>0</v>
      </c>
      <c r="AV39" s="36">
        <f t="shared" si="15"/>
        <v>0</v>
      </c>
      <c r="AW39" s="36">
        <v>0</v>
      </c>
      <c r="AX39" s="36">
        <v>0</v>
      </c>
      <c r="AY39" s="47"/>
      <c r="AZ39" s="41"/>
      <c r="BA39" s="41"/>
      <c r="BB39" s="41"/>
      <c r="BC39" s="41"/>
      <c r="BD39" s="41"/>
      <c r="BE39" s="41"/>
      <c r="BF39" s="41"/>
      <c r="BG39" s="43" t="str">
        <f t="shared" si="16"/>
        <v>description: "Исправность", note: "Индикация исправности логического узла ГЗ РПН", group: "status", minValue: null, maxValue: null, step: null, units: "null", defaultValue: null, eventRegistration: 0</v>
      </c>
    </row>
    <row r="40" spans="1:59" s="66" customFormat="1" ht="15.75" x14ac:dyDescent="0.25">
      <c r="A40" s="51"/>
      <c r="B40" s="93" t="s">
        <v>339</v>
      </c>
      <c r="C40" s="53"/>
      <c r="D40" s="72" t="s">
        <v>330</v>
      </c>
      <c r="E40" s="55" t="s">
        <v>331</v>
      </c>
      <c r="F40" s="55" t="s">
        <v>97</v>
      </c>
      <c r="G40" s="55" t="s">
        <v>97</v>
      </c>
      <c r="H40" s="53"/>
      <c r="I40" s="55">
        <f t="shared" si="12"/>
        <v>9</v>
      </c>
      <c r="J40" s="55" t="str">
        <f t="shared" si="13"/>
        <v>Поведение</v>
      </c>
      <c r="K40" s="57" t="s">
        <v>243</v>
      </c>
      <c r="L40" s="58" t="s">
        <v>66</v>
      </c>
      <c r="M40" s="60" t="s">
        <v>60</v>
      </c>
      <c r="N40" s="60" t="s">
        <v>61</v>
      </c>
      <c r="O40" s="60"/>
      <c r="P40" s="53"/>
      <c r="Q40" s="53"/>
      <c r="R40" s="60" t="s">
        <v>62</v>
      </c>
      <c r="S40" s="60" t="s">
        <v>62</v>
      </c>
      <c r="T40" s="60" t="s">
        <v>62</v>
      </c>
      <c r="U40" s="60" t="s">
        <v>62</v>
      </c>
      <c r="V40" s="53"/>
      <c r="W40" s="53"/>
      <c r="X40" s="60" t="s">
        <v>62</v>
      </c>
      <c r="Y40" s="60">
        <v>0</v>
      </c>
      <c r="Z40" s="53"/>
      <c r="AA40" s="61">
        <v>0</v>
      </c>
      <c r="AB40" s="61"/>
      <c r="AC40" s="61"/>
      <c r="AD40" s="61"/>
      <c r="AE40" s="61"/>
      <c r="AF40" s="61">
        <v>0</v>
      </c>
      <c r="AG40" s="61">
        <v>0</v>
      </c>
      <c r="AH40" s="61">
        <v>0</v>
      </c>
      <c r="AI40" s="62" t="s">
        <v>307</v>
      </c>
      <c r="AJ40" s="63" t="s">
        <v>286</v>
      </c>
      <c r="AK40" s="63" t="s">
        <v>92</v>
      </c>
      <c r="AL40" s="63" t="s">
        <v>74</v>
      </c>
      <c r="AM40" s="63" t="s">
        <v>75</v>
      </c>
      <c r="AN40" s="63" t="s">
        <v>76</v>
      </c>
      <c r="AO40" s="63" t="s">
        <v>77</v>
      </c>
      <c r="AP40" s="63" t="str">
        <f t="shared" si="14"/>
        <v>OILSIML1.Beh.stVal</v>
      </c>
      <c r="AQ40" s="63" t="s">
        <v>73</v>
      </c>
      <c r="AR40" s="53">
        <v>0</v>
      </c>
      <c r="AS40" s="53">
        <v>0</v>
      </c>
      <c r="AT40" s="53">
        <v>0</v>
      </c>
      <c r="AU40" s="53">
        <v>0</v>
      </c>
      <c r="AV40" s="53">
        <f t="shared" si="15"/>
        <v>0</v>
      </c>
      <c r="AW40" s="53">
        <v>0</v>
      </c>
      <c r="AX40" s="53">
        <v>0</v>
      </c>
      <c r="AY40" s="64"/>
      <c r="AZ40" s="53"/>
      <c r="BA40" s="53"/>
      <c r="BB40" s="53"/>
      <c r="BC40" s="53"/>
      <c r="BD40" s="53"/>
      <c r="BE40" s="53"/>
      <c r="BF40" s="53"/>
      <c r="BG40" s="70" t="str">
        <f t="shared" si="16"/>
        <v>description: "Поведение", note: "Индикация поведения логического узла ДУм расширителя", group: "status", minValue: null, maxValue: null, step: null, units: "null", defaultValue: null, eventRegistration: 0</v>
      </c>
    </row>
    <row r="41" spans="1:59" s="66" customFormat="1" ht="15.75" x14ac:dyDescent="0.25">
      <c r="A41" s="51"/>
      <c r="B41" s="93" t="s">
        <v>339</v>
      </c>
      <c r="C41" s="53"/>
      <c r="D41" s="72" t="s">
        <v>330</v>
      </c>
      <c r="E41" s="55" t="s">
        <v>332</v>
      </c>
      <c r="F41" s="55" t="s">
        <v>98</v>
      </c>
      <c r="G41" s="55" t="s">
        <v>98</v>
      </c>
      <c r="H41" s="53"/>
      <c r="I41" s="55">
        <f t="shared" si="12"/>
        <v>11</v>
      </c>
      <c r="J41" s="55" t="str">
        <f t="shared" si="13"/>
        <v>Исправность</v>
      </c>
      <c r="K41" s="57" t="s">
        <v>244</v>
      </c>
      <c r="L41" s="58" t="s">
        <v>66</v>
      </c>
      <c r="M41" s="60" t="s">
        <v>60</v>
      </c>
      <c r="N41" s="60" t="s">
        <v>61</v>
      </c>
      <c r="O41" s="60"/>
      <c r="P41" s="71"/>
      <c r="Q41" s="71"/>
      <c r="R41" s="60" t="s">
        <v>62</v>
      </c>
      <c r="S41" s="60" t="s">
        <v>62</v>
      </c>
      <c r="T41" s="60" t="s">
        <v>62</v>
      </c>
      <c r="U41" s="60" t="s">
        <v>62</v>
      </c>
      <c r="V41" s="53"/>
      <c r="W41" s="53"/>
      <c r="X41" s="60" t="s">
        <v>62</v>
      </c>
      <c r="Y41" s="60">
        <v>0</v>
      </c>
      <c r="Z41" s="53"/>
      <c r="AA41" s="61">
        <v>0</v>
      </c>
      <c r="AB41" s="61"/>
      <c r="AC41" s="61"/>
      <c r="AD41" s="61"/>
      <c r="AE41" s="61"/>
      <c r="AF41" s="61">
        <v>0</v>
      </c>
      <c r="AG41" s="61">
        <v>0</v>
      </c>
      <c r="AH41" s="61">
        <v>0</v>
      </c>
      <c r="AI41" s="62" t="s">
        <v>307</v>
      </c>
      <c r="AJ41" s="63" t="s">
        <v>287</v>
      </c>
      <c r="AK41" s="63" t="s">
        <v>92</v>
      </c>
      <c r="AL41" s="63" t="s">
        <v>74</v>
      </c>
      <c r="AM41" s="63" t="s">
        <v>75</v>
      </c>
      <c r="AN41" s="63" t="s">
        <v>96</v>
      </c>
      <c r="AO41" s="63" t="s">
        <v>77</v>
      </c>
      <c r="AP41" s="63" t="str">
        <f t="shared" si="14"/>
        <v>OILSIML1.Health.stVal</v>
      </c>
      <c r="AQ41" s="63" t="s">
        <v>73</v>
      </c>
      <c r="AR41" s="53">
        <v>0</v>
      </c>
      <c r="AS41" s="53">
        <v>0</v>
      </c>
      <c r="AT41" s="53">
        <v>0</v>
      </c>
      <c r="AU41" s="53">
        <v>0</v>
      </c>
      <c r="AV41" s="53">
        <f t="shared" si="15"/>
        <v>0</v>
      </c>
      <c r="AW41" s="53">
        <v>0</v>
      </c>
      <c r="AX41" s="53">
        <v>0</v>
      </c>
      <c r="AY41" s="64"/>
      <c r="AZ41" s="53"/>
      <c r="BA41" s="53"/>
      <c r="BB41" s="53"/>
      <c r="BC41" s="53"/>
      <c r="BD41" s="53"/>
      <c r="BE41" s="53"/>
      <c r="BF41" s="53"/>
      <c r="BG41" s="70" t="str">
        <f t="shared" si="16"/>
        <v>description: "Исправность", note: "Индикация исправности логического узла ДУм расширителя", group: "status", minValue: null, maxValue: null, step: null, units: "null", defaultValue: null, eventRegistration: 0</v>
      </c>
    </row>
    <row r="42" spans="1:59" s="42" customFormat="1" ht="15.75" x14ac:dyDescent="0.25">
      <c r="A42" s="35"/>
      <c r="B42" s="93" t="s">
        <v>339</v>
      </c>
      <c r="C42" s="36"/>
      <c r="D42" s="20" t="s">
        <v>228</v>
      </c>
      <c r="E42" s="30" t="s">
        <v>265</v>
      </c>
      <c r="F42" s="30" t="s">
        <v>97</v>
      </c>
      <c r="G42" s="30" t="s">
        <v>97</v>
      </c>
      <c r="H42" s="36"/>
      <c r="I42" s="30">
        <f t="shared" si="12"/>
        <v>9</v>
      </c>
      <c r="J42" s="30" t="str">
        <f t="shared" si="13"/>
        <v>Поведение</v>
      </c>
      <c r="K42" s="37" t="s">
        <v>245</v>
      </c>
      <c r="L42" s="38" t="s">
        <v>66</v>
      </c>
      <c r="M42" s="39" t="s">
        <v>60</v>
      </c>
      <c r="N42" s="39" t="s">
        <v>61</v>
      </c>
      <c r="O42" s="39"/>
      <c r="P42" s="36"/>
      <c r="Q42" s="36"/>
      <c r="R42" s="39" t="s">
        <v>62</v>
      </c>
      <c r="S42" s="39" t="s">
        <v>62</v>
      </c>
      <c r="T42" s="39" t="s">
        <v>62</v>
      </c>
      <c r="U42" s="39" t="s">
        <v>62</v>
      </c>
      <c r="V42" s="36"/>
      <c r="W42" s="36"/>
      <c r="X42" s="39" t="s">
        <v>62</v>
      </c>
      <c r="Y42" s="39">
        <v>0</v>
      </c>
      <c r="Z42" s="36"/>
      <c r="AA42" s="25">
        <v>0</v>
      </c>
      <c r="AB42" s="25"/>
      <c r="AC42" s="25"/>
      <c r="AD42" s="25"/>
      <c r="AE42" s="25"/>
      <c r="AF42" s="25">
        <v>0</v>
      </c>
      <c r="AG42" s="25">
        <v>0</v>
      </c>
      <c r="AH42" s="25">
        <v>0</v>
      </c>
      <c r="AI42" s="26" t="s">
        <v>307</v>
      </c>
      <c r="AJ42" s="40" t="s">
        <v>288</v>
      </c>
      <c r="AK42" s="40" t="s">
        <v>92</v>
      </c>
      <c r="AL42" s="40" t="s">
        <v>74</v>
      </c>
      <c r="AM42" s="40" t="s">
        <v>75</v>
      </c>
      <c r="AN42" s="40" t="s">
        <v>76</v>
      </c>
      <c r="AO42" s="40" t="s">
        <v>77</v>
      </c>
      <c r="AP42" s="40" t="str">
        <f t="shared" si="14"/>
        <v>LTCOILSIML1.Beh.stVal</v>
      </c>
      <c r="AQ42" s="40" t="s">
        <v>73</v>
      </c>
      <c r="AR42" s="36">
        <v>0</v>
      </c>
      <c r="AS42" s="36">
        <v>0</v>
      </c>
      <c r="AT42" s="36">
        <v>0</v>
      </c>
      <c r="AU42" s="36">
        <v>0</v>
      </c>
      <c r="AV42" s="36">
        <f t="shared" si="15"/>
        <v>0</v>
      </c>
      <c r="AW42" s="36">
        <v>0</v>
      </c>
      <c r="AX42" s="36">
        <v>0</v>
      </c>
      <c r="AY42" s="47"/>
      <c r="AZ42" s="41"/>
      <c r="BA42" s="41"/>
      <c r="BB42" s="41"/>
      <c r="BC42" s="41"/>
      <c r="BD42" s="41"/>
      <c r="BE42" s="41"/>
      <c r="BF42" s="41"/>
      <c r="BG42" s="43" t="str">
        <f t="shared" si="16"/>
        <v>description: "Поведение", note: "Индикация поведения логического узла ДУм РПН", group: "status", minValue: null, maxValue: null, step: null, units: "null", defaultValue: null, eventRegistration: 0</v>
      </c>
    </row>
    <row r="43" spans="1:59" s="42" customFormat="1" ht="15.75" x14ac:dyDescent="0.25">
      <c r="A43" s="35"/>
      <c r="B43" s="93" t="s">
        <v>339</v>
      </c>
      <c r="C43" s="36"/>
      <c r="D43" s="20" t="s">
        <v>228</v>
      </c>
      <c r="E43" s="30" t="s">
        <v>266</v>
      </c>
      <c r="F43" s="30" t="s">
        <v>98</v>
      </c>
      <c r="G43" s="30" t="s">
        <v>98</v>
      </c>
      <c r="H43" s="36"/>
      <c r="I43" s="30">
        <f t="shared" si="12"/>
        <v>11</v>
      </c>
      <c r="J43" s="30" t="str">
        <f t="shared" si="13"/>
        <v>Исправность</v>
      </c>
      <c r="K43" s="37" t="s">
        <v>246</v>
      </c>
      <c r="L43" s="38" t="s">
        <v>66</v>
      </c>
      <c r="M43" s="39" t="s">
        <v>60</v>
      </c>
      <c r="N43" s="39" t="s">
        <v>61</v>
      </c>
      <c r="O43" s="39"/>
      <c r="P43" s="23"/>
      <c r="Q43" s="23"/>
      <c r="R43" s="39" t="s">
        <v>62</v>
      </c>
      <c r="S43" s="39" t="s">
        <v>62</v>
      </c>
      <c r="T43" s="39" t="s">
        <v>62</v>
      </c>
      <c r="U43" s="39" t="s">
        <v>62</v>
      </c>
      <c r="V43" s="36"/>
      <c r="W43" s="36"/>
      <c r="X43" s="39" t="s">
        <v>62</v>
      </c>
      <c r="Y43" s="39">
        <v>0</v>
      </c>
      <c r="Z43" s="36"/>
      <c r="AA43" s="25">
        <v>0</v>
      </c>
      <c r="AB43" s="25"/>
      <c r="AC43" s="25"/>
      <c r="AD43" s="25"/>
      <c r="AE43" s="25"/>
      <c r="AF43" s="25">
        <v>0</v>
      </c>
      <c r="AG43" s="25">
        <v>0</v>
      </c>
      <c r="AH43" s="25">
        <v>0</v>
      </c>
      <c r="AI43" s="26" t="s">
        <v>307</v>
      </c>
      <c r="AJ43" s="40" t="s">
        <v>289</v>
      </c>
      <c r="AK43" s="40" t="s">
        <v>92</v>
      </c>
      <c r="AL43" s="40" t="s">
        <v>74</v>
      </c>
      <c r="AM43" s="40" t="s">
        <v>75</v>
      </c>
      <c r="AN43" s="40" t="s">
        <v>96</v>
      </c>
      <c r="AO43" s="40" t="s">
        <v>77</v>
      </c>
      <c r="AP43" s="40" t="str">
        <f t="shared" si="14"/>
        <v>LTCOILSIML1.Health.stVal</v>
      </c>
      <c r="AQ43" s="40" t="s">
        <v>73</v>
      </c>
      <c r="AR43" s="36">
        <v>0</v>
      </c>
      <c r="AS43" s="36">
        <v>0</v>
      </c>
      <c r="AT43" s="36">
        <v>0</v>
      </c>
      <c r="AU43" s="36">
        <v>0</v>
      </c>
      <c r="AV43" s="36">
        <f t="shared" si="15"/>
        <v>0</v>
      </c>
      <c r="AW43" s="36">
        <v>0</v>
      </c>
      <c r="AX43" s="36">
        <v>0</v>
      </c>
      <c r="AY43" s="47"/>
      <c r="AZ43" s="41"/>
      <c r="BA43" s="41"/>
      <c r="BB43" s="41"/>
      <c r="BC43" s="41"/>
      <c r="BD43" s="41"/>
      <c r="BE43" s="41"/>
      <c r="BF43" s="41"/>
      <c r="BG43" s="43" t="str">
        <f t="shared" si="16"/>
        <v>description: "Исправность", note: "Индикация исправности логического узла ДУм РПН", group: "status", minValue: null, maxValue: null, step: null, units: "null", defaultValue: null, eventRegistration: 0</v>
      </c>
    </row>
    <row r="44" spans="1:59" s="66" customFormat="1" ht="15.75" x14ac:dyDescent="0.25">
      <c r="A44" s="51"/>
      <c r="B44" s="93" t="s">
        <v>339</v>
      </c>
      <c r="C44" s="53"/>
      <c r="D44" s="72" t="s">
        <v>229</v>
      </c>
      <c r="E44" s="55" t="s">
        <v>267</v>
      </c>
      <c r="F44" s="55" t="s">
        <v>97</v>
      </c>
      <c r="G44" s="55" t="s">
        <v>97</v>
      </c>
      <c r="H44" s="53"/>
      <c r="I44" s="55">
        <f t="shared" si="12"/>
        <v>9</v>
      </c>
      <c r="J44" s="55" t="str">
        <f t="shared" si="13"/>
        <v>Поведение</v>
      </c>
      <c r="K44" s="57" t="s">
        <v>247</v>
      </c>
      <c r="L44" s="58" t="s">
        <v>66</v>
      </c>
      <c r="M44" s="60" t="s">
        <v>60</v>
      </c>
      <c r="N44" s="60" t="s">
        <v>61</v>
      </c>
      <c r="O44" s="60"/>
      <c r="P44" s="53"/>
      <c r="Q44" s="53"/>
      <c r="R44" s="60" t="s">
        <v>62</v>
      </c>
      <c r="S44" s="60" t="s">
        <v>62</v>
      </c>
      <c r="T44" s="60" t="s">
        <v>62</v>
      </c>
      <c r="U44" s="60" t="s">
        <v>62</v>
      </c>
      <c r="V44" s="53"/>
      <c r="W44" s="53"/>
      <c r="X44" s="60" t="s">
        <v>62</v>
      </c>
      <c r="Y44" s="60">
        <v>0</v>
      </c>
      <c r="Z44" s="53"/>
      <c r="AA44" s="61">
        <v>0</v>
      </c>
      <c r="AB44" s="61"/>
      <c r="AC44" s="61"/>
      <c r="AD44" s="61"/>
      <c r="AE44" s="61"/>
      <c r="AF44" s="61">
        <v>0</v>
      </c>
      <c r="AG44" s="61">
        <v>0</v>
      </c>
      <c r="AH44" s="61">
        <v>0</v>
      </c>
      <c r="AI44" s="62" t="s">
        <v>303</v>
      </c>
      <c r="AJ44" s="63" t="s">
        <v>290</v>
      </c>
      <c r="AK44" s="63" t="s">
        <v>92</v>
      </c>
      <c r="AL44" s="63" t="s">
        <v>74</v>
      </c>
      <c r="AM44" s="63" t="s">
        <v>75</v>
      </c>
      <c r="AN44" s="63" t="s">
        <v>76</v>
      </c>
      <c r="AO44" s="63" t="s">
        <v>77</v>
      </c>
      <c r="AP44" s="63" t="str">
        <f t="shared" si="14"/>
        <v>PRVKVLV1.Beh.stVal</v>
      </c>
      <c r="AQ44" s="63" t="s">
        <v>73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15"/>
        <v>0</v>
      </c>
      <c r="AW44" s="53">
        <v>0</v>
      </c>
      <c r="AX44" s="53">
        <v>0</v>
      </c>
      <c r="AY44" s="64"/>
      <c r="AZ44" s="53"/>
      <c r="BA44" s="53"/>
      <c r="BB44" s="53"/>
      <c r="BC44" s="53"/>
      <c r="BD44" s="53"/>
      <c r="BE44" s="53"/>
      <c r="BF44" s="53"/>
      <c r="BG44" s="70" t="str">
        <f t="shared" si="16"/>
        <v>description: "Поведение", note: "Индикация поведения логического узла ПК", group: "status", minValue: null, maxValue: null, step: null, units: "null", defaultValue: null, eventRegistration: 0</v>
      </c>
    </row>
    <row r="45" spans="1:59" s="66" customFormat="1" ht="15.75" x14ac:dyDescent="0.25">
      <c r="A45" s="51"/>
      <c r="B45" s="93" t="s">
        <v>339</v>
      </c>
      <c r="C45" s="53"/>
      <c r="D45" s="72" t="s">
        <v>229</v>
      </c>
      <c r="E45" s="55" t="s">
        <v>268</v>
      </c>
      <c r="F45" s="55" t="s">
        <v>98</v>
      </c>
      <c r="G45" s="55" t="s">
        <v>98</v>
      </c>
      <c r="H45" s="53"/>
      <c r="I45" s="55">
        <f t="shared" si="12"/>
        <v>11</v>
      </c>
      <c r="J45" s="55" t="str">
        <f t="shared" si="13"/>
        <v>Исправность</v>
      </c>
      <c r="K45" s="57" t="s">
        <v>248</v>
      </c>
      <c r="L45" s="58" t="s">
        <v>66</v>
      </c>
      <c r="M45" s="60" t="s">
        <v>60</v>
      </c>
      <c r="N45" s="60" t="s">
        <v>61</v>
      </c>
      <c r="O45" s="60"/>
      <c r="P45" s="71"/>
      <c r="Q45" s="71"/>
      <c r="R45" s="60" t="s">
        <v>62</v>
      </c>
      <c r="S45" s="60" t="s">
        <v>62</v>
      </c>
      <c r="T45" s="60" t="s">
        <v>62</v>
      </c>
      <c r="U45" s="60" t="s">
        <v>62</v>
      </c>
      <c r="V45" s="53"/>
      <c r="W45" s="53"/>
      <c r="X45" s="60" t="s">
        <v>62</v>
      </c>
      <c r="Y45" s="60">
        <v>0</v>
      </c>
      <c r="Z45" s="53"/>
      <c r="AA45" s="61">
        <v>0</v>
      </c>
      <c r="AB45" s="61"/>
      <c r="AC45" s="61"/>
      <c r="AD45" s="61"/>
      <c r="AE45" s="61"/>
      <c r="AF45" s="61">
        <v>0</v>
      </c>
      <c r="AG45" s="61">
        <v>0</v>
      </c>
      <c r="AH45" s="61">
        <v>0</v>
      </c>
      <c r="AI45" s="62" t="s">
        <v>303</v>
      </c>
      <c r="AJ45" s="63" t="s">
        <v>291</v>
      </c>
      <c r="AK45" s="63" t="s">
        <v>92</v>
      </c>
      <c r="AL45" s="63" t="s">
        <v>74</v>
      </c>
      <c r="AM45" s="63" t="s">
        <v>75</v>
      </c>
      <c r="AN45" s="63" t="s">
        <v>96</v>
      </c>
      <c r="AO45" s="63" t="s">
        <v>77</v>
      </c>
      <c r="AP45" s="63" t="str">
        <f t="shared" si="14"/>
        <v>PRVKVLV1.Health.stVal</v>
      </c>
      <c r="AQ45" s="63" t="s">
        <v>73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15"/>
        <v>0</v>
      </c>
      <c r="AW45" s="53">
        <v>0</v>
      </c>
      <c r="AX45" s="53">
        <v>0</v>
      </c>
      <c r="AY45" s="64"/>
      <c r="AZ45" s="53"/>
      <c r="BA45" s="53"/>
      <c r="BB45" s="53"/>
      <c r="BC45" s="53"/>
      <c r="BD45" s="53"/>
      <c r="BE45" s="53"/>
      <c r="BF45" s="53"/>
      <c r="BG45" s="70" t="str">
        <f t="shared" si="16"/>
        <v>description: "Исправность", note: "Индикация исправности логического узла ПК", group: "status", minValue: null, maxValue: null, step: null, units: "null", defaultValue: null, eventRegistration: 0</v>
      </c>
    </row>
    <row r="46" spans="1:59" s="42" customFormat="1" ht="15.75" x14ac:dyDescent="0.25">
      <c r="A46" s="35"/>
      <c r="B46" s="93" t="s">
        <v>339</v>
      </c>
      <c r="C46" s="36"/>
      <c r="D46" s="20" t="s">
        <v>230</v>
      </c>
      <c r="E46" s="30" t="s">
        <v>269</v>
      </c>
      <c r="F46" s="30" t="s">
        <v>97</v>
      </c>
      <c r="G46" s="30" t="s">
        <v>97</v>
      </c>
      <c r="H46" s="36"/>
      <c r="I46" s="30">
        <f t="shared" si="12"/>
        <v>9</v>
      </c>
      <c r="J46" s="30" t="str">
        <f t="shared" si="13"/>
        <v>Поведение</v>
      </c>
      <c r="K46" s="37" t="s">
        <v>249</v>
      </c>
      <c r="L46" s="38" t="s">
        <v>66</v>
      </c>
      <c r="M46" s="39" t="s">
        <v>60</v>
      </c>
      <c r="N46" s="39" t="s">
        <v>61</v>
      </c>
      <c r="O46" s="39"/>
      <c r="P46" s="36"/>
      <c r="Q46" s="36"/>
      <c r="R46" s="39" t="s">
        <v>62</v>
      </c>
      <c r="S46" s="39" t="s">
        <v>62</v>
      </c>
      <c r="T46" s="39" t="s">
        <v>62</v>
      </c>
      <c r="U46" s="39" t="s">
        <v>62</v>
      </c>
      <c r="V46" s="36"/>
      <c r="W46" s="36"/>
      <c r="X46" s="39" t="s">
        <v>62</v>
      </c>
      <c r="Y46" s="39">
        <v>0</v>
      </c>
      <c r="Z46" s="36"/>
      <c r="AA46" s="25">
        <v>0</v>
      </c>
      <c r="AB46" s="25"/>
      <c r="AC46" s="25"/>
      <c r="AD46" s="25"/>
      <c r="AE46" s="25"/>
      <c r="AF46" s="25">
        <v>0</v>
      </c>
      <c r="AG46" s="25">
        <v>0</v>
      </c>
      <c r="AH46" s="25">
        <v>0</v>
      </c>
      <c r="AI46" s="26" t="s">
        <v>304</v>
      </c>
      <c r="AJ46" s="40" t="s">
        <v>292</v>
      </c>
      <c r="AK46" s="40" t="s">
        <v>92</v>
      </c>
      <c r="AL46" s="40" t="s">
        <v>74</v>
      </c>
      <c r="AM46" s="40" t="s">
        <v>75</v>
      </c>
      <c r="AN46" s="40" t="s">
        <v>76</v>
      </c>
      <c r="AO46" s="40" t="s">
        <v>77</v>
      </c>
      <c r="AP46" s="40" t="str">
        <f t="shared" si="14"/>
        <v>SHVKVLV1.Beh.stVal</v>
      </c>
      <c r="AQ46" s="40" t="s">
        <v>73</v>
      </c>
      <c r="AR46" s="36">
        <v>0</v>
      </c>
      <c r="AS46" s="36">
        <v>0</v>
      </c>
      <c r="AT46" s="36">
        <v>0</v>
      </c>
      <c r="AU46" s="36">
        <v>0</v>
      </c>
      <c r="AV46" s="36">
        <f t="shared" si="15"/>
        <v>0</v>
      </c>
      <c r="AW46" s="36">
        <v>0</v>
      </c>
      <c r="AX46" s="36">
        <v>0</v>
      </c>
      <c r="AY46" s="47"/>
      <c r="AZ46" s="41"/>
      <c r="BA46" s="41"/>
      <c r="BB46" s="41"/>
      <c r="BC46" s="41"/>
      <c r="BD46" s="41"/>
      <c r="BE46" s="41"/>
      <c r="BF46" s="41"/>
      <c r="BG46" s="43" t="str">
        <f t="shared" si="16"/>
        <v>description: "Поведение", note: "Индикация поведения логического узла ОК", group: "status", minValue: null, maxValue: null, step: null, units: "null", defaultValue: null, eventRegistration: 0</v>
      </c>
    </row>
    <row r="47" spans="1:59" s="42" customFormat="1" ht="15.75" x14ac:dyDescent="0.25">
      <c r="A47" s="35"/>
      <c r="B47" s="93" t="s">
        <v>339</v>
      </c>
      <c r="C47" s="36"/>
      <c r="D47" s="20" t="s">
        <v>230</v>
      </c>
      <c r="E47" s="30" t="s">
        <v>270</v>
      </c>
      <c r="F47" s="30" t="s">
        <v>98</v>
      </c>
      <c r="G47" s="30" t="s">
        <v>98</v>
      </c>
      <c r="H47" s="36"/>
      <c r="I47" s="30">
        <f t="shared" si="12"/>
        <v>11</v>
      </c>
      <c r="J47" s="30" t="str">
        <f t="shared" si="13"/>
        <v>Исправность</v>
      </c>
      <c r="K47" s="37" t="s">
        <v>250</v>
      </c>
      <c r="L47" s="38" t="s">
        <v>66</v>
      </c>
      <c r="M47" s="39" t="s">
        <v>60</v>
      </c>
      <c r="N47" s="39" t="s">
        <v>61</v>
      </c>
      <c r="O47" s="39"/>
      <c r="P47" s="23"/>
      <c r="Q47" s="23"/>
      <c r="R47" s="39" t="s">
        <v>62</v>
      </c>
      <c r="S47" s="39" t="s">
        <v>62</v>
      </c>
      <c r="T47" s="39" t="s">
        <v>62</v>
      </c>
      <c r="U47" s="39" t="s">
        <v>62</v>
      </c>
      <c r="V47" s="36"/>
      <c r="W47" s="36"/>
      <c r="X47" s="39" t="s">
        <v>62</v>
      </c>
      <c r="Y47" s="39">
        <v>0</v>
      </c>
      <c r="Z47" s="36"/>
      <c r="AA47" s="25">
        <v>0</v>
      </c>
      <c r="AB47" s="25"/>
      <c r="AC47" s="25"/>
      <c r="AD47" s="25"/>
      <c r="AE47" s="25"/>
      <c r="AF47" s="25">
        <v>0</v>
      </c>
      <c r="AG47" s="25">
        <v>0</v>
      </c>
      <c r="AH47" s="25">
        <v>0</v>
      </c>
      <c r="AI47" s="26" t="s">
        <v>304</v>
      </c>
      <c r="AJ47" s="40" t="s">
        <v>293</v>
      </c>
      <c r="AK47" s="40" t="s">
        <v>92</v>
      </c>
      <c r="AL47" s="40" t="s">
        <v>74</v>
      </c>
      <c r="AM47" s="40" t="s">
        <v>75</v>
      </c>
      <c r="AN47" s="40" t="s">
        <v>96</v>
      </c>
      <c r="AO47" s="40" t="s">
        <v>77</v>
      </c>
      <c r="AP47" s="40" t="str">
        <f t="shared" si="14"/>
        <v>SHVKVLV1.Health.stVal</v>
      </c>
      <c r="AQ47" s="40" t="s">
        <v>73</v>
      </c>
      <c r="AR47" s="36">
        <v>0</v>
      </c>
      <c r="AS47" s="36">
        <v>0</v>
      </c>
      <c r="AT47" s="36">
        <v>0</v>
      </c>
      <c r="AU47" s="36">
        <v>0</v>
      </c>
      <c r="AV47" s="36">
        <f t="shared" si="15"/>
        <v>0</v>
      </c>
      <c r="AW47" s="36">
        <v>0</v>
      </c>
      <c r="AX47" s="36">
        <v>0</v>
      </c>
      <c r="AY47" s="47"/>
      <c r="AZ47" s="41"/>
      <c r="BA47" s="41"/>
      <c r="BB47" s="41"/>
      <c r="BC47" s="41"/>
      <c r="BD47" s="41"/>
      <c r="BE47" s="41"/>
      <c r="BF47" s="41"/>
      <c r="BG47" s="43" t="str">
        <f t="shared" si="16"/>
        <v>description: "Исправность", note: "Индикация исправности логического узла ОК", group: "status", minValue: null, maxValue: null, step: null, units: "null", defaultValue: null, eventRegistration: 0</v>
      </c>
    </row>
    <row r="48" spans="1:59" s="66" customFormat="1" ht="15.75" x14ac:dyDescent="0.25">
      <c r="A48" s="51"/>
      <c r="B48" s="93" t="s">
        <v>339</v>
      </c>
      <c r="C48" s="53"/>
      <c r="D48" s="72" t="s">
        <v>231</v>
      </c>
      <c r="E48" s="55" t="s">
        <v>271</v>
      </c>
      <c r="F48" s="55" t="s">
        <v>97</v>
      </c>
      <c r="G48" s="55" t="s">
        <v>97</v>
      </c>
      <c r="H48" s="53"/>
      <c r="I48" s="55">
        <f t="shared" si="12"/>
        <v>9</v>
      </c>
      <c r="J48" s="55" t="str">
        <f t="shared" si="13"/>
        <v>Поведение</v>
      </c>
      <c r="K48" s="57" t="s">
        <v>251</v>
      </c>
      <c r="L48" s="58" t="s">
        <v>66</v>
      </c>
      <c r="M48" s="60" t="s">
        <v>60</v>
      </c>
      <c r="N48" s="60" t="s">
        <v>61</v>
      </c>
      <c r="O48" s="60"/>
      <c r="P48" s="53"/>
      <c r="Q48" s="53"/>
      <c r="R48" s="60" t="s">
        <v>62</v>
      </c>
      <c r="S48" s="60" t="s">
        <v>62</v>
      </c>
      <c r="T48" s="60" t="s">
        <v>62</v>
      </c>
      <c r="U48" s="60" t="s">
        <v>62</v>
      </c>
      <c r="V48" s="53"/>
      <c r="W48" s="53"/>
      <c r="X48" s="60" t="s">
        <v>62</v>
      </c>
      <c r="Y48" s="60">
        <v>0</v>
      </c>
      <c r="Z48" s="53"/>
      <c r="AA48" s="61">
        <v>0</v>
      </c>
      <c r="AB48" s="61"/>
      <c r="AC48" s="61"/>
      <c r="AD48" s="61"/>
      <c r="AE48" s="61"/>
      <c r="AF48" s="61">
        <v>0</v>
      </c>
      <c r="AG48" s="61">
        <v>0</v>
      </c>
      <c r="AH48" s="61">
        <v>0</v>
      </c>
      <c r="AI48" s="62" t="s">
        <v>298</v>
      </c>
      <c r="AJ48" s="63" t="s">
        <v>294</v>
      </c>
      <c r="AK48" s="63" t="s">
        <v>92</v>
      </c>
      <c r="AL48" s="63" t="s">
        <v>74</v>
      </c>
      <c r="AM48" s="63" t="s">
        <v>75</v>
      </c>
      <c r="AN48" s="63" t="s">
        <v>76</v>
      </c>
      <c r="AO48" s="63" t="s">
        <v>77</v>
      </c>
      <c r="AP48" s="63" t="str">
        <f t="shared" si="14"/>
        <v>SCSSALC1.Beh.stVal</v>
      </c>
      <c r="AQ48" s="63" t="s">
        <v>73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15"/>
        <v>0</v>
      </c>
      <c r="AW48" s="53">
        <v>0</v>
      </c>
      <c r="AX48" s="53">
        <v>0</v>
      </c>
      <c r="AY48" s="64"/>
      <c r="AZ48" s="53"/>
      <c r="BA48" s="53"/>
      <c r="BB48" s="53"/>
      <c r="BC48" s="53"/>
      <c r="BD48" s="53"/>
      <c r="BE48" s="53"/>
      <c r="BF48" s="53"/>
      <c r="BG48" s="70" t="str">
        <f t="shared" si="16"/>
        <v>description: "Поведение", note: "Индикация поведения логического узла КСО", group: "status", minValue: null, maxValue: null, step: null, units: "null", defaultValue: null, eventRegistration: 0</v>
      </c>
    </row>
    <row r="49" spans="1:60" s="66" customFormat="1" ht="15.75" x14ac:dyDescent="0.25">
      <c r="A49" s="51"/>
      <c r="B49" s="93" t="s">
        <v>339</v>
      </c>
      <c r="C49" s="53"/>
      <c r="D49" s="72" t="s">
        <v>231</v>
      </c>
      <c r="E49" s="55" t="s">
        <v>272</v>
      </c>
      <c r="F49" s="55" t="s">
        <v>98</v>
      </c>
      <c r="G49" s="55" t="s">
        <v>98</v>
      </c>
      <c r="H49" s="53"/>
      <c r="I49" s="55">
        <f t="shared" si="12"/>
        <v>11</v>
      </c>
      <c r="J49" s="55" t="str">
        <f t="shared" si="13"/>
        <v>Исправность</v>
      </c>
      <c r="K49" s="57" t="s">
        <v>252</v>
      </c>
      <c r="L49" s="58" t="s">
        <v>66</v>
      </c>
      <c r="M49" s="60" t="s">
        <v>60</v>
      </c>
      <c r="N49" s="60" t="s">
        <v>61</v>
      </c>
      <c r="O49" s="60"/>
      <c r="P49" s="71"/>
      <c r="Q49" s="71"/>
      <c r="R49" s="60" t="s">
        <v>62</v>
      </c>
      <c r="S49" s="60" t="s">
        <v>62</v>
      </c>
      <c r="T49" s="60" t="s">
        <v>62</v>
      </c>
      <c r="U49" s="60" t="s">
        <v>62</v>
      </c>
      <c r="V49" s="53"/>
      <c r="W49" s="53"/>
      <c r="X49" s="60" t="s">
        <v>62</v>
      </c>
      <c r="Y49" s="60">
        <v>0</v>
      </c>
      <c r="Z49" s="53"/>
      <c r="AA49" s="61">
        <v>0</v>
      </c>
      <c r="AB49" s="61"/>
      <c r="AC49" s="61"/>
      <c r="AD49" s="61"/>
      <c r="AE49" s="61"/>
      <c r="AF49" s="61">
        <v>0</v>
      </c>
      <c r="AG49" s="61">
        <v>0</v>
      </c>
      <c r="AH49" s="61">
        <v>0</v>
      </c>
      <c r="AI49" s="62" t="s">
        <v>298</v>
      </c>
      <c r="AJ49" s="63" t="s">
        <v>295</v>
      </c>
      <c r="AK49" s="63" t="s">
        <v>92</v>
      </c>
      <c r="AL49" s="63" t="s">
        <v>74</v>
      </c>
      <c r="AM49" s="63" t="s">
        <v>75</v>
      </c>
      <c r="AN49" s="63" t="s">
        <v>96</v>
      </c>
      <c r="AO49" s="63" t="s">
        <v>77</v>
      </c>
      <c r="AP49" s="63" t="str">
        <f t="shared" si="14"/>
        <v>SCSSALC1.Health.stVal</v>
      </c>
      <c r="AQ49" s="63" t="s">
        <v>73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15"/>
        <v>0</v>
      </c>
      <c r="AW49" s="53">
        <v>0</v>
      </c>
      <c r="AX49" s="53">
        <v>0</v>
      </c>
      <c r="AY49" s="64"/>
      <c r="AZ49" s="53"/>
      <c r="BA49" s="53"/>
      <c r="BB49" s="53"/>
      <c r="BC49" s="53"/>
      <c r="BD49" s="53"/>
      <c r="BE49" s="53"/>
      <c r="BF49" s="53"/>
      <c r="BG49" s="70" t="str">
        <f t="shared" si="16"/>
        <v>description: "Исправность", note: "Индикация исправности логического узла КСО", group: "status", minValue: null, maxValue: null, step: null, units: "null", defaultValue: null, eventRegistration: 0</v>
      </c>
    </row>
    <row r="50" spans="1:60" s="42" customFormat="1" ht="15.75" x14ac:dyDescent="0.25">
      <c r="A50" s="35"/>
      <c r="B50" s="93" t="s">
        <v>339</v>
      </c>
      <c r="C50" s="36"/>
      <c r="D50" s="20" t="s">
        <v>232</v>
      </c>
      <c r="E50" s="30" t="s">
        <v>273</v>
      </c>
      <c r="F50" s="30" t="s">
        <v>97</v>
      </c>
      <c r="G50" s="30" t="s">
        <v>97</v>
      </c>
      <c r="H50" s="36"/>
      <c r="I50" s="30">
        <f t="shared" si="12"/>
        <v>9</v>
      </c>
      <c r="J50" s="30" t="str">
        <f t="shared" si="13"/>
        <v>Поведение</v>
      </c>
      <c r="K50" s="37" t="s">
        <v>253</v>
      </c>
      <c r="L50" s="38" t="s">
        <v>66</v>
      </c>
      <c r="M50" s="39" t="s">
        <v>60</v>
      </c>
      <c r="N50" s="39" t="s">
        <v>61</v>
      </c>
      <c r="O50" s="39"/>
      <c r="P50" s="36"/>
      <c r="Q50" s="36"/>
      <c r="R50" s="39" t="s">
        <v>62</v>
      </c>
      <c r="S50" s="39" t="s">
        <v>62</v>
      </c>
      <c r="T50" s="39" t="s">
        <v>62</v>
      </c>
      <c r="U50" s="39" t="s">
        <v>62</v>
      </c>
      <c r="V50" s="36"/>
      <c r="W50" s="36"/>
      <c r="X50" s="39" t="s">
        <v>62</v>
      </c>
      <c r="Y50" s="39">
        <v>0</v>
      </c>
      <c r="Z50" s="36"/>
      <c r="AA50" s="25">
        <v>0</v>
      </c>
      <c r="AB50" s="25"/>
      <c r="AC50" s="25"/>
      <c r="AD50" s="25"/>
      <c r="AE50" s="25"/>
      <c r="AF50" s="25">
        <v>0</v>
      </c>
      <c r="AG50" s="25">
        <v>0</v>
      </c>
      <c r="AH50" s="25">
        <v>0</v>
      </c>
      <c r="AI50" s="26" t="s">
        <v>301</v>
      </c>
      <c r="AJ50" s="40" t="s">
        <v>296</v>
      </c>
      <c r="AK50" s="40" t="s">
        <v>92</v>
      </c>
      <c r="AL50" s="40" t="s">
        <v>74</v>
      </c>
      <c r="AM50" s="40" t="s">
        <v>75</v>
      </c>
      <c r="AN50" s="40" t="s">
        <v>76</v>
      </c>
      <c r="AO50" s="40" t="s">
        <v>77</v>
      </c>
      <c r="AP50" s="40" t="str">
        <f t="shared" si="14"/>
        <v>STMP1.Beh.stVal</v>
      </c>
      <c r="AQ50" s="40" t="s">
        <v>73</v>
      </c>
      <c r="AR50" s="36">
        <v>0</v>
      </c>
      <c r="AS50" s="36">
        <v>0</v>
      </c>
      <c r="AT50" s="36">
        <v>0</v>
      </c>
      <c r="AU50" s="36">
        <v>0</v>
      </c>
      <c r="AV50" s="36">
        <f t="shared" si="15"/>
        <v>0</v>
      </c>
      <c r="AW50" s="36">
        <v>0</v>
      </c>
      <c r="AX50" s="36">
        <v>0</v>
      </c>
      <c r="AY50" s="47"/>
      <c r="AZ50" s="41"/>
      <c r="BA50" s="41"/>
      <c r="BB50" s="41"/>
      <c r="BC50" s="41"/>
      <c r="BD50" s="41"/>
      <c r="BE50" s="41"/>
      <c r="BF50" s="41"/>
      <c r="BG50" s="43" t="str">
        <f t="shared" si="16"/>
        <v>description: "Поведение", note: "Индикация поведения логического узла ДТм_РПН", group: "status", minValue: null, maxValue: null, step: null, units: "null", defaultValue: null, eventRegistration: 0</v>
      </c>
    </row>
    <row r="51" spans="1:60" s="42" customFormat="1" ht="15.75" x14ac:dyDescent="0.25">
      <c r="A51" s="35"/>
      <c r="B51" s="93" t="s">
        <v>339</v>
      </c>
      <c r="C51" s="36"/>
      <c r="D51" s="20" t="s">
        <v>232</v>
      </c>
      <c r="E51" s="30" t="s">
        <v>274</v>
      </c>
      <c r="F51" s="30" t="s">
        <v>98</v>
      </c>
      <c r="G51" s="30" t="s">
        <v>98</v>
      </c>
      <c r="H51" s="36"/>
      <c r="I51" s="30">
        <f t="shared" si="12"/>
        <v>11</v>
      </c>
      <c r="J51" s="30" t="str">
        <f t="shared" si="13"/>
        <v>Исправность</v>
      </c>
      <c r="K51" s="37" t="s">
        <v>254</v>
      </c>
      <c r="L51" s="38" t="s">
        <v>66</v>
      </c>
      <c r="M51" s="39" t="s">
        <v>60</v>
      </c>
      <c r="N51" s="39" t="s">
        <v>61</v>
      </c>
      <c r="O51" s="39"/>
      <c r="P51" s="23"/>
      <c r="Q51" s="23"/>
      <c r="R51" s="39" t="s">
        <v>62</v>
      </c>
      <c r="S51" s="39" t="s">
        <v>62</v>
      </c>
      <c r="T51" s="39" t="s">
        <v>62</v>
      </c>
      <c r="U51" s="39" t="s">
        <v>62</v>
      </c>
      <c r="V51" s="36"/>
      <c r="W51" s="36"/>
      <c r="X51" s="39" t="s">
        <v>62</v>
      </c>
      <c r="Y51" s="39">
        <v>0</v>
      </c>
      <c r="Z51" s="36"/>
      <c r="AA51" s="25">
        <v>0</v>
      </c>
      <c r="AB51" s="25"/>
      <c r="AC51" s="25"/>
      <c r="AD51" s="25"/>
      <c r="AE51" s="25"/>
      <c r="AF51" s="25">
        <v>0</v>
      </c>
      <c r="AG51" s="25">
        <v>0</v>
      </c>
      <c r="AH51" s="25">
        <v>0</v>
      </c>
      <c r="AI51" s="26" t="s">
        <v>301</v>
      </c>
      <c r="AJ51" s="40" t="s">
        <v>297</v>
      </c>
      <c r="AK51" s="40" t="s">
        <v>92</v>
      </c>
      <c r="AL51" s="40" t="s">
        <v>74</v>
      </c>
      <c r="AM51" s="40" t="s">
        <v>75</v>
      </c>
      <c r="AN51" s="40" t="s">
        <v>96</v>
      </c>
      <c r="AO51" s="40" t="s">
        <v>77</v>
      </c>
      <c r="AP51" s="40" t="str">
        <f t="shared" si="14"/>
        <v>STMP1.Health.stVal</v>
      </c>
      <c r="AQ51" s="40" t="s">
        <v>73</v>
      </c>
      <c r="AR51" s="36">
        <v>0</v>
      </c>
      <c r="AS51" s="36">
        <v>0</v>
      </c>
      <c r="AT51" s="36">
        <v>0</v>
      </c>
      <c r="AU51" s="36">
        <v>0</v>
      </c>
      <c r="AV51" s="36">
        <f t="shared" si="15"/>
        <v>0</v>
      </c>
      <c r="AW51" s="36">
        <v>0</v>
      </c>
      <c r="AX51" s="36">
        <v>0</v>
      </c>
      <c r="AY51" s="47"/>
      <c r="AZ51" s="41"/>
      <c r="BA51" s="41"/>
      <c r="BB51" s="41"/>
      <c r="BC51" s="41"/>
      <c r="BD51" s="41"/>
      <c r="BE51" s="41"/>
      <c r="BF51" s="41"/>
      <c r="BG51" s="43" t="str">
        <f t="shared" si="16"/>
        <v>description: "Исправность", note: "Индикация исправности логического узла ДТм_РПН", group: "status", minValue: null, maxValue: null, step: null, units: "null", defaultValue: null, eventRegistration: 0</v>
      </c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8"/>
      <c r="AJ1" s="7"/>
      <c r="AK1" s="7"/>
      <c r="AL1" s="7"/>
      <c r="AM1" s="7"/>
      <c r="AN1" s="7"/>
      <c r="AO1" s="7"/>
      <c r="AP1" s="7"/>
      <c r="AQ1" s="7"/>
      <c r="AR1" s="48"/>
      <c r="AS1" s="6"/>
      <c r="AT1" s="6"/>
      <c r="AU1" s="6"/>
      <c r="AV1" s="6"/>
      <c r="AW1" s="6"/>
      <c r="AX1" s="6"/>
      <c r="AY1" s="8"/>
      <c r="AZ1" s="98" t="s">
        <v>0</v>
      </c>
      <c r="BA1" s="99"/>
      <c r="BB1" s="99"/>
      <c r="BC1" s="99"/>
      <c r="BD1" s="99"/>
      <c r="BE1" s="99"/>
      <c r="BF1" s="9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0" customFormat="1" ht="15.75" x14ac:dyDescent="0.25">
      <c r="A3" s="35"/>
      <c r="B3" s="35" t="s">
        <v>99</v>
      </c>
      <c r="C3" s="39"/>
      <c r="D3" s="20" t="s">
        <v>184</v>
      </c>
      <c r="E3" s="30" t="s">
        <v>100</v>
      </c>
      <c r="F3" s="30" t="s">
        <v>110</v>
      </c>
      <c r="G3" s="30" t="s">
        <v>114</v>
      </c>
      <c r="H3" s="30" t="s">
        <v>107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5" t="s">
        <v>275</v>
      </c>
      <c r="L3" s="38" t="s">
        <v>63</v>
      </c>
      <c r="M3" s="39" t="s">
        <v>61</v>
      </c>
      <c r="N3" s="39" t="s">
        <v>61</v>
      </c>
      <c r="O3" s="39"/>
      <c r="P3" s="47">
        <v>0</v>
      </c>
      <c r="Q3" s="47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108</v>
      </c>
      <c r="AX3" s="36"/>
      <c r="AY3" s="47"/>
      <c r="AZ3" s="41"/>
      <c r="BA3" s="41"/>
      <c r="BB3" s="41"/>
      <c r="BC3" s="41"/>
      <c r="BD3" s="41"/>
      <c r="BE3" s="41"/>
      <c r="BF3" s="41"/>
      <c r="BG3" s="4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4"/>
      <c r="BC4" s="4"/>
      <c r="BD4" s="44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4"/>
      <c r="BC5" s="4"/>
      <c r="BD5" s="4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B8" sqref="B8"/>
    </sheetView>
  </sheetViews>
  <sheetFormatPr defaultRowHeight="15.75" x14ac:dyDescent="0.25"/>
  <cols>
    <col min="1" max="1" width="22.42578125" style="90" customWidth="1"/>
    <col min="2" max="2" width="67.7109375" style="90" customWidth="1"/>
    <col min="3" max="16384" width="9.140625" style="90"/>
  </cols>
  <sheetData>
    <row r="2" spans="1:2" x14ac:dyDescent="0.25">
      <c r="A2" s="9" t="s">
        <v>101</v>
      </c>
      <c r="B2" s="9" t="s">
        <v>102</v>
      </c>
    </row>
    <row r="3" spans="1:2" x14ac:dyDescent="0.25">
      <c r="A3" s="28" t="s">
        <v>103</v>
      </c>
      <c r="B3" s="49" t="s">
        <v>184</v>
      </c>
    </row>
    <row r="4" spans="1:2" x14ac:dyDescent="0.25">
      <c r="A4" s="28" t="s">
        <v>104</v>
      </c>
      <c r="B4" s="50">
        <v>600</v>
      </c>
    </row>
    <row r="5" spans="1:2" x14ac:dyDescent="0.25">
      <c r="A5" s="28" t="s">
        <v>105</v>
      </c>
      <c r="B5" s="49" t="s">
        <v>61</v>
      </c>
    </row>
    <row r="6" spans="1:2" x14ac:dyDescent="0.25">
      <c r="A6" s="28" t="s">
        <v>106</v>
      </c>
      <c r="B6" s="49" t="s">
        <v>357</v>
      </c>
    </row>
    <row r="7" spans="1:2" x14ac:dyDescent="0.25">
      <c r="A7" s="28" t="s">
        <v>115</v>
      </c>
      <c r="B7" s="49">
        <v>1</v>
      </c>
    </row>
    <row r="8" spans="1:2" x14ac:dyDescent="0.25">
      <c r="A8" s="94" t="s">
        <v>340</v>
      </c>
      <c r="B8" t="s">
        <v>342</v>
      </c>
    </row>
    <row r="9" spans="1:2" x14ac:dyDescent="0.25">
      <c r="A9" s="94" t="s">
        <v>341</v>
      </c>
      <c r="B9" s="94"/>
    </row>
    <row r="10" spans="1:2" x14ac:dyDescent="0.25">
      <c r="A10" s="20" t="s">
        <v>184</v>
      </c>
      <c r="B10" t="s">
        <v>342</v>
      </c>
    </row>
    <row r="11" spans="1:2" x14ac:dyDescent="0.25">
      <c r="A11" s="75" t="s">
        <v>223</v>
      </c>
      <c r="B11" t="s">
        <v>343</v>
      </c>
    </row>
    <row r="12" spans="1:2" x14ac:dyDescent="0.25">
      <c r="A12" s="20" t="s">
        <v>224</v>
      </c>
      <c r="B12" t="s">
        <v>344</v>
      </c>
    </row>
    <row r="13" spans="1:2" x14ac:dyDescent="0.25">
      <c r="A13" s="75" t="s">
        <v>225</v>
      </c>
      <c r="B13" t="s">
        <v>345</v>
      </c>
    </row>
    <row r="14" spans="1:2" x14ac:dyDescent="0.25">
      <c r="A14" s="20" t="s">
        <v>226</v>
      </c>
      <c r="B14" t="s">
        <v>346</v>
      </c>
    </row>
    <row r="15" spans="1:2" x14ac:dyDescent="0.25">
      <c r="A15" s="75" t="s">
        <v>227</v>
      </c>
      <c r="B15" t="s">
        <v>347</v>
      </c>
    </row>
    <row r="16" spans="1:2" x14ac:dyDescent="0.25">
      <c r="A16" s="20" t="s">
        <v>330</v>
      </c>
      <c r="B16" t="s">
        <v>348</v>
      </c>
    </row>
    <row r="17" spans="1:2" x14ac:dyDescent="0.25">
      <c r="A17" s="75" t="s">
        <v>228</v>
      </c>
      <c r="B17" t="s">
        <v>350</v>
      </c>
    </row>
    <row r="18" spans="1:2" x14ac:dyDescent="0.25">
      <c r="A18" s="20" t="s">
        <v>229</v>
      </c>
      <c r="B18" t="s">
        <v>351</v>
      </c>
    </row>
    <row r="19" spans="1:2" x14ac:dyDescent="0.25">
      <c r="A19" s="75" t="s">
        <v>230</v>
      </c>
      <c r="B19" t="s">
        <v>352</v>
      </c>
    </row>
    <row r="20" spans="1:2" x14ac:dyDescent="0.25">
      <c r="A20" s="20" t="s">
        <v>231</v>
      </c>
      <c r="B20" t="s">
        <v>349</v>
      </c>
    </row>
    <row r="21" spans="1:2" x14ac:dyDescent="0.25">
      <c r="A21" s="75" t="s">
        <v>232</v>
      </c>
      <c r="B21" t="s">
        <v>353</v>
      </c>
    </row>
    <row r="22" spans="1:2" x14ac:dyDescent="0.25">
      <c r="A22" s="94" t="s">
        <v>341</v>
      </c>
      <c r="B22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2025-09-09T05:39:18Z</dcterms:modified>
</cp:coreProperties>
</file>