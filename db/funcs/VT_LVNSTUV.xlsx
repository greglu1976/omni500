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" l="1"/>
  <c r="J11" i="4"/>
  <c r="J12" i="4"/>
  <c r="BG9" i="4" l="1"/>
  <c r="AV9" i="4"/>
  <c r="J9" i="4"/>
  <c r="I9" i="4"/>
  <c r="AV3" i="6" l="1"/>
  <c r="AP5" i="6" l="1"/>
  <c r="AP4" i="6"/>
  <c r="BG5" i="6"/>
  <c r="AV5" i="6"/>
  <c r="J5" i="6"/>
  <c r="I5" i="6"/>
  <c r="BG7" i="6"/>
  <c r="AV7" i="6"/>
  <c r="J7" i="6"/>
  <c r="I7" i="6"/>
  <c r="BG11" i="5"/>
  <c r="BG10" i="5"/>
  <c r="BG9" i="5"/>
  <c r="BG8" i="5"/>
  <c r="BG7" i="4" l="1"/>
  <c r="J7" i="4"/>
  <c r="I7" i="4"/>
  <c r="BG8" i="4"/>
  <c r="J8" i="4"/>
  <c r="I8" i="4"/>
  <c r="BG6" i="4"/>
  <c r="AV6" i="4"/>
  <c r="J6" i="4"/>
  <c r="I6" i="4"/>
  <c r="BG4" i="5" l="1"/>
  <c r="J4" i="5"/>
  <c r="I4" i="5"/>
  <c r="BG7" i="5" l="1"/>
  <c r="J7" i="5"/>
  <c r="I7" i="5"/>
  <c r="AV8" i="5" l="1"/>
  <c r="AV9" i="5"/>
  <c r="AV10" i="5"/>
  <c r="AV11" i="5"/>
  <c r="BG12" i="4"/>
  <c r="AV12" i="4"/>
  <c r="I12" i="4"/>
  <c r="BG11" i="4"/>
  <c r="AV11" i="4"/>
  <c r="I11" i="4"/>
  <c r="BG10" i="4"/>
  <c r="AV10" i="4"/>
  <c r="AP10" i="4"/>
  <c r="I10" i="4"/>
  <c r="BG5" i="4"/>
  <c r="AV5" i="4"/>
  <c r="J5" i="4"/>
  <c r="I5" i="4"/>
  <c r="BG4" i="4"/>
  <c r="AV4" i="4"/>
  <c r="J4" i="4"/>
  <c r="I4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6" i="5"/>
  <c r="J6" i="5"/>
  <c r="I6" i="5"/>
  <c r="BG5" i="5"/>
  <c r="AP7" i="5"/>
  <c r="J5" i="5"/>
  <c r="I5" i="5"/>
  <c r="BG3" i="5"/>
  <c r="J3" i="5"/>
  <c r="I3" i="5"/>
  <c r="BG4" i="6"/>
  <c r="AV4" i="6"/>
  <c r="J4" i="6"/>
  <c r="I4" i="6"/>
  <c r="BG6" i="6"/>
  <c r="AV6" i="6"/>
  <c r="J6" i="6"/>
  <c r="I6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<sst xmlns="http://schemas.openxmlformats.org/spreadsheetml/2006/main" count="566" uniqueCount="194">
  <si>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</si>
  <si>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</si>
  <si>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</si>
  <si>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</si>
  <si>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</si>
  <si>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</si>
  <si>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</si>
  <si>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</si>
  <si>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</si>
  <si>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</si>
  <si>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</si>
  <si>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</si>
  <si>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</si>
  <si>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</si>
  <si>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</si>
  <si>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</si>
  <si>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</si>
  <si>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</si>
  <si>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</si>
  <si>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</si>
  <si>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</si>
  <si>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</si>
  <si>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</si>
  <si>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</si>
  <si>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</si>
  <si>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</si>
  <si>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</si>
  <si>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</si>
  <si>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</si>
  <si>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</si>
  <si>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</si>
  <si>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</si>
  <si>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</si>
  <si>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</si>
  <si>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</si>
  <si>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</si>
  <si>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</si>
  <si>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</si>
  <si>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</si>
  <si>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</si>
  <si>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</si>
  <si>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</si>
  <si>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</si>
  <si>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</si>
  <si>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</si>
  <si>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</si>
  <si>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</si>
  <si>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</si>
  <si>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</si>
  <si>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</si>
  <si>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</si>
  <si>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</si>
  <si>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</si>
  <si>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</si>
  <si>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</si>
  <si>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</si>
  <si>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</si>
  <si>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</si>
  <si>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</si>
  <si>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</si>
  <si>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</si>
  <si>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</si>
  <si>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</si>
  <si>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</si>
  <si>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</si>
  <si>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</si>
  <si>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</si>
  <si>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</si>
  <si>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</si>
  <si>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</si>
  <si>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</si>
  <si>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</si>
  <si>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</si>
  <si>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</si>
  <si>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</si>
  <si>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</si>
  <si>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</si>
  <si>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</si>
  <si>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</si>
  <si>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</si>
  <si>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</si>
  <si>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</si>
  <si>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</si>
  <si>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</si>
  <si>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</si>
  <si>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</si>
  <si>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</si>
  <si>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</si>
  <si>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</si>
  <si>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</si>
  <si>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</si>
  <si>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</si>
  <si>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</si>
  <si>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</si>
  <si>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</si>
  <si>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</si>
  <si>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</si>
  <si>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</si>
  <si>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</si>
  <si>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</si>
  <si>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</si>
  <si>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</si>
  <si>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</si>
  <si>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</si>
  <si>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</si>
  <si>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</si>
  <si>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</si>
  <si>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PTUV1_Beh</t>
  </si>
  <si>
    <t>PTUV1_Health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</si>
  <si>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</si>
  <si>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</si>
  <si>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</si>
  <si>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</si>
  <si>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</si>
  <si>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</si>
  <si>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</si>
  <si>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</si>
  <si>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</si>
  <si>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</si>
  <si>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</si>
  <si>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</si>
  <si>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</si>
  <si>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</si>
  <si>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PTUV1_EnaDis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</si>
  <si>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</si>
  <si>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</si>
  <si>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</si>
  <si>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</si>
  <si>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</si>
  <si>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Действующее значение 1 гармоники напряжения ОП</t>
  </si>
  <si>
    <t>U2 (1 гарм)</t>
  </si>
  <si>
    <t>Срабатывание БНН</t>
  </si>
  <si>
    <t>BlkV</t>
  </si>
  <si>
    <t>Вывод терминала</t>
  </si>
  <si>
    <t>ControllerDisable</t>
  </si>
  <si>
    <t>КПОН</t>
  </si>
  <si>
    <t>Оперативный вывод функции КПОН</t>
  </si>
  <si>
    <t>Опер. вывод КПОН</t>
  </si>
  <si>
    <t>PTUV1_FuncEnabled</t>
  </si>
  <si>
    <t>PTUV1_FuncOperDisabled</t>
  </si>
  <si>
    <t>Пуск ИО напряжения</t>
  </si>
  <si>
    <t>ИО U&lt;</t>
  </si>
  <si>
    <t>PTUV1_DE_U</t>
  </si>
  <si>
    <t>ИО U2&gt;</t>
  </si>
  <si>
    <t>PTUV1_DE_U2</t>
  </si>
  <si>
    <t>Пуск КПОН</t>
  </si>
  <si>
    <t>PTUV1_Str</t>
  </si>
  <si>
    <t>PTUV1.Beh</t>
  </si>
  <si>
    <t>PTUV1.Health</t>
  </si>
  <si>
    <t>PTUV1.Str</t>
  </si>
  <si>
    <t>Индикация поведения логического узла КПОН</t>
  </si>
  <si>
    <t>Индикация исправности логического узла КПОН</t>
  </si>
  <si>
    <t>Ввод функции в работу</t>
  </si>
  <si>
    <t>Ввод_функции</t>
  </si>
  <si>
    <t>0 - По Uмин, 1 - По Uмин и U2макс</t>
  </si>
  <si>
    <t>PTUV1_VoltStrCond</t>
  </si>
  <si>
    <t>Режим контроля от БНН</t>
  </si>
  <si>
    <t>Реж_БНН</t>
  </si>
  <si>
    <t>0 - Без контроля, 1 - С контролем</t>
  </si>
  <si>
    <t>PTUV1_VolFailBlk</t>
  </si>
  <si>
    <t>PTUV1_StrValU</t>
  </si>
  <si>
    <t>Напряжение срабатывания ОП</t>
  </si>
  <si>
    <t>U2ср</t>
  </si>
  <si>
    <t>PTUV1_StrValU2</t>
  </si>
  <si>
    <t>PTUV1.StrValU</t>
  </si>
  <si>
    <t>PTUV1.StrValU2</t>
  </si>
  <si>
    <t>VoltageStartCondition</t>
  </si>
  <si>
    <t>WithoutWithControl</t>
  </si>
  <si>
    <t>VCPTUV</t>
  </si>
  <si>
    <t>magU2</t>
  </si>
  <si>
    <t>LVNSTUV_operOutFunction</t>
  </si>
  <si>
    <t>Пуск ИО напряжения ОП</t>
  </si>
  <si>
    <t>0.1</t>
  </si>
  <si>
    <t>LLN0.GrRef</t>
  </si>
  <si>
    <t>LLN0.Beh</t>
  </si>
  <si>
    <t>LLN0.Health</t>
  </si>
  <si>
    <t>SG</t>
  </si>
  <si>
    <t>FbVersion</t>
  </si>
  <si>
    <t>Режим пуска</t>
  </si>
  <si>
    <t>Реж_пуска</t>
  </si>
  <si>
    <t>SGF1</t>
  </si>
  <si>
    <t>SGF2</t>
  </si>
  <si>
    <t>SGF3</t>
  </si>
  <si>
    <t>U&lt;</t>
  </si>
  <si>
    <t xml:space="preserve">U2&gt; </t>
  </si>
  <si>
    <t>VT_LVNSTUV</t>
  </si>
  <si>
    <t>DescriptionFB</t>
  </si>
  <si>
    <t>DescriptionFuncList</t>
  </si>
  <si>
    <t>Комбинированный пусковой орган напряжения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</si>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</sst>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zoomScale="90" zoomScaleNormal="90" workbookViewId="0">
      <selection activeCell="AU15" sqref="AU15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25" style="40" bestFit="1" customWidth="1"/>
    <col min="3" max="3" width="19.7109375" style="40" customWidth="1"/>
    <col min="4" max="4" width="17" style="40" bestFit="1" customWidth="1"/>
    <col min="5" max="5" width="66" style="41" customWidth="1"/>
    <col min="6" max="6" width="32" style="41" customWidth="1" outlineLevel="1"/>
    <col min="7" max="7" width="33.7109375" style="41" customWidth="1" outlineLevel="1"/>
    <col min="8" max="8" width="34.42578125" style="41" customWidth="1" outlineLevel="1"/>
    <col min="9" max="9" width="6.7109375" style="41" bestFit="1" customWidth="1"/>
    <col min="10" max="10" width="35.140625" style="41" bestFit="1" customWidth="1"/>
    <col min="11" max="11" width="25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9.28515625" style="1" customWidth="1" outlineLevel="1"/>
    <col min="19" max="19" width="11.140625" style="42" customWidth="1" outlineLevel="1"/>
    <col min="20" max="20" width="11.42578125" style="42" customWidth="1" outlineLevel="1"/>
    <col min="21" max="21" width="9.4257812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9.28515625" style="40" bestFit="1" customWidth="1"/>
    <col min="35" max="35" width="15" style="40" bestFit="1" customWidth="1"/>
    <col min="36" max="36" width="22.85546875" style="41" customWidth="1"/>
    <col min="37" max="37" width="25.7109375" style="41" customWidth="1"/>
    <col min="38" max="38" width="21.28515625" style="41" customWidth="1"/>
    <col min="39" max="40" width="21.85546875" style="41" customWidth="1"/>
    <col min="41" max="41" width="11.28515625" style="41" customWidth="1"/>
    <col min="42" max="42" width="19.85546875" style="41" bestFit="1" customWidth="1"/>
    <col min="43" max="43" width="17.5703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5703125" style="42" hidden="1" customWidth="1" outlineLevel="1"/>
    <col min="54" max="54" width="13.28515625" style="28" hidden="1" customWidth="1" outlineLevel="1"/>
    <col min="55" max="55" width="13.28515625" style="42" hidden="1" customWidth="1" outlineLevel="1"/>
    <col min="56" max="56" width="13" style="28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SUM(AA3:AA56)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5" t="s">
        <v>0</v>
      </c>
      <c r="BA1" s="56"/>
      <c r="BB1" s="56"/>
      <c r="BC1" s="56"/>
      <c r="BD1" s="56"/>
      <c r="BE1" s="56"/>
      <c r="BF1" s="56"/>
    </row>
    <row r="2" spans="1:16379" s="9" customFormat="1" ht="54" customHeight="1" x14ac:dyDescent="0.25">
      <c r="A2" s="44" t="s">
        <v>1</v>
      </c>
      <c r="B2" s="52" t="s">
        <v>2</v>
      </c>
      <c r="C2" s="35" t="s">
        <v>3</v>
      </c>
      <c r="D2" s="35" t="s">
        <v>93</v>
      </c>
      <c r="E2" s="44" t="s">
        <v>4</v>
      </c>
      <c r="F2" s="44" t="s">
        <v>116</v>
      </c>
      <c r="G2" s="44" t="s">
        <v>5</v>
      </c>
      <c r="H2" s="44" t="s">
        <v>6</v>
      </c>
      <c r="I2" s="44" t="s">
        <v>7</v>
      </c>
      <c r="J2" s="44" t="s">
        <v>117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115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111</v>
      </c>
      <c r="AC2" s="46" t="s">
        <v>112</v>
      </c>
      <c r="AD2" s="46" t="s">
        <v>113</v>
      </c>
      <c r="AE2" s="46" t="s">
        <v>114</v>
      </c>
      <c r="AF2" s="46" t="s">
        <v>23</v>
      </c>
      <c r="AG2" s="46" t="s">
        <v>24</v>
      </c>
      <c r="AH2" s="45" t="s">
        <v>25</v>
      </c>
      <c r="AI2" s="38" t="s">
        <v>109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61" t="s">
        <v>190</v>
      </c>
      <c r="AW2" s="61" t="s">
        <v>191</v>
      </c>
      <c r="AX2" s="61" t="s">
        <v>192</v>
      </c>
      <c r="AY2" s="46"/>
      <c r="AZ2" s="45" t="s">
        <v>41</v>
      </c>
      <c r="BA2" s="45" t="s">
        <v>42</v>
      </c>
      <c r="BB2" s="8" t="s">
        <v>43</v>
      </c>
      <c r="BC2" s="45" t="s">
        <v>44</v>
      </c>
      <c r="BD2" s="8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3" customFormat="1" ht="15.75" customHeight="1" x14ac:dyDescent="0.25">
      <c r="A3" s="19"/>
      <c r="B3" s="19" t="s">
        <v>56</v>
      </c>
      <c r="C3" s="47"/>
      <c r="D3" s="34"/>
      <c r="E3" s="20" t="s">
        <v>101</v>
      </c>
      <c r="F3" s="12" t="s">
        <v>126</v>
      </c>
      <c r="G3" s="12" t="s">
        <v>126</v>
      </c>
      <c r="H3" s="20"/>
      <c r="I3" s="20">
        <f t="shared" ref="I3:I7" si="0">LEN(F3)</f>
        <v>12</v>
      </c>
      <c r="J3" s="20" t="str">
        <f t="shared" ref="J3:J7" si="1">IF(LEN(F3)&lt;=$J$1,F3,"")</f>
        <v>Uab (1 гарм)</v>
      </c>
      <c r="K3" s="19" t="s">
        <v>102</v>
      </c>
      <c r="L3" s="21" t="s">
        <v>59</v>
      </c>
      <c r="M3" s="47" t="s">
        <v>49</v>
      </c>
      <c r="N3" s="47" t="s">
        <v>50</v>
      </c>
      <c r="O3" s="47"/>
      <c r="P3" s="22"/>
      <c r="Q3" s="22"/>
      <c r="R3" s="47" t="s">
        <v>100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3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24"/>
      <c r="AK3" s="24"/>
      <c r="AL3" s="24"/>
      <c r="AM3" s="24"/>
      <c r="AN3" s="24"/>
      <c r="AO3" s="24"/>
      <c r="AP3" s="24"/>
      <c r="AQ3" s="24"/>
      <c r="AR3" s="48">
        <v>0</v>
      </c>
      <c r="AS3" s="48">
        <v>0</v>
      </c>
      <c r="AT3" s="48">
        <v>0</v>
      </c>
      <c r="AU3" s="48">
        <v>0</v>
      </c>
      <c r="AV3" s="48">
        <f t="shared" ref="AV3:AV12" si="2">BIN2DEC(CONCATENATE(0,0,0,0,AR3,AS3,AT3,AU3))</f>
        <v>0</v>
      </c>
      <c r="AW3" s="48">
        <v>0</v>
      </c>
      <c r="AX3" s="48">
        <v>0</v>
      </c>
      <c r="AY3" s="48"/>
      <c r="AZ3" s="22"/>
      <c r="BA3" s="48"/>
      <c r="BB3" s="48"/>
      <c r="BC3" s="50"/>
      <c r="BD3" s="48"/>
      <c r="BE3" s="51"/>
      <c r="BF3" s="48"/>
      <c r="BG3" s="26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53" customFormat="1" ht="15.75" customHeight="1" x14ac:dyDescent="0.25">
      <c r="A4" s="19"/>
      <c r="B4" s="19" t="s">
        <v>56</v>
      </c>
      <c r="C4" s="47"/>
      <c r="D4" s="34"/>
      <c r="E4" s="20" t="s">
        <v>103</v>
      </c>
      <c r="F4" s="12" t="s">
        <v>127</v>
      </c>
      <c r="G4" s="12" t="s">
        <v>127</v>
      </c>
      <c r="H4" s="20"/>
      <c r="I4" s="20">
        <f t="shared" si="0"/>
        <v>12</v>
      </c>
      <c r="J4" s="20" t="str">
        <f t="shared" si="1"/>
        <v>Ubc (1 гарм)</v>
      </c>
      <c r="K4" s="19" t="s">
        <v>104</v>
      </c>
      <c r="L4" s="21" t="s">
        <v>59</v>
      </c>
      <c r="M4" s="47" t="s">
        <v>49</v>
      </c>
      <c r="N4" s="47" t="s">
        <v>50</v>
      </c>
      <c r="O4" s="47"/>
      <c r="P4" s="22"/>
      <c r="Q4" s="22"/>
      <c r="R4" s="47" t="s">
        <v>100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3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24"/>
      <c r="AK4" s="24"/>
      <c r="AL4" s="24"/>
      <c r="AM4" s="24"/>
      <c r="AN4" s="24"/>
      <c r="AO4" s="24"/>
      <c r="AP4" s="24"/>
      <c r="AQ4" s="24"/>
      <c r="AR4" s="48">
        <v>0</v>
      </c>
      <c r="AS4" s="48">
        <v>0</v>
      </c>
      <c r="AT4" s="48">
        <v>0</v>
      </c>
      <c r="AU4" s="48">
        <v>0</v>
      </c>
      <c r="AV4" s="48">
        <f t="shared" si="2"/>
        <v>0</v>
      </c>
      <c r="AW4" s="48">
        <v>0</v>
      </c>
      <c r="AX4" s="48">
        <v>0</v>
      </c>
      <c r="AY4" s="48"/>
      <c r="AZ4" s="22"/>
      <c r="BA4" s="48"/>
      <c r="BB4" s="48"/>
      <c r="BC4" s="50"/>
      <c r="BD4" s="48"/>
      <c r="BE4" s="51"/>
      <c r="BF4" s="48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53" customFormat="1" ht="15.75" customHeight="1" x14ac:dyDescent="0.25">
      <c r="A5" s="19"/>
      <c r="B5" s="19" t="s">
        <v>56</v>
      </c>
      <c r="C5" s="47"/>
      <c r="D5" s="34"/>
      <c r="E5" s="20" t="s">
        <v>105</v>
      </c>
      <c r="F5" s="12" t="s">
        <v>128</v>
      </c>
      <c r="G5" s="12" t="s">
        <v>128</v>
      </c>
      <c r="H5" s="20"/>
      <c r="I5" s="20">
        <f t="shared" si="0"/>
        <v>12</v>
      </c>
      <c r="J5" s="20" t="str">
        <f t="shared" si="1"/>
        <v>Uca (1 гарм)</v>
      </c>
      <c r="K5" s="19" t="s">
        <v>106</v>
      </c>
      <c r="L5" s="21" t="s">
        <v>59</v>
      </c>
      <c r="M5" s="47" t="s">
        <v>49</v>
      </c>
      <c r="N5" s="47" t="s">
        <v>50</v>
      </c>
      <c r="O5" s="47"/>
      <c r="P5" s="22"/>
      <c r="Q5" s="22"/>
      <c r="R5" s="47" t="s">
        <v>100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3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24"/>
      <c r="AK5" s="24"/>
      <c r="AL5" s="24"/>
      <c r="AM5" s="24"/>
      <c r="AN5" s="24"/>
      <c r="AO5" s="24"/>
      <c r="AP5" s="24"/>
      <c r="AQ5" s="24"/>
      <c r="AR5" s="48">
        <v>0</v>
      </c>
      <c r="AS5" s="48">
        <v>0</v>
      </c>
      <c r="AT5" s="48">
        <v>0</v>
      </c>
      <c r="AU5" s="48">
        <v>0</v>
      </c>
      <c r="AV5" s="48">
        <f t="shared" si="2"/>
        <v>0</v>
      </c>
      <c r="AW5" s="48">
        <v>0</v>
      </c>
      <c r="AX5" s="48">
        <v>0</v>
      </c>
      <c r="AY5" s="48"/>
      <c r="AZ5" s="22"/>
      <c r="BA5" s="48"/>
      <c r="BB5" s="48"/>
      <c r="BC5" s="50"/>
      <c r="BD5" s="48"/>
      <c r="BE5" s="51"/>
      <c r="BF5" s="48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53" customFormat="1" ht="15.75" customHeight="1" x14ac:dyDescent="0.25">
      <c r="A6" s="19"/>
      <c r="B6" s="19" t="s">
        <v>56</v>
      </c>
      <c r="C6" s="47"/>
      <c r="D6" s="34"/>
      <c r="E6" s="20" t="s">
        <v>129</v>
      </c>
      <c r="F6" s="12" t="s">
        <v>130</v>
      </c>
      <c r="G6" s="12" t="s">
        <v>130</v>
      </c>
      <c r="H6" s="20"/>
      <c r="I6" s="20">
        <f t="shared" ref="I6" si="4">LEN(F6)</f>
        <v>11</v>
      </c>
      <c r="J6" s="20" t="str">
        <f t="shared" ref="J6" si="5">IF(LEN(F6)&lt;=$J$1,F6,"")</f>
        <v>U2 (1 гарм)</v>
      </c>
      <c r="K6" s="19" t="s">
        <v>169</v>
      </c>
      <c r="L6" s="21" t="s">
        <v>59</v>
      </c>
      <c r="M6" s="47" t="s">
        <v>49</v>
      </c>
      <c r="N6" s="47" t="s">
        <v>50</v>
      </c>
      <c r="O6" s="47"/>
      <c r="P6" s="22"/>
      <c r="Q6" s="22"/>
      <c r="R6" s="47" t="s">
        <v>100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3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/>
      <c r="AJ6" s="24"/>
      <c r="AK6" s="24"/>
      <c r="AL6" s="24"/>
      <c r="AM6" s="24"/>
      <c r="AN6" s="24"/>
      <c r="AO6" s="24"/>
      <c r="AP6" s="24"/>
      <c r="AQ6" s="24"/>
      <c r="AR6" s="48">
        <v>0</v>
      </c>
      <c r="AS6" s="48">
        <v>0</v>
      </c>
      <c r="AT6" s="48">
        <v>0</v>
      </c>
      <c r="AU6" s="48">
        <v>0</v>
      </c>
      <c r="AV6" s="48">
        <f t="shared" ref="AV6" si="6">BIN2DEC(CONCATENATE(0,0,0,0,AR6,AS6,AT6,AU6))</f>
        <v>0</v>
      </c>
      <c r="AW6" s="48">
        <v>0</v>
      </c>
      <c r="AX6" s="48">
        <v>0</v>
      </c>
      <c r="AY6" s="48"/>
      <c r="AZ6" s="22"/>
      <c r="BA6" s="48"/>
      <c r="BB6" s="48"/>
      <c r="BC6" s="50"/>
      <c r="BD6" s="48"/>
      <c r="BE6" s="51"/>
      <c r="BF6" s="48"/>
      <c r="BG6" s="26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7"/>
    </row>
    <row r="7" spans="1:16379" s="76" customFormat="1" ht="15.75" customHeight="1" x14ac:dyDescent="0.25">
      <c r="A7" s="62"/>
      <c r="B7" s="62" t="s">
        <v>193</v>
      </c>
      <c r="C7" s="63"/>
      <c r="D7" s="64"/>
      <c r="E7" s="65" t="s">
        <v>133</v>
      </c>
      <c r="F7" s="65" t="s">
        <v>133</v>
      </c>
      <c r="G7" s="65" t="s">
        <v>133</v>
      </c>
      <c r="H7" s="65"/>
      <c r="I7" s="65">
        <f t="shared" si="0"/>
        <v>15</v>
      </c>
      <c r="J7" s="65" t="str">
        <f t="shared" si="1"/>
        <v>Вывод терминала</v>
      </c>
      <c r="K7" s="62" t="s">
        <v>134</v>
      </c>
      <c r="L7" s="66" t="s">
        <v>57</v>
      </c>
      <c r="M7" s="63" t="s">
        <v>49</v>
      </c>
      <c r="N7" s="63" t="s">
        <v>50</v>
      </c>
      <c r="O7" s="63"/>
      <c r="P7" s="67"/>
      <c r="Q7" s="67"/>
      <c r="R7" s="63" t="s">
        <v>58</v>
      </c>
      <c r="S7" s="63" t="s">
        <v>58</v>
      </c>
      <c r="T7" s="63" t="s">
        <v>58</v>
      </c>
      <c r="U7" s="63" t="s">
        <v>58</v>
      </c>
      <c r="V7" s="63"/>
      <c r="W7" s="63"/>
      <c r="X7" s="63" t="s">
        <v>58</v>
      </c>
      <c r="Y7" s="63">
        <v>0</v>
      </c>
      <c r="Z7" s="68"/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70"/>
      <c r="AJ7" s="71"/>
      <c r="AK7" s="71"/>
      <c r="AL7" s="71"/>
      <c r="AM7" s="71"/>
      <c r="AN7" s="71"/>
      <c r="AO7" s="71"/>
      <c r="AP7" s="71"/>
      <c r="AQ7" s="71"/>
      <c r="AR7" s="69">
        <v>0</v>
      </c>
      <c r="AS7" s="69">
        <v>0</v>
      </c>
      <c r="AT7" s="77">
        <v>1</v>
      </c>
      <c r="AU7" s="48">
        <v>0</v>
      </c>
      <c r="AV7" s="77">
        <v>1</v>
      </c>
      <c r="AW7" s="77">
        <v>1</v>
      </c>
      <c r="AX7" s="77">
        <v>1</v>
      </c>
      <c r="AY7" s="69"/>
      <c r="AZ7" s="67"/>
      <c r="BA7" s="69"/>
      <c r="BB7" s="69"/>
      <c r="BC7" s="72"/>
      <c r="BD7" s="69"/>
      <c r="BE7" s="73"/>
      <c r="BF7" s="69"/>
      <c r="BG7" s="74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5"/>
    </row>
    <row r="8" spans="1:16379" s="76" customFormat="1" ht="15.75" customHeight="1" x14ac:dyDescent="0.25">
      <c r="A8" s="62"/>
      <c r="B8" s="62" t="s">
        <v>193</v>
      </c>
      <c r="C8" s="63"/>
      <c r="D8" s="64" t="s">
        <v>135</v>
      </c>
      <c r="E8" s="65" t="s">
        <v>136</v>
      </c>
      <c r="F8" s="65" t="s">
        <v>137</v>
      </c>
      <c r="G8" s="65" t="s">
        <v>137</v>
      </c>
      <c r="H8" s="65"/>
      <c r="I8" s="65">
        <f t="shared" ref="I8:I9" si="8">LEN(F8)</f>
        <v>16</v>
      </c>
      <c r="J8" s="65" t="str">
        <f t="shared" ref="J8:J12" si="9">IF(LEN(F8)&lt;=$J$1,F8,"")</f>
        <v>Опер. вывод КПОН</v>
      </c>
      <c r="K8" s="62" t="s">
        <v>170</v>
      </c>
      <c r="L8" s="66" t="s">
        <v>57</v>
      </c>
      <c r="M8" s="63" t="s">
        <v>49</v>
      </c>
      <c r="N8" s="63" t="s">
        <v>50</v>
      </c>
      <c r="O8" s="63"/>
      <c r="P8" s="67"/>
      <c r="Q8" s="67"/>
      <c r="R8" s="63" t="s">
        <v>58</v>
      </c>
      <c r="S8" s="63" t="s">
        <v>58</v>
      </c>
      <c r="T8" s="63" t="s">
        <v>58</v>
      </c>
      <c r="U8" s="63" t="s">
        <v>58</v>
      </c>
      <c r="V8" s="63"/>
      <c r="W8" s="63"/>
      <c r="X8" s="63" t="s">
        <v>58</v>
      </c>
      <c r="Y8" s="63">
        <v>0</v>
      </c>
      <c r="Z8" s="68"/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70"/>
      <c r="AJ8" s="71"/>
      <c r="AK8" s="71"/>
      <c r="AL8" s="71"/>
      <c r="AM8" s="71"/>
      <c r="AN8" s="71"/>
      <c r="AO8" s="71"/>
      <c r="AP8" s="71"/>
      <c r="AQ8" s="71"/>
      <c r="AR8" s="69">
        <v>0</v>
      </c>
      <c r="AS8" s="69">
        <v>0</v>
      </c>
      <c r="AT8" s="77">
        <v>1</v>
      </c>
      <c r="AU8" s="48">
        <v>0</v>
      </c>
      <c r="AV8" s="77">
        <v>1</v>
      </c>
      <c r="AW8" s="77">
        <v>1</v>
      </c>
      <c r="AX8" s="77">
        <v>1</v>
      </c>
      <c r="AY8" s="69"/>
      <c r="AZ8" s="67"/>
      <c r="BA8" s="69"/>
      <c r="BB8" s="69"/>
      <c r="BC8" s="72"/>
      <c r="BD8" s="69"/>
      <c r="BE8" s="73"/>
      <c r="BF8" s="69"/>
      <c r="BG8" s="74" t="str">
        <f t="shared" ref="BG8:BG9" si="10">CONCATENATE("description: """,F8,"""", ", ", "note: """,E8,"""",", ","group: """, B8, """",", ","minValue: ", S8,", ","maxValue: ", T8,", ","step: ", U8,", ","units: """, R8, """",", ","defaultValue: ", X8,", ","eventRegistration: ", Y8,)</f>
        <v>description: "Опер. вывод КПОН", note: "Оперативный вывод функции КПОН", group: "control", minValue: null, maxValue: null, step: null, units: "null", defaultValue: null, eventRegistration: 0</v>
      </c>
      <c r="BH8" s="75"/>
    </row>
    <row r="9" spans="1:16379" s="53" customFormat="1" ht="15.75" customHeight="1" x14ac:dyDescent="0.25">
      <c r="A9" s="19"/>
      <c r="B9" s="19" t="s">
        <v>56</v>
      </c>
      <c r="C9" s="47"/>
      <c r="D9" s="34"/>
      <c r="E9" s="20" t="s">
        <v>131</v>
      </c>
      <c r="F9" s="12" t="s">
        <v>131</v>
      </c>
      <c r="G9" s="12" t="s">
        <v>131</v>
      </c>
      <c r="H9" s="20"/>
      <c r="I9" s="20">
        <f t="shared" si="8"/>
        <v>16</v>
      </c>
      <c r="J9" s="20" t="str">
        <f t="shared" si="9"/>
        <v>Срабатывание БНН</v>
      </c>
      <c r="K9" s="19" t="s">
        <v>132</v>
      </c>
      <c r="L9" s="21" t="s">
        <v>57</v>
      </c>
      <c r="M9" s="47" t="s">
        <v>49</v>
      </c>
      <c r="N9" s="47" t="s">
        <v>50</v>
      </c>
      <c r="O9" s="47"/>
      <c r="P9" s="22"/>
      <c r="Q9" s="22"/>
      <c r="R9" s="47" t="s">
        <v>58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3"/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39"/>
      <c r="AJ9" s="24"/>
      <c r="AK9" s="24"/>
      <c r="AL9" s="24"/>
      <c r="AM9" s="24"/>
      <c r="AN9" s="24"/>
      <c r="AO9" s="24"/>
      <c r="AP9" s="24"/>
      <c r="AQ9" s="24"/>
      <c r="AR9" s="48">
        <v>0</v>
      </c>
      <c r="AS9" s="48">
        <v>0</v>
      </c>
      <c r="AT9" s="48">
        <v>0</v>
      </c>
      <c r="AU9" s="48">
        <v>0</v>
      </c>
      <c r="AV9" s="48">
        <f t="shared" ref="AV8:AV9" si="11">BIN2DEC(CONCATENATE(0,0,0,0,AR9,AS9,AT9,AU9))</f>
        <v>0</v>
      </c>
      <c r="AW9" s="48">
        <v>0</v>
      </c>
      <c r="AX9" s="48">
        <v>0</v>
      </c>
      <c r="AY9" s="48"/>
      <c r="AZ9" s="22"/>
      <c r="BA9" s="48"/>
      <c r="BB9" s="48"/>
      <c r="BC9" s="50"/>
      <c r="BD9" s="48"/>
      <c r="BE9" s="51"/>
      <c r="BF9" s="48"/>
      <c r="BG9" s="26" t="str">
        <f t="shared" si="10"/>
        <v>description: "Срабатывание БНН", note: "Срабатывание БНН", group: "measurement", minValue: null, maxValue: null, step: null, units: "null", defaultValue: null, eventRegistration: 0</v>
      </c>
      <c r="BH9" s="27"/>
    </row>
    <row r="10" spans="1:16379" s="18" customFormat="1" ht="15.75" x14ac:dyDescent="0.25">
      <c r="A10" s="10"/>
      <c r="B10" s="19" t="s">
        <v>56</v>
      </c>
      <c r="C10" s="11"/>
      <c r="D10" s="5"/>
      <c r="E10" s="12" t="s">
        <v>74</v>
      </c>
      <c r="F10" s="12" t="s">
        <v>75</v>
      </c>
      <c r="G10" s="12" t="s">
        <v>75</v>
      </c>
      <c r="H10" s="5"/>
      <c r="I10" s="20">
        <f>LEN(F10)</f>
        <v>10</v>
      </c>
      <c r="J10" s="20" t="str">
        <f t="shared" si="9"/>
        <v>Насл.режим</v>
      </c>
      <c r="K10" s="13" t="s">
        <v>86</v>
      </c>
      <c r="L10" s="29" t="s">
        <v>96</v>
      </c>
      <c r="M10" s="47" t="s">
        <v>49</v>
      </c>
      <c r="N10" s="47" t="s">
        <v>50</v>
      </c>
      <c r="O10" s="47"/>
      <c r="P10" s="11"/>
      <c r="Q10" s="11"/>
      <c r="R10" s="47" t="s">
        <v>58</v>
      </c>
      <c r="S10" s="47" t="s">
        <v>58</v>
      </c>
      <c r="T10" s="47" t="s">
        <v>58</v>
      </c>
      <c r="U10" s="47" t="s">
        <v>58</v>
      </c>
      <c r="V10" s="11"/>
      <c r="W10" s="11"/>
      <c r="X10" s="47" t="s">
        <v>58</v>
      </c>
      <c r="Y10" s="49">
        <v>0</v>
      </c>
      <c r="Z10" s="11"/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39" t="s">
        <v>110</v>
      </c>
      <c r="AJ10" s="14" t="s">
        <v>173</v>
      </c>
      <c r="AK10" s="14" t="s">
        <v>83</v>
      </c>
      <c r="AL10" s="14" t="s">
        <v>84</v>
      </c>
      <c r="AM10" s="14" t="s">
        <v>85</v>
      </c>
      <c r="AN10" s="14"/>
      <c r="AO10" s="14" t="s">
        <v>69</v>
      </c>
      <c r="AP10" s="14" t="str">
        <f>CONCATENATE(AJ10, ".", AL10)</f>
        <v>LLN0.GrRef.setSrcRef</v>
      </c>
      <c r="AQ10" s="14" t="s">
        <v>55</v>
      </c>
      <c r="AR10" s="48">
        <v>0</v>
      </c>
      <c r="AS10" s="48">
        <v>0</v>
      </c>
      <c r="AT10" s="48">
        <v>0</v>
      </c>
      <c r="AU10" s="48">
        <v>0</v>
      </c>
      <c r="AV10" s="48">
        <f t="shared" si="2"/>
        <v>0</v>
      </c>
      <c r="AW10" s="48">
        <v>0</v>
      </c>
      <c r="AX10" s="48">
        <v>0</v>
      </c>
      <c r="AY10" s="30"/>
      <c r="AZ10" s="11"/>
      <c r="BA10" s="11"/>
      <c r="BB10" s="11"/>
      <c r="BC10" s="11"/>
      <c r="BD10" s="11"/>
      <c r="BE10" s="11"/>
      <c r="BF10" s="11"/>
      <c r="BG10" s="26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8" customFormat="1" ht="15.75" x14ac:dyDescent="0.25">
      <c r="A11" s="10"/>
      <c r="B11" s="19" t="s">
        <v>56</v>
      </c>
      <c r="C11" s="11"/>
      <c r="D11" s="5"/>
      <c r="E11" s="12" t="s">
        <v>76</v>
      </c>
      <c r="F11" s="12" t="s">
        <v>77</v>
      </c>
      <c r="G11" s="12" t="s">
        <v>77</v>
      </c>
      <c r="H11" s="5"/>
      <c r="I11" s="20">
        <f>LEN(F11)</f>
        <v>8</v>
      </c>
      <c r="J11" s="20" t="str">
        <f t="shared" si="9"/>
        <v>Ош.крит.</v>
      </c>
      <c r="K11" s="13" t="s">
        <v>78</v>
      </c>
      <c r="L11" s="21" t="s">
        <v>57</v>
      </c>
      <c r="M11" s="47" t="s">
        <v>49</v>
      </c>
      <c r="N11" s="47" t="s">
        <v>50</v>
      </c>
      <c r="O11" s="47"/>
      <c r="P11" s="11"/>
      <c r="Q11" s="11"/>
      <c r="R11" s="47" t="s">
        <v>58</v>
      </c>
      <c r="S11" s="47" t="s">
        <v>58</v>
      </c>
      <c r="T11" s="47" t="s">
        <v>58</v>
      </c>
      <c r="U11" s="47" t="s">
        <v>58</v>
      </c>
      <c r="V11" s="11"/>
      <c r="W11" s="11"/>
      <c r="X11" s="47" t="s">
        <v>58</v>
      </c>
      <c r="Y11" s="49">
        <v>0</v>
      </c>
      <c r="Z11" s="11"/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37"/>
      <c r="AJ11" s="14"/>
      <c r="AK11" s="14"/>
      <c r="AL11" s="14"/>
      <c r="AM11" s="14"/>
      <c r="AN11" s="14"/>
      <c r="AO11" s="14"/>
      <c r="AP11" s="14"/>
      <c r="AQ11" s="14"/>
      <c r="AR11" s="48">
        <v>0</v>
      </c>
      <c r="AS11" s="48">
        <v>0</v>
      </c>
      <c r="AT11" s="48">
        <v>0</v>
      </c>
      <c r="AU11" s="48">
        <v>0</v>
      </c>
      <c r="AV11" s="48">
        <f t="shared" si="2"/>
        <v>0</v>
      </c>
      <c r="AW11" s="48">
        <v>0</v>
      </c>
      <c r="AX11" s="48">
        <v>0</v>
      </c>
      <c r="AY11" s="15"/>
      <c r="AZ11" s="16"/>
      <c r="BA11" s="16"/>
      <c r="BB11" s="16"/>
      <c r="BC11" s="16"/>
      <c r="BD11" s="16"/>
      <c r="BE11" s="16"/>
      <c r="BF11" s="16"/>
      <c r="BG11" s="26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8" customFormat="1" ht="15.75" x14ac:dyDescent="0.25">
      <c r="A12" s="10"/>
      <c r="B12" s="19" t="s">
        <v>56</v>
      </c>
      <c r="C12" s="11"/>
      <c r="D12" s="5"/>
      <c r="E12" s="12" t="s">
        <v>79</v>
      </c>
      <c r="F12" s="12" t="s">
        <v>80</v>
      </c>
      <c r="G12" s="12" t="s">
        <v>80</v>
      </c>
      <c r="H12" s="5"/>
      <c r="I12" s="20">
        <f>LEN(F12)</f>
        <v>6</v>
      </c>
      <c r="J12" s="20" t="str">
        <f t="shared" si="9"/>
        <v>Ошибка</v>
      </c>
      <c r="K12" s="13" t="s">
        <v>81</v>
      </c>
      <c r="L12" s="21" t="s">
        <v>57</v>
      </c>
      <c r="M12" s="47" t="s">
        <v>49</v>
      </c>
      <c r="N12" s="47" t="s">
        <v>50</v>
      </c>
      <c r="O12" s="47"/>
      <c r="P12" s="11"/>
      <c r="Q12" s="11"/>
      <c r="R12" s="47" t="s">
        <v>58</v>
      </c>
      <c r="S12" s="47" t="s">
        <v>58</v>
      </c>
      <c r="T12" s="47" t="s">
        <v>58</v>
      </c>
      <c r="U12" s="47" t="s">
        <v>58</v>
      </c>
      <c r="V12" s="11"/>
      <c r="W12" s="11"/>
      <c r="X12" s="47" t="s">
        <v>58</v>
      </c>
      <c r="Y12" s="49">
        <v>0</v>
      </c>
      <c r="Z12" s="11"/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37"/>
      <c r="AJ12" s="14"/>
      <c r="AK12" s="14"/>
      <c r="AL12" s="14"/>
      <c r="AM12" s="14"/>
      <c r="AN12" s="14"/>
      <c r="AO12" s="14"/>
      <c r="AP12" s="14"/>
      <c r="AQ12" s="14"/>
      <c r="AR12" s="48">
        <v>0</v>
      </c>
      <c r="AS12" s="48">
        <v>0</v>
      </c>
      <c r="AT12" s="48">
        <v>0</v>
      </c>
      <c r="AU12" s="48">
        <v>0</v>
      </c>
      <c r="AV12" s="48">
        <f t="shared" si="2"/>
        <v>0</v>
      </c>
      <c r="AW12" s="48">
        <v>0</v>
      </c>
      <c r="AX12" s="48">
        <v>0</v>
      </c>
      <c r="AY12" s="15"/>
      <c r="AZ12" s="16"/>
      <c r="BA12" s="16"/>
      <c r="BB12" s="16"/>
      <c r="BC12" s="16"/>
      <c r="BD12" s="16"/>
      <c r="BE12" s="16"/>
      <c r="BF12" s="16"/>
      <c r="BG12" s="26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28"/>
      <c r="BC13" s="42"/>
      <c r="BD13" s="28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28"/>
      <c r="BC14" s="42"/>
      <c r="BD14" s="28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28"/>
      <c r="BC15" s="42"/>
      <c r="BD15" s="28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28"/>
      <c r="BC16" s="42"/>
      <c r="BD16" s="28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28"/>
      <c r="BC17" s="42"/>
      <c r="BD17" s="28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28"/>
      <c r="BC18" s="42"/>
      <c r="BD18" s="28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28"/>
      <c r="BC19" s="42"/>
      <c r="BD19" s="28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28"/>
      <c r="BC20" s="42"/>
      <c r="BD20" s="28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28"/>
      <c r="BC21" s="42"/>
      <c r="BD21" s="28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28"/>
      <c r="BC22" s="42"/>
      <c r="BD22" s="28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28"/>
      <c r="BC23" s="42"/>
      <c r="BD23" s="28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28"/>
      <c r="BC24" s="42"/>
      <c r="BD24" s="28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28"/>
      <c r="BC25" s="42"/>
      <c r="BD25" s="28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28"/>
      <c r="BC26" s="42"/>
      <c r="BD26" s="28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28"/>
      <c r="BC27" s="42"/>
      <c r="BD27" s="28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28"/>
      <c r="BC28" s="42"/>
      <c r="BD28" s="28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28"/>
      <c r="BC29" s="42"/>
      <c r="BD29" s="28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28"/>
      <c r="BC30" s="42"/>
      <c r="BD30" s="28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28"/>
      <c r="BC31" s="42"/>
      <c r="BD31" s="28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28"/>
      <c r="BC32" s="42"/>
      <c r="BD32" s="28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28"/>
      <c r="BC33" s="42"/>
      <c r="BD33" s="28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28"/>
      <c r="BC34" s="42"/>
      <c r="BD34" s="28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28"/>
      <c r="BC35" s="42"/>
      <c r="BD35" s="28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28"/>
      <c r="BC36" s="42"/>
      <c r="BD36" s="28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28"/>
      <c r="BC37" s="42"/>
      <c r="BD37" s="28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28"/>
      <c r="BC38" s="42"/>
      <c r="BD38" s="28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28"/>
      <c r="BC39" s="42"/>
      <c r="BD39" s="28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28"/>
      <c r="BC40" s="42"/>
      <c r="BD40" s="28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28"/>
      <c r="BC41" s="42"/>
      <c r="BD41" s="28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28"/>
      <c r="BC42" s="42"/>
      <c r="BD42" s="28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28"/>
      <c r="BC43" s="42"/>
      <c r="BD43" s="28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28"/>
      <c r="BC44" s="42"/>
      <c r="BD44" s="28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28"/>
      <c r="BC45" s="42"/>
      <c r="BD45" s="28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28"/>
      <c r="BC46" s="42"/>
      <c r="BD46" s="28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28"/>
      <c r="BC47" s="42"/>
      <c r="BD47" s="28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28"/>
      <c r="BC48" s="42"/>
      <c r="BD48" s="28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28"/>
      <c r="BC49" s="42"/>
      <c r="BD49" s="28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28"/>
      <c r="BC50" s="42"/>
      <c r="BD50" s="28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28"/>
      <c r="BC51" s="42"/>
      <c r="BD51" s="28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28"/>
      <c r="BC52" s="42"/>
      <c r="BD52" s="28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28"/>
      <c r="BC53" s="42"/>
      <c r="BD53" s="28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28"/>
      <c r="BC54" s="42"/>
      <c r="BD54" s="28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28"/>
      <c r="BC55" s="42"/>
      <c r="BD55" s="28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28"/>
      <c r="BC56" s="42"/>
      <c r="BD56" s="28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28"/>
      <c r="BC57" s="42"/>
      <c r="BD57" s="28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28"/>
      <c r="BC58" s="42"/>
      <c r="BD58" s="28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28"/>
      <c r="BC59" s="42"/>
      <c r="BD59" s="28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28"/>
      <c r="BC60" s="42"/>
      <c r="BD60" s="28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28"/>
      <c r="BC61" s="42"/>
      <c r="BD61" s="28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28"/>
      <c r="BC62" s="42"/>
      <c r="BD62" s="28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28"/>
      <c r="BC63" s="42"/>
      <c r="BD63" s="28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28"/>
      <c r="BC64" s="42"/>
      <c r="BD64" s="28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28"/>
      <c r="BC65" s="42"/>
      <c r="BD65" s="28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28"/>
      <c r="BC66" s="42"/>
      <c r="BD66" s="28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28"/>
      <c r="BC67" s="42"/>
      <c r="BD67" s="28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28"/>
      <c r="BC68" s="42"/>
      <c r="BD68" s="28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28"/>
      <c r="BC69" s="42"/>
      <c r="BD69" s="28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28"/>
      <c r="BC70" s="42"/>
      <c r="BD70" s="28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28"/>
      <c r="BC71" s="42"/>
      <c r="BD71" s="28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28"/>
      <c r="BC72" s="42"/>
      <c r="BD72" s="28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28"/>
      <c r="BC73" s="42"/>
      <c r="BD73" s="28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28"/>
      <c r="BC74" s="42"/>
      <c r="BD74" s="28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28"/>
      <c r="BC75" s="42"/>
      <c r="BD75" s="28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28"/>
      <c r="BC76" s="42"/>
      <c r="BD76" s="28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28"/>
      <c r="BC77" s="42"/>
      <c r="BD77" s="28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28"/>
      <c r="BC78" s="42"/>
      <c r="BD78" s="28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28"/>
      <c r="BC79" s="42"/>
      <c r="BD79" s="28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28"/>
      <c r="BC80" s="42"/>
      <c r="BD80" s="28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28"/>
      <c r="BC81" s="42"/>
      <c r="BD81" s="28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28"/>
      <c r="BC82" s="42"/>
      <c r="BD82" s="28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28"/>
      <c r="BC83" s="42"/>
      <c r="BD83" s="28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28"/>
      <c r="BC84" s="42"/>
      <c r="BD84" s="28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28"/>
      <c r="BC85" s="42"/>
      <c r="BD85" s="28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28"/>
      <c r="BC86" s="42"/>
      <c r="BD86" s="28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28"/>
      <c r="BC87" s="42"/>
      <c r="BD87" s="28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28"/>
      <c r="BC88" s="42"/>
      <c r="BD88" s="28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28"/>
      <c r="BC89" s="42"/>
      <c r="BD89" s="28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28"/>
      <c r="BC90" s="42"/>
      <c r="BD90" s="28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28"/>
      <c r="BC91" s="42"/>
      <c r="BD91" s="28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28"/>
      <c r="BC92" s="42"/>
      <c r="BD92" s="28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28"/>
      <c r="BC93" s="42"/>
      <c r="BD93" s="28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28"/>
      <c r="BC94" s="42"/>
      <c r="BD94" s="28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28"/>
      <c r="BC95" s="42"/>
      <c r="BD95" s="28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28"/>
      <c r="BC96" s="42"/>
      <c r="BD96" s="28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28"/>
      <c r="BC97" s="42"/>
      <c r="BD97" s="28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28"/>
      <c r="BC98" s="42"/>
      <c r="BD98" s="28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28"/>
      <c r="BC99" s="42"/>
      <c r="BD99" s="28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28"/>
      <c r="BC100" s="42"/>
      <c r="BD100" s="28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28"/>
      <c r="BC101" s="42"/>
      <c r="BD101" s="28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28"/>
      <c r="BC102" s="42"/>
      <c r="BD102" s="28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28"/>
      <c r="BC103" s="42"/>
      <c r="BD103" s="28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28"/>
      <c r="BC104" s="42"/>
      <c r="BD104" s="28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28"/>
      <c r="BC105" s="42"/>
      <c r="BD105" s="28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28"/>
      <c r="BC106" s="42"/>
      <c r="BD106" s="28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28"/>
      <c r="BC107" s="42"/>
      <c r="BD107" s="28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28"/>
      <c r="BC108" s="42"/>
      <c r="BD108" s="28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28"/>
      <c r="BC109" s="42"/>
      <c r="BD109" s="28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28"/>
      <c r="BC110" s="42"/>
      <c r="BD110" s="28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28"/>
      <c r="BC111" s="42"/>
      <c r="BD111" s="28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28"/>
      <c r="BC112" s="42"/>
      <c r="BD112" s="28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28"/>
      <c r="BC113" s="42"/>
      <c r="BD113" s="28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28"/>
      <c r="BC114" s="42"/>
      <c r="BD114" s="28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28"/>
      <c r="BC115" s="42"/>
      <c r="BD115" s="28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28"/>
      <c r="BC116" s="42"/>
      <c r="BD116" s="28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28"/>
      <c r="BC117" s="42"/>
      <c r="BD117" s="28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28"/>
      <c r="BC118" s="42"/>
      <c r="BD118" s="28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28"/>
      <c r="BC119" s="42"/>
      <c r="BD119" s="28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28"/>
      <c r="BC120" s="42"/>
      <c r="BD120" s="28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28"/>
      <c r="BC121" s="42"/>
      <c r="BD121" s="28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28"/>
      <c r="BC122" s="42"/>
      <c r="BD122" s="28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28"/>
      <c r="BC123" s="42"/>
      <c r="BD123" s="28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28"/>
      <c r="BC124" s="42"/>
      <c r="BD124" s="28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28"/>
      <c r="BC125" s="42"/>
      <c r="BD125" s="28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28"/>
      <c r="BC126" s="42"/>
      <c r="BD126" s="28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28"/>
      <c r="BC127" s="42"/>
      <c r="BD127" s="28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28"/>
      <c r="BC128" s="42"/>
      <c r="BD128" s="28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28"/>
      <c r="BC129" s="42"/>
      <c r="BD129" s="28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28"/>
      <c r="BC130" s="42"/>
      <c r="BD130" s="28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28"/>
      <c r="BC131" s="42"/>
      <c r="BD131" s="28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28"/>
      <c r="BC132" s="42"/>
      <c r="BD132" s="28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28"/>
      <c r="BC133" s="42"/>
      <c r="BD133" s="28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28"/>
      <c r="BC134" s="42"/>
      <c r="BD134" s="28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28"/>
      <c r="BC135" s="42"/>
      <c r="BD135" s="28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28"/>
      <c r="BC136" s="42"/>
      <c r="BD136" s="28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28"/>
      <c r="BC137" s="42"/>
      <c r="BD137" s="28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28"/>
      <c r="BC138" s="42"/>
      <c r="BD138" s="28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28"/>
      <c r="BC139" s="42"/>
      <c r="BD139" s="28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28"/>
      <c r="BC140" s="42"/>
      <c r="BD140" s="28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28"/>
      <c r="BC141" s="42"/>
      <c r="BD141" s="28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28"/>
      <c r="BC142" s="42"/>
      <c r="BD142" s="28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28"/>
      <c r="BC143" s="42"/>
      <c r="BD143" s="28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28"/>
      <c r="BC144" s="42"/>
      <c r="BD144" s="28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28"/>
      <c r="BC145" s="42"/>
      <c r="BD145" s="28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28"/>
      <c r="BC146" s="42"/>
      <c r="BD146" s="28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28"/>
      <c r="BC147" s="42"/>
      <c r="BD147" s="28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28"/>
      <c r="BC148" s="42"/>
      <c r="BD148" s="28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28"/>
      <c r="BC149" s="42"/>
      <c r="BD149" s="28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28"/>
      <c r="BC150" s="42"/>
      <c r="BD150" s="28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28"/>
      <c r="BC151" s="42"/>
      <c r="BD151" s="28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28"/>
      <c r="BC152" s="42"/>
      <c r="BD152" s="28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28"/>
      <c r="BC153" s="42"/>
      <c r="BD153" s="28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28"/>
      <c r="BC154" s="42"/>
      <c r="BD154" s="28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28"/>
      <c r="BC155" s="42"/>
      <c r="BD155" s="28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28"/>
      <c r="BC156" s="42"/>
      <c r="BD156" s="28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28"/>
      <c r="BC157" s="42"/>
      <c r="BD157" s="28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28"/>
      <c r="BC158" s="42"/>
      <c r="BD158" s="28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28"/>
      <c r="BC159" s="42"/>
      <c r="BD159" s="28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28"/>
      <c r="BC160" s="42"/>
      <c r="BD160" s="28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0"/>
      <c r="AS161" s="40"/>
      <c r="AT161" s="40"/>
      <c r="AU161" s="40"/>
      <c r="AV161" s="40"/>
      <c r="AW161" s="40"/>
      <c r="AX161" s="40"/>
      <c r="AY161" s="42"/>
      <c r="AZ161" s="42"/>
      <c r="BA161" s="42"/>
      <c r="BB161" s="28"/>
      <c r="BC161" s="42"/>
      <c r="BD161" s="28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0"/>
      <c r="AR162" s="40"/>
      <c r="AS162" s="40"/>
      <c r="AT162" s="40"/>
      <c r="AU162" s="40"/>
      <c r="AV162" s="40"/>
      <c r="AW162" s="40"/>
      <c r="AX162" s="40"/>
      <c r="AY162" s="42"/>
      <c r="AZ162" s="42"/>
      <c r="BA162" s="42"/>
      <c r="BB162" s="28"/>
      <c r="BC162" s="42"/>
      <c r="BD162" s="28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0"/>
      <c r="AR163" s="40"/>
      <c r="AS163" s="40"/>
      <c r="AT163" s="40"/>
      <c r="AU163" s="40"/>
      <c r="AV163" s="40"/>
      <c r="AW163" s="40"/>
      <c r="AX163" s="40"/>
      <c r="AY163" s="42"/>
      <c r="AZ163" s="42"/>
      <c r="BA163" s="42"/>
      <c r="BB163" s="28"/>
      <c r="BC163" s="42"/>
      <c r="BD163" s="28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0"/>
      <c r="AR164" s="40"/>
      <c r="AS164" s="40"/>
      <c r="AT164" s="40"/>
      <c r="AU164" s="40"/>
      <c r="AV164" s="40"/>
      <c r="AW164" s="40"/>
      <c r="AX164" s="40"/>
      <c r="AY164" s="42"/>
      <c r="AZ164" s="42"/>
      <c r="BA164" s="42"/>
      <c r="BB164" s="28"/>
      <c r="BC164" s="42"/>
      <c r="BD164" s="28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0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28"/>
      <c r="BC165" s="42"/>
      <c r="BD165" s="28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28"/>
      <c r="BC166" s="42"/>
      <c r="BD166" s="28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28"/>
      <c r="BC167" s="42"/>
      <c r="BD167" s="28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28"/>
      <c r="BC168" s="42"/>
      <c r="BD168" s="28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28"/>
      <c r="BC169" s="42"/>
      <c r="BD169" s="28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28"/>
      <c r="BC170" s="42"/>
      <c r="BD170" s="28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28"/>
      <c r="BC171" s="42"/>
      <c r="BD171" s="28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28"/>
      <c r="BC172" s="42"/>
      <c r="BD172" s="28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28"/>
      <c r="BC173" s="42"/>
      <c r="BD173" s="28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28"/>
      <c r="BC174" s="42"/>
      <c r="BD174" s="28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28"/>
      <c r="BC175" s="42"/>
      <c r="BD175" s="28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28"/>
      <c r="BC176" s="42"/>
      <c r="BD176" s="28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28"/>
      <c r="BC177" s="42"/>
      <c r="BD177" s="28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28"/>
      <c r="BC178" s="42"/>
      <c r="BD178" s="28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28"/>
      <c r="BC179" s="42"/>
      <c r="BD179" s="28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28"/>
      <c r="BC180" s="42"/>
      <c r="BD180" s="28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28"/>
      <c r="BC181" s="42"/>
      <c r="BD181" s="28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28"/>
      <c r="BC182" s="42"/>
      <c r="BD182" s="28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28"/>
      <c r="BC183" s="42"/>
      <c r="BD183" s="28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28"/>
      <c r="BC184" s="42"/>
      <c r="BD184" s="28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28"/>
      <c r="BC185" s="42"/>
      <c r="BD185" s="28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28"/>
      <c r="BC186" s="42"/>
      <c r="BD186" s="28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28"/>
      <c r="BC187" s="42"/>
      <c r="BD187" s="28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28"/>
      <c r="BC188" s="42"/>
      <c r="BD188" s="28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28"/>
      <c r="BC189" s="42"/>
      <c r="BD189" s="28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28"/>
      <c r="BC190" s="42"/>
      <c r="BD190" s="28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28"/>
      <c r="BC191" s="42"/>
      <c r="BD191" s="28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28"/>
      <c r="BC192" s="42"/>
      <c r="BD192" s="28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28"/>
      <c r="BC193" s="42"/>
      <c r="BD193" s="28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28"/>
      <c r="BC194" s="42"/>
      <c r="BD194" s="28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28"/>
      <c r="BC195" s="42"/>
      <c r="BD195" s="28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28"/>
      <c r="BC196" s="42"/>
      <c r="BD196" s="28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28"/>
      <c r="BC197" s="42"/>
      <c r="BD197" s="28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28"/>
      <c r="BC198" s="42"/>
      <c r="BD198" s="28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28"/>
      <c r="BC199" s="42"/>
      <c r="BD199" s="28"/>
      <c r="BE199" s="42"/>
      <c r="BF199" s="42"/>
      <c r="BG199" s="40"/>
      <c r="BH199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C19" sqref="C19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25" style="40" bestFit="1" customWidth="1"/>
    <col min="3" max="3" width="19.7109375" style="40" customWidth="1"/>
    <col min="4" max="4" width="17" style="40" bestFit="1" customWidth="1"/>
    <col min="5" max="5" width="66" style="41" customWidth="1"/>
    <col min="6" max="6" width="28" style="41" customWidth="1" outlineLevel="1"/>
    <col min="7" max="7" width="27.7109375" style="41" customWidth="1" outlineLevel="1"/>
    <col min="8" max="8" width="34.42578125" style="41" customWidth="1" outlineLevel="1"/>
    <col min="9" max="9" width="6.7109375" style="41" bestFit="1" customWidth="1"/>
    <col min="10" max="10" width="35.28515625" style="41" customWidth="1"/>
    <col min="11" max="11" width="28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8.5703125" style="1" customWidth="1" outlineLevel="1"/>
    <col min="19" max="19" width="10.5703125" style="42" customWidth="1" outlineLevel="1"/>
    <col min="20" max="20" width="11" style="42" customWidth="1" outlineLevel="1"/>
    <col min="21" max="21" width="9.42578125" style="42" customWidth="1" outlineLevel="1"/>
    <col min="22" max="23" width="13.5703125" style="42" customWidth="1" outlineLevel="1"/>
    <col min="24" max="24" width="14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9.28515625" style="40" bestFit="1" customWidth="1"/>
    <col min="35" max="35" width="15" style="40" bestFit="1" customWidth="1"/>
    <col min="36" max="36" width="24.5703125" style="41" customWidth="1"/>
    <col min="37" max="37" width="26.28515625" style="41" customWidth="1"/>
    <col min="38" max="38" width="22.5703125" style="41" customWidth="1"/>
    <col min="39" max="40" width="21" style="41" customWidth="1"/>
    <col min="41" max="41" width="11.85546875" style="41" customWidth="1"/>
    <col min="42" max="42" width="24.140625" style="41" customWidth="1"/>
    <col min="43" max="43" width="16.42578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7109375" style="42" hidden="1" customWidth="1" outlineLevel="1"/>
    <col min="54" max="54" width="13.28515625" style="28" hidden="1" customWidth="1" outlineLevel="1"/>
    <col min="55" max="55" width="13.28515625" style="42" hidden="1" customWidth="1" outlineLevel="1"/>
    <col min="56" max="56" width="13" style="28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SUM(AA3:AA74)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5" t="s">
        <v>0</v>
      </c>
      <c r="BA1" s="56"/>
      <c r="BB1" s="56"/>
      <c r="BC1" s="56"/>
      <c r="BD1" s="56"/>
      <c r="BE1" s="56"/>
      <c r="BF1" s="56"/>
    </row>
    <row r="2" spans="1:16379" s="9" customFormat="1" ht="54" customHeight="1" x14ac:dyDescent="0.25">
      <c r="A2" s="44" t="s">
        <v>1</v>
      </c>
      <c r="B2" s="52" t="s">
        <v>2</v>
      </c>
      <c r="C2" s="35" t="s">
        <v>3</v>
      </c>
      <c r="D2" s="35" t="s">
        <v>93</v>
      </c>
      <c r="E2" s="44" t="s">
        <v>4</v>
      </c>
      <c r="F2" s="44" t="s">
        <v>116</v>
      </c>
      <c r="G2" s="44" t="s">
        <v>5</v>
      </c>
      <c r="H2" s="44" t="s">
        <v>6</v>
      </c>
      <c r="I2" s="44" t="s">
        <v>7</v>
      </c>
      <c r="J2" s="44" t="s">
        <v>117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115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111</v>
      </c>
      <c r="AC2" s="46" t="s">
        <v>112</v>
      </c>
      <c r="AD2" s="46" t="s">
        <v>113</v>
      </c>
      <c r="AE2" s="46" t="s">
        <v>114</v>
      </c>
      <c r="AF2" s="46" t="s">
        <v>23</v>
      </c>
      <c r="AG2" s="46" t="s">
        <v>24</v>
      </c>
      <c r="AH2" s="45" t="s">
        <v>25</v>
      </c>
      <c r="AI2" s="38" t="s">
        <v>109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61" t="s">
        <v>190</v>
      </c>
      <c r="AW2" s="61" t="s">
        <v>191</v>
      </c>
      <c r="AX2" s="61" t="s">
        <v>192</v>
      </c>
      <c r="AY2" s="46"/>
      <c r="AZ2" s="45" t="s">
        <v>41</v>
      </c>
      <c r="BA2" s="45" t="s">
        <v>42</v>
      </c>
      <c r="BB2" s="8" t="s">
        <v>43</v>
      </c>
      <c r="BC2" s="45" t="s">
        <v>44</v>
      </c>
      <c r="BD2" s="8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18" customFormat="1" ht="15.75" x14ac:dyDescent="0.25">
      <c r="A3" s="10"/>
      <c r="B3" s="60" t="s">
        <v>189</v>
      </c>
      <c r="C3" s="49"/>
      <c r="D3" s="36" t="s">
        <v>135</v>
      </c>
      <c r="E3" s="12" t="s">
        <v>124</v>
      </c>
      <c r="F3" s="12" t="s">
        <v>122</v>
      </c>
      <c r="G3" s="12" t="s">
        <v>122</v>
      </c>
      <c r="H3" s="12"/>
      <c r="I3" s="12">
        <f t="shared" ref="I3:I11" si="0">LEN(F3)</f>
        <v>4</v>
      </c>
      <c r="J3" s="12" t="str">
        <f t="shared" ref="J3:J11" si="1">IF(LEN(F3)&lt;=$J$1,F3,"")</f>
        <v>Ввод</v>
      </c>
      <c r="K3" s="10" t="s">
        <v>138</v>
      </c>
      <c r="L3" s="29" t="s">
        <v>57</v>
      </c>
      <c r="M3" s="49" t="s">
        <v>49</v>
      </c>
      <c r="N3" s="49" t="s">
        <v>50</v>
      </c>
      <c r="O3" s="49"/>
      <c r="P3" s="22"/>
      <c r="Q3" s="22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3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15"/>
      <c r="AZ3" s="16"/>
      <c r="BA3" s="16"/>
      <c r="BB3" s="16"/>
      <c r="BC3" s="16"/>
      <c r="BD3" s="16"/>
      <c r="BE3" s="16"/>
      <c r="BF3" s="16"/>
      <c r="BG3" s="17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0" t="s">
        <v>189</v>
      </c>
      <c r="C4" s="49"/>
      <c r="D4" s="36" t="s">
        <v>135</v>
      </c>
      <c r="E4" s="12" t="s">
        <v>125</v>
      </c>
      <c r="F4" s="12" t="s">
        <v>120</v>
      </c>
      <c r="G4" s="12" t="s">
        <v>120</v>
      </c>
      <c r="H4" s="12"/>
      <c r="I4" s="12">
        <f t="shared" ref="I4" si="3">LEN(F4)</f>
        <v>17</v>
      </c>
      <c r="J4" s="12" t="str">
        <f t="shared" ref="J4" si="4">IF(LEN(F4)&lt;=$J$1,F4,"")</f>
        <v>Оперативный вывод</v>
      </c>
      <c r="K4" s="10" t="s">
        <v>139</v>
      </c>
      <c r="L4" s="29" t="s">
        <v>57</v>
      </c>
      <c r="M4" s="49" t="s">
        <v>49</v>
      </c>
      <c r="N4" s="49" t="s">
        <v>50</v>
      </c>
      <c r="O4" s="49"/>
      <c r="P4" s="22"/>
      <c r="Q4" s="22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3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15"/>
      <c r="AZ4" s="16"/>
      <c r="BA4" s="16"/>
      <c r="BB4" s="16"/>
      <c r="BC4" s="16"/>
      <c r="BD4" s="16"/>
      <c r="BE4" s="16"/>
      <c r="BF4" s="16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0" t="s">
        <v>189</v>
      </c>
      <c r="C5" s="49"/>
      <c r="D5" s="36" t="s">
        <v>135</v>
      </c>
      <c r="E5" s="12" t="s">
        <v>140</v>
      </c>
      <c r="F5" s="12" t="s">
        <v>141</v>
      </c>
      <c r="G5" s="12" t="s">
        <v>141</v>
      </c>
      <c r="H5" s="12"/>
      <c r="I5" s="12">
        <f t="shared" si="0"/>
        <v>5</v>
      </c>
      <c r="J5" s="12" t="str">
        <f t="shared" si="1"/>
        <v>ИО U&lt;</v>
      </c>
      <c r="K5" s="10" t="s">
        <v>142</v>
      </c>
      <c r="L5" s="29" t="s">
        <v>57</v>
      </c>
      <c r="M5" s="49" t="s">
        <v>49</v>
      </c>
      <c r="N5" s="49" t="s">
        <v>50</v>
      </c>
      <c r="O5" s="49"/>
      <c r="P5" s="30"/>
      <c r="Q5" s="30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3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10"/>
      <c r="AK5" s="10"/>
      <c r="AL5" s="10"/>
      <c r="AM5" s="10"/>
      <c r="AN5" s="10"/>
      <c r="AO5" s="10"/>
      <c r="AP5" s="10"/>
      <c r="AQ5" s="10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15"/>
      <c r="AZ5" s="16"/>
      <c r="BA5" s="16"/>
      <c r="BB5" s="16"/>
      <c r="BC5" s="16"/>
      <c r="BD5" s="16"/>
      <c r="BE5" s="16"/>
      <c r="BF5" s="16"/>
      <c r="BG5" s="17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0" t="s">
        <v>189</v>
      </c>
      <c r="C6" s="49"/>
      <c r="D6" s="36" t="s">
        <v>135</v>
      </c>
      <c r="E6" s="12" t="s">
        <v>171</v>
      </c>
      <c r="F6" s="12" t="s">
        <v>143</v>
      </c>
      <c r="G6" s="12" t="s">
        <v>143</v>
      </c>
      <c r="H6" s="12"/>
      <c r="I6" s="12">
        <f t="shared" si="0"/>
        <v>6</v>
      </c>
      <c r="J6" s="12" t="str">
        <f t="shared" si="1"/>
        <v>ИО U2&gt;</v>
      </c>
      <c r="K6" s="10" t="s">
        <v>144</v>
      </c>
      <c r="L6" s="29" t="s">
        <v>57</v>
      </c>
      <c r="M6" s="49" t="s">
        <v>49</v>
      </c>
      <c r="N6" s="49" t="s">
        <v>50</v>
      </c>
      <c r="O6" s="49"/>
      <c r="P6" s="30"/>
      <c r="Q6" s="30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3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15"/>
      <c r="AZ6" s="16"/>
      <c r="BA6" s="16"/>
      <c r="BB6" s="16"/>
      <c r="BC6" s="16"/>
      <c r="BD6" s="16"/>
      <c r="BE6" s="16"/>
      <c r="BF6" s="16"/>
      <c r="BG6" s="17" t="str">
        <f t="shared" si="2"/>
        <v>description: "ИО U2&gt;", note: "Пуск ИО напряжения ОП",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0" t="s">
        <v>189</v>
      </c>
      <c r="C7" s="49"/>
      <c r="D7" s="36" t="s">
        <v>135</v>
      </c>
      <c r="E7" s="12" t="s">
        <v>145</v>
      </c>
      <c r="F7" s="12" t="s">
        <v>121</v>
      </c>
      <c r="G7" s="12" t="s">
        <v>121</v>
      </c>
      <c r="H7" s="12"/>
      <c r="I7" s="12">
        <f t="shared" ref="I7" si="5">LEN(F7)</f>
        <v>4</v>
      </c>
      <c r="J7" s="12" t="str">
        <f t="shared" ref="J7" si="6">IF(LEN(F7)&lt;=$J$1,F7,"")</f>
        <v>Пуск</v>
      </c>
      <c r="K7" s="10" t="s">
        <v>146</v>
      </c>
      <c r="L7" s="29" t="s">
        <v>57</v>
      </c>
      <c r="M7" s="49" t="s">
        <v>49</v>
      </c>
      <c r="N7" s="49" t="s">
        <v>50</v>
      </c>
      <c r="O7" s="49"/>
      <c r="P7" s="30"/>
      <c r="Q7" s="30"/>
      <c r="R7" s="49" t="s">
        <v>58</v>
      </c>
      <c r="S7" s="49" t="s">
        <v>58</v>
      </c>
      <c r="T7" s="49" t="s">
        <v>58</v>
      </c>
      <c r="U7" s="49" t="s">
        <v>58</v>
      </c>
      <c r="V7" s="49"/>
      <c r="W7" s="49"/>
      <c r="X7" s="49" t="s">
        <v>58</v>
      </c>
      <c r="Y7" s="49">
        <v>2</v>
      </c>
      <c r="Z7" s="13"/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39" t="s">
        <v>168</v>
      </c>
      <c r="AJ7" s="14" t="s">
        <v>149</v>
      </c>
      <c r="AK7" s="14" t="s">
        <v>63</v>
      </c>
      <c r="AL7" s="14" t="s">
        <v>64</v>
      </c>
      <c r="AM7" s="14" t="s">
        <v>65</v>
      </c>
      <c r="AN7" s="14"/>
      <c r="AO7" s="14" t="s">
        <v>54</v>
      </c>
      <c r="AP7" s="14" t="str">
        <f>CONCATENATE(AJ7, ".", AL7)</f>
        <v>PTUV1.Str.general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0"/>
      <c r="AZ7" s="11"/>
      <c r="BA7" s="11"/>
      <c r="BB7" s="11"/>
      <c r="BC7" s="11"/>
      <c r="BD7" s="11"/>
      <c r="BE7" s="11"/>
      <c r="BF7" s="11"/>
      <c r="BG7" s="17" t="str">
        <f t="shared" si="2"/>
        <v>description: "Пуск", note: "Пуск КПОН",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0" t="s">
        <v>189</v>
      </c>
      <c r="C8" s="11"/>
      <c r="D8" s="33"/>
      <c r="E8" s="12" t="s">
        <v>89</v>
      </c>
      <c r="F8" s="12" t="s">
        <v>91</v>
      </c>
      <c r="G8" s="12" t="s">
        <v>91</v>
      </c>
      <c r="H8" s="11"/>
      <c r="I8" s="12">
        <f t="shared" si="0"/>
        <v>12</v>
      </c>
      <c r="J8" s="12" t="str">
        <f t="shared" si="1"/>
        <v>Поведение LD</v>
      </c>
      <c r="K8" s="13" t="s">
        <v>87</v>
      </c>
      <c r="L8" s="29" t="s">
        <v>96</v>
      </c>
      <c r="M8" s="49" t="s">
        <v>49</v>
      </c>
      <c r="N8" s="49" t="s">
        <v>50</v>
      </c>
      <c r="O8" s="49"/>
      <c r="P8" s="11"/>
      <c r="Q8" s="11"/>
      <c r="R8" s="49" t="s">
        <v>58</v>
      </c>
      <c r="S8" s="49" t="s">
        <v>58</v>
      </c>
      <c r="T8" s="49" t="s">
        <v>58</v>
      </c>
      <c r="U8" s="49" t="s">
        <v>58</v>
      </c>
      <c r="V8" s="11"/>
      <c r="W8" s="11"/>
      <c r="X8" s="49" t="s">
        <v>58</v>
      </c>
      <c r="Y8" s="49">
        <v>0</v>
      </c>
      <c r="Z8" s="11"/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39" t="s">
        <v>110</v>
      </c>
      <c r="AJ8" s="14" t="s">
        <v>174</v>
      </c>
      <c r="AK8" s="14" t="s">
        <v>61</v>
      </c>
      <c r="AL8" s="14" t="s">
        <v>51</v>
      </c>
      <c r="AM8" s="14" t="s">
        <v>52</v>
      </c>
      <c r="AN8" s="14" t="s">
        <v>53</v>
      </c>
      <c r="AO8" s="14" t="s">
        <v>54</v>
      </c>
      <c r="AP8" s="14" t="str">
        <f>CONCATENATE(AJ8, ".", AL8)</f>
        <v>LLN0.Beh.stVal</v>
      </c>
      <c r="AQ8" s="14" t="s">
        <v>55</v>
      </c>
      <c r="AR8" s="11">
        <v>0</v>
      </c>
      <c r="AS8" s="11">
        <v>0</v>
      </c>
      <c r="AT8" s="11">
        <v>0</v>
      </c>
      <c r="AU8" s="11">
        <v>0</v>
      </c>
      <c r="AV8" s="11">
        <f t="shared" ref="AV5:AV11" si="7">BIN2DEC(CONCATENATE(0,0,0,0,AR8,AS8,AT8,AU8))</f>
        <v>0</v>
      </c>
      <c r="AW8" s="11">
        <v>0</v>
      </c>
      <c r="AX8" s="11">
        <v>0</v>
      </c>
      <c r="AY8" s="15"/>
      <c r="AZ8" s="16"/>
      <c r="BA8" s="16"/>
      <c r="BB8" s="16"/>
      <c r="BC8" s="16"/>
      <c r="BD8" s="16"/>
      <c r="BE8" s="16"/>
      <c r="BF8" s="16"/>
      <c r="BG8" s="17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8" customFormat="1" ht="15.75" x14ac:dyDescent="0.25">
      <c r="A9" s="10"/>
      <c r="B9" s="60" t="s">
        <v>189</v>
      </c>
      <c r="C9" s="11"/>
      <c r="D9" s="33"/>
      <c r="E9" s="12" t="s">
        <v>90</v>
      </c>
      <c r="F9" s="12" t="s">
        <v>92</v>
      </c>
      <c r="G9" s="12" t="s">
        <v>92</v>
      </c>
      <c r="H9" s="11"/>
      <c r="I9" s="12">
        <f t="shared" si="0"/>
        <v>14</v>
      </c>
      <c r="J9" s="12" t="str">
        <f t="shared" si="1"/>
        <v>Исправность LD</v>
      </c>
      <c r="K9" s="13" t="s">
        <v>88</v>
      </c>
      <c r="L9" s="29" t="s">
        <v>96</v>
      </c>
      <c r="M9" s="49" t="s">
        <v>49</v>
      </c>
      <c r="N9" s="49" t="s">
        <v>50</v>
      </c>
      <c r="O9" s="49"/>
      <c r="P9" s="22"/>
      <c r="Q9" s="22"/>
      <c r="R9" s="49" t="s">
        <v>58</v>
      </c>
      <c r="S9" s="49" t="s">
        <v>58</v>
      </c>
      <c r="T9" s="49" t="s">
        <v>58</v>
      </c>
      <c r="U9" s="49" t="s">
        <v>58</v>
      </c>
      <c r="V9" s="11"/>
      <c r="W9" s="11"/>
      <c r="X9" s="49" t="s">
        <v>58</v>
      </c>
      <c r="Y9" s="49">
        <v>0</v>
      </c>
      <c r="Z9" s="11"/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39" t="s">
        <v>110</v>
      </c>
      <c r="AJ9" s="14" t="s">
        <v>175</v>
      </c>
      <c r="AK9" s="14" t="s">
        <v>61</v>
      </c>
      <c r="AL9" s="14" t="s">
        <v>51</v>
      </c>
      <c r="AM9" s="14" t="s">
        <v>52</v>
      </c>
      <c r="AN9" s="14" t="s">
        <v>62</v>
      </c>
      <c r="AO9" s="14" t="s">
        <v>54</v>
      </c>
      <c r="AP9" s="14" t="str">
        <f>CONCATENATE(AJ9, ".", AL9)</f>
        <v>LLN0.Health.stVal</v>
      </c>
      <c r="AQ9" s="14" t="s">
        <v>55</v>
      </c>
      <c r="AR9" s="11">
        <v>0</v>
      </c>
      <c r="AS9" s="11">
        <v>0</v>
      </c>
      <c r="AT9" s="11">
        <v>0</v>
      </c>
      <c r="AU9" s="11">
        <v>0</v>
      </c>
      <c r="AV9" s="11">
        <f t="shared" si="7"/>
        <v>0</v>
      </c>
      <c r="AW9" s="11">
        <v>0</v>
      </c>
      <c r="AX9" s="11">
        <v>0</v>
      </c>
      <c r="AY9" s="15"/>
      <c r="AZ9" s="16"/>
      <c r="BA9" s="16"/>
      <c r="BB9" s="16"/>
      <c r="BC9" s="16"/>
      <c r="BD9" s="16"/>
      <c r="BE9" s="16"/>
      <c r="BF9" s="16"/>
      <c r="BG9" s="17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8" customFormat="1" ht="17.25" customHeight="1" x14ac:dyDescent="0.25">
      <c r="A10" s="10"/>
      <c r="B10" s="60" t="s">
        <v>189</v>
      </c>
      <c r="C10" s="11"/>
      <c r="D10" s="33" t="s">
        <v>135</v>
      </c>
      <c r="E10" s="12" t="s">
        <v>150</v>
      </c>
      <c r="F10" s="12" t="s">
        <v>94</v>
      </c>
      <c r="G10" s="12" t="s">
        <v>94</v>
      </c>
      <c r="H10" s="11"/>
      <c r="I10" s="12">
        <f t="shared" si="0"/>
        <v>9</v>
      </c>
      <c r="J10" s="12" t="str">
        <f t="shared" si="1"/>
        <v>Поведение</v>
      </c>
      <c r="K10" s="13" t="s">
        <v>107</v>
      </c>
      <c r="L10" s="29" t="s">
        <v>96</v>
      </c>
      <c r="M10" s="49" t="s">
        <v>49</v>
      </c>
      <c r="N10" s="49" t="s">
        <v>50</v>
      </c>
      <c r="O10" s="49"/>
      <c r="P10" s="11"/>
      <c r="Q10" s="11"/>
      <c r="R10" s="49" t="s">
        <v>58</v>
      </c>
      <c r="S10" s="49" t="s">
        <v>58</v>
      </c>
      <c r="T10" s="49" t="s">
        <v>58</v>
      </c>
      <c r="U10" s="49" t="s">
        <v>58</v>
      </c>
      <c r="V10" s="11"/>
      <c r="W10" s="11"/>
      <c r="X10" s="49" t="s">
        <v>58</v>
      </c>
      <c r="Y10" s="49">
        <v>0</v>
      </c>
      <c r="Z10" s="11"/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39" t="s">
        <v>168</v>
      </c>
      <c r="AJ10" s="14" t="s">
        <v>147</v>
      </c>
      <c r="AK10" s="14" t="s">
        <v>61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PTUV1.Beh.stVal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si="7"/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2"/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11" spans="1:16379" s="18" customFormat="1" ht="17.25" customHeight="1" x14ac:dyDescent="0.25">
      <c r="A11" s="10"/>
      <c r="B11" s="60" t="s">
        <v>189</v>
      </c>
      <c r="C11" s="11"/>
      <c r="D11" s="33" t="s">
        <v>135</v>
      </c>
      <c r="E11" s="12" t="s">
        <v>151</v>
      </c>
      <c r="F11" s="12" t="s">
        <v>95</v>
      </c>
      <c r="G11" s="12" t="s">
        <v>95</v>
      </c>
      <c r="H11" s="11"/>
      <c r="I11" s="12">
        <f t="shared" si="0"/>
        <v>11</v>
      </c>
      <c r="J11" s="12" t="str">
        <f t="shared" si="1"/>
        <v>Исправность</v>
      </c>
      <c r="K11" s="13" t="s">
        <v>108</v>
      </c>
      <c r="L11" s="29" t="s">
        <v>96</v>
      </c>
      <c r="M11" s="49" t="s">
        <v>49</v>
      </c>
      <c r="N11" s="49" t="s">
        <v>50</v>
      </c>
      <c r="O11" s="49"/>
      <c r="P11" s="22"/>
      <c r="Q11" s="22"/>
      <c r="R11" s="49" t="s">
        <v>58</v>
      </c>
      <c r="S11" s="49" t="s">
        <v>58</v>
      </c>
      <c r="T11" s="49" t="s">
        <v>58</v>
      </c>
      <c r="U11" s="49" t="s">
        <v>58</v>
      </c>
      <c r="V11" s="11"/>
      <c r="W11" s="11"/>
      <c r="X11" s="49" t="s">
        <v>58</v>
      </c>
      <c r="Y11" s="49">
        <v>0</v>
      </c>
      <c r="Z11" s="11"/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39" t="s">
        <v>168</v>
      </c>
      <c r="AJ11" s="14" t="s">
        <v>148</v>
      </c>
      <c r="AK11" s="14" t="s">
        <v>61</v>
      </c>
      <c r="AL11" s="14" t="s">
        <v>51</v>
      </c>
      <c r="AM11" s="14" t="s">
        <v>52</v>
      </c>
      <c r="AN11" s="14" t="s">
        <v>62</v>
      </c>
      <c r="AO11" s="14" t="s">
        <v>54</v>
      </c>
      <c r="AP11" s="14" t="str">
        <f>CONCATENATE(AJ11, ".", AL11)</f>
        <v>PTUV1.Health.stVal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7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2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28"/>
      <c r="BC12" s="42"/>
      <c r="BD12" s="28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28"/>
      <c r="BC13" s="42"/>
      <c r="BD13" s="28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28"/>
      <c r="BC14" s="42"/>
      <c r="BD14" s="28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28"/>
      <c r="BC15" s="42"/>
      <c r="BD15" s="28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28"/>
      <c r="BC16" s="42"/>
      <c r="BD16" s="28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28"/>
      <c r="BC17" s="42"/>
      <c r="BD17" s="28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28"/>
      <c r="BC18" s="42"/>
      <c r="BD18" s="28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28"/>
      <c r="BC19" s="42"/>
      <c r="BD19" s="28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28"/>
      <c r="BC20" s="42"/>
      <c r="BD20" s="28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28"/>
      <c r="BC21" s="42"/>
      <c r="BD21" s="28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28"/>
      <c r="BC22" s="42"/>
      <c r="BD22" s="28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28"/>
      <c r="BC23" s="42"/>
      <c r="BD23" s="28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28"/>
      <c r="BC24" s="42"/>
      <c r="BD24" s="28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28"/>
      <c r="BC25" s="42"/>
      <c r="BD25" s="28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28"/>
      <c r="BC26" s="42"/>
      <c r="BD26" s="28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28"/>
      <c r="BC27" s="42"/>
      <c r="BD27" s="28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28"/>
      <c r="BC28" s="42"/>
      <c r="BD28" s="28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28"/>
      <c r="BC29" s="42"/>
      <c r="BD29" s="28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28"/>
      <c r="BC30" s="42"/>
      <c r="BD30" s="28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28"/>
      <c r="BC31" s="42"/>
      <c r="BD31" s="28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28"/>
      <c r="BC32" s="42"/>
      <c r="BD32" s="28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28"/>
      <c r="BC33" s="42"/>
      <c r="BD33" s="28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28"/>
      <c r="BC34" s="42"/>
      <c r="BD34" s="28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28"/>
      <c r="BC35" s="42"/>
      <c r="BD35" s="28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28"/>
      <c r="BC36" s="42"/>
      <c r="BD36" s="28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28"/>
      <c r="BC37" s="42"/>
      <c r="BD37" s="28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28"/>
      <c r="BC38" s="42"/>
      <c r="BD38" s="28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28"/>
      <c r="BC39" s="42"/>
      <c r="BD39" s="28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28"/>
      <c r="BC40" s="42"/>
      <c r="BD40" s="28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28"/>
      <c r="BC41" s="42"/>
      <c r="BD41" s="28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28"/>
      <c r="BC42" s="42"/>
      <c r="BD42" s="28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28"/>
      <c r="BC43" s="42"/>
      <c r="BD43" s="28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28"/>
      <c r="BC44" s="42"/>
      <c r="BD44" s="28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28"/>
      <c r="BC45" s="42"/>
      <c r="BD45" s="28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28"/>
      <c r="BC46" s="42"/>
      <c r="BD46" s="28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28"/>
      <c r="BC47" s="42"/>
      <c r="BD47" s="28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28"/>
      <c r="BC48" s="42"/>
      <c r="BD48" s="28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28"/>
      <c r="BC49" s="42"/>
      <c r="BD49" s="28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28"/>
      <c r="BC50" s="42"/>
      <c r="BD50" s="28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28"/>
      <c r="BC51" s="42"/>
      <c r="BD51" s="28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28"/>
      <c r="BC52" s="42"/>
      <c r="BD52" s="28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28"/>
      <c r="BC53" s="42"/>
      <c r="BD53" s="28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28"/>
      <c r="BC54" s="42"/>
      <c r="BD54" s="28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28"/>
      <c r="BC55" s="42"/>
      <c r="BD55" s="28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28"/>
      <c r="BC56" s="42"/>
      <c r="BD56" s="28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28"/>
      <c r="BC57" s="42"/>
      <c r="BD57" s="28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28"/>
      <c r="BC58" s="42"/>
      <c r="BD58" s="28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28"/>
      <c r="BC59" s="42"/>
      <c r="BD59" s="28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28"/>
      <c r="BC60" s="42"/>
      <c r="BD60" s="28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28"/>
      <c r="BC61" s="42"/>
      <c r="BD61" s="28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28"/>
      <c r="BC62" s="42"/>
      <c r="BD62" s="28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28"/>
      <c r="BC63" s="42"/>
      <c r="BD63" s="28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28"/>
      <c r="BC64" s="42"/>
      <c r="BD64" s="28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28"/>
      <c r="BC65" s="42"/>
      <c r="BD65" s="28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28"/>
      <c r="BC66" s="42"/>
      <c r="BD66" s="28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28"/>
      <c r="BC67" s="42"/>
      <c r="BD67" s="28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28"/>
      <c r="BC68" s="42"/>
      <c r="BD68" s="28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28"/>
      <c r="BC69" s="42"/>
      <c r="BD69" s="28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28"/>
      <c r="BC70" s="42"/>
      <c r="BD70" s="28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28"/>
      <c r="BC71" s="42"/>
      <c r="BD71" s="28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28"/>
      <c r="BC72" s="42"/>
      <c r="BD72" s="28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28"/>
      <c r="BC73" s="42"/>
      <c r="BD73" s="28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28"/>
      <c r="BC74" s="42"/>
      <c r="BD74" s="28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28"/>
      <c r="BC75" s="42"/>
      <c r="BD75" s="28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28"/>
      <c r="BC76" s="42"/>
      <c r="BD76" s="28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28"/>
      <c r="BC77" s="42"/>
      <c r="BD77" s="28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28"/>
      <c r="BC78" s="42"/>
      <c r="BD78" s="28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28"/>
      <c r="BC79" s="42"/>
      <c r="BD79" s="28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28"/>
      <c r="BC80" s="42"/>
      <c r="BD80" s="28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28"/>
      <c r="BC81" s="42"/>
      <c r="BD81" s="28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28"/>
      <c r="BC82" s="42"/>
      <c r="BD82" s="28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28"/>
      <c r="BC83" s="42"/>
      <c r="BD83" s="28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28"/>
      <c r="BC84" s="42"/>
      <c r="BD84" s="28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28"/>
      <c r="BC85" s="42"/>
      <c r="BD85" s="28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28"/>
      <c r="BC86" s="42"/>
      <c r="BD86" s="28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28"/>
      <c r="BC87" s="42"/>
      <c r="BD87" s="28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28"/>
      <c r="BC88" s="42"/>
      <c r="BD88" s="28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28"/>
      <c r="BC89" s="42"/>
      <c r="BD89" s="28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28"/>
      <c r="BC90" s="42"/>
      <c r="BD90" s="28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28"/>
      <c r="BC91" s="42"/>
      <c r="BD91" s="28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28"/>
      <c r="BC92" s="42"/>
      <c r="BD92" s="28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28"/>
      <c r="BC93" s="42"/>
      <c r="BD93" s="28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28"/>
      <c r="BC94" s="42"/>
      <c r="BD94" s="28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28"/>
      <c r="BC95" s="42"/>
      <c r="BD95" s="28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28"/>
      <c r="BC96" s="42"/>
      <c r="BD96" s="28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28"/>
      <c r="BC97" s="42"/>
      <c r="BD97" s="28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28"/>
      <c r="BC98" s="42"/>
      <c r="BD98" s="28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28"/>
      <c r="BC99" s="42"/>
      <c r="BD99" s="28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28"/>
      <c r="BC100" s="42"/>
      <c r="BD100" s="28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28"/>
      <c r="BC101" s="42"/>
      <c r="BD101" s="28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28"/>
      <c r="BC102" s="42"/>
      <c r="BD102" s="28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28"/>
      <c r="BC103" s="42"/>
      <c r="BD103" s="28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28"/>
      <c r="BC104" s="42"/>
      <c r="BD104" s="28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28"/>
      <c r="BC105" s="42"/>
      <c r="BD105" s="28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28"/>
      <c r="BC106" s="42"/>
      <c r="BD106" s="28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28"/>
      <c r="BC107" s="42"/>
      <c r="BD107" s="28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28"/>
      <c r="BC108" s="42"/>
      <c r="BD108" s="28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28"/>
      <c r="BC109" s="42"/>
      <c r="BD109" s="28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28"/>
      <c r="BC110" s="42"/>
      <c r="BD110" s="28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28"/>
      <c r="BC111" s="42"/>
      <c r="BD111" s="28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28"/>
      <c r="BC112" s="42"/>
      <c r="BD112" s="28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28"/>
      <c r="BC113" s="42"/>
      <c r="BD113" s="28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28"/>
      <c r="BC114" s="42"/>
      <c r="BD114" s="28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28"/>
      <c r="BC115" s="42"/>
      <c r="BD115" s="28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28"/>
      <c r="BC116" s="42"/>
      <c r="BD116" s="28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28"/>
      <c r="BC117" s="42"/>
      <c r="BD117" s="28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28"/>
      <c r="BC118" s="42"/>
      <c r="BD118" s="28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28"/>
      <c r="BC119" s="42"/>
      <c r="BD119" s="28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28"/>
      <c r="BC120" s="42"/>
      <c r="BD120" s="28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28"/>
      <c r="BC121" s="42"/>
      <c r="BD121" s="28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28"/>
      <c r="BC122" s="42"/>
      <c r="BD122" s="28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28"/>
      <c r="BC123" s="42"/>
      <c r="BD123" s="28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28"/>
      <c r="BC124" s="42"/>
      <c r="BD124" s="28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28"/>
      <c r="BC125" s="42"/>
      <c r="BD125" s="28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28"/>
      <c r="BC126" s="42"/>
      <c r="BD126" s="28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28"/>
      <c r="BC127" s="42"/>
      <c r="BD127" s="28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28"/>
      <c r="BC128" s="42"/>
      <c r="BD128" s="28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28"/>
      <c r="BC129" s="42"/>
      <c r="BD129" s="28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28"/>
      <c r="BC130" s="42"/>
      <c r="BD130" s="28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28"/>
      <c r="BC131" s="42"/>
      <c r="BD131" s="28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28"/>
      <c r="BC132" s="42"/>
      <c r="BD132" s="28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28"/>
      <c r="BC133" s="42"/>
      <c r="BD133" s="28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28"/>
      <c r="BC134" s="42"/>
      <c r="BD134" s="28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28"/>
      <c r="BC135" s="42"/>
      <c r="BD135" s="28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28"/>
      <c r="BC136" s="42"/>
      <c r="BD136" s="28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28"/>
      <c r="BC137" s="42"/>
      <c r="BD137" s="28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28"/>
      <c r="BC138" s="42"/>
      <c r="BD138" s="28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28"/>
      <c r="BC139" s="42"/>
      <c r="BD139" s="28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28"/>
      <c r="BC140" s="42"/>
      <c r="BD140" s="28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28"/>
      <c r="BC141" s="42"/>
      <c r="BD141" s="28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28"/>
      <c r="BC142" s="42"/>
      <c r="BD142" s="28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28"/>
      <c r="BC143" s="42"/>
      <c r="BD143" s="28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28"/>
      <c r="BC144" s="42"/>
      <c r="BD144" s="28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28"/>
      <c r="BC145" s="42"/>
      <c r="BD145" s="28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28"/>
      <c r="BC146" s="42"/>
      <c r="BD146" s="28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28"/>
      <c r="BC147" s="42"/>
      <c r="BD147" s="28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28"/>
      <c r="BC148" s="42"/>
      <c r="BD148" s="28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28"/>
      <c r="BC149" s="42"/>
      <c r="BD149" s="28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28"/>
      <c r="BC150" s="42"/>
      <c r="BD150" s="28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28"/>
      <c r="BC151" s="42"/>
      <c r="BD151" s="28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28"/>
      <c r="BC152" s="42"/>
      <c r="BD152" s="28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28"/>
      <c r="BC153" s="42"/>
      <c r="BD153" s="28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28"/>
      <c r="BC154" s="42"/>
      <c r="BD154" s="28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28"/>
      <c r="BC155" s="42"/>
      <c r="BD155" s="28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28"/>
      <c r="BC156" s="42"/>
      <c r="BD156" s="28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28"/>
      <c r="BC157" s="42"/>
      <c r="BD157" s="28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28"/>
      <c r="BC158" s="42"/>
      <c r="BD158" s="28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28"/>
      <c r="BC159" s="42"/>
      <c r="BD159" s="28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28"/>
      <c r="BC160" s="42"/>
      <c r="BD160" s="28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28"/>
      <c r="BC161" s="42"/>
      <c r="BD161" s="28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28"/>
      <c r="BC162" s="42"/>
      <c r="BD162" s="28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28"/>
      <c r="BC163" s="42"/>
      <c r="BD163" s="28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28"/>
      <c r="BC164" s="42"/>
      <c r="BD164" s="28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28"/>
      <c r="BC165" s="42"/>
      <c r="BD165" s="28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28"/>
      <c r="BC166" s="42"/>
      <c r="BD166" s="28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28"/>
      <c r="BC167" s="42"/>
      <c r="BD167" s="28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28"/>
      <c r="BC168" s="42"/>
      <c r="BD168" s="28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28"/>
      <c r="BC169" s="42"/>
      <c r="BD169" s="28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28"/>
      <c r="BC170" s="42"/>
      <c r="BD170" s="28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28"/>
      <c r="BC171" s="42"/>
      <c r="BD171" s="28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28"/>
      <c r="BC172" s="42"/>
      <c r="BD172" s="28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2"/>
      <c r="AB173" s="42"/>
      <c r="AC173" s="42"/>
      <c r="AD173" s="42"/>
      <c r="AE173" s="42"/>
      <c r="AF173" s="42"/>
      <c r="AG173" s="42"/>
      <c r="AH173" s="40"/>
      <c r="AI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28"/>
      <c r="BC173" s="42"/>
      <c r="BD173" s="28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2"/>
      <c r="AB174" s="42"/>
      <c r="AC174" s="42"/>
      <c r="AD174" s="42"/>
      <c r="AE174" s="42"/>
      <c r="AF174" s="42"/>
      <c r="AG174" s="42"/>
      <c r="AH174" s="40"/>
      <c r="AI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28"/>
      <c r="BC174" s="42"/>
      <c r="BD174" s="28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2"/>
      <c r="AB175" s="42"/>
      <c r="AC175" s="42"/>
      <c r="AD175" s="42"/>
      <c r="AE175" s="42"/>
      <c r="AF175" s="42"/>
      <c r="AG175" s="42"/>
      <c r="AH175" s="40"/>
      <c r="AI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28"/>
      <c r="BC175" s="42"/>
      <c r="BD175" s="28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2"/>
      <c r="AB176" s="42"/>
      <c r="AC176" s="42"/>
      <c r="AD176" s="42"/>
      <c r="AE176" s="42"/>
      <c r="AF176" s="42"/>
      <c r="AG176" s="42"/>
      <c r="AH176" s="40"/>
      <c r="AI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28"/>
      <c r="BC176" s="42"/>
      <c r="BD176" s="28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2"/>
      <c r="AB177" s="42"/>
      <c r="AC177" s="42"/>
      <c r="AD177" s="42"/>
      <c r="AE177" s="42"/>
      <c r="AF177" s="42"/>
      <c r="AG177" s="42"/>
      <c r="AH177" s="40"/>
      <c r="AI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28"/>
      <c r="BC177" s="42"/>
      <c r="BD177" s="28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2"/>
      <c r="AB178" s="42"/>
      <c r="AC178" s="42"/>
      <c r="AD178" s="42"/>
      <c r="AE178" s="42"/>
      <c r="AF178" s="42"/>
      <c r="AG178" s="42"/>
      <c r="AH178" s="40"/>
      <c r="AI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28"/>
      <c r="BC178" s="42"/>
      <c r="BD178" s="28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2"/>
      <c r="AB179" s="42"/>
      <c r="AC179" s="42"/>
      <c r="AD179" s="42"/>
      <c r="AE179" s="42"/>
      <c r="AF179" s="42"/>
      <c r="AG179" s="42"/>
      <c r="AH179" s="40"/>
      <c r="AI179" s="42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28"/>
      <c r="BC179" s="42"/>
      <c r="BD179" s="28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2"/>
      <c r="AB180" s="42"/>
      <c r="AC180" s="42"/>
      <c r="AD180" s="42"/>
      <c r="AE180" s="42"/>
      <c r="AF180" s="42"/>
      <c r="AG180" s="42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28"/>
      <c r="BC180" s="42"/>
      <c r="BD180" s="28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2"/>
      <c r="AB181" s="42"/>
      <c r="AC181" s="42"/>
      <c r="AD181" s="42"/>
      <c r="AE181" s="42"/>
      <c r="AF181" s="42"/>
      <c r="AG181" s="42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28"/>
      <c r="BC181" s="42"/>
      <c r="BD181" s="28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2"/>
      <c r="AB182" s="42"/>
      <c r="AC182" s="42"/>
      <c r="AD182" s="42"/>
      <c r="AE182" s="42"/>
      <c r="AF182" s="42"/>
      <c r="AG182" s="42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28"/>
      <c r="BC182" s="42"/>
      <c r="BD182" s="28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2"/>
      <c r="AB183" s="42"/>
      <c r="AC183" s="42"/>
      <c r="AD183" s="42"/>
      <c r="AE183" s="42"/>
      <c r="AF183" s="42"/>
      <c r="AG183" s="42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28"/>
      <c r="BC183" s="42"/>
      <c r="BD183" s="28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2"/>
      <c r="AB184" s="42"/>
      <c r="AC184" s="42"/>
      <c r="AD184" s="42"/>
      <c r="AE184" s="42"/>
      <c r="AF184" s="42"/>
      <c r="AG184" s="42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28"/>
      <c r="BC184" s="42"/>
      <c r="BD184" s="28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2"/>
      <c r="AB185" s="42"/>
      <c r="AC185" s="42"/>
      <c r="AD185" s="42"/>
      <c r="AE185" s="42"/>
      <c r="AF185" s="42"/>
      <c r="AG185" s="42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28"/>
      <c r="BC185" s="42"/>
      <c r="BD185" s="28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2"/>
      <c r="AB186" s="42"/>
      <c r="AC186" s="42"/>
      <c r="AD186" s="42"/>
      <c r="AE186" s="42"/>
      <c r="AF186" s="42"/>
      <c r="AG186" s="42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28"/>
      <c r="BC186" s="42"/>
      <c r="BD186" s="28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2"/>
      <c r="AB187" s="42"/>
      <c r="AC187" s="42"/>
      <c r="AD187" s="42"/>
      <c r="AE187" s="42"/>
      <c r="AF187" s="42"/>
      <c r="AG187" s="42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28"/>
      <c r="BC187" s="42"/>
      <c r="BD187" s="28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2"/>
      <c r="AB188" s="42"/>
      <c r="AC188" s="42"/>
      <c r="AD188" s="42"/>
      <c r="AE188" s="42"/>
      <c r="AF188" s="42"/>
      <c r="AG188" s="42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28"/>
      <c r="BC188" s="42"/>
      <c r="BD188" s="28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2"/>
      <c r="AB189" s="42"/>
      <c r="AC189" s="42"/>
      <c r="AD189" s="42"/>
      <c r="AE189" s="42"/>
      <c r="AF189" s="42"/>
      <c r="AG189" s="42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28"/>
      <c r="BC189" s="42"/>
      <c r="BD189" s="28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2"/>
      <c r="AB190" s="42"/>
      <c r="AC190" s="42"/>
      <c r="AD190" s="42"/>
      <c r="AE190" s="42"/>
      <c r="AF190" s="42"/>
      <c r="AG190" s="42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28"/>
      <c r="BC190" s="42"/>
      <c r="BD190" s="28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28"/>
      <c r="BC191" s="42"/>
      <c r="BD191" s="28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28"/>
      <c r="BC192" s="42"/>
      <c r="BD192" s="28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28"/>
      <c r="BC193" s="42"/>
      <c r="BD193" s="28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28"/>
      <c r="BC194" s="42"/>
      <c r="BD194" s="28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28"/>
      <c r="BC195" s="42"/>
      <c r="BD195" s="28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28"/>
      <c r="BC196" s="42"/>
      <c r="BD196" s="28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28"/>
      <c r="BC197" s="42"/>
      <c r="BD197" s="28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28"/>
      <c r="BC198" s="42"/>
      <c r="BD198" s="28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28"/>
      <c r="BC199" s="42"/>
      <c r="BD199" s="28"/>
      <c r="BE199" s="42"/>
      <c r="BF199" s="42"/>
      <c r="BG199" s="40"/>
      <c r="BH199" s="40"/>
    </row>
    <row r="200" spans="1:60" s="41" customFormat="1" ht="15.75" x14ac:dyDescent="0.25">
      <c r="A200" s="40"/>
      <c r="B200" s="40"/>
      <c r="C200" s="40"/>
      <c r="D200" s="40"/>
      <c r="R200" s="1"/>
      <c r="S200" s="42"/>
      <c r="T200" s="42"/>
      <c r="U200" s="42"/>
      <c r="V200" s="42"/>
      <c r="W200" s="42"/>
      <c r="X200" s="42"/>
      <c r="Y200" s="42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R200" s="40"/>
      <c r="AS200" s="40"/>
      <c r="AT200" s="40"/>
      <c r="AU200" s="40"/>
      <c r="AV200" s="40"/>
      <c r="AW200" s="40"/>
      <c r="AX200" s="40"/>
      <c r="AY200" s="42"/>
      <c r="AZ200" s="42"/>
      <c r="BA200" s="42"/>
      <c r="BB200" s="28"/>
      <c r="BC200" s="42"/>
      <c r="BD200" s="28"/>
      <c r="BE200" s="42"/>
      <c r="BF200" s="42"/>
      <c r="BG200" s="40"/>
      <c r="BH200" s="40"/>
    </row>
    <row r="201" spans="1:60" s="41" customFormat="1" ht="15.75" x14ac:dyDescent="0.25">
      <c r="A201" s="40"/>
      <c r="B201" s="40"/>
      <c r="C201" s="40"/>
      <c r="D201" s="40"/>
      <c r="R201" s="1"/>
      <c r="S201" s="42"/>
      <c r="T201" s="42"/>
      <c r="U201" s="42"/>
      <c r="V201" s="42"/>
      <c r="W201" s="42"/>
      <c r="X201" s="42"/>
      <c r="Y201" s="42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R201" s="40"/>
      <c r="AS201" s="40"/>
      <c r="AT201" s="40"/>
      <c r="AU201" s="40"/>
      <c r="AV201" s="40"/>
      <c r="AW201" s="40"/>
      <c r="AX201" s="40"/>
      <c r="AY201" s="42"/>
      <c r="AZ201" s="42"/>
      <c r="BA201" s="42"/>
      <c r="BB201" s="28"/>
      <c r="BC201" s="42"/>
      <c r="BD201" s="28"/>
      <c r="BE201" s="42"/>
      <c r="BF201" s="42"/>
      <c r="BG201" s="40"/>
      <c r="BH201" s="40"/>
    </row>
    <row r="202" spans="1:60" s="41" customFormat="1" ht="15.75" x14ac:dyDescent="0.25">
      <c r="A202" s="40"/>
      <c r="B202" s="40"/>
      <c r="C202" s="40"/>
      <c r="D202" s="40"/>
      <c r="R202" s="1"/>
      <c r="S202" s="42"/>
      <c r="T202" s="42"/>
      <c r="U202" s="42"/>
      <c r="V202" s="42"/>
      <c r="W202" s="42"/>
      <c r="X202" s="42"/>
      <c r="Y202" s="42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R202" s="40"/>
      <c r="AS202" s="40"/>
      <c r="AT202" s="40"/>
      <c r="AU202" s="40"/>
      <c r="AV202" s="40"/>
      <c r="AW202" s="40"/>
      <c r="AX202" s="40"/>
      <c r="AY202" s="42"/>
      <c r="AZ202" s="42"/>
      <c r="BA202" s="42"/>
      <c r="BB202" s="28"/>
      <c r="BC202" s="42"/>
      <c r="BD202" s="28"/>
      <c r="BE202" s="42"/>
      <c r="BF202" s="42"/>
      <c r="BG202" s="40"/>
      <c r="BH202" s="40"/>
    </row>
    <row r="203" spans="1:60" s="41" customFormat="1" ht="15.75" x14ac:dyDescent="0.25">
      <c r="A203" s="40"/>
      <c r="B203" s="40"/>
      <c r="C203" s="40"/>
      <c r="D203" s="40"/>
      <c r="R203" s="1"/>
      <c r="S203" s="42"/>
      <c r="T203" s="42"/>
      <c r="U203" s="42"/>
      <c r="V203" s="42"/>
      <c r="W203" s="42"/>
      <c r="X203" s="42"/>
      <c r="Y203" s="42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R203" s="40"/>
      <c r="AS203" s="40"/>
      <c r="AT203" s="40"/>
      <c r="AU203" s="40"/>
      <c r="AV203" s="40"/>
      <c r="AW203" s="40"/>
      <c r="AX203" s="40"/>
      <c r="AY203" s="42"/>
      <c r="AZ203" s="42"/>
      <c r="BA203" s="42"/>
      <c r="BB203" s="28"/>
      <c r="BC203" s="42"/>
      <c r="BD203" s="28"/>
      <c r="BE203" s="42"/>
      <c r="BF203" s="42"/>
      <c r="BG203" s="40"/>
      <c r="BH203" s="40"/>
    </row>
    <row r="204" spans="1:60" s="41" customFormat="1" ht="15.75" x14ac:dyDescent="0.25">
      <c r="A204" s="40"/>
      <c r="B204" s="40"/>
      <c r="C204" s="40"/>
      <c r="D204" s="40"/>
      <c r="R204" s="1"/>
      <c r="S204" s="42"/>
      <c r="T204" s="42"/>
      <c r="U204" s="42"/>
      <c r="V204" s="42"/>
      <c r="W204" s="42"/>
      <c r="X204" s="42"/>
      <c r="Y204" s="42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R204" s="40"/>
      <c r="AS204" s="40"/>
      <c r="AT204" s="40"/>
      <c r="AU204" s="40"/>
      <c r="AV204" s="40"/>
      <c r="AW204" s="40"/>
      <c r="AX204" s="40"/>
      <c r="AY204" s="42"/>
      <c r="AZ204" s="42"/>
      <c r="BA204" s="42"/>
      <c r="BB204" s="28"/>
      <c r="BC204" s="42"/>
      <c r="BD204" s="28"/>
      <c r="BE204" s="42"/>
      <c r="BF204" s="42"/>
      <c r="BG204" s="40"/>
      <c r="BH204" s="40"/>
    </row>
    <row r="205" spans="1:60" s="41" customFormat="1" ht="15.75" x14ac:dyDescent="0.25">
      <c r="A205" s="40"/>
      <c r="B205" s="40"/>
      <c r="C205" s="40"/>
      <c r="D205" s="40"/>
      <c r="R205" s="1"/>
      <c r="S205" s="42"/>
      <c r="T205" s="42"/>
      <c r="U205" s="42"/>
      <c r="V205" s="42"/>
      <c r="W205" s="42"/>
      <c r="X205" s="42"/>
      <c r="Y205" s="42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R205" s="40"/>
      <c r="AS205" s="40"/>
      <c r="AT205" s="40"/>
      <c r="AU205" s="40"/>
      <c r="AV205" s="40"/>
      <c r="AW205" s="40"/>
      <c r="AX205" s="40"/>
      <c r="AY205" s="42"/>
      <c r="AZ205" s="42"/>
      <c r="BA205" s="42"/>
      <c r="BB205" s="28"/>
      <c r="BC205" s="42"/>
      <c r="BD205" s="28"/>
      <c r="BE205" s="42"/>
      <c r="BF205" s="42"/>
      <c r="BG205" s="40"/>
      <c r="BH205" s="40"/>
    </row>
    <row r="206" spans="1:60" s="41" customFormat="1" ht="15.75" x14ac:dyDescent="0.25">
      <c r="A206" s="40"/>
      <c r="B206" s="40"/>
      <c r="C206" s="40"/>
      <c r="D206" s="40"/>
      <c r="R206" s="1"/>
      <c r="S206" s="42"/>
      <c r="T206" s="42"/>
      <c r="U206" s="42"/>
      <c r="V206" s="42"/>
      <c r="W206" s="42"/>
      <c r="X206" s="42"/>
      <c r="Y206" s="42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R206" s="40"/>
      <c r="AS206" s="40"/>
      <c r="AT206" s="40"/>
      <c r="AU206" s="40"/>
      <c r="AV206" s="40"/>
      <c r="AW206" s="40"/>
      <c r="AX206" s="40"/>
      <c r="AY206" s="42"/>
      <c r="AZ206" s="42"/>
      <c r="BA206" s="42"/>
      <c r="BB206" s="28"/>
      <c r="BC206" s="42"/>
      <c r="BD206" s="28"/>
      <c r="BE206" s="42"/>
      <c r="BF206" s="42"/>
      <c r="BG206" s="40"/>
      <c r="BH206" s="40"/>
    </row>
    <row r="207" spans="1:60" s="41" customFormat="1" ht="15.75" x14ac:dyDescent="0.25">
      <c r="A207" s="40"/>
      <c r="B207" s="40"/>
      <c r="C207" s="40"/>
      <c r="D207" s="40"/>
      <c r="R207" s="1"/>
      <c r="S207" s="42"/>
      <c r="T207" s="42"/>
      <c r="U207" s="42"/>
      <c r="V207" s="42"/>
      <c r="W207" s="42"/>
      <c r="X207" s="42"/>
      <c r="Y207" s="42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R207" s="40"/>
      <c r="AS207" s="40"/>
      <c r="AT207" s="40"/>
      <c r="AU207" s="40"/>
      <c r="AV207" s="40"/>
      <c r="AW207" s="40"/>
      <c r="AX207" s="40"/>
      <c r="AY207" s="42"/>
      <c r="AZ207" s="42"/>
      <c r="BA207" s="42"/>
      <c r="BB207" s="28"/>
      <c r="BC207" s="42"/>
      <c r="BD207" s="28"/>
      <c r="BE207" s="42"/>
      <c r="BF207" s="42"/>
      <c r="BG207" s="40"/>
      <c r="BH207" s="40"/>
    </row>
    <row r="208" spans="1:60" s="41" customFormat="1" ht="15.75" x14ac:dyDescent="0.25">
      <c r="A208" s="40"/>
      <c r="B208" s="40"/>
      <c r="C208" s="40"/>
      <c r="D208" s="40"/>
      <c r="R208" s="1"/>
      <c r="S208" s="42"/>
      <c r="T208" s="42"/>
      <c r="U208" s="42"/>
      <c r="V208" s="42"/>
      <c r="W208" s="42"/>
      <c r="X208" s="42"/>
      <c r="Y208" s="42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R208" s="40"/>
      <c r="AS208" s="40"/>
      <c r="AT208" s="40"/>
      <c r="AU208" s="40"/>
      <c r="AV208" s="40"/>
      <c r="AW208" s="40"/>
      <c r="AX208" s="40"/>
      <c r="AY208" s="42"/>
      <c r="AZ208" s="42"/>
      <c r="BA208" s="42"/>
      <c r="BB208" s="28"/>
      <c r="BC208" s="42"/>
      <c r="BD208" s="28"/>
      <c r="BE208" s="42"/>
      <c r="BF208" s="42"/>
      <c r="BG208" s="40"/>
      <c r="BH208" s="40"/>
    </row>
    <row r="209" spans="1:60" s="41" customFormat="1" ht="15.75" x14ac:dyDescent="0.25">
      <c r="A209" s="40"/>
      <c r="B209" s="40"/>
      <c r="C209" s="40"/>
      <c r="D209" s="40"/>
      <c r="R209" s="1"/>
      <c r="S209" s="42"/>
      <c r="T209" s="42"/>
      <c r="U209" s="42"/>
      <c r="V209" s="42"/>
      <c r="W209" s="42"/>
      <c r="X209" s="42"/>
      <c r="Y209" s="42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R209" s="40"/>
      <c r="AS209" s="40"/>
      <c r="AT209" s="40"/>
      <c r="AU209" s="40"/>
      <c r="AV209" s="40"/>
      <c r="AW209" s="40"/>
      <c r="AX209" s="40"/>
      <c r="AY209" s="42"/>
      <c r="AZ209" s="42"/>
      <c r="BA209" s="42"/>
      <c r="BB209" s="28"/>
      <c r="BC209" s="42"/>
      <c r="BD209" s="28"/>
      <c r="BE209" s="42"/>
      <c r="BF209" s="42"/>
      <c r="BG209" s="40"/>
      <c r="BH209" s="40"/>
    </row>
    <row r="210" spans="1:60" s="41" customFormat="1" ht="15.75" x14ac:dyDescent="0.25">
      <c r="A210" s="40"/>
      <c r="B210" s="40"/>
      <c r="C210" s="40"/>
      <c r="D210" s="40"/>
      <c r="R210" s="1"/>
      <c r="S210" s="42"/>
      <c r="T210" s="42"/>
      <c r="U210" s="42"/>
      <c r="V210" s="42"/>
      <c r="W210" s="42"/>
      <c r="X210" s="42"/>
      <c r="Y210" s="42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R210" s="40"/>
      <c r="AS210" s="40"/>
      <c r="AT210" s="40"/>
      <c r="AU210" s="40"/>
      <c r="AV210" s="40"/>
      <c r="AW210" s="40"/>
      <c r="AX210" s="40"/>
      <c r="AY210" s="42"/>
      <c r="AZ210" s="42"/>
      <c r="BA210" s="42"/>
      <c r="BB210" s="28"/>
      <c r="BC210" s="42"/>
      <c r="BD210" s="28"/>
      <c r="BE210" s="42"/>
      <c r="BF210" s="42"/>
      <c r="BG210" s="40"/>
      <c r="BH210" s="40"/>
    </row>
    <row r="211" spans="1:60" s="41" customFormat="1" ht="15.75" x14ac:dyDescent="0.25">
      <c r="A211" s="40"/>
      <c r="B211" s="40"/>
      <c r="C211" s="40"/>
      <c r="D211" s="40"/>
      <c r="R211" s="1"/>
      <c r="S211" s="42"/>
      <c r="T211" s="42"/>
      <c r="U211" s="42"/>
      <c r="V211" s="42"/>
      <c r="W211" s="42"/>
      <c r="X211" s="42"/>
      <c r="Y211" s="42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R211" s="40"/>
      <c r="AS211" s="40"/>
      <c r="AT211" s="40"/>
      <c r="AU211" s="40"/>
      <c r="AV211" s="40"/>
      <c r="AW211" s="40"/>
      <c r="AX211" s="40"/>
      <c r="AY211" s="42"/>
      <c r="AZ211" s="42"/>
      <c r="BA211" s="42"/>
      <c r="BB211" s="28"/>
      <c r="BC211" s="42"/>
      <c r="BD211" s="28"/>
      <c r="BE211" s="42"/>
      <c r="BF211" s="42"/>
      <c r="BG211" s="40"/>
      <c r="BH211" s="40"/>
    </row>
    <row r="212" spans="1:60" s="41" customFormat="1" ht="15.75" x14ac:dyDescent="0.25">
      <c r="A212" s="40"/>
      <c r="B212" s="40"/>
      <c r="C212" s="40"/>
      <c r="D212" s="40"/>
      <c r="R212" s="1"/>
      <c r="S212" s="42"/>
      <c r="T212" s="42"/>
      <c r="U212" s="42"/>
      <c r="V212" s="42"/>
      <c r="W212" s="42"/>
      <c r="X212" s="42"/>
      <c r="Y212" s="42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R212" s="40"/>
      <c r="AS212" s="40"/>
      <c r="AT212" s="40"/>
      <c r="AU212" s="40"/>
      <c r="AV212" s="40"/>
      <c r="AW212" s="40"/>
      <c r="AX212" s="40"/>
      <c r="AY212" s="42"/>
      <c r="AZ212" s="42"/>
      <c r="BA212" s="42"/>
      <c r="BB212" s="28"/>
      <c r="BC212" s="42"/>
      <c r="BD212" s="28"/>
      <c r="BE212" s="42"/>
      <c r="BF212" s="42"/>
      <c r="BG212" s="40"/>
      <c r="BH212" s="40"/>
    </row>
    <row r="213" spans="1:60" s="41" customFormat="1" ht="15.75" x14ac:dyDescent="0.25">
      <c r="A213" s="40"/>
      <c r="B213" s="40"/>
      <c r="C213" s="40"/>
      <c r="D213" s="40"/>
      <c r="R213" s="1"/>
      <c r="S213" s="42"/>
      <c r="T213" s="42"/>
      <c r="U213" s="42"/>
      <c r="V213" s="42"/>
      <c r="W213" s="42"/>
      <c r="X213" s="42"/>
      <c r="Y213" s="42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R213" s="40"/>
      <c r="AS213" s="40"/>
      <c r="AT213" s="40"/>
      <c r="AU213" s="40"/>
      <c r="AV213" s="40"/>
      <c r="AW213" s="40"/>
      <c r="AX213" s="40"/>
      <c r="AY213" s="42"/>
      <c r="AZ213" s="42"/>
      <c r="BA213" s="42"/>
      <c r="BB213" s="28"/>
      <c r="BC213" s="42"/>
      <c r="BD213" s="28"/>
      <c r="BE213" s="42"/>
      <c r="BF213" s="42"/>
      <c r="BG213" s="40"/>
      <c r="BH213" s="40"/>
    </row>
    <row r="214" spans="1:60" s="41" customFormat="1" ht="15.75" x14ac:dyDescent="0.25">
      <c r="A214" s="40"/>
      <c r="B214" s="40"/>
      <c r="C214" s="40"/>
      <c r="D214" s="40"/>
      <c r="R214" s="1"/>
      <c r="S214" s="42"/>
      <c r="T214" s="42"/>
      <c r="U214" s="42"/>
      <c r="V214" s="42"/>
      <c r="W214" s="42"/>
      <c r="X214" s="42"/>
      <c r="Y214" s="42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R214" s="40"/>
      <c r="AS214" s="40"/>
      <c r="AT214" s="40"/>
      <c r="AU214" s="40"/>
      <c r="AV214" s="40"/>
      <c r="AW214" s="40"/>
      <c r="AX214" s="40"/>
      <c r="AY214" s="42"/>
      <c r="AZ214" s="42"/>
      <c r="BA214" s="42"/>
      <c r="BB214" s="28"/>
      <c r="BC214" s="42"/>
      <c r="BD214" s="28"/>
      <c r="BE214" s="42"/>
      <c r="BF214" s="42"/>
      <c r="BG214" s="40"/>
      <c r="BH214" s="40"/>
    </row>
    <row r="215" spans="1:60" s="41" customFormat="1" ht="15.75" x14ac:dyDescent="0.25">
      <c r="A215" s="40"/>
      <c r="B215" s="40"/>
      <c r="C215" s="40"/>
      <c r="D215" s="40"/>
      <c r="R215" s="1"/>
      <c r="S215" s="42"/>
      <c r="T215" s="42"/>
      <c r="U215" s="42"/>
      <c r="V215" s="42"/>
      <c r="W215" s="42"/>
      <c r="X215" s="42"/>
      <c r="Y215" s="42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R215" s="40"/>
      <c r="AS215" s="40"/>
      <c r="AT215" s="40"/>
      <c r="AU215" s="40"/>
      <c r="AV215" s="40"/>
      <c r="AW215" s="40"/>
      <c r="AX215" s="40"/>
      <c r="AY215" s="42"/>
      <c r="AZ215" s="42"/>
      <c r="BA215" s="42"/>
      <c r="BB215" s="28"/>
      <c r="BC215" s="42"/>
      <c r="BD215" s="28"/>
      <c r="BE215" s="42"/>
      <c r="BF215" s="42"/>
      <c r="BG215" s="40"/>
      <c r="BH215" s="40"/>
    </row>
    <row r="216" spans="1:60" s="41" customFormat="1" ht="15.75" x14ac:dyDescent="0.25">
      <c r="A216" s="40"/>
      <c r="B216" s="40"/>
      <c r="C216" s="40"/>
      <c r="D216" s="40"/>
      <c r="R216" s="1"/>
      <c r="S216" s="42"/>
      <c r="T216" s="42"/>
      <c r="U216" s="42"/>
      <c r="V216" s="42"/>
      <c r="W216" s="42"/>
      <c r="X216" s="42"/>
      <c r="Y216" s="42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R216" s="40"/>
      <c r="AS216" s="40"/>
      <c r="AT216" s="40"/>
      <c r="AU216" s="40"/>
      <c r="AV216" s="40"/>
      <c r="AW216" s="40"/>
      <c r="AX216" s="40"/>
      <c r="AY216" s="42"/>
      <c r="AZ216" s="42"/>
      <c r="BA216" s="42"/>
      <c r="BB216" s="28"/>
      <c r="BC216" s="42"/>
      <c r="BD216" s="28"/>
      <c r="BE216" s="42"/>
      <c r="BF216" s="42"/>
      <c r="BG216" s="40"/>
      <c r="BH216" s="40"/>
    </row>
    <row r="217" spans="1:60" s="41" customFormat="1" ht="15.75" x14ac:dyDescent="0.25">
      <c r="A217" s="40"/>
      <c r="B217" s="40"/>
      <c r="C217" s="40"/>
      <c r="D217" s="40"/>
      <c r="R217" s="1"/>
      <c r="S217" s="42"/>
      <c r="T217" s="42"/>
      <c r="U217" s="42"/>
      <c r="V217" s="42"/>
      <c r="W217" s="42"/>
      <c r="X217" s="42"/>
      <c r="Y217" s="42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R217" s="40"/>
      <c r="AS217" s="40"/>
      <c r="AT217" s="40"/>
      <c r="AU217" s="40"/>
      <c r="AV217" s="40"/>
      <c r="AW217" s="40"/>
      <c r="AX217" s="40"/>
      <c r="AY217" s="42"/>
      <c r="AZ217" s="42"/>
      <c r="BA217" s="42"/>
      <c r="BB217" s="28"/>
      <c r="BC217" s="42"/>
      <c r="BD217" s="28"/>
      <c r="BE217" s="42"/>
      <c r="BF217" s="42"/>
      <c r="BG217" s="40"/>
      <c r="BH217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25" style="40" bestFit="1" customWidth="1"/>
    <col min="3" max="3" width="19.7109375" style="40" customWidth="1"/>
    <col min="4" max="4" width="17" style="40" bestFit="1" customWidth="1"/>
    <col min="5" max="5" width="74.28515625" style="41" bestFit="1" customWidth="1"/>
    <col min="6" max="6" width="31.28515625" style="41" customWidth="1" outlineLevel="1"/>
    <col min="7" max="7" width="30" style="41" customWidth="1" outlineLevel="1"/>
    <col min="8" max="8" width="43.140625" style="41" customWidth="1" outlineLevel="1"/>
    <col min="9" max="9" width="7.28515625" style="41" bestFit="1" customWidth="1"/>
    <col min="10" max="10" width="35.140625" style="41" bestFit="1" customWidth="1"/>
    <col min="11" max="11" width="38.8554687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6" width="19" style="41" customWidth="1" outlineLevel="1"/>
    <col min="17" max="17" width="18.85546875" style="41" customWidth="1" outlineLevel="1"/>
    <col min="18" max="18" width="10.140625" style="1" customWidth="1" outlineLevel="1"/>
    <col min="19" max="19" width="11.140625" style="42" customWidth="1" outlineLevel="1"/>
    <col min="20" max="20" width="11" style="42" customWidth="1" outlineLevel="1"/>
    <col min="21" max="21" width="9.8554687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9.28515625" style="40" bestFit="1" customWidth="1"/>
    <col min="35" max="35" width="19.140625" style="40" customWidth="1"/>
    <col min="36" max="36" width="24.5703125" style="41" customWidth="1"/>
    <col min="37" max="37" width="25.85546875" style="41" customWidth="1"/>
    <col min="38" max="38" width="22.85546875" style="41" customWidth="1"/>
    <col min="39" max="40" width="24.5703125" style="41" customWidth="1"/>
    <col min="41" max="41" width="15.85546875" style="41" customWidth="1"/>
    <col min="42" max="42" width="30.7109375" style="41" customWidth="1"/>
    <col min="43" max="43" width="19.1406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29.28515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4.140625" style="42" hidden="1" customWidth="1" outlineLevel="1"/>
    <col min="54" max="54" width="13.28515625" style="28" hidden="1" customWidth="1" outlineLevel="1"/>
    <col min="55" max="55" width="13.28515625" style="42" hidden="1" customWidth="1" outlineLevel="1"/>
    <col min="56" max="56" width="13" style="28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SUM(AA3:AA56)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55" t="s">
        <v>0</v>
      </c>
      <c r="BA1" s="56"/>
      <c r="BB1" s="56"/>
      <c r="BC1" s="56"/>
      <c r="BD1" s="56"/>
      <c r="BE1" s="56"/>
      <c r="BF1" s="56"/>
    </row>
    <row r="2" spans="1:16379" s="9" customFormat="1" ht="54" customHeight="1" x14ac:dyDescent="0.25">
      <c r="A2" s="44" t="s">
        <v>1</v>
      </c>
      <c r="B2" s="6" t="s">
        <v>2</v>
      </c>
      <c r="C2" s="7" t="s">
        <v>3</v>
      </c>
      <c r="D2" s="35" t="s">
        <v>93</v>
      </c>
      <c r="E2" s="44" t="s">
        <v>4</v>
      </c>
      <c r="F2" s="44" t="s">
        <v>116</v>
      </c>
      <c r="G2" s="44" t="s">
        <v>5</v>
      </c>
      <c r="H2" s="44" t="s">
        <v>6</v>
      </c>
      <c r="I2" s="44" t="s">
        <v>7</v>
      </c>
      <c r="J2" s="44" t="s">
        <v>117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115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111</v>
      </c>
      <c r="AC2" s="46" t="s">
        <v>112</v>
      </c>
      <c r="AD2" s="46" t="s">
        <v>113</v>
      </c>
      <c r="AE2" s="46" t="s">
        <v>114</v>
      </c>
      <c r="AF2" s="46" t="s">
        <v>23</v>
      </c>
      <c r="AG2" s="46" t="s">
        <v>24</v>
      </c>
      <c r="AH2" s="45" t="s">
        <v>25</v>
      </c>
      <c r="AI2" s="38" t="s">
        <v>109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8" t="s">
        <v>43</v>
      </c>
      <c r="BC2" s="45" t="s">
        <v>44</v>
      </c>
      <c r="BD2" s="8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4" customFormat="1" ht="15.75" x14ac:dyDescent="0.25">
      <c r="A3" s="10"/>
      <c r="B3" s="10" t="s">
        <v>66</v>
      </c>
      <c r="C3" s="49"/>
      <c r="D3" s="33" t="s">
        <v>135</v>
      </c>
      <c r="E3" s="12" t="s">
        <v>152</v>
      </c>
      <c r="F3" s="12" t="s">
        <v>153</v>
      </c>
      <c r="G3" s="12" t="s">
        <v>180</v>
      </c>
      <c r="H3" s="12" t="s">
        <v>118</v>
      </c>
      <c r="I3" s="12">
        <f t="shared" ref="I3:I4" si="0">LEN(F3)</f>
        <v>12</v>
      </c>
      <c r="J3" s="12" t="str">
        <f t="shared" ref="J3:J4" si="1">IF(LEN(F3)&lt;=$J$1,F3,"")</f>
        <v>Ввод_функции</v>
      </c>
      <c r="K3" s="10" t="s">
        <v>123</v>
      </c>
      <c r="L3" s="29" t="s">
        <v>57</v>
      </c>
      <c r="M3" s="49" t="s">
        <v>50</v>
      </c>
      <c r="N3" s="49" t="s">
        <v>50</v>
      </c>
      <c r="O3" s="49"/>
      <c r="P3" s="30">
        <v>0</v>
      </c>
      <c r="Q3" s="30"/>
      <c r="R3" s="49" t="s">
        <v>58</v>
      </c>
      <c r="S3" s="49">
        <v>0</v>
      </c>
      <c r="T3" s="49">
        <v>1</v>
      </c>
      <c r="U3" s="49">
        <v>1</v>
      </c>
      <c r="V3" s="49"/>
      <c r="W3" s="49"/>
      <c r="X3" s="49">
        <v>0</v>
      </c>
      <c r="Y3" s="49">
        <v>0</v>
      </c>
      <c r="Z3" s="13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48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>BIN2DEC(CONCATENATE(0,0,0,0,AR3,AS3,AT3,AU3))</f>
        <v>0</v>
      </c>
      <c r="AW3" s="11" t="s">
        <v>119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4" customFormat="1" ht="15.75" customHeight="1" x14ac:dyDescent="0.25">
      <c r="A4" s="10"/>
      <c r="B4" s="10" t="s">
        <v>66</v>
      </c>
      <c r="C4" s="49"/>
      <c r="D4" s="33" t="s">
        <v>135</v>
      </c>
      <c r="E4" s="12" t="s">
        <v>98</v>
      </c>
      <c r="F4" s="12" t="s">
        <v>99</v>
      </c>
      <c r="G4" s="12" t="s">
        <v>183</v>
      </c>
      <c r="H4" s="12"/>
      <c r="I4" s="12">
        <f t="shared" si="0"/>
        <v>3</v>
      </c>
      <c r="J4" s="12" t="str">
        <f t="shared" si="1"/>
        <v>Uср</v>
      </c>
      <c r="K4" s="10" t="s">
        <v>160</v>
      </c>
      <c r="L4" s="21" t="s">
        <v>59</v>
      </c>
      <c r="M4" s="49" t="s">
        <v>50</v>
      </c>
      <c r="N4" s="49" t="s">
        <v>50</v>
      </c>
      <c r="O4" s="49"/>
      <c r="P4" s="30">
        <v>0</v>
      </c>
      <c r="Q4" s="30"/>
      <c r="R4" s="49" t="s">
        <v>100</v>
      </c>
      <c r="S4" s="49">
        <v>2</v>
      </c>
      <c r="T4" s="49">
        <v>100</v>
      </c>
      <c r="U4" s="49" t="s">
        <v>172</v>
      </c>
      <c r="V4" s="49"/>
      <c r="W4" s="49"/>
      <c r="X4" s="49">
        <v>6</v>
      </c>
      <c r="Y4" s="49">
        <v>0</v>
      </c>
      <c r="Z4" s="13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 t="s">
        <v>168</v>
      </c>
      <c r="AJ4" s="11" t="s">
        <v>164</v>
      </c>
      <c r="AK4" s="11" t="s">
        <v>67</v>
      </c>
      <c r="AL4" s="11" t="s">
        <v>68</v>
      </c>
      <c r="AM4" s="11" t="s">
        <v>59</v>
      </c>
      <c r="AN4" s="11"/>
      <c r="AO4" s="11" t="s">
        <v>176</v>
      </c>
      <c r="AP4" s="14" t="str">
        <f t="shared" ref="AP4:AP5" si="2">CONCATENATE(AJ4, ".", AL4)</f>
        <v>PTUV1.StrValU.setMag.f</v>
      </c>
      <c r="AQ4" s="11" t="s">
        <v>55</v>
      </c>
      <c r="AR4" s="11">
        <v>0</v>
      </c>
      <c r="AS4" s="11">
        <v>0</v>
      </c>
      <c r="AT4" s="11">
        <v>0</v>
      </c>
      <c r="AU4" s="11">
        <v>0</v>
      </c>
      <c r="AV4" s="11">
        <f t="shared" ref="AV4" si="3">BIN2DEC(CONCATENATE(0,0,0,0,AR4,AS4,AT4,AU4))</f>
        <v>0</v>
      </c>
      <c r="AW4" s="11"/>
      <c r="AX4" s="11"/>
      <c r="AY4" s="15"/>
      <c r="AZ4" s="16"/>
      <c r="BA4" s="16"/>
      <c r="BB4" s="16"/>
      <c r="BC4" s="16"/>
      <c r="BD4" s="16"/>
      <c r="BE4" s="16"/>
      <c r="BF4" s="16"/>
      <c r="BG4" s="1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6, eventRegistration: 0</v>
      </c>
    </row>
    <row r="5" spans="1:16379" s="54" customFormat="1" ht="15.75" customHeight="1" x14ac:dyDescent="0.25">
      <c r="A5" s="10"/>
      <c r="B5" s="10" t="s">
        <v>66</v>
      </c>
      <c r="C5" s="49"/>
      <c r="D5" s="33" t="s">
        <v>135</v>
      </c>
      <c r="E5" s="12" t="s">
        <v>161</v>
      </c>
      <c r="F5" s="12" t="s">
        <v>162</v>
      </c>
      <c r="G5" s="12" t="s">
        <v>184</v>
      </c>
      <c r="H5" s="12"/>
      <c r="I5" s="12">
        <f t="shared" ref="I5" si="4">LEN(F5)</f>
        <v>4</v>
      </c>
      <c r="J5" s="12" t="str">
        <f t="shared" ref="J5" si="5">IF(LEN(F5)&lt;=$J$1,F5,"")</f>
        <v>U2ср</v>
      </c>
      <c r="K5" s="10" t="s">
        <v>163</v>
      </c>
      <c r="L5" s="21" t="s">
        <v>59</v>
      </c>
      <c r="M5" s="49" t="s">
        <v>50</v>
      </c>
      <c r="N5" s="49" t="s">
        <v>50</v>
      </c>
      <c r="O5" s="49"/>
      <c r="P5" s="30">
        <v>0</v>
      </c>
      <c r="Q5" s="30"/>
      <c r="R5" s="49" t="s">
        <v>100</v>
      </c>
      <c r="S5" s="49">
        <v>2</v>
      </c>
      <c r="T5" s="49">
        <v>50</v>
      </c>
      <c r="U5" s="49" t="s">
        <v>172</v>
      </c>
      <c r="V5" s="49"/>
      <c r="W5" s="49"/>
      <c r="X5" s="49">
        <v>6</v>
      </c>
      <c r="Y5" s="49">
        <v>0</v>
      </c>
      <c r="Z5" s="13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 t="s">
        <v>168</v>
      </c>
      <c r="AJ5" s="11" t="s">
        <v>165</v>
      </c>
      <c r="AK5" s="11" t="s">
        <v>67</v>
      </c>
      <c r="AL5" s="11" t="s">
        <v>68</v>
      </c>
      <c r="AM5" s="11" t="s">
        <v>59</v>
      </c>
      <c r="AN5" s="11"/>
      <c r="AO5" s="11" t="s">
        <v>176</v>
      </c>
      <c r="AP5" s="14" t="str">
        <f t="shared" si="2"/>
        <v>PTUV1.StrValU2.setMag.f</v>
      </c>
      <c r="AQ5" s="11" t="s">
        <v>55</v>
      </c>
      <c r="AR5" s="11">
        <v>0</v>
      </c>
      <c r="AS5" s="11">
        <v>0</v>
      </c>
      <c r="AT5" s="11">
        <v>0</v>
      </c>
      <c r="AU5" s="11">
        <v>0</v>
      </c>
      <c r="AV5" s="11">
        <f t="shared" ref="AV5" si="6">BIN2DEC(CONCATENATE(0,0,0,0,AR5,AS5,AT5,AU5))</f>
        <v>0</v>
      </c>
      <c r="AW5" s="11"/>
      <c r="AX5" s="11"/>
      <c r="AY5" s="15"/>
      <c r="AZ5" s="16"/>
      <c r="BA5" s="16"/>
      <c r="BB5" s="16"/>
      <c r="BC5" s="16"/>
      <c r="BD5" s="16"/>
      <c r="BE5" s="16"/>
      <c r="BF5" s="16"/>
      <c r="BG5" s="1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54" customFormat="1" ht="15.75" customHeight="1" x14ac:dyDescent="0.25">
      <c r="A6" s="10"/>
      <c r="B6" s="10" t="s">
        <v>66</v>
      </c>
      <c r="C6" s="49"/>
      <c r="D6" s="33" t="s">
        <v>135</v>
      </c>
      <c r="E6" s="12" t="s">
        <v>178</v>
      </c>
      <c r="F6" s="12" t="s">
        <v>179</v>
      </c>
      <c r="G6" s="12" t="s">
        <v>181</v>
      </c>
      <c r="H6" s="12" t="s">
        <v>154</v>
      </c>
      <c r="I6" s="12">
        <f>LEN(F6)</f>
        <v>9</v>
      </c>
      <c r="J6" s="12" t="str">
        <f>IF(LEN(F6)&lt;=$J$1,F6,"")</f>
        <v>Реж_пуска</v>
      </c>
      <c r="K6" s="10" t="s">
        <v>155</v>
      </c>
      <c r="L6" s="29" t="s">
        <v>57</v>
      </c>
      <c r="M6" s="49" t="s">
        <v>50</v>
      </c>
      <c r="N6" s="49" t="s">
        <v>50</v>
      </c>
      <c r="O6" s="49"/>
      <c r="P6" s="30">
        <v>0</v>
      </c>
      <c r="Q6" s="30"/>
      <c r="R6" s="49" t="s">
        <v>58</v>
      </c>
      <c r="S6" s="49">
        <v>0</v>
      </c>
      <c r="T6" s="49">
        <v>1</v>
      </c>
      <c r="U6" s="49">
        <v>1</v>
      </c>
      <c r="V6" s="49"/>
      <c r="W6" s="49"/>
      <c r="X6" s="49">
        <v>0</v>
      </c>
      <c r="Y6" s="49">
        <v>0</v>
      </c>
      <c r="Z6" s="13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48"/>
      <c r="AJ6" s="11"/>
      <c r="AK6" s="11"/>
      <c r="AL6" s="11"/>
      <c r="AM6" s="11"/>
      <c r="AN6" s="11"/>
      <c r="AO6" s="11"/>
      <c r="AP6" s="14"/>
      <c r="AQ6" s="11"/>
      <c r="AR6" s="11">
        <v>0</v>
      </c>
      <c r="AS6" s="11">
        <v>0</v>
      </c>
      <c r="AT6" s="11">
        <v>0</v>
      </c>
      <c r="AU6" s="11">
        <v>0</v>
      </c>
      <c r="AV6" s="11">
        <f>BIN2DEC(CONCATENATE(0,0,0,0,AR6,AS6,AT6,AU6))</f>
        <v>0</v>
      </c>
      <c r="AW6" s="11" t="s">
        <v>166</v>
      </c>
      <c r="AX6" s="11"/>
      <c r="AY6" s="15"/>
      <c r="AZ6" s="16"/>
      <c r="BA6" s="16"/>
      <c r="BB6" s="16"/>
      <c r="BC6" s="16"/>
      <c r="BD6" s="16"/>
      <c r="BE6" s="16"/>
      <c r="BF6" s="16"/>
      <c r="BG6" s="1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"Реж_пуска", note: "Режим пуска", group: "setting", minValue: 0, maxValue: 1, step: 1, units: "null", defaultValue: 0, eventRegistration: 0</v>
      </c>
    </row>
    <row r="7" spans="1:16379" s="54" customFormat="1" ht="15.75" customHeight="1" x14ac:dyDescent="0.25">
      <c r="A7" s="10"/>
      <c r="B7" s="10" t="s">
        <v>66</v>
      </c>
      <c r="C7" s="49"/>
      <c r="D7" s="33" t="s">
        <v>135</v>
      </c>
      <c r="E7" s="12" t="s">
        <v>156</v>
      </c>
      <c r="F7" s="12" t="s">
        <v>157</v>
      </c>
      <c r="G7" s="12" t="s">
        <v>182</v>
      </c>
      <c r="H7" s="12" t="s">
        <v>158</v>
      </c>
      <c r="I7" s="12">
        <f t="shared" ref="I7" si="7">LEN(F7)</f>
        <v>7</v>
      </c>
      <c r="J7" s="12" t="str">
        <f t="shared" ref="J7" si="8">IF(LEN(F7)&lt;=$J$1,F7,"")</f>
        <v>Реж_БНН</v>
      </c>
      <c r="K7" s="10" t="s">
        <v>159</v>
      </c>
      <c r="L7" s="29" t="s">
        <v>57</v>
      </c>
      <c r="M7" s="49" t="s">
        <v>50</v>
      </c>
      <c r="N7" s="49" t="s">
        <v>50</v>
      </c>
      <c r="O7" s="49"/>
      <c r="P7" s="30">
        <v>0</v>
      </c>
      <c r="Q7" s="30"/>
      <c r="R7" s="49" t="s">
        <v>58</v>
      </c>
      <c r="S7" s="49">
        <v>0</v>
      </c>
      <c r="T7" s="49">
        <v>1</v>
      </c>
      <c r="U7" s="49">
        <v>1</v>
      </c>
      <c r="V7" s="49"/>
      <c r="W7" s="49"/>
      <c r="X7" s="49">
        <v>0</v>
      </c>
      <c r="Y7" s="49">
        <v>0</v>
      </c>
      <c r="Z7" s="13"/>
      <c r="AA7" s="48">
        <v>0</v>
      </c>
      <c r="AB7" s="48"/>
      <c r="AC7" s="48"/>
      <c r="AD7" s="48"/>
      <c r="AE7" s="48"/>
      <c r="AF7" s="48">
        <v>0</v>
      </c>
      <c r="AG7" s="48">
        <v>0</v>
      </c>
      <c r="AH7" s="48">
        <v>0</v>
      </c>
      <c r="AI7" s="48"/>
      <c r="AJ7" s="11"/>
      <c r="AK7" s="11"/>
      <c r="AL7" s="11"/>
      <c r="AM7" s="11"/>
      <c r="AN7" s="11"/>
      <c r="AO7" s="11"/>
      <c r="AP7" s="14"/>
      <c r="AQ7" s="11"/>
      <c r="AR7" s="11">
        <v>0</v>
      </c>
      <c r="AS7" s="11">
        <v>0</v>
      </c>
      <c r="AT7" s="11">
        <v>0</v>
      </c>
      <c r="AU7" s="11">
        <v>0</v>
      </c>
      <c r="AV7" s="11">
        <f t="shared" ref="AV7" si="9">BIN2DEC(CONCATENATE(0,0,0,0,AR7,AS7,AT7,AU7))</f>
        <v>0</v>
      </c>
      <c r="AW7" s="11" t="s">
        <v>167</v>
      </c>
      <c r="AX7" s="11"/>
      <c r="AY7" s="15"/>
      <c r="AZ7" s="16"/>
      <c r="BA7" s="16"/>
      <c r="BB7" s="16"/>
      <c r="BC7" s="16"/>
      <c r="BD7" s="16"/>
      <c r="BE7" s="16"/>
      <c r="BF7" s="16"/>
      <c r="BG7" s="1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"Реж_БНН", note: "Режим контроля от БНН", group: "setting", minValue: 0, maxValue: 1, step: 1, units: "null", defaultValue: 0, eventRegistration: 0</v>
      </c>
    </row>
    <row r="8" spans="1:16379" s="41" customFormat="1" ht="15.75" x14ac:dyDescent="0.25">
      <c r="A8" s="40"/>
      <c r="B8" s="40"/>
      <c r="C8" s="40"/>
      <c r="D8" s="40"/>
      <c r="R8" s="1"/>
      <c r="S8" s="42"/>
      <c r="T8" s="42"/>
      <c r="U8" s="42"/>
      <c r="V8" s="42"/>
      <c r="W8" s="42"/>
      <c r="X8" s="42"/>
      <c r="Y8" s="42"/>
      <c r="Z8" s="40"/>
      <c r="AA8" s="42"/>
      <c r="AB8" s="42"/>
      <c r="AC8" s="42"/>
      <c r="AD8" s="42"/>
      <c r="AE8" s="42"/>
      <c r="AF8" s="42"/>
      <c r="AG8" s="42"/>
      <c r="AH8" s="40"/>
      <c r="AI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28"/>
      <c r="BC8" s="42"/>
      <c r="BD8" s="28"/>
      <c r="BE8" s="42"/>
      <c r="BF8" s="42"/>
      <c r="BG8" s="40"/>
      <c r="BH8" s="40"/>
    </row>
    <row r="9" spans="1:16379" s="41" customFormat="1" ht="15.75" x14ac:dyDescent="0.25">
      <c r="A9" s="40"/>
      <c r="B9" s="40"/>
      <c r="C9" s="40"/>
      <c r="D9" s="40"/>
      <c r="R9" s="1"/>
      <c r="S9" s="42"/>
      <c r="T9" s="42"/>
      <c r="U9" s="42"/>
      <c r="V9" s="42"/>
      <c r="W9" s="42"/>
      <c r="X9" s="42"/>
      <c r="Y9" s="42"/>
      <c r="Z9" s="40"/>
      <c r="AA9" s="42"/>
      <c r="AB9" s="42"/>
      <c r="AC9" s="42"/>
      <c r="AD9" s="42"/>
      <c r="AE9" s="42"/>
      <c r="AF9" s="42"/>
      <c r="AG9" s="42"/>
      <c r="AH9" s="40"/>
      <c r="AI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28"/>
      <c r="BC9" s="42"/>
      <c r="BD9" s="28"/>
      <c r="BE9" s="42"/>
      <c r="BF9" s="42"/>
      <c r="BG9" s="40"/>
      <c r="BH9" s="40"/>
    </row>
    <row r="10" spans="1:16379" s="41" customFormat="1" ht="15.75" x14ac:dyDescent="0.25">
      <c r="A10" s="40"/>
      <c r="B10" s="40"/>
      <c r="C10" s="40"/>
      <c r="D10" s="40"/>
      <c r="R10" s="1"/>
      <c r="S10" s="42"/>
      <c r="T10" s="42"/>
      <c r="U10" s="42"/>
      <c r="V10" s="42"/>
      <c r="W10" s="42"/>
      <c r="X10" s="42"/>
      <c r="Y10" s="42"/>
      <c r="Z10" s="40"/>
      <c r="AA10" s="42"/>
      <c r="AB10" s="42"/>
      <c r="AC10" s="42"/>
      <c r="AD10" s="42"/>
      <c r="AE10" s="42"/>
      <c r="AF10" s="42"/>
      <c r="AG10" s="42"/>
      <c r="AH10" s="40"/>
      <c r="AI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28"/>
      <c r="BC10" s="42"/>
      <c r="BD10" s="28"/>
      <c r="BE10" s="42"/>
      <c r="BF10" s="42"/>
      <c r="BG10" s="40"/>
      <c r="BH10" s="40"/>
    </row>
    <row r="11" spans="1:16379" s="41" customFormat="1" ht="15.75" x14ac:dyDescent="0.25">
      <c r="A11" s="40"/>
      <c r="B11" s="40"/>
      <c r="C11" s="40"/>
      <c r="D11" s="40"/>
      <c r="R11" s="1"/>
      <c r="S11" s="42"/>
      <c r="T11" s="42"/>
      <c r="U11" s="42"/>
      <c r="V11" s="42"/>
      <c r="W11" s="42"/>
      <c r="X11" s="42"/>
      <c r="Y11" s="42"/>
      <c r="Z11" s="40"/>
      <c r="AA11" s="42"/>
      <c r="AB11" s="42"/>
      <c r="AC11" s="42"/>
      <c r="AD11" s="42"/>
      <c r="AE11" s="42"/>
      <c r="AF11" s="42"/>
      <c r="AG11" s="42"/>
      <c r="AH11" s="40"/>
      <c r="AI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28"/>
      <c r="BC11" s="42"/>
      <c r="BD11" s="28"/>
      <c r="BE11" s="42"/>
      <c r="BF11" s="42"/>
      <c r="BG11" s="40"/>
      <c r="BH11" s="40"/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28"/>
      <c r="BC12" s="42"/>
      <c r="BD12" s="28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28"/>
      <c r="BC13" s="42"/>
      <c r="BD13" s="28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28"/>
      <c r="BC14" s="42"/>
      <c r="BD14" s="28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28"/>
      <c r="BC15" s="42"/>
      <c r="BD15" s="28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28"/>
      <c r="BC16" s="42"/>
      <c r="BD16" s="28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28"/>
      <c r="BC17" s="42"/>
      <c r="BD17" s="28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28"/>
      <c r="BC18" s="42"/>
      <c r="BD18" s="28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28"/>
      <c r="BC19" s="42"/>
      <c r="BD19" s="28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28"/>
      <c r="BC20" s="42"/>
      <c r="BD20" s="28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28"/>
      <c r="BC21" s="42"/>
      <c r="BD21" s="28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28"/>
      <c r="BC22" s="42"/>
      <c r="BD22" s="28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28"/>
      <c r="BC23" s="42"/>
      <c r="BD23" s="28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28"/>
      <c r="BC24" s="42"/>
      <c r="BD24" s="28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28"/>
      <c r="BC25" s="42"/>
      <c r="BD25" s="28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28"/>
      <c r="BC26" s="42"/>
      <c r="BD26" s="28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28"/>
      <c r="BC27" s="42"/>
      <c r="BD27" s="28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28"/>
      <c r="BC28" s="42"/>
      <c r="BD28" s="28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28"/>
      <c r="BC29" s="42"/>
      <c r="BD29" s="28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28"/>
      <c r="BC30" s="42"/>
      <c r="BD30" s="28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28"/>
      <c r="BC31" s="42"/>
      <c r="BD31" s="28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28"/>
      <c r="BC32" s="42"/>
      <c r="BD32" s="28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28"/>
      <c r="BC33" s="42"/>
      <c r="BD33" s="28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28"/>
      <c r="BC34" s="42"/>
      <c r="BD34" s="28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28"/>
      <c r="BC35" s="42"/>
      <c r="BD35" s="28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28"/>
      <c r="BC36" s="42"/>
      <c r="BD36" s="28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28"/>
      <c r="BC37" s="42"/>
      <c r="BD37" s="28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28"/>
      <c r="BC38" s="42"/>
      <c r="BD38" s="28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28"/>
      <c r="BC39" s="42"/>
      <c r="BD39" s="28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28"/>
      <c r="BC40" s="42"/>
      <c r="BD40" s="28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28"/>
      <c r="BC41" s="42"/>
      <c r="BD41" s="28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28"/>
      <c r="BC42" s="42"/>
      <c r="BD42" s="28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28"/>
      <c r="BC43" s="42"/>
      <c r="BD43" s="28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28"/>
      <c r="BC44" s="42"/>
      <c r="BD44" s="28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28"/>
      <c r="BC45" s="42"/>
      <c r="BD45" s="28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28"/>
      <c r="BC46" s="42"/>
      <c r="BD46" s="28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28"/>
      <c r="BC47" s="42"/>
      <c r="BD47" s="28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28"/>
      <c r="BC48" s="42"/>
      <c r="BD48" s="28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28"/>
      <c r="BC49" s="42"/>
      <c r="BD49" s="28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28"/>
      <c r="BC50" s="42"/>
      <c r="BD50" s="28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28"/>
      <c r="BC51" s="42"/>
      <c r="BD51" s="28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28"/>
      <c r="BC52" s="42"/>
      <c r="BD52" s="28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28"/>
      <c r="BC53" s="42"/>
      <c r="BD53" s="28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28"/>
      <c r="BC54" s="42"/>
      <c r="BD54" s="28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28"/>
      <c r="BC55" s="42"/>
      <c r="BD55" s="28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28"/>
      <c r="BC56" s="42"/>
      <c r="BD56" s="28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28"/>
      <c r="BC57" s="42"/>
      <c r="BD57" s="28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28"/>
      <c r="BC58" s="42"/>
      <c r="BD58" s="28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28"/>
      <c r="BC59" s="42"/>
      <c r="BD59" s="28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28"/>
      <c r="BC60" s="42"/>
      <c r="BD60" s="28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28"/>
      <c r="BC61" s="42"/>
      <c r="BD61" s="28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28"/>
      <c r="BC62" s="42"/>
      <c r="BD62" s="28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28"/>
      <c r="BC63" s="42"/>
      <c r="BD63" s="28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28"/>
      <c r="BC64" s="42"/>
      <c r="BD64" s="28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28"/>
      <c r="BC65" s="42"/>
      <c r="BD65" s="28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28"/>
      <c r="BC66" s="42"/>
      <c r="BD66" s="28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28"/>
      <c r="BC67" s="42"/>
      <c r="BD67" s="28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28"/>
      <c r="BC68" s="42"/>
      <c r="BD68" s="28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28"/>
      <c r="BC69" s="42"/>
      <c r="BD69" s="28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28"/>
      <c r="BC70" s="42"/>
      <c r="BD70" s="28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28"/>
      <c r="BC71" s="42"/>
      <c r="BD71" s="28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28"/>
      <c r="BC72" s="42"/>
      <c r="BD72" s="28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28"/>
      <c r="BC73" s="42"/>
      <c r="BD73" s="28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28"/>
      <c r="BC74" s="42"/>
      <c r="BD74" s="28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28"/>
      <c r="BC75" s="42"/>
      <c r="BD75" s="28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28"/>
      <c r="BC76" s="42"/>
      <c r="BD76" s="28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28"/>
      <c r="BC77" s="42"/>
      <c r="BD77" s="28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28"/>
      <c r="BC78" s="42"/>
      <c r="BD78" s="28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28"/>
      <c r="BC79" s="42"/>
      <c r="BD79" s="28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28"/>
      <c r="BC80" s="42"/>
      <c r="BD80" s="28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28"/>
      <c r="BC81" s="42"/>
      <c r="BD81" s="28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28"/>
      <c r="BC82" s="42"/>
      <c r="BD82" s="28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28"/>
      <c r="BC83" s="42"/>
      <c r="BD83" s="28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28"/>
      <c r="BC84" s="42"/>
      <c r="BD84" s="28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28"/>
      <c r="BC85" s="42"/>
      <c r="BD85" s="28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28"/>
      <c r="BC86" s="42"/>
      <c r="BD86" s="28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28"/>
      <c r="BC87" s="42"/>
      <c r="BD87" s="28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28"/>
      <c r="BC88" s="42"/>
      <c r="BD88" s="28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28"/>
      <c r="BC89" s="42"/>
      <c r="BD89" s="28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28"/>
      <c r="BC90" s="42"/>
      <c r="BD90" s="28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28"/>
      <c r="BC91" s="42"/>
      <c r="BD91" s="28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28"/>
      <c r="BC92" s="42"/>
      <c r="BD92" s="28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28"/>
      <c r="BC93" s="42"/>
      <c r="BD93" s="28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28"/>
      <c r="BC94" s="42"/>
      <c r="BD94" s="28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28"/>
      <c r="BC95" s="42"/>
      <c r="BD95" s="28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28"/>
      <c r="BC96" s="42"/>
      <c r="BD96" s="28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28"/>
      <c r="BC97" s="42"/>
      <c r="BD97" s="28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28"/>
      <c r="BC98" s="42"/>
      <c r="BD98" s="28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28"/>
      <c r="BC99" s="42"/>
      <c r="BD99" s="28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28"/>
      <c r="BC100" s="42"/>
      <c r="BD100" s="28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28"/>
      <c r="BC101" s="42"/>
      <c r="BD101" s="28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28"/>
      <c r="BC102" s="42"/>
      <c r="BD102" s="28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28"/>
      <c r="BC103" s="42"/>
      <c r="BD103" s="28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28"/>
      <c r="BC104" s="42"/>
      <c r="BD104" s="28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28"/>
      <c r="BC105" s="42"/>
      <c r="BD105" s="28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28"/>
      <c r="BC106" s="42"/>
      <c r="BD106" s="28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28"/>
      <c r="BC107" s="42"/>
      <c r="BD107" s="28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28"/>
      <c r="BC108" s="42"/>
      <c r="BD108" s="28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28"/>
      <c r="BC109" s="42"/>
      <c r="BD109" s="28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28"/>
      <c r="BC110" s="42"/>
      <c r="BD110" s="28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28"/>
      <c r="BC111" s="42"/>
      <c r="BD111" s="28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28"/>
      <c r="BC112" s="42"/>
      <c r="BD112" s="28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28"/>
      <c r="BC113" s="42"/>
      <c r="BD113" s="28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28"/>
      <c r="BC114" s="42"/>
      <c r="BD114" s="28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28"/>
      <c r="BC115" s="42"/>
      <c r="BD115" s="28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28"/>
      <c r="BC116" s="42"/>
      <c r="BD116" s="28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28"/>
      <c r="BC117" s="42"/>
      <c r="BD117" s="28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28"/>
      <c r="BC118" s="42"/>
      <c r="BD118" s="28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28"/>
      <c r="BC119" s="42"/>
      <c r="BD119" s="28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28"/>
      <c r="BC120" s="42"/>
      <c r="BD120" s="28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28"/>
      <c r="BC121" s="42"/>
      <c r="BD121" s="28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28"/>
      <c r="BC122" s="42"/>
      <c r="BD122" s="28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28"/>
      <c r="BC123" s="42"/>
      <c r="BD123" s="28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28"/>
      <c r="BC124" s="42"/>
      <c r="BD124" s="28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28"/>
      <c r="BC125" s="42"/>
      <c r="BD125" s="28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28"/>
      <c r="BC126" s="42"/>
      <c r="BD126" s="28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28"/>
      <c r="BC127" s="42"/>
      <c r="BD127" s="28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28"/>
      <c r="BC128" s="42"/>
      <c r="BD128" s="28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28"/>
      <c r="BC129" s="42"/>
      <c r="BD129" s="28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28"/>
      <c r="BC130" s="42"/>
      <c r="BD130" s="28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28"/>
      <c r="BC131" s="42"/>
      <c r="BD131" s="28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28"/>
      <c r="BC132" s="42"/>
      <c r="BD132" s="28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28"/>
      <c r="BC133" s="42"/>
      <c r="BD133" s="28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28"/>
      <c r="BC134" s="42"/>
      <c r="BD134" s="28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28"/>
      <c r="BC135" s="42"/>
      <c r="BD135" s="28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28"/>
      <c r="BC136" s="42"/>
      <c r="BD136" s="28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28"/>
      <c r="BC137" s="42"/>
      <c r="BD137" s="28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28"/>
      <c r="BC138" s="42"/>
      <c r="BD138" s="28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28"/>
      <c r="BC139" s="42"/>
      <c r="BD139" s="28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28"/>
      <c r="BC140" s="42"/>
      <c r="BD140" s="28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28"/>
      <c r="BC141" s="42"/>
      <c r="BD141" s="28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28"/>
      <c r="BC142" s="42"/>
      <c r="BD142" s="28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28"/>
      <c r="BC143" s="42"/>
      <c r="BD143" s="28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28"/>
      <c r="BC144" s="42"/>
      <c r="BD144" s="28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28"/>
      <c r="BC145" s="42"/>
      <c r="BD145" s="28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28"/>
      <c r="BC146" s="42"/>
      <c r="BD146" s="28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28"/>
      <c r="BC147" s="42"/>
      <c r="BD147" s="28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28"/>
      <c r="BC148" s="42"/>
      <c r="BD148" s="28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28"/>
      <c r="BC149" s="42"/>
      <c r="BD149" s="28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28"/>
      <c r="BC150" s="42"/>
      <c r="BD150" s="28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28"/>
      <c r="BC151" s="42"/>
      <c r="BD151" s="28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28"/>
      <c r="BC152" s="42"/>
      <c r="BD152" s="28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28"/>
      <c r="BC153" s="42"/>
      <c r="BD153" s="28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28"/>
      <c r="BC154" s="42"/>
      <c r="BD154" s="28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28"/>
      <c r="BC155" s="42"/>
      <c r="BD155" s="28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28"/>
      <c r="BC156" s="42"/>
      <c r="BD156" s="28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28"/>
      <c r="BC157" s="42"/>
      <c r="BD157" s="28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28"/>
      <c r="BC158" s="42"/>
      <c r="BD158" s="28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28"/>
      <c r="BC159" s="42"/>
      <c r="BD159" s="28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28"/>
      <c r="BC160" s="42"/>
      <c r="BD160" s="28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0"/>
      <c r="AS161" s="40"/>
      <c r="AT161" s="40"/>
      <c r="AU161" s="40"/>
      <c r="AV161" s="40"/>
      <c r="AW161" s="40"/>
      <c r="AX161" s="40"/>
      <c r="AY161" s="42"/>
      <c r="AZ161" s="42"/>
      <c r="BA161" s="42"/>
      <c r="BB161" s="28"/>
      <c r="BC161" s="42"/>
      <c r="BD161" s="28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0"/>
      <c r="AR162" s="40"/>
      <c r="AS162" s="40"/>
      <c r="AT162" s="40"/>
      <c r="AU162" s="40"/>
      <c r="AV162" s="40"/>
      <c r="AW162" s="40"/>
      <c r="AX162" s="40"/>
      <c r="AY162" s="42"/>
      <c r="AZ162" s="42"/>
      <c r="BA162" s="42"/>
      <c r="BB162" s="28"/>
      <c r="BC162" s="42"/>
      <c r="BD162" s="28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0"/>
      <c r="AR163" s="40"/>
      <c r="AS163" s="40"/>
      <c r="AT163" s="40"/>
      <c r="AU163" s="40"/>
      <c r="AV163" s="40"/>
      <c r="AW163" s="40"/>
      <c r="AX163" s="40"/>
      <c r="AY163" s="42"/>
      <c r="AZ163" s="42"/>
      <c r="BA163" s="42"/>
      <c r="BB163" s="28"/>
      <c r="BC163" s="42"/>
      <c r="BD163" s="28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0"/>
      <c r="AR164" s="40"/>
      <c r="AS164" s="40"/>
      <c r="AT164" s="40"/>
      <c r="AU164" s="40"/>
      <c r="AV164" s="40"/>
      <c r="AW164" s="40"/>
      <c r="AX164" s="40"/>
      <c r="AY164" s="42"/>
      <c r="AZ164" s="42"/>
      <c r="BA164" s="42"/>
      <c r="BB164" s="28"/>
      <c r="BC164" s="42"/>
      <c r="BD164" s="28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0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28"/>
      <c r="BC165" s="42"/>
      <c r="BD165" s="28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28"/>
      <c r="BC166" s="42"/>
      <c r="BD166" s="28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28"/>
      <c r="BC167" s="42"/>
      <c r="BD167" s="28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28"/>
      <c r="BC168" s="42"/>
      <c r="BD168" s="28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28"/>
      <c r="BC169" s="42"/>
      <c r="BD169" s="28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28"/>
      <c r="BC170" s="42"/>
      <c r="BD170" s="28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28"/>
      <c r="BC171" s="42"/>
      <c r="BD171" s="28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28"/>
      <c r="BC172" s="42"/>
      <c r="BD172" s="28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28"/>
      <c r="BC173" s="42"/>
      <c r="BD173" s="28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28"/>
      <c r="BC174" s="42"/>
      <c r="BD174" s="28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28"/>
      <c r="BC175" s="42"/>
      <c r="BD175" s="28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28"/>
      <c r="BC176" s="42"/>
      <c r="BD176" s="28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28"/>
      <c r="BC177" s="42"/>
      <c r="BD177" s="28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28"/>
      <c r="BC178" s="42"/>
      <c r="BD178" s="28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28"/>
      <c r="BC179" s="42"/>
      <c r="BD179" s="28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28"/>
      <c r="BC180" s="42"/>
      <c r="BD180" s="28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28"/>
      <c r="BC181" s="42"/>
      <c r="BD181" s="28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28"/>
      <c r="BC182" s="42"/>
      <c r="BD182" s="28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28"/>
      <c r="BC183" s="42"/>
      <c r="BD183" s="28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28"/>
      <c r="BC184" s="42"/>
      <c r="BD184" s="28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28"/>
      <c r="BC185" s="42"/>
      <c r="BD185" s="28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28"/>
      <c r="BC186" s="42"/>
      <c r="BD186" s="28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28"/>
      <c r="BC187" s="42"/>
      <c r="BD187" s="28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28"/>
      <c r="BC188" s="42"/>
      <c r="BD188" s="28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28"/>
      <c r="BC189" s="42"/>
      <c r="BD189" s="28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28"/>
      <c r="BC190" s="42"/>
      <c r="BD190" s="28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28"/>
      <c r="BC191" s="42"/>
      <c r="BD191" s="28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28"/>
      <c r="BC192" s="42"/>
      <c r="BD192" s="28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28"/>
      <c r="BC193" s="42"/>
      <c r="BD193" s="28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28"/>
      <c r="BC194" s="42"/>
      <c r="BD194" s="28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28"/>
      <c r="BC195" s="42"/>
      <c r="BD195" s="28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28"/>
      <c r="BC196" s="42"/>
      <c r="BD196" s="28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28"/>
      <c r="BC197" s="42"/>
      <c r="BD197" s="28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28"/>
      <c r="BC198" s="42"/>
      <c r="BD198" s="28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28"/>
      <c r="BC199" s="42"/>
      <c r="BD199" s="28"/>
      <c r="BE199" s="42"/>
      <c r="BF199" s="42"/>
      <c r="BG199" s="40"/>
      <c r="BH199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.75" x14ac:dyDescent="0.25"/>
  <cols>
    <col min="1" max="1" width="22.42578125" style="54" customWidth="1"/>
    <col min="2" max="2" width="59.7109375" style="54" customWidth="1"/>
    <col min="3" max="16384" width="9.140625" style="54"/>
  </cols>
  <sheetData>
    <row r="2" spans="1:2" x14ac:dyDescent="0.25">
      <c r="A2" s="44" t="s">
        <v>70</v>
      </c>
      <c r="B2" s="44" t="s">
        <v>71</v>
      </c>
    </row>
    <row r="3" spans="1:2" x14ac:dyDescent="0.25">
      <c r="A3" s="25" t="s">
        <v>72</v>
      </c>
      <c r="B3" s="31" t="s">
        <v>135</v>
      </c>
    </row>
    <row r="4" spans="1:2" x14ac:dyDescent="0.25">
      <c r="A4" s="25" t="s">
        <v>73</v>
      </c>
      <c r="B4" s="32">
        <v>470</v>
      </c>
    </row>
    <row r="5" spans="1:2" x14ac:dyDescent="0.25">
      <c r="A5" s="25" t="s">
        <v>82</v>
      </c>
      <c r="B5" s="31" t="s">
        <v>50</v>
      </c>
    </row>
    <row r="6" spans="1:2" x14ac:dyDescent="0.25">
      <c r="A6" s="25" t="s">
        <v>97</v>
      </c>
      <c r="B6" s="57" t="s">
        <v>185</v>
      </c>
    </row>
    <row r="7" spans="1:2" x14ac:dyDescent="0.25">
      <c r="A7" s="25" t="s">
        <v>177</v>
      </c>
      <c r="B7" s="31">
        <v>1</v>
      </c>
    </row>
    <row r="8" spans="1:2" x14ac:dyDescent="0.25">
      <c r="A8" s="58" t="s">
        <v>186</v>
      </c>
      <c r="B8" s="58" t="s">
        <v>188</v>
      </c>
    </row>
    <row r="9" spans="1:2" x14ac:dyDescent="0.25">
      <c r="A9" s="58" t="s">
        <v>187</v>
      </c>
      <c r="B9" s="58"/>
    </row>
    <row r="10" spans="1:2" x14ac:dyDescent="0.25">
      <c r="A10" s="59" t="s">
        <v>135</v>
      </c>
      <c r="B10" s="54" t="s">
        <v>188</v>
      </c>
    </row>
    <row r="11" spans="1:2" x14ac:dyDescent="0.25">
      <c r="A11" s="58" t="s">
        <v>187</v>
      </c>
      <c r="B11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2025-09-22T06:21:13Z</dcterms:modified>
</cp:coreProperties>
</file>