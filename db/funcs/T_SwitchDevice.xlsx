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2" i="4" l="1"/>
  <c r="AW12" i="4"/>
  <c r="K12" i="4"/>
  <c r="J12" i="4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AW4" i="4"/>
  <c r="K4" i="4"/>
  <c r="J4" i="4"/>
  <c r="BH3" i="4"/>
  <c r="AW3" i="4"/>
  <c r="K3" i="4"/>
  <c r="J3" i="4"/>
  <c r="AI1" i="4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<sst xmlns="http://schemas.openxmlformats.org/spreadsheetml/2006/main" count="649" uniqueCount="199">
  <si>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</si>
  <si>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</si>
  <si>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</si>
  <si>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</si>
  <si>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</si>
  <si>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</si>
  <si>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</si>
  <si>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</si>
  <si>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</si>
  <si>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</si>
  <si>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</si>
  <si>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</si>
  <si>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</si>
  <si>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</si>
  <si>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</si>
  <si>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</si>
  <si>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</si>
  <si>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</si>
  <si>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</si>
  <si>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</si>
  <si>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</si>
  <si>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</si>
  <si>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</si>
  <si>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</si>
  <si>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</si>
  <si>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</si>
  <si>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</si>
  <si>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</si>
  <si>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</si>
  <si>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</si>
  <si>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</si>
  <si>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</si>
  <si>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</si>
  <si>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</si>
  <si>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</si>
  <si>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</si>
  <si>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</si>
  <si>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</si>
  <si>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</si>
  <si>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</si>
  <si>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</si>
  <si>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</si>
  <si>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</si>
  <si>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</si>
  <si>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</si>
  <si>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</si>
  <si>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</si>
  <si>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</si>
  <si>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</si>
  <si>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</si>
  <si>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</si>
  <si>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</si>
  <si>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</si>
  <si>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</si>
  <si>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</si>
  <si>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</si>
  <si>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</si>
  <si>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</si>
  <si>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</si>
  <si>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</si>
  <si>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</si>
  <si>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</si>
  <si>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</si>
  <si>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</si>
  <si>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</si>
  <si>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</si>
  <si>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</si>
  <si>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</si>
  <si>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</si>
  <si>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</si>
  <si>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</si>
  <si>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</si>
  <si>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</si>
  <si>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</si>
  <si>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</si>
  <si>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</si>
  <si>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Оперативно отключить В</t>
  </si>
  <si>
    <t>Опер. отключить В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</si>
  <si>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</si>
  <si>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</si>
  <si>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</si>
  <si>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</si>
  <si>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</si>
  <si>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</si>
  <si>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</si>
  <si>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</si>
  <si>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</si>
  <si>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Работа ЭМВ</t>
  </si>
  <si>
    <t>CBCSoperation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</si>
  <si>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</si>
  <si>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</si>
  <si>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</si>
  <si>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</si>
  <si>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</si>
  <si>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</si>
  <si>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</si>
  <si>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</si>
  <si>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</si>
  <si>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</si>
  <si>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</si>
  <si>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</si>
  <si>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</si>
  <si>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</si>
  <si>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</si>
  <si>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</si>
  <si>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</si>
  <si>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</si>
  <si>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</si>
  <si>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</si>
  <si>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</si>
  <si>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</si>
  <si>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</si>
  <si>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</si>
  <si>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</si>
  <si>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</si>
  <si>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</si>
  <si>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</si>
  <si>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</si>
  <si>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</si>
  <si>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Режим_откл</t>
  </si>
  <si>
    <t>SGF2</t>
  </si>
  <si>
    <t>0 - Длительный, 1 - Импульсный</t>
  </si>
  <si>
    <t>Контроль работы ЭМО</t>
  </si>
  <si>
    <t>Контр_раб_ЭМО</t>
  </si>
  <si>
    <t>SGF3</t>
  </si>
  <si>
    <t>Режим_вкл</t>
  </si>
  <si>
    <t>SGF4</t>
  </si>
  <si>
    <t>Контроль работы ЭМВ</t>
  </si>
  <si>
    <t>Контр_раб_ЭМВ</t>
  </si>
  <si>
    <t>SGF5</t>
  </si>
  <si>
    <t>Длительность формирования сигнала о неисправном положении В</t>
  </si>
  <si>
    <t>Tнеиспр_В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</si>
  <si>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</si>
  <si>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</si>
  <si>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</si>
  <si>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</si>
  <si>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</si>
  <si>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</si>
  <si>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</si>
  <si>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</si>
  <si>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Тпрод_вкл</t>
  </si>
  <si>
    <t>T4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</si>
  <si>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</si>
  <si>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</si>
  <si>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</si>
  <si>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</si>
  <si>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</si>
  <si>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</si>
  <si>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</si>
  <si>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Отключить аварийно от ЛО ВН / ЛО</t>
  </si>
  <si>
    <t>Откл.авар.ЛО ВН/ЛО</t>
  </si>
  <si>
    <t>TrCB_SW</t>
  </si>
  <si>
    <t>OpIn_TPBRF</t>
  </si>
  <si>
    <t>Отключить от КП / УВ</t>
  </si>
  <si>
    <t>Отключить от КП/УВ</t>
  </si>
  <si>
    <t>OpnLWCBCSWI</t>
  </si>
  <si>
    <t>OperOpnCB</t>
  </si>
  <si>
    <t>Включить от КП / УВ</t>
  </si>
  <si>
    <t>Включить от КП/УВ</t>
  </si>
  <si>
    <t>ClsLWCBCSWI</t>
  </si>
  <si>
    <t>Включить от УВ / УВ</t>
  </si>
  <si>
    <t>Включить от УВ/УВ</t>
  </si>
  <si>
    <t>ClsHVCSWI</t>
  </si>
  <si>
    <t>Режим отключения В</t>
  </si>
  <si>
    <t>Режим включения В</t>
  </si>
  <si>
    <t>Long-lasting_Pulse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</si>
  <si>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</si>
  <si>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</si>
  <si>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</si>
  <si>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</si>
  <si>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</si>
  <si>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</si>
  <si>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</si>
  <si>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</si>
  <si>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FBLLN0</t>
  </si>
  <si>
    <t>LLN0</t>
  </si>
  <si>
    <t>DescriptionFB</t>
  </si>
  <si>
    <t>DescriptionFuncList</t>
  </si>
  <si>
    <t>Коммутационные аппараты</t>
  </si>
  <si>
    <t>Выключатель</t>
  </si>
  <si>
    <t>T_SwitchDevice</t>
  </si>
  <si>
    <t>alias</t>
  </si>
  <si>
    <t>XCBR1_EnaDis</t>
  </si>
  <si>
    <t>XCBR1_TPOpnResetCtrl</t>
  </si>
  <si>
    <t>XCBR1_CBOSoperationCtrl</t>
  </si>
  <si>
    <t>XCBR1_TPClsResetCtrl</t>
  </si>
  <si>
    <t>XCBR1_CBCSoperationCtrl</t>
  </si>
  <si>
    <t>XCBR1_TonFaul</t>
  </si>
  <si>
    <t>XCBR1_OpnTPtime</t>
  </si>
  <si>
    <t>XCBR1_ClsTPtime</t>
  </si>
  <si>
    <t>XCBR1_TextenCls</t>
  </si>
  <si>
    <t>Длительность формирования команды «Отключить В (реле)»</t>
  </si>
  <si>
    <t>Длительность формирования команды «Включить В (реле)»</t>
  </si>
  <si>
    <t>Время для исключения «опрокидывания» В</t>
  </si>
  <si>
    <t>Команда «отключить» выключатель через выходное реле</t>
  </si>
  <si>
    <t>Команда «включить» выключатель через выходное реле</t>
  </si>
  <si>
    <t>Срабатывание УРОВ «на себя»</t>
  </si>
  <si>
    <t>Сраб УРОВ на себя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</si>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</sst>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0" fillId="10" borderId="2" xfId="0" applyFill="1" applyBorder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1" applyFont="1" applyFill="1" applyAlignment="1">
      <alignment vertical="center"/>
    </xf>
    <xf numFmtId="0" fontId="2" fillId="11" borderId="0" xfId="1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B1" zoomScale="130" zoomScaleNormal="130" workbookViewId="0">
      <selection activeCell="E11" sqref="E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7109375" style="2" customWidth="1" outlineLevel="1"/>
    <col min="7" max="7" width="29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168</v>
      </c>
      <c r="AW2" s="64" t="s">
        <v>169</v>
      </c>
      <c r="AX2" s="64" t="s">
        <v>170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 t="s">
        <v>172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9" customFormat="1" ht="15.75" x14ac:dyDescent="0.25">
      <c r="A3" s="75"/>
      <c r="B3" s="75" t="s">
        <v>166</v>
      </c>
      <c r="C3" s="76"/>
      <c r="D3" s="77"/>
      <c r="E3" s="78" t="s">
        <v>60</v>
      </c>
      <c r="F3" s="78" t="s">
        <v>60</v>
      </c>
      <c r="G3" s="78" t="s">
        <v>60</v>
      </c>
      <c r="H3" s="78"/>
      <c r="I3" s="78">
        <f t="shared" ref="I3:I17" si="0">LEN(F3)</f>
        <v>15</v>
      </c>
      <c r="J3" s="78" t="str">
        <f t="shared" ref="J3:J17" si="1">IF(LEN(F3)&lt;=$J$1,F3,"")</f>
        <v>Вывод терминала</v>
      </c>
      <c r="K3" s="75" t="s">
        <v>61</v>
      </c>
      <c r="L3" s="79" t="s">
        <v>62</v>
      </c>
      <c r="M3" s="76" t="s">
        <v>63</v>
      </c>
      <c r="N3" s="76" t="s">
        <v>64</v>
      </c>
      <c r="O3" s="76"/>
      <c r="P3" s="80"/>
      <c r="Q3" s="80"/>
      <c r="R3" s="76" t="s">
        <v>65</v>
      </c>
      <c r="S3" s="76" t="s">
        <v>65</v>
      </c>
      <c r="T3" s="76" t="s">
        <v>65</v>
      </c>
      <c r="U3" s="76" t="s">
        <v>65</v>
      </c>
      <c r="V3" s="76"/>
      <c r="W3" s="76"/>
      <c r="X3" s="76" t="s">
        <v>65</v>
      </c>
      <c r="Y3" s="76">
        <v>0</v>
      </c>
      <c r="Z3" s="8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83"/>
      <c r="AJ3" s="84"/>
      <c r="AK3" s="84"/>
      <c r="AL3" s="84"/>
      <c r="AM3" s="84"/>
      <c r="AN3" s="84"/>
      <c r="AO3" s="84"/>
      <c r="AP3" s="84"/>
      <c r="AQ3" s="84"/>
      <c r="AR3" s="82">
        <v>0</v>
      </c>
      <c r="AS3" s="82">
        <v>0</v>
      </c>
      <c r="AT3" s="90">
        <v>1</v>
      </c>
      <c r="AU3" s="25">
        <v>0</v>
      </c>
      <c r="AV3" s="90">
        <v>1</v>
      </c>
      <c r="AW3" s="90">
        <v>1</v>
      </c>
      <c r="AX3" s="90">
        <v>1</v>
      </c>
      <c r="AY3" s="82"/>
      <c r="AZ3" s="80"/>
      <c r="BA3" s="82"/>
      <c r="BB3" s="82"/>
      <c r="BC3" s="85"/>
      <c r="BD3" s="82"/>
      <c r="BE3" s="86"/>
      <c r="BF3" s="82"/>
      <c r="BG3" s="87" t="str">
        <f t="shared" ref="BG3:BG1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8"/>
    </row>
    <row r="4" spans="1:16379" s="89" customFormat="1" ht="15.75" x14ac:dyDescent="0.25">
      <c r="A4" s="75"/>
      <c r="B4" s="75" t="s">
        <v>166</v>
      </c>
      <c r="C4" s="76"/>
      <c r="D4" s="77" t="s">
        <v>66</v>
      </c>
      <c r="E4" s="78" t="s">
        <v>67</v>
      </c>
      <c r="F4" s="78" t="s">
        <v>68</v>
      </c>
      <c r="G4" s="78" t="s">
        <v>68</v>
      </c>
      <c r="H4" s="78"/>
      <c r="I4" s="78">
        <f t="shared" si="0"/>
        <v>5</v>
      </c>
      <c r="J4" s="78" t="str">
        <f t="shared" si="1"/>
        <v>ОВ КА</v>
      </c>
      <c r="K4" s="75" t="s">
        <v>69</v>
      </c>
      <c r="L4" s="79" t="s">
        <v>62</v>
      </c>
      <c r="M4" s="76" t="s">
        <v>63</v>
      </c>
      <c r="N4" s="76" t="s">
        <v>64</v>
      </c>
      <c r="O4" s="76"/>
      <c r="P4" s="80"/>
      <c r="Q4" s="80"/>
      <c r="R4" s="76" t="s">
        <v>65</v>
      </c>
      <c r="S4" s="76" t="s">
        <v>65</v>
      </c>
      <c r="T4" s="76" t="s">
        <v>65</v>
      </c>
      <c r="U4" s="76" t="s">
        <v>65</v>
      </c>
      <c r="V4" s="76"/>
      <c r="W4" s="76"/>
      <c r="X4" s="76" t="s">
        <v>65</v>
      </c>
      <c r="Y4" s="76">
        <v>0</v>
      </c>
      <c r="Z4" s="8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83"/>
      <c r="AJ4" s="84"/>
      <c r="AK4" s="84"/>
      <c r="AL4" s="84"/>
      <c r="AM4" s="84"/>
      <c r="AN4" s="84"/>
      <c r="AO4" s="84"/>
      <c r="AP4" s="84"/>
      <c r="AQ4" s="84"/>
      <c r="AR4" s="82">
        <v>0</v>
      </c>
      <c r="AS4" s="82">
        <v>0</v>
      </c>
      <c r="AT4" s="90">
        <v>1</v>
      </c>
      <c r="AU4" s="25">
        <v>0</v>
      </c>
      <c r="AV4" s="90">
        <v>1</v>
      </c>
      <c r="AW4" s="90">
        <v>1</v>
      </c>
      <c r="AX4" s="90">
        <v>1</v>
      </c>
      <c r="AY4" s="82"/>
      <c r="AZ4" s="80"/>
      <c r="BA4" s="82"/>
      <c r="BB4" s="82"/>
      <c r="BC4" s="85"/>
      <c r="BD4" s="82"/>
      <c r="BE4" s="86"/>
      <c r="BF4" s="82"/>
      <c r="BG4" s="87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H4" s="88"/>
    </row>
    <row r="5" spans="1:16379" s="31" customFormat="1" ht="15.75" x14ac:dyDescent="0.25">
      <c r="A5" s="18"/>
      <c r="B5" s="63" t="s">
        <v>167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5:AV17" si="3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30"/>
    </row>
    <row r="6" spans="1:16379" s="31" customFormat="1" ht="15.75" x14ac:dyDescent="0.25">
      <c r="A6" s="18"/>
      <c r="B6" s="63" t="s">
        <v>167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32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H6" s="30"/>
    </row>
    <row r="7" spans="1:16379" s="31" customFormat="1" ht="15.75" x14ac:dyDescent="0.25">
      <c r="A7" s="18"/>
      <c r="B7" s="18" t="s">
        <v>59</v>
      </c>
      <c r="C7" s="19"/>
      <c r="D7" s="20"/>
      <c r="E7" s="21" t="s">
        <v>149</v>
      </c>
      <c r="F7" s="21" t="s">
        <v>150</v>
      </c>
      <c r="G7" s="21" t="s">
        <v>150</v>
      </c>
      <c r="H7" s="21"/>
      <c r="I7" s="21">
        <f t="shared" si="0"/>
        <v>18</v>
      </c>
      <c r="J7" s="21" t="str">
        <f t="shared" si="1"/>
        <v>Откл.авар.ЛО ВН/ЛО</v>
      </c>
      <c r="K7" s="18" t="s">
        <v>151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si="2"/>
        <v>description: "Откл.авар.ЛО ВН/ЛО", note: "Отключить аварийно от ЛО ВН / ЛО", group: "measurement", minValue: null, maxValue: null, step: null, units: "null", defaultValue: null, eventRegistration: 0</v>
      </c>
      <c r="BH7" s="30"/>
    </row>
    <row r="8" spans="1:16379" s="31" customFormat="1" ht="15.75" x14ac:dyDescent="0.25">
      <c r="A8" s="18"/>
      <c r="B8" s="18" t="s">
        <v>59</v>
      </c>
      <c r="C8" s="19"/>
      <c r="D8" s="20"/>
      <c r="E8" s="71" t="s">
        <v>196</v>
      </c>
      <c r="F8" s="71" t="s">
        <v>197</v>
      </c>
      <c r="G8" s="71" t="s">
        <v>197</v>
      </c>
      <c r="H8" s="21"/>
      <c r="I8" s="21">
        <f t="shared" si="0"/>
        <v>17</v>
      </c>
      <c r="J8" s="21" t="str">
        <f t="shared" si="1"/>
        <v>Сраб УРОВ на себя</v>
      </c>
      <c r="K8" s="18" t="s">
        <v>152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2"/>
        <v>description: "Сраб УРОВ на себя", note: "Срабатывание УРОВ «на себя»", group: "measurement", minValue: null, maxValue: null, step: null, units: "null", defaultValue: null, eventRegistration: 0</v>
      </c>
      <c r="BH8" s="30"/>
    </row>
    <row r="9" spans="1:16379" s="31" customFormat="1" ht="15.75" x14ac:dyDescent="0.25">
      <c r="A9" s="18"/>
      <c r="B9" s="18" t="s">
        <v>59</v>
      </c>
      <c r="C9" s="19"/>
      <c r="D9" s="20"/>
      <c r="E9" s="21" t="s">
        <v>153</v>
      </c>
      <c r="F9" s="21" t="s">
        <v>154</v>
      </c>
      <c r="G9" s="21" t="s">
        <v>154</v>
      </c>
      <c r="H9" s="21"/>
      <c r="I9" s="21">
        <f t="shared" si="0"/>
        <v>18</v>
      </c>
      <c r="J9" s="21" t="str">
        <f t="shared" si="1"/>
        <v>Отключить от КП/УВ</v>
      </c>
      <c r="K9" s="18" t="s">
        <v>155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2"/>
        <v>description: "Отключить от КП/УВ", note: "Отключить от КП / УВ", group: "measurement", minValue: null, maxValue: null, step: null, units: "null", defaultValue: null, eventRegistration: 0</v>
      </c>
      <c r="BH9" s="30"/>
    </row>
    <row r="10" spans="1:16379" s="31" customFormat="1" ht="15.75" x14ac:dyDescent="0.25">
      <c r="A10" s="18"/>
      <c r="B10" s="63" t="s">
        <v>167</v>
      </c>
      <c r="C10" s="19"/>
      <c r="D10" s="20"/>
      <c r="E10" s="21" t="s">
        <v>76</v>
      </c>
      <c r="F10" s="21" t="s">
        <v>77</v>
      </c>
      <c r="G10" s="21" t="s">
        <v>77</v>
      </c>
      <c r="H10" s="21"/>
      <c r="I10" s="21">
        <f t="shared" si="0"/>
        <v>17</v>
      </c>
      <c r="J10" s="21" t="str">
        <f t="shared" si="1"/>
        <v>Опер. отключить В</v>
      </c>
      <c r="K10" s="18" t="s">
        <v>156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3"/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H10" s="30"/>
    </row>
    <row r="11" spans="1:16379" s="31" customFormat="1" ht="15.75" x14ac:dyDescent="0.25">
      <c r="A11" s="18"/>
      <c r="B11" s="18" t="s">
        <v>59</v>
      </c>
      <c r="C11" s="19"/>
      <c r="D11" s="20"/>
      <c r="E11" s="21" t="s">
        <v>78</v>
      </c>
      <c r="F11" s="21" t="s">
        <v>79</v>
      </c>
      <c r="G11" s="21" t="s">
        <v>79</v>
      </c>
      <c r="H11" s="21"/>
      <c r="I11" s="21">
        <f t="shared" si="0"/>
        <v>16</v>
      </c>
      <c r="J11" s="21" t="str">
        <f t="shared" si="1"/>
        <v>Блок откл от КСВ</v>
      </c>
      <c r="K11" s="18" t="s">
        <v>80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H11" s="30"/>
    </row>
    <row r="12" spans="1:16379" s="31" customFormat="1" ht="15.75" x14ac:dyDescent="0.25">
      <c r="A12" s="18"/>
      <c r="B12" s="63" t="s">
        <v>167</v>
      </c>
      <c r="C12" s="19"/>
      <c r="D12" s="20"/>
      <c r="E12" s="21" t="s">
        <v>81</v>
      </c>
      <c r="F12" s="21" t="s">
        <v>81</v>
      </c>
      <c r="G12" s="21" t="s">
        <v>81</v>
      </c>
      <c r="H12" s="21"/>
      <c r="I12" s="21">
        <f t="shared" si="0"/>
        <v>11</v>
      </c>
      <c r="J12" s="21" t="str">
        <f t="shared" si="1"/>
        <v>Работа ЭМО1</v>
      </c>
      <c r="K12" s="18" t="s">
        <v>82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2"/>
        <v>description: "Работа ЭМО1", note: "Работа ЭМО1", group: "input", minValue: null, maxValue: null, step: null, units: "null", defaultValue: null, eventRegistration: 0</v>
      </c>
      <c r="BH12" s="30"/>
    </row>
    <row r="13" spans="1:16379" s="31" customFormat="1" ht="15.75" x14ac:dyDescent="0.25">
      <c r="A13" s="18"/>
      <c r="B13" s="63" t="s">
        <v>167</v>
      </c>
      <c r="C13" s="19"/>
      <c r="D13" s="20"/>
      <c r="E13" s="21" t="s">
        <v>83</v>
      </c>
      <c r="F13" s="21" t="s">
        <v>83</v>
      </c>
      <c r="G13" s="21" t="s">
        <v>83</v>
      </c>
      <c r="H13" s="21"/>
      <c r="I13" s="21">
        <f t="shared" si="0"/>
        <v>11</v>
      </c>
      <c r="J13" s="21" t="str">
        <f t="shared" si="1"/>
        <v>Работа ЭМО2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2"/>
        <v>description: "Работа ЭМО2", note: "Работа ЭМО2", group: "input", minValue: null, maxValue: null, step: null, units: "null", defaultValue: null, eventRegistration: 0</v>
      </c>
      <c r="BH13" s="30"/>
    </row>
    <row r="14" spans="1:16379" s="89" customFormat="1" ht="15.75" x14ac:dyDescent="0.25">
      <c r="A14" s="75"/>
      <c r="B14" s="75" t="s">
        <v>166</v>
      </c>
      <c r="C14" s="76"/>
      <c r="D14" s="77"/>
      <c r="E14" s="78" t="s">
        <v>85</v>
      </c>
      <c r="F14" s="78" t="s">
        <v>85</v>
      </c>
      <c r="G14" s="78" t="s">
        <v>85</v>
      </c>
      <c r="H14" s="78"/>
      <c r="I14" s="78">
        <f t="shared" si="0"/>
        <v>5</v>
      </c>
      <c r="J14" s="78" t="str">
        <f t="shared" si="1"/>
        <v>Сброс</v>
      </c>
      <c r="K14" s="75" t="s">
        <v>86</v>
      </c>
      <c r="L14" s="79" t="s">
        <v>62</v>
      </c>
      <c r="M14" s="76" t="s">
        <v>63</v>
      </c>
      <c r="N14" s="76" t="s">
        <v>64</v>
      </c>
      <c r="O14" s="76"/>
      <c r="P14" s="80"/>
      <c r="Q14" s="80"/>
      <c r="R14" s="76" t="s">
        <v>65</v>
      </c>
      <c r="S14" s="76" t="s">
        <v>65</v>
      </c>
      <c r="T14" s="76" t="s">
        <v>65</v>
      </c>
      <c r="U14" s="76" t="s">
        <v>65</v>
      </c>
      <c r="V14" s="76"/>
      <c r="W14" s="76"/>
      <c r="X14" s="76" t="s">
        <v>65</v>
      </c>
      <c r="Y14" s="76">
        <v>0</v>
      </c>
      <c r="Z14" s="8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83"/>
      <c r="AJ14" s="84"/>
      <c r="AK14" s="84"/>
      <c r="AL14" s="84"/>
      <c r="AM14" s="84"/>
      <c r="AN14" s="84"/>
      <c r="AO14" s="84"/>
      <c r="AP14" s="84"/>
      <c r="AQ14" s="84"/>
      <c r="AR14" s="82">
        <v>0</v>
      </c>
      <c r="AS14" s="82">
        <v>0</v>
      </c>
      <c r="AT14" s="90">
        <v>1</v>
      </c>
      <c r="AU14" s="25">
        <v>0</v>
      </c>
      <c r="AV14" s="90">
        <v>1</v>
      </c>
      <c r="AW14" s="90">
        <v>1</v>
      </c>
      <c r="AX14" s="90">
        <v>1</v>
      </c>
      <c r="AY14" s="82"/>
      <c r="AZ14" s="80"/>
      <c r="BA14" s="82"/>
      <c r="BB14" s="82"/>
      <c r="BC14" s="85"/>
      <c r="BD14" s="82"/>
      <c r="BE14" s="86"/>
      <c r="BF14" s="82"/>
      <c r="BG14" s="87" t="str">
        <f t="shared" si="2"/>
        <v>description: "Сброс", note: "Сброс", group: "control", minValue: null, maxValue: null, step: null, units: "null", defaultValue: null, eventRegistration: 0</v>
      </c>
      <c r="BH14" s="88" t="s">
        <v>173</v>
      </c>
    </row>
    <row r="15" spans="1:16379" s="31" customFormat="1" ht="15.75" x14ac:dyDescent="0.25">
      <c r="A15" s="18"/>
      <c r="B15" s="18" t="s">
        <v>59</v>
      </c>
      <c r="C15" s="19"/>
      <c r="D15" s="20"/>
      <c r="E15" s="21" t="s">
        <v>157</v>
      </c>
      <c r="F15" s="21" t="s">
        <v>158</v>
      </c>
      <c r="G15" s="21" t="s">
        <v>158</v>
      </c>
      <c r="H15" s="21"/>
      <c r="I15" s="21">
        <f t="shared" si="0"/>
        <v>17</v>
      </c>
      <c r="J15" s="21" t="str">
        <f t="shared" si="1"/>
        <v>Включить от КП/УВ</v>
      </c>
      <c r="K15" s="18" t="s">
        <v>159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2"/>
        <v>description: "Включить от КП/УВ", note: "Включить от КП / УВ", group: "measurement", minValue: null, maxValue: null, step: null, units: "null", defaultValue: null, eventRegistration: 0</v>
      </c>
      <c r="BH15" s="30"/>
    </row>
    <row r="16" spans="1:16379" s="31" customFormat="1" ht="15.75" x14ac:dyDescent="0.25">
      <c r="A16" s="18"/>
      <c r="B16" s="18" t="s">
        <v>59</v>
      </c>
      <c r="C16" s="19"/>
      <c r="D16" s="20"/>
      <c r="E16" s="21" t="s">
        <v>160</v>
      </c>
      <c r="F16" s="21" t="s">
        <v>161</v>
      </c>
      <c r="G16" s="21" t="s">
        <v>161</v>
      </c>
      <c r="H16" s="21"/>
      <c r="I16" s="21">
        <f t="shared" si="0"/>
        <v>17</v>
      </c>
      <c r="J16" s="21" t="str">
        <f t="shared" si="1"/>
        <v>Включить от УВ/УВ</v>
      </c>
      <c r="K16" s="18" t="s">
        <v>162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3"/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si="2"/>
        <v>description: "Включить от УВ/УВ", note: "Включить от УВ / УВ", group: "measurement", minValue: null, maxValue: null, step: null, units: "null", defaultValue: null, eventRegistration: 0</v>
      </c>
      <c r="BH16" s="30"/>
    </row>
    <row r="17" spans="1:60" s="31" customFormat="1" ht="15.75" x14ac:dyDescent="0.25">
      <c r="A17" s="18"/>
      <c r="B17" s="63" t="s">
        <v>167</v>
      </c>
      <c r="C17" s="19"/>
      <c r="D17" s="20"/>
      <c r="E17" s="21" t="s">
        <v>87</v>
      </c>
      <c r="F17" s="21" t="s">
        <v>87</v>
      </c>
      <c r="G17" s="21" t="s">
        <v>87</v>
      </c>
      <c r="H17" s="21"/>
      <c r="I17" s="21">
        <f t="shared" si="0"/>
        <v>10</v>
      </c>
      <c r="J17" s="21" t="str">
        <f t="shared" si="1"/>
        <v>Работа ЭМВ</v>
      </c>
      <c r="K17" s="18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2"/>
        <v>description: "Работа ЭМВ", note: "Работа ЭМВ", group: "input", minValue: null, maxValue: null, step: null, units: "null", defaultValue: null, eventRegistration: 0</v>
      </c>
      <c r="BH17" s="30"/>
    </row>
    <row r="18" spans="1:60" s="31" customFormat="1" ht="15.75" x14ac:dyDescent="0.25">
      <c r="A18" s="30"/>
      <c r="B18" s="30"/>
      <c r="C18" s="30"/>
      <c r="D18" s="30"/>
      <c r="R18" s="37"/>
      <c r="S18" s="60"/>
      <c r="T18" s="60"/>
      <c r="U18" s="60"/>
      <c r="V18" s="60"/>
      <c r="W18" s="60"/>
      <c r="X18" s="60"/>
      <c r="Y18" s="60"/>
      <c r="Z18" s="30"/>
      <c r="AA18" s="60"/>
      <c r="AB18" s="60"/>
      <c r="AC18" s="60"/>
      <c r="AD18" s="60"/>
      <c r="AE18" s="60"/>
      <c r="AF18" s="60"/>
      <c r="AG18" s="60"/>
      <c r="AH18" s="30"/>
      <c r="AI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  <c r="BC18" s="60"/>
      <c r="BD18" s="61"/>
      <c r="BE18" s="60"/>
      <c r="BF18" s="60"/>
      <c r="BG18" s="30"/>
      <c r="BH18" s="30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zoomScale="130" zoomScaleNormal="13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168</v>
      </c>
      <c r="AW2" s="64" t="s">
        <v>169</v>
      </c>
      <c r="AX2" s="64" t="s">
        <v>170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65" t="s">
        <v>171</v>
      </c>
      <c r="C3" s="25"/>
      <c r="D3" s="34" t="s">
        <v>66</v>
      </c>
      <c r="E3" s="21" t="s">
        <v>89</v>
      </c>
      <c r="F3" s="35" t="s">
        <v>90</v>
      </c>
      <c r="G3" s="35" t="s">
        <v>90</v>
      </c>
      <c r="H3" s="8"/>
      <c r="I3" s="21">
        <f t="shared" ref="I3:I11" si="0">LEN(F3)</f>
        <v>4</v>
      </c>
      <c r="J3" s="21" t="str">
        <f t="shared" ref="J3:J11" si="1">IF(LEN(F3)&lt;=$J$1,F3,"")</f>
        <v>Ввод</v>
      </c>
      <c r="K3" s="24" t="s">
        <v>91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6" t="s">
        <v>174</v>
      </c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65" t="s">
        <v>171</v>
      </c>
      <c r="C4" s="25"/>
      <c r="D4" s="34" t="s">
        <v>66</v>
      </c>
      <c r="E4" s="21" t="s">
        <v>92</v>
      </c>
      <c r="F4" s="35" t="s">
        <v>93</v>
      </c>
      <c r="G4" s="34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66" t="s">
        <v>174</v>
      </c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ht="15.75" x14ac:dyDescent="0.25">
      <c r="A5" s="38"/>
      <c r="B5" s="65" t="s">
        <v>171</v>
      </c>
      <c r="C5" s="39"/>
      <c r="D5" s="40" t="s">
        <v>95</v>
      </c>
      <c r="E5" s="41" t="s">
        <v>89</v>
      </c>
      <c r="F5" s="42" t="s">
        <v>90</v>
      </c>
      <c r="G5" s="40" t="s">
        <v>90</v>
      </c>
      <c r="H5" s="43"/>
      <c r="I5" s="41">
        <f t="shared" si="0"/>
        <v>4</v>
      </c>
      <c r="J5" s="41" t="str">
        <f t="shared" si="1"/>
        <v>Ввод</v>
      </c>
      <c r="K5" s="44" t="s">
        <v>96</v>
      </c>
      <c r="L5" s="45" t="s">
        <v>62</v>
      </c>
      <c r="M5" s="46" t="s">
        <v>63</v>
      </c>
      <c r="N5" s="46" t="s">
        <v>64</v>
      </c>
      <c r="O5" s="46"/>
      <c r="P5" s="47"/>
      <c r="Q5" s="47"/>
      <c r="R5" s="46" t="s">
        <v>65</v>
      </c>
      <c r="S5" s="46" t="s">
        <v>65</v>
      </c>
      <c r="T5" s="46" t="s">
        <v>65</v>
      </c>
      <c r="U5" s="46" t="s">
        <v>65</v>
      </c>
      <c r="V5" s="39"/>
      <c r="W5" s="39"/>
      <c r="X5" s="46" t="s">
        <v>65</v>
      </c>
      <c r="Y5" s="46">
        <v>2</v>
      </c>
      <c r="Z5" s="39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3"/>
      <c r="AJ5" s="48"/>
      <c r="AK5" s="48"/>
      <c r="AL5" s="48"/>
      <c r="AM5" s="48"/>
      <c r="AN5" s="48"/>
      <c r="AO5" s="48"/>
      <c r="AP5" s="48"/>
      <c r="AQ5" s="48"/>
      <c r="AR5" s="39">
        <v>0</v>
      </c>
      <c r="AS5" s="39">
        <v>1</v>
      </c>
      <c r="AT5" s="39">
        <v>0</v>
      </c>
      <c r="AU5" s="39">
        <v>1</v>
      </c>
      <c r="AV5" s="39">
        <v>1</v>
      </c>
      <c r="AW5" s="39">
        <v>1</v>
      </c>
      <c r="AX5" s="39">
        <v>1</v>
      </c>
      <c r="AY5" s="47"/>
      <c r="AZ5" s="39"/>
      <c r="BA5" s="39"/>
      <c r="BB5" s="39"/>
      <c r="BC5" s="39"/>
      <c r="BD5" s="39"/>
      <c r="BE5" s="39"/>
      <c r="BF5" s="39"/>
      <c r="BG5" s="4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0" customFormat="1" ht="15.75" x14ac:dyDescent="0.25">
      <c r="A6" s="38"/>
      <c r="B6" s="65" t="s">
        <v>171</v>
      </c>
      <c r="C6" s="46"/>
      <c r="D6" s="40" t="s">
        <v>95</v>
      </c>
      <c r="E6" s="41" t="s">
        <v>97</v>
      </c>
      <c r="F6" s="41" t="s">
        <v>98</v>
      </c>
      <c r="G6" s="41" t="s">
        <v>98</v>
      </c>
      <c r="H6" s="41"/>
      <c r="I6" s="41">
        <f t="shared" si="0"/>
        <v>17</v>
      </c>
      <c r="J6" s="41" t="str">
        <f t="shared" si="1"/>
        <v>Промеж. положение</v>
      </c>
      <c r="K6" s="38" t="s">
        <v>99</v>
      </c>
      <c r="L6" s="45" t="s">
        <v>62</v>
      </c>
      <c r="M6" s="46" t="s">
        <v>63</v>
      </c>
      <c r="N6" s="46" t="s">
        <v>64</v>
      </c>
      <c r="O6" s="46"/>
      <c r="P6" s="47"/>
      <c r="Q6" s="47"/>
      <c r="R6" s="46" t="s">
        <v>65</v>
      </c>
      <c r="S6" s="46" t="s">
        <v>65</v>
      </c>
      <c r="T6" s="46" t="s">
        <v>65</v>
      </c>
      <c r="U6" s="46" t="s">
        <v>65</v>
      </c>
      <c r="V6" s="46"/>
      <c r="W6" s="46"/>
      <c r="X6" s="46" t="s">
        <v>65</v>
      </c>
      <c r="Y6" s="46">
        <v>2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3"/>
      <c r="AJ6" s="48"/>
      <c r="AK6" s="48"/>
      <c r="AL6" s="48"/>
      <c r="AM6" s="48"/>
      <c r="AN6" s="48"/>
      <c r="AO6" s="48"/>
      <c r="AP6" s="48"/>
      <c r="AQ6" s="48"/>
      <c r="AR6" s="39">
        <v>0</v>
      </c>
      <c r="AS6" s="39">
        <v>1</v>
      </c>
      <c r="AT6" s="39">
        <v>0</v>
      </c>
      <c r="AU6" s="39">
        <v>1</v>
      </c>
      <c r="AV6" s="39">
        <v>1</v>
      </c>
      <c r="AW6" s="39">
        <v>1</v>
      </c>
      <c r="AX6" s="39">
        <v>1</v>
      </c>
      <c r="AY6" s="47"/>
      <c r="AZ6" s="39"/>
      <c r="BA6" s="39"/>
      <c r="BB6" s="39"/>
      <c r="BC6" s="39"/>
      <c r="BD6" s="39"/>
      <c r="BE6" s="39"/>
      <c r="BF6" s="39"/>
      <c r="BG6" s="49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50" customFormat="1" ht="15.75" x14ac:dyDescent="0.25">
      <c r="A7" s="38"/>
      <c r="B7" s="65" t="s">
        <v>171</v>
      </c>
      <c r="C7" s="46"/>
      <c r="D7" s="40" t="s">
        <v>95</v>
      </c>
      <c r="E7" s="41" t="s">
        <v>100</v>
      </c>
      <c r="F7" s="41" t="s">
        <v>101</v>
      </c>
      <c r="G7" s="41" t="s">
        <v>101</v>
      </c>
      <c r="H7" s="41"/>
      <c r="I7" s="41">
        <f>LEN(F7)</f>
        <v>8</v>
      </c>
      <c r="J7" s="41" t="str">
        <f>IF(LEN(F7)&lt;=$J$1,F7,"")</f>
        <v>Отключен</v>
      </c>
      <c r="K7" s="38" t="s">
        <v>102</v>
      </c>
      <c r="L7" s="45" t="s">
        <v>62</v>
      </c>
      <c r="M7" s="46" t="s">
        <v>63</v>
      </c>
      <c r="N7" s="46" t="s">
        <v>64</v>
      </c>
      <c r="O7" s="46"/>
      <c r="P7" s="47"/>
      <c r="Q7" s="47"/>
      <c r="R7" s="46" t="s">
        <v>65</v>
      </c>
      <c r="S7" s="46" t="s">
        <v>65</v>
      </c>
      <c r="T7" s="46" t="s">
        <v>65</v>
      </c>
      <c r="U7" s="46" t="s">
        <v>65</v>
      </c>
      <c r="V7" s="46"/>
      <c r="W7" s="46"/>
      <c r="X7" s="46" t="s">
        <v>65</v>
      </c>
      <c r="Y7" s="46">
        <v>2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3"/>
      <c r="AJ7" s="48"/>
      <c r="AK7" s="48"/>
      <c r="AL7" s="48"/>
      <c r="AM7" s="48"/>
      <c r="AN7" s="48"/>
      <c r="AO7" s="48"/>
      <c r="AP7" s="48"/>
      <c r="AQ7" s="48"/>
      <c r="AR7" s="39">
        <v>0</v>
      </c>
      <c r="AS7" s="39">
        <v>1</v>
      </c>
      <c r="AT7" s="39">
        <v>0</v>
      </c>
      <c r="AU7" s="39">
        <v>1</v>
      </c>
      <c r="AV7" s="39">
        <v>1</v>
      </c>
      <c r="AW7" s="39">
        <v>1</v>
      </c>
      <c r="AX7" s="39">
        <v>1</v>
      </c>
      <c r="AY7" s="47"/>
      <c r="AZ7" s="39"/>
      <c r="BA7" s="39"/>
      <c r="BB7" s="39"/>
      <c r="BC7" s="39"/>
      <c r="BD7" s="39"/>
      <c r="BE7" s="39"/>
      <c r="BF7" s="39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50" customFormat="1" ht="15.75" x14ac:dyDescent="0.25">
      <c r="A8" s="38"/>
      <c r="B8" s="65" t="s">
        <v>171</v>
      </c>
      <c r="C8" s="46"/>
      <c r="D8" s="40" t="s">
        <v>95</v>
      </c>
      <c r="E8" s="41" t="s">
        <v>103</v>
      </c>
      <c r="F8" s="41" t="s">
        <v>104</v>
      </c>
      <c r="G8" s="41" t="s">
        <v>104</v>
      </c>
      <c r="H8" s="41"/>
      <c r="I8" s="41">
        <f t="shared" si="0"/>
        <v>7</v>
      </c>
      <c r="J8" s="41" t="str">
        <f t="shared" si="1"/>
        <v>Включен</v>
      </c>
      <c r="K8" s="38" t="s">
        <v>105</v>
      </c>
      <c r="L8" s="45" t="s">
        <v>62</v>
      </c>
      <c r="M8" s="46" t="s">
        <v>63</v>
      </c>
      <c r="N8" s="46" t="s">
        <v>64</v>
      </c>
      <c r="O8" s="46"/>
      <c r="P8" s="47"/>
      <c r="Q8" s="47"/>
      <c r="R8" s="46" t="s">
        <v>65</v>
      </c>
      <c r="S8" s="46" t="s">
        <v>65</v>
      </c>
      <c r="T8" s="46" t="s">
        <v>65</v>
      </c>
      <c r="U8" s="46" t="s">
        <v>65</v>
      </c>
      <c r="V8" s="46"/>
      <c r="W8" s="46"/>
      <c r="X8" s="46" t="s">
        <v>65</v>
      </c>
      <c r="Y8" s="46">
        <v>2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3"/>
      <c r="AJ8" s="48"/>
      <c r="AK8" s="48"/>
      <c r="AL8" s="48"/>
      <c r="AM8" s="48"/>
      <c r="AN8" s="48"/>
      <c r="AO8" s="48"/>
      <c r="AP8" s="48"/>
      <c r="AQ8" s="48"/>
      <c r="AR8" s="39">
        <v>0</v>
      </c>
      <c r="AS8" s="39">
        <v>1</v>
      </c>
      <c r="AT8" s="39">
        <v>0</v>
      </c>
      <c r="AU8" s="39">
        <v>1</v>
      </c>
      <c r="AV8" s="39">
        <v>1</v>
      </c>
      <c r="AW8" s="39">
        <v>1</v>
      </c>
      <c r="AX8" s="39">
        <v>1</v>
      </c>
      <c r="AY8" s="47"/>
      <c r="AZ8" s="39"/>
      <c r="BA8" s="39"/>
      <c r="BB8" s="39"/>
      <c r="BC8" s="39"/>
      <c r="BD8" s="39"/>
      <c r="BE8" s="39"/>
      <c r="BF8" s="39"/>
      <c r="BG8" s="49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50" customFormat="1" ht="15.75" x14ac:dyDescent="0.25">
      <c r="A9" s="38"/>
      <c r="B9" s="65" t="s">
        <v>171</v>
      </c>
      <c r="C9" s="46"/>
      <c r="D9" s="40" t="s">
        <v>95</v>
      </c>
      <c r="E9" s="41" t="s">
        <v>106</v>
      </c>
      <c r="F9" s="41" t="s">
        <v>107</v>
      </c>
      <c r="G9" s="41" t="s">
        <v>107</v>
      </c>
      <c r="H9" s="41"/>
      <c r="I9" s="41">
        <f t="shared" si="0"/>
        <v>17</v>
      </c>
      <c r="J9" s="41" t="str">
        <f t="shared" si="1"/>
        <v>Неиспр. положение</v>
      </c>
      <c r="K9" s="38" t="s">
        <v>108</v>
      </c>
      <c r="L9" s="45" t="s">
        <v>62</v>
      </c>
      <c r="M9" s="46" t="s">
        <v>63</v>
      </c>
      <c r="N9" s="46" t="s">
        <v>64</v>
      </c>
      <c r="O9" s="46"/>
      <c r="P9" s="47"/>
      <c r="Q9" s="47"/>
      <c r="R9" s="46" t="s">
        <v>65</v>
      </c>
      <c r="S9" s="46" t="s">
        <v>65</v>
      </c>
      <c r="T9" s="46" t="s">
        <v>65</v>
      </c>
      <c r="U9" s="46" t="s">
        <v>65</v>
      </c>
      <c r="V9" s="46"/>
      <c r="W9" s="46"/>
      <c r="X9" s="46" t="s">
        <v>65</v>
      </c>
      <c r="Y9" s="46">
        <v>2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3"/>
      <c r="AJ9" s="48"/>
      <c r="AK9" s="48"/>
      <c r="AL9" s="48"/>
      <c r="AM9" s="48"/>
      <c r="AN9" s="48"/>
      <c r="AO9" s="48"/>
      <c r="AP9" s="48"/>
      <c r="AQ9" s="48"/>
      <c r="AR9" s="39">
        <v>0</v>
      </c>
      <c r="AS9" s="39">
        <v>1</v>
      </c>
      <c r="AT9" s="39">
        <v>0</v>
      </c>
      <c r="AU9" s="39">
        <v>1</v>
      </c>
      <c r="AV9" s="39">
        <v>1</v>
      </c>
      <c r="AW9" s="39">
        <v>1</v>
      </c>
      <c r="AX9" s="39">
        <v>1</v>
      </c>
      <c r="AY9" s="47"/>
      <c r="AZ9" s="39"/>
      <c r="BA9" s="39"/>
      <c r="BB9" s="39"/>
      <c r="BC9" s="39"/>
      <c r="BD9" s="39"/>
      <c r="BE9" s="39"/>
      <c r="BF9" s="39"/>
      <c r="BG9" s="49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50" customFormat="1" ht="15.75" x14ac:dyDescent="0.25">
      <c r="A10" s="38"/>
      <c r="B10" s="65" t="s">
        <v>171</v>
      </c>
      <c r="C10" s="46"/>
      <c r="D10" s="40" t="s">
        <v>95</v>
      </c>
      <c r="E10" s="71" t="s">
        <v>194</v>
      </c>
      <c r="F10" s="41" t="s">
        <v>109</v>
      </c>
      <c r="G10" s="41" t="s">
        <v>109</v>
      </c>
      <c r="H10" s="41"/>
      <c r="I10" s="41">
        <f t="shared" si="0"/>
        <v>16</v>
      </c>
      <c r="J10" s="41" t="str">
        <f t="shared" si="1"/>
        <v>Отключить (реле)</v>
      </c>
      <c r="K10" s="38" t="s">
        <v>110</v>
      </c>
      <c r="L10" s="45" t="s">
        <v>62</v>
      </c>
      <c r="M10" s="46" t="s">
        <v>63</v>
      </c>
      <c r="N10" s="46" t="s">
        <v>64</v>
      </c>
      <c r="O10" s="46"/>
      <c r="P10" s="47"/>
      <c r="Q10" s="47"/>
      <c r="R10" s="46" t="s">
        <v>65</v>
      </c>
      <c r="S10" s="46" t="s">
        <v>65</v>
      </c>
      <c r="T10" s="46" t="s">
        <v>65</v>
      </c>
      <c r="U10" s="46" t="s">
        <v>65</v>
      </c>
      <c r="V10" s="46"/>
      <c r="W10" s="46"/>
      <c r="X10" s="46" t="s">
        <v>65</v>
      </c>
      <c r="Y10" s="46">
        <v>2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3"/>
      <c r="AJ10" s="48"/>
      <c r="AK10" s="48"/>
      <c r="AL10" s="48"/>
      <c r="AM10" s="48"/>
      <c r="AN10" s="48"/>
      <c r="AO10" s="48"/>
      <c r="AP10" s="48"/>
      <c r="AQ10" s="48"/>
      <c r="AR10" s="39">
        <v>0</v>
      </c>
      <c r="AS10" s="39">
        <v>1</v>
      </c>
      <c r="AT10" s="39">
        <v>0</v>
      </c>
      <c r="AU10" s="39">
        <v>1</v>
      </c>
      <c r="AV10" s="39">
        <v>1</v>
      </c>
      <c r="AW10" s="39">
        <v>1</v>
      </c>
      <c r="AX10" s="39">
        <v>1</v>
      </c>
      <c r="AY10" s="47"/>
      <c r="AZ10" s="39"/>
      <c r="BA10" s="39"/>
      <c r="BB10" s="39"/>
      <c r="BC10" s="39"/>
      <c r="BD10" s="39"/>
      <c r="BE10" s="39"/>
      <c r="BF10" s="39"/>
      <c r="BG10" s="49" t="str">
        <f t="shared" si="2"/>
        <v>description: "Отключить (реле)", note: "Команда «отключить» выключатель через выходное реле", group: "status", minValue: null, maxValue: null, step: null, units: "null", defaultValue: null, eventRegistration: 2</v>
      </c>
    </row>
    <row r="11" spans="1:16379" s="50" customFormat="1" ht="15.75" x14ac:dyDescent="0.25">
      <c r="A11" s="38"/>
      <c r="B11" s="65" t="s">
        <v>171</v>
      </c>
      <c r="C11" s="46"/>
      <c r="D11" s="40" t="s">
        <v>95</v>
      </c>
      <c r="E11" s="71" t="s">
        <v>195</v>
      </c>
      <c r="F11" s="41" t="s">
        <v>111</v>
      </c>
      <c r="G11" s="41" t="s">
        <v>111</v>
      </c>
      <c r="H11" s="41"/>
      <c r="I11" s="41">
        <f t="shared" si="0"/>
        <v>15</v>
      </c>
      <c r="J11" s="41" t="str">
        <f t="shared" si="1"/>
        <v>Включить (реле)</v>
      </c>
      <c r="K11" s="38" t="s">
        <v>112</v>
      </c>
      <c r="L11" s="45" t="s">
        <v>62</v>
      </c>
      <c r="M11" s="46" t="s">
        <v>63</v>
      </c>
      <c r="N11" s="46" t="s">
        <v>64</v>
      </c>
      <c r="O11" s="46"/>
      <c r="P11" s="47"/>
      <c r="Q11" s="47"/>
      <c r="R11" s="46" t="s">
        <v>65</v>
      </c>
      <c r="S11" s="46" t="s">
        <v>65</v>
      </c>
      <c r="T11" s="46" t="s">
        <v>65</v>
      </c>
      <c r="U11" s="46" t="s">
        <v>65</v>
      </c>
      <c r="V11" s="46"/>
      <c r="W11" s="46"/>
      <c r="X11" s="46" t="s">
        <v>65</v>
      </c>
      <c r="Y11" s="46">
        <v>2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3"/>
      <c r="AJ11" s="48"/>
      <c r="AK11" s="48"/>
      <c r="AL11" s="48"/>
      <c r="AM11" s="48"/>
      <c r="AN11" s="48"/>
      <c r="AO11" s="48"/>
      <c r="AP11" s="48"/>
      <c r="AQ11" s="48"/>
      <c r="AR11" s="39">
        <v>0</v>
      </c>
      <c r="AS11" s="39">
        <v>1</v>
      </c>
      <c r="AT11" s="39">
        <v>0</v>
      </c>
      <c r="AU11" s="39">
        <v>1</v>
      </c>
      <c r="AV11" s="39">
        <v>1</v>
      </c>
      <c r="AW11" s="39">
        <v>1</v>
      </c>
      <c r="AX11" s="39">
        <v>1</v>
      </c>
      <c r="AY11" s="47"/>
      <c r="AZ11" s="39"/>
      <c r="BA11" s="39"/>
      <c r="BB11" s="39"/>
      <c r="BC11" s="39"/>
      <c r="BD11" s="39"/>
      <c r="BE11" s="39"/>
      <c r="BF11" s="39"/>
      <c r="BG11" s="49" t="str">
        <f t="shared" si="2"/>
        <v>description: "Включить (реле)", note: "Команда «включить» выключатель через выходное реле", group: "status", minValue: null, maxValue: null, step: null, units: "null", defaultValue: null, eventRegistration: 2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abSelected="1" topLeftCell="D1" zoomScale="85" zoomScaleNormal="85" workbookViewId="0">
      <selection activeCell="I23" sqref="I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8" width="23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31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SUM(AB3:AB46)</f>
        <v>0</v>
      </c>
      <c r="AJ1" s="51"/>
      <c r="AK1" s="7"/>
      <c r="AL1" s="7"/>
      <c r="AM1" s="7"/>
      <c r="AN1" s="7"/>
      <c r="AO1" s="7"/>
      <c r="AP1" s="7"/>
      <c r="AQ1" s="7"/>
      <c r="AR1" s="7"/>
      <c r="AS1" s="51"/>
      <c r="AT1" s="6"/>
      <c r="AU1" s="6"/>
      <c r="AV1" s="6"/>
      <c r="AW1" s="6"/>
      <c r="AX1" s="6"/>
      <c r="AY1" s="6"/>
      <c r="AZ1" s="8"/>
      <c r="BA1" s="91" t="s">
        <v>0</v>
      </c>
      <c r="BB1" s="92"/>
      <c r="BC1" s="92"/>
      <c r="BD1" s="92"/>
      <c r="BE1" s="92"/>
      <c r="BF1" s="92"/>
      <c r="BG1" s="92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72" t="s">
        <v>181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4" customFormat="1" ht="15.75" x14ac:dyDescent="0.25">
      <c r="A3" s="18"/>
      <c r="B3" s="18" t="s">
        <v>113</v>
      </c>
      <c r="C3" s="19"/>
      <c r="D3" s="20" t="s">
        <v>66</v>
      </c>
      <c r="E3" s="21" t="s">
        <v>114</v>
      </c>
      <c r="F3" s="21" t="s">
        <v>115</v>
      </c>
      <c r="G3" s="21" t="s">
        <v>116</v>
      </c>
      <c r="H3" s="73" t="s">
        <v>116</v>
      </c>
      <c r="I3" s="21" t="s">
        <v>117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93" t="s">
        <v>198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67" t="s">
        <v>175</v>
      </c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118</v>
      </c>
      <c r="AY3" s="25"/>
      <c r="AZ3" s="52"/>
      <c r="BA3" s="53"/>
      <c r="BB3" s="53"/>
      <c r="BC3" s="53"/>
      <c r="BD3" s="53"/>
      <c r="BE3" s="53"/>
      <c r="BF3" s="53"/>
      <c r="BG3" s="53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38"/>
      <c r="B4" s="38" t="s">
        <v>113</v>
      </c>
      <c r="C4" s="46"/>
      <c r="D4" s="55" t="s">
        <v>95</v>
      </c>
      <c r="E4" s="41" t="s">
        <v>114</v>
      </c>
      <c r="F4" s="41" t="s">
        <v>115</v>
      </c>
      <c r="G4" s="41" t="s">
        <v>116</v>
      </c>
      <c r="H4" s="73" t="s">
        <v>116</v>
      </c>
      <c r="I4" s="41" t="s">
        <v>117</v>
      </c>
      <c r="J4" s="41">
        <f t="shared" si="0"/>
        <v>12</v>
      </c>
      <c r="K4" s="41" t="str">
        <f t="shared" si="1"/>
        <v>Ввод_функции</v>
      </c>
      <c r="L4" s="62" t="s">
        <v>182</v>
      </c>
      <c r="M4" s="45" t="s">
        <v>62</v>
      </c>
      <c r="N4" s="46" t="s">
        <v>64</v>
      </c>
      <c r="O4" s="46" t="s">
        <v>64</v>
      </c>
      <c r="P4" s="46"/>
      <c r="Q4" s="47">
        <v>0</v>
      </c>
      <c r="R4" s="47"/>
      <c r="S4" s="46" t="s">
        <v>65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 t="shared" si="2"/>
        <v>0</v>
      </c>
      <c r="AX4" s="39" t="s">
        <v>118</v>
      </c>
      <c r="AY4" s="39"/>
      <c r="AZ4" s="47"/>
      <c r="BA4" s="39"/>
      <c r="BB4" s="39"/>
      <c r="BC4" s="39"/>
      <c r="BD4" s="39"/>
      <c r="BE4" s="39"/>
      <c r="BF4" s="39"/>
      <c r="BG4" s="39"/>
      <c r="BH4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56" customFormat="1" ht="15.75" x14ac:dyDescent="0.25">
      <c r="A5" s="38"/>
      <c r="B5" s="38" t="s">
        <v>113</v>
      </c>
      <c r="C5" s="46"/>
      <c r="D5" s="55" t="s">
        <v>95</v>
      </c>
      <c r="E5" s="41" t="s">
        <v>163</v>
      </c>
      <c r="F5" s="41" t="s">
        <v>119</v>
      </c>
      <c r="G5" s="41" t="s">
        <v>120</v>
      </c>
      <c r="H5" s="73" t="s">
        <v>120</v>
      </c>
      <c r="I5" s="41" t="s">
        <v>121</v>
      </c>
      <c r="J5" s="41">
        <f t="shared" si="0"/>
        <v>10</v>
      </c>
      <c r="K5" s="41" t="str">
        <f t="shared" si="1"/>
        <v>Режим_откл</v>
      </c>
      <c r="L5" s="62" t="s">
        <v>183</v>
      </c>
      <c r="M5" s="45" t="s">
        <v>62</v>
      </c>
      <c r="N5" s="46" t="s">
        <v>64</v>
      </c>
      <c r="O5" s="46" t="s">
        <v>64</v>
      </c>
      <c r="P5" s="46"/>
      <c r="Q5" s="47">
        <v>0</v>
      </c>
      <c r="R5" s="47"/>
      <c r="S5" s="46" t="s">
        <v>65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39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si="2"/>
        <v>0</v>
      </c>
      <c r="AX5" s="39" t="s">
        <v>165</v>
      </c>
      <c r="AY5" s="39"/>
      <c r="AZ5" s="47"/>
      <c r="BA5" s="39"/>
      <c r="BB5" s="39"/>
      <c r="BC5" s="39"/>
      <c r="BD5" s="39"/>
      <c r="BE5" s="39"/>
      <c r="BF5" s="39"/>
      <c r="BG5" s="39"/>
      <c r="BH5" s="49" t="str">
        <f t="shared" si="3"/>
        <v>description: "Режим_откл", note: "Режим отключения В", group: "setting", minValue: 0, maxValue: 1, step: 1, units: "null", defaultValue: 0, eventRegistration: 0</v>
      </c>
    </row>
    <row r="6" spans="1:16380" s="56" customFormat="1" ht="15.75" x14ac:dyDescent="0.25">
      <c r="A6" s="38"/>
      <c r="B6" s="38" t="s">
        <v>113</v>
      </c>
      <c r="C6" s="46"/>
      <c r="D6" s="55" t="s">
        <v>95</v>
      </c>
      <c r="E6" s="41" t="s">
        <v>122</v>
      </c>
      <c r="F6" s="41" t="s">
        <v>123</v>
      </c>
      <c r="G6" s="41" t="s">
        <v>124</v>
      </c>
      <c r="H6" s="73" t="s">
        <v>124</v>
      </c>
      <c r="I6" s="41" t="s">
        <v>117</v>
      </c>
      <c r="J6" s="41">
        <f t="shared" si="0"/>
        <v>13</v>
      </c>
      <c r="K6" s="41" t="str">
        <f t="shared" si="1"/>
        <v>Контр_раб_ЭМО</v>
      </c>
      <c r="L6" s="62" t="s">
        <v>184</v>
      </c>
      <c r="M6" s="45" t="s">
        <v>62</v>
      </c>
      <c r="N6" s="46" t="s">
        <v>64</v>
      </c>
      <c r="O6" s="46" t="s">
        <v>64</v>
      </c>
      <c r="P6" s="46"/>
      <c r="Q6" s="47">
        <v>0</v>
      </c>
      <c r="R6" s="47"/>
      <c r="S6" s="46" t="s">
        <v>65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44"/>
      <c r="AB6" s="39">
        <v>0</v>
      </c>
      <c r="AC6" s="39"/>
      <c r="AD6" s="39"/>
      <c r="AE6" s="39"/>
      <c r="AF6" s="39"/>
      <c r="AG6" s="39">
        <v>0</v>
      </c>
      <c r="AH6" s="39">
        <v>0</v>
      </c>
      <c r="AI6" s="39">
        <v>0</v>
      </c>
      <c r="AJ6" s="39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118</v>
      </c>
      <c r="AY6" s="39"/>
      <c r="AZ6" s="47"/>
      <c r="BA6" s="39"/>
      <c r="BB6" s="39"/>
      <c r="BC6" s="39"/>
      <c r="BD6" s="39"/>
      <c r="BE6" s="39"/>
      <c r="BF6" s="39"/>
      <c r="BG6" s="39"/>
      <c r="BH6" s="49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80" s="56" customFormat="1" ht="15.75" x14ac:dyDescent="0.25">
      <c r="A7" s="38"/>
      <c r="B7" s="38" t="s">
        <v>113</v>
      </c>
      <c r="C7" s="46"/>
      <c r="D7" s="55" t="s">
        <v>95</v>
      </c>
      <c r="E7" s="41" t="s">
        <v>164</v>
      </c>
      <c r="F7" s="41" t="s">
        <v>125</v>
      </c>
      <c r="G7" s="41" t="s">
        <v>126</v>
      </c>
      <c r="H7" s="73" t="s">
        <v>126</v>
      </c>
      <c r="I7" s="41" t="s">
        <v>121</v>
      </c>
      <c r="J7" s="41">
        <f t="shared" si="0"/>
        <v>9</v>
      </c>
      <c r="K7" s="41" t="str">
        <f t="shared" si="1"/>
        <v>Режим_вкл</v>
      </c>
      <c r="L7" s="62" t="s">
        <v>185</v>
      </c>
      <c r="M7" s="45" t="s">
        <v>62</v>
      </c>
      <c r="N7" s="46" t="s">
        <v>64</v>
      </c>
      <c r="O7" s="46" t="s">
        <v>64</v>
      </c>
      <c r="P7" s="46"/>
      <c r="Q7" s="47">
        <v>0</v>
      </c>
      <c r="R7" s="47"/>
      <c r="S7" s="46" t="s">
        <v>65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44"/>
      <c r="AB7" s="39">
        <v>0</v>
      </c>
      <c r="AC7" s="39"/>
      <c r="AD7" s="39"/>
      <c r="AE7" s="39"/>
      <c r="AF7" s="39"/>
      <c r="AG7" s="39">
        <v>0</v>
      </c>
      <c r="AH7" s="39">
        <v>0</v>
      </c>
      <c r="AI7" s="39">
        <v>0</v>
      </c>
      <c r="AJ7" s="39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si="2"/>
        <v>0</v>
      </c>
      <c r="AX7" s="39" t="s">
        <v>165</v>
      </c>
      <c r="AY7" s="39"/>
      <c r="AZ7" s="47"/>
      <c r="BA7" s="39"/>
      <c r="BB7" s="39"/>
      <c r="BC7" s="39"/>
      <c r="BD7" s="39"/>
      <c r="BE7" s="39"/>
      <c r="BF7" s="39"/>
      <c r="BG7" s="39"/>
      <c r="BH7" s="49" t="str">
        <f t="shared" si="3"/>
        <v>description: "Режим_вкл", note: "Режим включения В", group: "setting", minValue: 0, maxValue: 1, step: 1, units: "null", defaultValue: 0, eventRegistration: 0</v>
      </c>
    </row>
    <row r="8" spans="1:16380" s="56" customFormat="1" ht="15.75" x14ac:dyDescent="0.25">
      <c r="A8" s="38"/>
      <c r="B8" s="38" t="s">
        <v>113</v>
      </c>
      <c r="C8" s="46"/>
      <c r="D8" s="55" t="s">
        <v>95</v>
      </c>
      <c r="E8" s="41" t="s">
        <v>127</v>
      </c>
      <c r="F8" s="41" t="s">
        <v>128</v>
      </c>
      <c r="G8" s="41" t="s">
        <v>129</v>
      </c>
      <c r="H8" s="73" t="s">
        <v>129</v>
      </c>
      <c r="I8" s="41" t="s">
        <v>117</v>
      </c>
      <c r="J8" s="41">
        <f t="shared" si="0"/>
        <v>13</v>
      </c>
      <c r="K8" s="41" t="str">
        <f t="shared" si="1"/>
        <v>Контр_раб_ЭМВ</v>
      </c>
      <c r="L8" s="62" t="s">
        <v>186</v>
      </c>
      <c r="M8" s="45" t="s">
        <v>62</v>
      </c>
      <c r="N8" s="46" t="s">
        <v>64</v>
      </c>
      <c r="O8" s="46" t="s">
        <v>64</v>
      </c>
      <c r="P8" s="46"/>
      <c r="Q8" s="47">
        <v>0</v>
      </c>
      <c r="R8" s="47"/>
      <c r="S8" s="46" t="s">
        <v>65</v>
      </c>
      <c r="T8" s="46">
        <v>0</v>
      </c>
      <c r="U8" s="46">
        <v>1</v>
      </c>
      <c r="V8" s="46">
        <v>1</v>
      </c>
      <c r="W8" s="46"/>
      <c r="X8" s="46"/>
      <c r="Y8" s="46">
        <v>0</v>
      </c>
      <c r="Z8" s="46">
        <v>0</v>
      </c>
      <c r="AA8" s="44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39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118</v>
      </c>
      <c r="AY8" s="39"/>
      <c r="AZ8" s="47"/>
      <c r="BA8" s="39"/>
      <c r="BB8" s="39"/>
      <c r="BC8" s="39"/>
      <c r="BD8" s="39"/>
      <c r="BE8" s="39"/>
      <c r="BF8" s="39"/>
      <c r="BG8" s="39"/>
      <c r="BH8" s="49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80" s="56" customFormat="1" ht="15.75" customHeight="1" x14ac:dyDescent="0.25">
      <c r="A9" s="38"/>
      <c r="B9" s="38" t="s">
        <v>113</v>
      </c>
      <c r="C9" s="46"/>
      <c r="D9" s="55" t="s">
        <v>95</v>
      </c>
      <c r="E9" s="41" t="s">
        <v>130</v>
      </c>
      <c r="F9" s="41" t="s">
        <v>131</v>
      </c>
      <c r="G9" s="41" t="s">
        <v>132</v>
      </c>
      <c r="H9" s="74" t="s">
        <v>132</v>
      </c>
      <c r="I9" s="41"/>
      <c r="J9" s="41">
        <f t="shared" si="0"/>
        <v>9</v>
      </c>
      <c r="K9" s="41" t="str">
        <f t="shared" si="1"/>
        <v>Tнеиспр_В</v>
      </c>
      <c r="L9" s="62" t="s">
        <v>187</v>
      </c>
      <c r="M9" s="45" t="s">
        <v>133</v>
      </c>
      <c r="N9" s="46" t="s">
        <v>64</v>
      </c>
      <c r="O9" s="46" t="s">
        <v>64</v>
      </c>
      <c r="P9" s="46"/>
      <c r="Q9" s="47">
        <v>2</v>
      </c>
      <c r="R9" s="47" t="s">
        <v>134</v>
      </c>
      <c r="S9" s="46" t="s">
        <v>135</v>
      </c>
      <c r="T9" s="46">
        <v>10</v>
      </c>
      <c r="U9" s="46">
        <v>10000</v>
      </c>
      <c r="V9" s="46">
        <v>10</v>
      </c>
      <c r="W9" s="46"/>
      <c r="X9" s="46"/>
      <c r="Y9" s="46">
        <v>10000</v>
      </c>
      <c r="Z9" s="46">
        <v>0</v>
      </c>
      <c r="AA9" s="44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39"/>
      <c r="AL9" s="39"/>
      <c r="AM9" s="39"/>
      <c r="AN9" s="39"/>
      <c r="AO9" s="39"/>
      <c r="AP9" s="39"/>
      <c r="AQ9" s="48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/>
      <c r="AY9" s="39"/>
      <c r="AZ9" s="47"/>
      <c r="BA9" s="39"/>
      <c r="BB9" s="39"/>
      <c r="BC9" s="39"/>
      <c r="BD9" s="39"/>
      <c r="BE9" s="39"/>
      <c r="BF9" s="39"/>
      <c r="BG9" s="39"/>
      <c r="BH9" s="4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56" customFormat="1" ht="15.75" customHeight="1" x14ac:dyDescent="0.25">
      <c r="A10" s="38"/>
      <c r="B10" s="38" t="s">
        <v>113</v>
      </c>
      <c r="C10" s="46"/>
      <c r="D10" s="55" t="s">
        <v>95</v>
      </c>
      <c r="E10" s="71" t="s">
        <v>191</v>
      </c>
      <c r="F10" s="41" t="s">
        <v>136</v>
      </c>
      <c r="G10" s="41" t="s">
        <v>137</v>
      </c>
      <c r="H10" s="74" t="s">
        <v>137</v>
      </c>
      <c r="I10" s="41"/>
      <c r="J10" s="41">
        <f t="shared" si="0"/>
        <v>9</v>
      </c>
      <c r="K10" s="41" t="str">
        <f t="shared" si="1"/>
        <v>Тимп_откл</v>
      </c>
      <c r="L10" s="62" t="s">
        <v>188</v>
      </c>
      <c r="M10" s="45" t="s">
        <v>133</v>
      </c>
      <c r="N10" s="46" t="s">
        <v>64</v>
      </c>
      <c r="O10" s="46" t="s">
        <v>64</v>
      </c>
      <c r="P10" s="46"/>
      <c r="Q10" s="47">
        <v>2</v>
      </c>
      <c r="R10" s="47" t="s">
        <v>134</v>
      </c>
      <c r="S10" s="46" t="s">
        <v>135</v>
      </c>
      <c r="T10" s="46">
        <v>50</v>
      </c>
      <c r="U10" s="46">
        <v>10000</v>
      </c>
      <c r="V10" s="46">
        <v>10</v>
      </c>
      <c r="W10" s="46"/>
      <c r="X10" s="46"/>
      <c r="Y10" s="46">
        <v>1000</v>
      </c>
      <c r="Z10" s="46">
        <v>0</v>
      </c>
      <c r="AA10" s="44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39"/>
      <c r="AK10" s="39"/>
      <c r="AL10" s="39"/>
      <c r="AM10" s="39"/>
      <c r="AN10" s="39"/>
      <c r="AO10" s="39"/>
      <c r="AP10" s="39"/>
      <c r="AQ10" s="48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/>
      <c r="AY10" s="39"/>
      <c r="AZ10" s="47"/>
      <c r="BA10" s="39"/>
      <c r="BB10" s="39"/>
      <c r="BC10" s="39"/>
      <c r="BD10" s="39"/>
      <c r="BE10" s="39"/>
      <c r="BF10" s="39"/>
      <c r="BG10" s="39"/>
      <c r="BH10" s="49" t="str">
        <f t="shared" si="3"/>
        <v>description: "Тимп_откл", note: "Длительность формирования команды «Отключить В (реле)»", group: "setting", minValue: 50, maxValue: 10000, step: 10, units: "мс", defaultValue: 1000, eventRegistration: 0</v>
      </c>
    </row>
    <row r="11" spans="1:16380" s="56" customFormat="1" ht="15.75" customHeight="1" x14ac:dyDescent="0.25">
      <c r="A11" s="38"/>
      <c r="B11" s="38" t="s">
        <v>113</v>
      </c>
      <c r="C11" s="46"/>
      <c r="D11" s="55" t="s">
        <v>95</v>
      </c>
      <c r="E11" s="71" t="s">
        <v>192</v>
      </c>
      <c r="F11" s="41" t="s">
        <v>138</v>
      </c>
      <c r="G11" s="41" t="s">
        <v>139</v>
      </c>
      <c r="H11" s="74" t="s">
        <v>139</v>
      </c>
      <c r="I11" s="41"/>
      <c r="J11" s="41">
        <f t="shared" si="0"/>
        <v>8</v>
      </c>
      <c r="K11" s="41" t="str">
        <f t="shared" si="1"/>
        <v>Тимп_вкл</v>
      </c>
      <c r="L11" s="62" t="s">
        <v>189</v>
      </c>
      <c r="M11" s="45" t="s">
        <v>133</v>
      </c>
      <c r="N11" s="46" t="s">
        <v>64</v>
      </c>
      <c r="O11" s="46" t="s">
        <v>64</v>
      </c>
      <c r="P11" s="46"/>
      <c r="Q11" s="47">
        <v>2</v>
      </c>
      <c r="R11" s="47" t="s">
        <v>134</v>
      </c>
      <c r="S11" s="46" t="s">
        <v>135</v>
      </c>
      <c r="T11" s="46">
        <v>50</v>
      </c>
      <c r="U11" s="46">
        <v>10000</v>
      </c>
      <c r="V11" s="46">
        <v>10</v>
      </c>
      <c r="W11" s="46"/>
      <c r="X11" s="46"/>
      <c r="Y11" s="46">
        <v>1000</v>
      </c>
      <c r="Z11" s="46">
        <v>0</v>
      </c>
      <c r="AA11" s="44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39"/>
      <c r="AK11" s="39"/>
      <c r="AL11" s="39"/>
      <c r="AM11" s="39"/>
      <c r="AN11" s="39"/>
      <c r="AO11" s="39"/>
      <c r="AP11" s="39"/>
      <c r="AQ11" s="48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/>
      <c r="AY11" s="39"/>
      <c r="AZ11" s="47"/>
      <c r="BA11" s="39"/>
      <c r="BB11" s="39"/>
      <c r="BC11" s="39"/>
      <c r="BD11" s="39"/>
      <c r="BE11" s="39"/>
      <c r="BF11" s="39"/>
      <c r="BG11" s="39"/>
      <c r="BH11" s="49" t="str">
        <f t="shared" si="3"/>
        <v>description: "Тимп_вкл", note: "Длительность формирования команды «Включить В (реле)»", group: "setting", minValue: 50, maxValue: 10000, step: 10, units: "мс", defaultValue: 1000, eventRegistration: 0</v>
      </c>
    </row>
    <row r="12" spans="1:16380" s="56" customFormat="1" ht="15.75" customHeight="1" x14ac:dyDescent="0.25">
      <c r="A12" s="38"/>
      <c r="B12" s="38" t="s">
        <v>113</v>
      </c>
      <c r="C12" s="46"/>
      <c r="D12" s="55" t="s">
        <v>95</v>
      </c>
      <c r="E12" s="71" t="s">
        <v>193</v>
      </c>
      <c r="F12" s="41" t="s">
        <v>140</v>
      </c>
      <c r="G12" s="41" t="s">
        <v>141</v>
      </c>
      <c r="H12" s="74" t="s">
        <v>141</v>
      </c>
      <c r="I12" s="41"/>
      <c r="J12" s="41">
        <f t="shared" si="0"/>
        <v>9</v>
      </c>
      <c r="K12" s="41" t="str">
        <f t="shared" si="1"/>
        <v>Тпрод_вкл</v>
      </c>
      <c r="L12" s="62" t="s">
        <v>190</v>
      </c>
      <c r="M12" s="45" t="s">
        <v>133</v>
      </c>
      <c r="N12" s="46" t="s">
        <v>64</v>
      </c>
      <c r="O12" s="46" t="s">
        <v>64</v>
      </c>
      <c r="P12" s="46"/>
      <c r="Q12" s="47">
        <v>2</v>
      </c>
      <c r="R12" s="47" t="s">
        <v>134</v>
      </c>
      <c r="S12" s="46" t="s">
        <v>135</v>
      </c>
      <c r="T12" s="46">
        <v>0</v>
      </c>
      <c r="U12" s="46">
        <v>1000</v>
      </c>
      <c r="V12" s="46">
        <v>10</v>
      </c>
      <c r="W12" s="46"/>
      <c r="X12" s="46"/>
      <c r="Y12" s="46">
        <v>1000</v>
      </c>
      <c r="Z12" s="46">
        <v>0</v>
      </c>
      <c r="AA12" s="44"/>
      <c r="AB12" s="39">
        <v>0</v>
      </c>
      <c r="AC12" s="39"/>
      <c r="AD12" s="39"/>
      <c r="AE12" s="39"/>
      <c r="AF12" s="39"/>
      <c r="AG12" s="39">
        <v>0</v>
      </c>
      <c r="AH12" s="39">
        <v>0</v>
      </c>
      <c r="AI12" s="39">
        <v>0</v>
      </c>
      <c r="AJ12" s="39"/>
      <c r="AK12" s="39"/>
      <c r="AL12" s="39"/>
      <c r="AM12" s="39"/>
      <c r="AN12" s="39"/>
      <c r="AO12" s="39"/>
      <c r="AP12" s="39"/>
      <c r="AQ12" s="48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/>
      <c r="AY12" s="39"/>
      <c r="AZ12" s="47"/>
      <c r="BA12" s="39"/>
      <c r="BB12" s="39"/>
      <c r="BC12" s="39"/>
      <c r="BD12" s="39"/>
      <c r="BE12" s="39"/>
      <c r="BF12" s="39"/>
      <c r="BG12" s="39"/>
      <c r="BH12" s="49" t="str">
        <f t="shared" si="3"/>
        <v>description: "Тпрод_вкл", note: "Время для исключения «опрокидывания» В", group: "setting", minValue: 0, maxValue: 1000,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3"/>
      <c r="BD13" s="4"/>
      <c r="BE13" s="3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3"/>
      <c r="BD14" s="4"/>
      <c r="BE14" s="3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3"/>
      <c r="BD15" s="4"/>
      <c r="BE15" s="3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3"/>
      <c r="BD16" s="4"/>
      <c r="BE16" s="33"/>
      <c r="BF16" s="4"/>
      <c r="BG16" s="4"/>
      <c r="BH16" s="1"/>
      <c r="BI16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G9" sqref="G9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142</v>
      </c>
      <c r="B2" s="9" t="s">
        <v>143</v>
      </c>
    </row>
    <row r="3" spans="1:2" x14ac:dyDescent="0.25">
      <c r="A3" s="57" t="s">
        <v>144</v>
      </c>
      <c r="B3" s="58" t="s">
        <v>66</v>
      </c>
    </row>
    <row r="4" spans="1:2" x14ac:dyDescent="0.25">
      <c r="A4" s="57" t="s">
        <v>145</v>
      </c>
      <c r="B4" s="59">
        <v>540</v>
      </c>
    </row>
    <row r="5" spans="1:2" x14ac:dyDescent="0.25">
      <c r="A5" s="57" t="s">
        <v>146</v>
      </c>
      <c r="B5" s="58" t="s">
        <v>64</v>
      </c>
    </row>
    <row r="6" spans="1:2" x14ac:dyDescent="0.25">
      <c r="A6" s="57" t="s">
        <v>147</v>
      </c>
      <c r="B6" s="58" t="s">
        <v>180</v>
      </c>
    </row>
    <row r="7" spans="1:2" x14ac:dyDescent="0.25">
      <c r="A7" s="57" t="s">
        <v>148</v>
      </c>
      <c r="B7" s="58">
        <v>1</v>
      </c>
    </row>
    <row r="8" spans="1:2" s="69" customFormat="1" x14ac:dyDescent="0.25">
      <c r="A8" s="68" t="s">
        <v>176</v>
      </c>
      <c r="B8" t="s">
        <v>178</v>
      </c>
    </row>
    <row r="9" spans="1:2" s="69" customFormat="1" x14ac:dyDescent="0.25">
      <c r="A9" s="68" t="s">
        <v>177</v>
      </c>
      <c r="B9" s="68"/>
    </row>
    <row r="10" spans="1:2" s="69" customFormat="1" x14ac:dyDescent="0.25">
      <c r="A10" s="20" t="s">
        <v>66</v>
      </c>
      <c r="B10" t="s">
        <v>178</v>
      </c>
    </row>
    <row r="11" spans="1:2" s="69" customFormat="1" x14ac:dyDescent="0.25">
      <c r="A11" s="70" t="s">
        <v>95</v>
      </c>
      <c r="B11" t="s">
        <v>179</v>
      </c>
    </row>
    <row r="12" spans="1:2" s="69" customFormat="1" x14ac:dyDescent="0.25">
      <c r="A12" s="68" t="s">
        <v>177</v>
      </c>
      <c r="B12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2025-10-22T09:57:48Z</dcterms:modified>
</cp:coreProperties>
</file>