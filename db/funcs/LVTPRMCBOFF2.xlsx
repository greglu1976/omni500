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4" i="4"/>
  <c r="AX3" i="4"/>
  <c r="J9" i="4" l="1"/>
  <c r="J10" i="4"/>
  <c r="J11" i="4"/>
  <c r="AW4" i="6" l="1"/>
  <c r="K4" i="6"/>
  <c r="BG5" i="5" l="1"/>
  <c r="AP5" i="5"/>
  <c r="J5" i="5"/>
  <c r="I5" i="5"/>
  <c r="BH5" i="6" l="1"/>
  <c r="AW5" i="6"/>
  <c r="K5" i="6"/>
  <c r="J5" i="6"/>
  <c r="BG15" i="5" l="1"/>
  <c r="AV15" i="5"/>
  <c r="AP15" i="5"/>
  <c r="J15" i="5"/>
  <c r="I15" i="5"/>
  <c r="BG14" i="5"/>
  <c r="AV14" i="5"/>
  <c r="AP14" i="5"/>
  <c r="J14" i="5"/>
  <c r="I14" i="5"/>
  <c r="BG9" i="5"/>
  <c r="AP9" i="5"/>
  <c r="J9" i="5"/>
  <c r="I9" i="5"/>
  <c r="BG8" i="5"/>
  <c r="J8" i="5"/>
  <c r="I8" i="5"/>
  <c r="BG7" i="5"/>
  <c r="J7" i="5"/>
  <c r="I7" i="5"/>
  <c r="BG4" i="4"/>
  <c r="AV4" i="4"/>
  <c r="J4" i="4"/>
  <c r="I4" i="4"/>
  <c r="BG3" i="4"/>
  <c r="AV3" i="4"/>
  <c r="J3" i="4"/>
  <c r="I3" i="4"/>
  <c r="AP6" i="5" l="1"/>
  <c r="BG6" i="5"/>
  <c r="J6" i="5"/>
  <c r="I6" i="5"/>
  <c r="BG8" i="4" l="1"/>
  <c r="J8" i="4"/>
  <c r="I8" i="4"/>
  <c r="BG7" i="4"/>
  <c r="J7" i="4"/>
  <c r="I7" i="4"/>
  <c r="BG5" i="4" l="1"/>
  <c r="J5" i="4"/>
  <c r="I5" i="4"/>
  <c r="AV10" i="5" l="1"/>
  <c r="AV11" i="5"/>
  <c r="AV12" i="5"/>
  <c r="AV13" i="5"/>
  <c r="BG6" i="4" l="1"/>
  <c r="J6" i="4"/>
  <c r="I6" i="4"/>
  <c r="BG13" i="5" l="1"/>
  <c r="BG12" i="5"/>
  <c r="BG11" i="5"/>
  <c r="BG10" i="5"/>
  <c r="BH3" i="6"/>
  <c r="AW3" i="6"/>
  <c r="K3" i="6"/>
  <c r="J3" i="6"/>
  <c r="AI1" i="6"/>
  <c r="AP13" i="5"/>
  <c r="J13" i="5"/>
  <c r="I13" i="5"/>
  <c r="AP12" i="5"/>
  <c r="J12" i="5"/>
  <c r="I12" i="5"/>
  <c r="AP11" i="5"/>
  <c r="J11" i="5"/>
  <c r="I11" i="5"/>
  <c r="AP10" i="5"/>
  <c r="J10" i="5"/>
  <c r="I10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<sst xmlns="http://schemas.openxmlformats.org/spreadsheetml/2006/main" count="611" uniqueCount="187">
  <si>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</si>
  <si>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</si>
  <si>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</si>
  <si>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</si>
  <si>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</si>
  <si>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</si>
  <si>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</si>
  <si>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</si>
  <si>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</si>
  <si>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</si>
  <si>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</si>
  <si>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</si>
  <si>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</si>
  <si>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</si>
  <si>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</si>
  <si>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</si>
  <si>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</si>
  <si>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</si>
  <si>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</si>
  <si>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</si>
  <si>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</si>
  <si>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</si>
  <si>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</si>
  <si>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</si>
  <si>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</si>
  <si>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</si>
  <si>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</si>
  <si>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</si>
  <si>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</si>
  <si>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</si>
  <si>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</si>
  <si>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</si>
  <si>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</si>
  <si>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</si>
  <si>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</si>
  <si>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</si>
  <si>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</si>
  <si>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</si>
  <si>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</si>
  <si>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</si>
  <si>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</si>
  <si>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</si>
  <si>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</si>
  <si>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</si>
  <si>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</si>
  <si>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</si>
  <si>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</si>
  <si>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</si>
  <si>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</si>
  <si>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</si>
  <si>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</si>
  <si>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</si>
  <si>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</si>
  <si>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</si>
  <si>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</si>
  <si>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</si>
  <si>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</si>
  <si>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</si>
  <si>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</si>
  <si>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</si>
  <si>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</si>
  <si>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</si>
  <si>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</si>
  <si>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</si>
  <si>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</si>
  <si>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</si>
  <si>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</si>
  <si>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</si>
  <si>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</si>
  <si>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</si>
  <si>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</si>
  <si>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</si>
  <si>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</si>
  <si>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</si>
  <si>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</si>
  <si>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</si>
  <si>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</si>
  <si>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</si>
  <si>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</si>
  <si>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</si>
  <si>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</si>
  <si>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</si>
  <si>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</si>
  <si>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</si>
  <si>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</si>
  <si>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</si>
  <si>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</si>
  <si>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</si>
  <si>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</si>
  <si>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</si>
  <si>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</si>
  <si>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</si>
  <si>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</si>
  <si>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</si>
  <si>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</si>
  <si>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</si>
  <si>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</si>
  <si>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</si>
  <si>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</si>
  <si>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</si>
  <si>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</si>
  <si>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</si>
  <si>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</si>
  <si>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</si>
  <si>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</si>
  <si>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</si>
  <si>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</si>
  <si>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</si>
  <si>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</si>
  <si>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</si>
  <si>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</si>
  <si>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</si>
  <si>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</si>
  <si>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</si>
  <si>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</si>
  <si>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</si>
  <si>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</si>
  <si>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</si>
  <si>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</si>
  <si>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</si>
  <si>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</si>
  <si>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</si>
  <si>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</si>
  <si>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</si>
  <si>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Запрет АПВ внутренний</t>
  </si>
  <si>
    <t>ЗАПВ (внутр)</t>
  </si>
  <si>
    <t>BlkOpRBRE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</si>
  <si>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</si>
  <si>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</si>
  <si>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</si>
  <si>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</si>
  <si>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</si>
  <si>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</si>
  <si>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</si>
  <si>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</si>
  <si>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</si>
  <si>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</si>
  <si>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</si>
  <si>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</si>
  <si>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</si>
  <si>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</si>
  <si>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</si>
  <si>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</si>
  <si>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</si>
  <si>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</si>
  <si>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</si>
  <si>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</si>
  <si>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</si>
  <si>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</si>
  <si>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</si>
  <si>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</si>
  <si>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</si>
  <si>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</si>
  <si>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</si>
  <si>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</si>
  <si>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</si>
  <si>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</si>
  <si>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</si>
  <si>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</si>
  <si>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</si>
  <si>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LVTPRMCBOFF2_operOutFunction</t>
  </si>
  <si>
    <t>LVTPRMCBOFF2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</si>
  <si>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</si>
  <si>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</si>
  <si>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</si>
  <si>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</si>
  <si>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</si>
  <si>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</si>
  <si>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НН2</t>
  </si>
  <si>
    <t>Оперативный вывод функции ЛО НН2</t>
  </si>
  <si>
    <t>ОВ ЛО НН2</t>
  </si>
  <si>
    <t>Оперативный вывод ЛО НН2 / ЛО</t>
  </si>
  <si>
    <t>ОВ ЛО НН2 / ЛО</t>
  </si>
  <si>
    <t>Оперативный вывод ЛО НН2 / ЗАПВ</t>
  </si>
  <si>
    <t>ОВ ЛО НН2 / ЗАПВ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</si>
  <si>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</si>
  <si>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</si>
  <si>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</si>
  <si>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</si>
  <si>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</si>
  <si>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</si>
  <si>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</si>
  <si>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</si>
  <si>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</si>
  <si>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запрета АПВ</t>
  </si>
  <si>
    <t>Логика отключения выключателя стороны НН2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</si>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</sst>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topLeftCell="AK1"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0" t="s">
        <v>177</v>
      </c>
      <c r="AW2" s="90" t="s">
        <v>178</v>
      </c>
      <c r="AX2" s="90" t="s">
        <v>179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25"/>
      <c r="B3" s="25" t="s">
        <v>50</v>
      </c>
      <c r="C3" s="26"/>
      <c r="D3" s="27"/>
      <c r="E3" s="28" t="s">
        <v>121</v>
      </c>
      <c r="F3" s="73" t="s">
        <v>122</v>
      </c>
      <c r="G3" s="73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123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2"/>
      <c r="AK3" s="32"/>
      <c r="AL3" s="32"/>
      <c r="AM3" s="32"/>
      <c r="AN3" s="32"/>
      <c r="AO3" s="32"/>
      <c r="AP3" s="32"/>
      <c r="AQ3" s="32"/>
      <c r="AR3" s="75">
        <v>0</v>
      </c>
      <c r="AS3" s="75">
        <v>0</v>
      </c>
      <c r="AT3" s="75">
        <v>0</v>
      </c>
      <c r="AU3" s="75">
        <v>0</v>
      </c>
      <c r="AV3" s="75">
        <f t="shared" ref="AV3:AV4" si="2">BIN2DEC(CONCATENATE(0,0,0,0,AR3,AS3,AT3,AU3))</f>
        <v>0</v>
      </c>
      <c r="AW3" s="75">
        <v>0</v>
      </c>
      <c r="AX3" s="75">
        <f t="shared" ref="AX3:AX11" si="3">BIN2DEC(CONCATENATE(0,0,0,0,AT3,AU3,AV3,AW3))</f>
        <v>0</v>
      </c>
      <c r="AY3" s="75"/>
      <c r="AZ3" s="30"/>
      <c r="BA3" s="75"/>
      <c r="BB3" s="75"/>
      <c r="BC3" s="33"/>
      <c r="BD3" s="75"/>
      <c r="BE3" s="34"/>
      <c r="BF3" s="75"/>
      <c r="BG3" s="35" t="str">
        <f t="shared" ref="BG3:BG4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83" customFormat="1" ht="15.75" x14ac:dyDescent="0.25">
      <c r="A4" s="25"/>
      <c r="B4" s="25" t="s">
        <v>50</v>
      </c>
      <c r="C4" s="26"/>
      <c r="D4" s="27"/>
      <c r="E4" s="28" t="s">
        <v>124</v>
      </c>
      <c r="F4" s="73" t="s">
        <v>125</v>
      </c>
      <c r="G4" s="73" t="s">
        <v>125</v>
      </c>
      <c r="H4" s="28"/>
      <c r="I4" s="28">
        <f t="shared" si="0"/>
        <v>12</v>
      </c>
      <c r="J4" s="28" t="str">
        <f t="shared" si="1"/>
        <v>ЗАПВ (внутр)</v>
      </c>
      <c r="K4" s="25" t="s">
        <v>126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2"/>
      <c r="AK4" s="32"/>
      <c r="AL4" s="32"/>
      <c r="AM4" s="32"/>
      <c r="AN4" s="32"/>
      <c r="AO4" s="32"/>
      <c r="AP4" s="32"/>
      <c r="AQ4" s="32"/>
      <c r="AR4" s="75">
        <v>0</v>
      </c>
      <c r="AS4" s="75">
        <v>0</v>
      </c>
      <c r="AT4" s="75">
        <v>0</v>
      </c>
      <c r="AU4" s="75">
        <v>0</v>
      </c>
      <c r="AV4" s="75">
        <f t="shared" si="2"/>
        <v>0</v>
      </c>
      <c r="AW4" s="75">
        <v>0</v>
      </c>
      <c r="AX4" s="75">
        <f t="shared" si="3"/>
        <v>0</v>
      </c>
      <c r="AY4" s="75"/>
      <c r="AZ4" s="30"/>
      <c r="BA4" s="75"/>
      <c r="BB4" s="75"/>
      <c r="BC4" s="33"/>
      <c r="BD4" s="75"/>
      <c r="BE4" s="34"/>
      <c r="BF4" s="75"/>
      <c r="BG4" s="35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6"/>
    </row>
    <row r="5" spans="1:16379" s="112" customFormat="1" ht="15.75" x14ac:dyDescent="0.25">
      <c r="A5" s="97"/>
      <c r="B5" s="97" t="s">
        <v>176</v>
      </c>
      <c r="C5" s="98"/>
      <c r="D5" s="99"/>
      <c r="E5" s="100" t="s">
        <v>107</v>
      </c>
      <c r="F5" s="101" t="s">
        <v>107</v>
      </c>
      <c r="G5" s="101" t="s">
        <v>107</v>
      </c>
      <c r="H5" s="100"/>
      <c r="I5" s="100">
        <f t="shared" ref="I5:I11" si="5">LEN(F5)</f>
        <v>15</v>
      </c>
      <c r="J5" s="100" t="str">
        <f t="shared" ref="J5:J11" si="6">IF(LEN(F5)&lt;=$J$1,F5,"")</f>
        <v>Вывод терминала</v>
      </c>
      <c r="K5" s="97" t="s">
        <v>108</v>
      </c>
      <c r="L5" s="102" t="s">
        <v>54</v>
      </c>
      <c r="M5" s="98" t="s">
        <v>51</v>
      </c>
      <c r="N5" s="98" t="s">
        <v>52</v>
      </c>
      <c r="O5" s="98"/>
      <c r="P5" s="103"/>
      <c r="Q5" s="103"/>
      <c r="R5" s="98" t="s">
        <v>53</v>
      </c>
      <c r="S5" s="98" t="s">
        <v>53</v>
      </c>
      <c r="T5" s="98" t="s">
        <v>53</v>
      </c>
      <c r="U5" s="98" t="s">
        <v>53</v>
      </c>
      <c r="V5" s="98"/>
      <c r="W5" s="98"/>
      <c r="X5" s="98" t="s">
        <v>53</v>
      </c>
      <c r="Y5" s="98">
        <v>0</v>
      </c>
      <c r="Z5" s="104"/>
      <c r="AA5" s="105">
        <v>0</v>
      </c>
      <c r="AB5" s="105"/>
      <c r="AC5" s="105"/>
      <c r="AD5" s="105"/>
      <c r="AE5" s="105"/>
      <c r="AF5" s="105">
        <v>0</v>
      </c>
      <c r="AG5" s="105">
        <v>0</v>
      </c>
      <c r="AH5" s="105">
        <v>0</v>
      </c>
      <c r="AI5" s="106"/>
      <c r="AJ5" s="107"/>
      <c r="AK5" s="107"/>
      <c r="AL5" s="107"/>
      <c r="AM5" s="107"/>
      <c r="AN5" s="107"/>
      <c r="AO5" s="107"/>
      <c r="AP5" s="107"/>
      <c r="AQ5" s="107"/>
      <c r="AR5" s="105">
        <v>0</v>
      </c>
      <c r="AS5" s="105">
        <v>0</v>
      </c>
      <c r="AT5" s="114">
        <v>1</v>
      </c>
      <c r="AU5" s="75">
        <v>0</v>
      </c>
      <c r="AV5" s="114">
        <v>1</v>
      </c>
      <c r="AW5" s="114">
        <v>1</v>
      </c>
      <c r="AX5" s="114">
        <v>1</v>
      </c>
      <c r="AY5" s="105"/>
      <c r="AZ5" s="103"/>
      <c r="BA5" s="105"/>
      <c r="BB5" s="105"/>
      <c r="BC5" s="108"/>
      <c r="BD5" s="105"/>
      <c r="BE5" s="109"/>
      <c r="BF5" s="105"/>
      <c r="BG5" s="110" t="str">
        <f t="shared" ref="BG5:BG8" si="7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"control", minValue: null, maxValue: null, step: null, units: "null", defaultValue: null, eventRegistration: 0</v>
      </c>
      <c r="BH5" s="111"/>
    </row>
    <row r="6" spans="1:16379" s="112" customFormat="1" ht="15.75" x14ac:dyDescent="0.25">
      <c r="A6" s="97"/>
      <c r="B6" s="97" t="s">
        <v>176</v>
      </c>
      <c r="C6" s="98"/>
      <c r="D6" s="113" t="s">
        <v>168</v>
      </c>
      <c r="E6" s="100" t="s">
        <v>169</v>
      </c>
      <c r="F6" s="101" t="s">
        <v>170</v>
      </c>
      <c r="G6" s="101" t="s">
        <v>170</v>
      </c>
      <c r="H6" s="100"/>
      <c r="I6" s="100">
        <f t="shared" si="5"/>
        <v>9</v>
      </c>
      <c r="J6" s="100" t="str">
        <f t="shared" si="6"/>
        <v>ОВ ЛО НН2</v>
      </c>
      <c r="K6" s="97" t="s">
        <v>160</v>
      </c>
      <c r="L6" s="102" t="s">
        <v>54</v>
      </c>
      <c r="M6" s="98" t="s">
        <v>51</v>
      </c>
      <c r="N6" s="98" t="s">
        <v>52</v>
      </c>
      <c r="O6" s="98"/>
      <c r="P6" s="103"/>
      <c r="Q6" s="103"/>
      <c r="R6" s="98" t="s">
        <v>53</v>
      </c>
      <c r="S6" s="98" t="s">
        <v>53</v>
      </c>
      <c r="T6" s="98" t="s">
        <v>53</v>
      </c>
      <c r="U6" s="98" t="s">
        <v>53</v>
      </c>
      <c r="V6" s="98"/>
      <c r="W6" s="98"/>
      <c r="X6" s="98" t="s">
        <v>53</v>
      </c>
      <c r="Y6" s="98">
        <v>0</v>
      </c>
      <c r="Z6" s="104"/>
      <c r="AA6" s="105">
        <v>0</v>
      </c>
      <c r="AB6" s="105"/>
      <c r="AC6" s="105"/>
      <c r="AD6" s="105"/>
      <c r="AE6" s="105"/>
      <c r="AF6" s="105">
        <v>0</v>
      </c>
      <c r="AG6" s="105">
        <v>0</v>
      </c>
      <c r="AH6" s="105">
        <v>0</v>
      </c>
      <c r="AI6" s="106"/>
      <c r="AJ6" s="107"/>
      <c r="AK6" s="107"/>
      <c r="AL6" s="107"/>
      <c r="AM6" s="107"/>
      <c r="AN6" s="107"/>
      <c r="AO6" s="107"/>
      <c r="AP6" s="107"/>
      <c r="AQ6" s="107"/>
      <c r="AR6" s="105">
        <v>0</v>
      </c>
      <c r="AS6" s="105">
        <v>0</v>
      </c>
      <c r="AT6" s="114">
        <v>1</v>
      </c>
      <c r="AU6" s="75">
        <v>0</v>
      </c>
      <c r="AV6" s="114">
        <v>1</v>
      </c>
      <c r="AW6" s="114">
        <v>1</v>
      </c>
      <c r="AX6" s="114">
        <v>1</v>
      </c>
      <c r="AY6" s="105"/>
      <c r="AZ6" s="103"/>
      <c r="BA6" s="105"/>
      <c r="BB6" s="105"/>
      <c r="BC6" s="108"/>
      <c r="BD6" s="105"/>
      <c r="BE6" s="109"/>
      <c r="BF6" s="105"/>
      <c r="BG6" s="110" t="str">
        <f t="shared" si="7"/>
        <v>description: "ОВ ЛО НН2", note: "Оперативный вывод функции ЛО НН2", group: "control", minValue: null, maxValue: null, step: null, units: "null", defaultValue: null, eventRegistration: 0</v>
      </c>
      <c r="BH6" s="111"/>
    </row>
    <row r="7" spans="1:16379" s="112" customFormat="1" ht="15.75" x14ac:dyDescent="0.25">
      <c r="A7" s="97"/>
      <c r="B7" s="97" t="s">
        <v>176</v>
      </c>
      <c r="C7" s="98"/>
      <c r="D7" s="113" t="s">
        <v>165</v>
      </c>
      <c r="E7" s="100" t="s">
        <v>171</v>
      </c>
      <c r="F7" s="101" t="s">
        <v>172</v>
      </c>
      <c r="G7" s="101" t="s">
        <v>172</v>
      </c>
      <c r="H7" s="100"/>
      <c r="I7" s="100">
        <f t="shared" ref="I7" si="8">LEN(F7)</f>
        <v>14</v>
      </c>
      <c r="J7" s="100" t="str">
        <f t="shared" si="6"/>
        <v>ОВ ЛО НН2 / ЛО</v>
      </c>
      <c r="K7" s="97" t="s">
        <v>127</v>
      </c>
      <c r="L7" s="102" t="s">
        <v>54</v>
      </c>
      <c r="M7" s="98" t="s">
        <v>51</v>
      </c>
      <c r="N7" s="98" t="s">
        <v>52</v>
      </c>
      <c r="O7" s="98"/>
      <c r="P7" s="103"/>
      <c r="Q7" s="103"/>
      <c r="R7" s="98" t="s">
        <v>53</v>
      </c>
      <c r="S7" s="98" t="s">
        <v>53</v>
      </c>
      <c r="T7" s="98" t="s">
        <v>53</v>
      </c>
      <c r="U7" s="98" t="s">
        <v>53</v>
      </c>
      <c r="V7" s="98"/>
      <c r="W7" s="98"/>
      <c r="X7" s="98" t="s">
        <v>53</v>
      </c>
      <c r="Y7" s="98">
        <v>0</v>
      </c>
      <c r="Z7" s="104"/>
      <c r="AA7" s="105">
        <v>0</v>
      </c>
      <c r="AB7" s="105"/>
      <c r="AC7" s="105"/>
      <c r="AD7" s="105"/>
      <c r="AE7" s="105"/>
      <c r="AF7" s="105">
        <v>0</v>
      </c>
      <c r="AG7" s="105">
        <v>0</v>
      </c>
      <c r="AH7" s="105">
        <v>0</v>
      </c>
      <c r="AI7" s="106"/>
      <c r="AJ7" s="107"/>
      <c r="AK7" s="107"/>
      <c r="AL7" s="107"/>
      <c r="AM7" s="107"/>
      <c r="AN7" s="107"/>
      <c r="AO7" s="107"/>
      <c r="AP7" s="107"/>
      <c r="AQ7" s="107"/>
      <c r="AR7" s="105">
        <v>0</v>
      </c>
      <c r="AS7" s="105">
        <v>0</v>
      </c>
      <c r="AT7" s="114">
        <v>1</v>
      </c>
      <c r="AU7" s="75">
        <v>0</v>
      </c>
      <c r="AV7" s="114">
        <v>1</v>
      </c>
      <c r="AW7" s="114">
        <v>1</v>
      </c>
      <c r="AX7" s="114">
        <v>1</v>
      </c>
      <c r="AY7" s="105"/>
      <c r="AZ7" s="103"/>
      <c r="BA7" s="105"/>
      <c r="BB7" s="105"/>
      <c r="BC7" s="108"/>
      <c r="BD7" s="105"/>
      <c r="BE7" s="109"/>
      <c r="BF7" s="105"/>
      <c r="BG7" s="110" t="str">
        <f t="shared" si="7"/>
        <v>description: "ОВ ЛО НН2 / ЛО", note: "Оперативный вывод ЛО НН2 / ЛО", group: "control", minValue: null, maxValue: null, step: null, units: "null", defaultValue: null, eventRegistration: 0</v>
      </c>
      <c r="BH7" s="111"/>
    </row>
    <row r="8" spans="1:16379" s="112" customFormat="1" ht="15.75" x14ac:dyDescent="0.25">
      <c r="A8" s="97"/>
      <c r="B8" s="97" t="s">
        <v>176</v>
      </c>
      <c r="C8" s="98"/>
      <c r="D8" s="113" t="s">
        <v>162</v>
      </c>
      <c r="E8" s="100" t="s">
        <v>173</v>
      </c>
      <c r="F8" s="101" t="s">
        <v>174</v>
      </c>
      <c r="G8" s="101" t="s">
        <v>174</v>
      </c>
      <c r="H8" s="100"/>
      <c r="I8" s="100">
        <f t="shared" ref="I8" si="9">LEN(F8)</f>
        <v>16</v>
      </c>
      <c r="J8" s="100" t="str">
        <f t="shared" si="6"/>
        <v>ОВ ЛО НН2 / ЗАПВ</v>
      </c>
      <c r="K8" s="97" t="s">
        <v>128</v>
      </c>
      <c r="L8" s="102" t="s">
        <v>54</v>
      </c>
      <c r="M8" s="98" t="s">
        <v>51</v>
      </c>
      <c r="N8" s="98" t="s">
        <v>52</v>
      </c>
      <c r="O8" s="98"/>
      <c r="P8" s="103"/>
      <c r="Q8" s="103"/>
      <c r="R8" s="98" t="s">
        <v>53</v>
      </c>
      <c r="S8" s="98" t="s">
        <v>53</v>
      </c>
      <c r="T8" s="98" t="s">
        <v>53</v>
      </c>
      <c r="U8" s="98" t="s">
        <v>53</v>
      </c>
      <c r="V8" s="98"/>
      <c r="W8" s="98"/>
      <c r="X8" s="98" t="s">
        <v>53</v>
      </c>
      <c r="Y8" s="98">
        <v>0</v>
      </c>
      <c r="Z8" s="104"/>
      <c r="AA8" s="105">
        <v>0</v>
      </c>
      <c r="AB8" s="105"/>
      <c r="AC8" s="105"/>
      <c r="AD8" s="105"/>
      <c r="AE8" s="105"/>
      <c r="AF8" s="105">
        <v>0</v>
      </c>
      <c r="AG8" s="105">
        <v>0</v>
      </c>
      <c r="AH8" s="105">
        <v>0</v>
      </c>
      <c r="AI8" s="106"/>
      <c r="AJ8" s="107"/>
      <c r="AK8" s="107"/>
      <c r="AL8" s="107"/>
      <c r="AM8" s="107"/>
      <c r="AN8" s="107"/>
      <c r="AO8" s="107"/>
      <c r="AP8" s="107"/>
      <c r="AQ8" s="107"/>
      <c r="AR8" s="105">
        <v>0</v>
      </c>
      <c r="AS8" s="105">
        <v>0</v>
      </c>
      <c r="AT8" s="114">
        <v>1</v>
      </c>
      <c r="AU8" s="75">
        <v>0</v>
      </c>
      <c r="AV8" s="114">
        <v>1</v>
      </c>
      <c r="AW8" s="114">
        <v>1</v>
      </c>
      <c r="AX8" s="114">
        <v>1</v>
      </c>
      <c r="AY8" s="105"/>
      <c r="AZ8" s="103"/>
      <c r="BA8" s="105"/>
      <c r="BB8" s="105"/>
      <c r="BC8" s="108"/>
      <c r="BD8" s="105"/>
      <c r="BE8" s="109"/>
      <c r="BF8" s="105"/>
      <c r="BG8" s="110" t="str">
        <f t="shared" si="7"/>
        <v>description: "ОВ ЛО НН2 / ЗАПВ", note: "Оперативный вывод ЛО НН2 / ЗАПВ", group: "control", minValue: null, maxValue: null, step: null, units: "null", defaultValue: null, eventRegistration: 0</v>
      </c>
      <c r="BH8" s="111"/>
    </row>
    <row r="9" spans="1:16379" s="57" customFormat="1" ht="15.75" x14ac:dyDescent="0.25">
      <c r="A9" s="42"/>
      <c r="B9" s="43" t="s">
        <v>50</v>
      </c>
      <c r="C9" s="44"/>
      <c r="D9" s="45"/>
      <c r="E9" s="46" t="s">
        <v>55</v>
      </c>
      <c r="F9" s="46" t="s">
        <v>56</v>
      </c>
      <c r="G9" s="46" t="s">
        <v>56</v>
      </c>
      <c r="H9" s="45"/>
      <c r="I9" s="47">
        <f t="shared" si="5"/>
        <v>10</v>
      </c>
      <c r="J9" s="47" t="str">
        <f t="shared" si="6"/>
        <v>Насл.режим</v>
      </c>
      <c r="K9" s="48" t="s">
        <v>58</v>
      </c>
      <c r="L9" s="49" t="s">
        <v>57</v>
      </c>
      <c r="M9" s="50" t="s">
        <v>51</v>
      </c>
      <c r="N9" s="50" t="s">
        <v>52</v>
      </c>
      <c r="O9" s="50"/>
      <c r="P9" s="44"/>
      <c r="Q9" s="44"/>
      <c r="R9" s="50" t="s">
        <v>53</v>
      </c>
      <c r="S9" s="50" t="s">
        <v>53</v>
      </c>
      <c r="T9" s="50" t="s">
        <v>53</v>
      </c>
      <c r="U9" s="50" t="s">
        <v>53</v>
      </c>
      <c r="V9" s="44"/>
      <c r="W9" s="44"/>
      <c r="X9" s="50" t="s">
        <v>53</v>
      </c>
      <c r="Y9" s="51">
        <v>0</v>
      </c>
      <c r="Z9" s="44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96</v>
      </c>
      <c r="AJ9" s="54" t="s">
        <v>112</v>
      </c>
      <c r="AK9" s="54" t="s">
        <v>59</v>
      </c>
      <c r="AL9" s="54" t="s">
        <v>60</v>
      </c>
      <c r="AM9" s="54" t="s">
        <v>61</v>
      </c>
      <c r="AN9" s="54"/>
      <c r="AO9" s="54" t="s">
        <v>62</v>
      </c>
      <c r="AP9" s="54" t="str">
        <f>CONCATENATE(AJ9, ".", AL9)</f>
        <v>LLN0.GrRef.setSrcRef</v>
      </c>
      <c r="AQ9" s="54" t="s">
        <v>63</v>
      </c>
      <c r="AR9" s="52">
        <v>0</v>
      </c>
      <c r="AS9" s="52">
        <v>0</v>
      </c>
      <c r="AT9" s="52">
        <v>0</v>
      </c>
      <c r="AU9" s="52">
        <v>0</v>
      </c>
      <c r="AV9" s="52">
        <f t="shared" ref="AV9:AV11" si="10">BIN2DEC(CONCATENATE(0,0,0,0,AR9,AS9,AT9,AU9))</f>
        <v>0</v>
      </c>
      <c r="AW9" s="52">
        <v>0</v>
      </c>
      <c r="AX9" s="52">
        <f t="shared" si="3"/>
        <v>0</v>
      </c>
      <c r="AY9" s="55"/>
      <c r="AZ9" s="44"/>
      <c r="BA9" s="44"/>
      <c r="BB9" s="44"/>
      <c r="BC9" s="44"/>
      <c r="BD9" s="44"/>
      <c r="BE9" s="44"/>
      <c r="BF9" s="44"/>
      <c r="BG9" s="56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57" customFormat="1" ht="15.75" x14ac:dyDescent="0.25">
      <c r="A10" s="42"/>
      <c r="B10" s="43" t="s">
        <v>50</v>
      </c>
      <c r="C10" s="44"/>
      <c r="D10" s="45"/>
      <c r="E10" s="46" t="s">
        <v>68</v>
      </c>
      <c r="F10" s="46" t="s">
        <v>69</v>
      </c>
      <c r="G10" s="46" t="s">
        <v>69</v>
      </c>
      <c r="H10" s="45"/>
      <c r="I10" s="47">
        <f t="shared" si="5"/>
        <v>8</v>
      </c>
      <c r="J10" s="47" t="str">
        <f t="shared" si="6"/>
        <v>Ош.крит.</v>
      </c>
      <c r="K10" s="48" t="s">
        <v>70</v>
      </c>
      <c r="L10" s="58" t="s">
        <v>54</v>
      </c>
      <c r="M10" s="50" t="s">
        <v>51</v>
      </c>
      <c r="N10" s="50" t="s">
        <v>52</v>
      </c>
      <c r="O10" s="50"/>
      <c r="P10" s="44"/>
      <c r="Q10" s="44"/>
      <c r="R10" s="50" t="s">
        <v>53</v>
      </c>
      <c r="S10" s="50" t="s">
        <v>53</v>
      </c>
      <c r="T10" s="50" t="s">
        <v>53</v>
      </c>
      <c r="U10" s="50" t="s">
        <v>53</v>
      </c>
      <c r="V10" s="44"/>
      <c r="W10" s="44"/>
      <c r="X10" s="50" t="s">
        <v>53</v>
      </c>
      <c r="Y10" s="51">
        <v>0</v>
      </c>
      <c r="Z10" s="44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3"/>
      <c r="AJ10" s="54"/>
      <c r="AK10" s="54"/>
      <c r="AL10" s="54"/>
      <c r="AM10" s="54"/>
      <c r="AN10" s="54"/>
      <c r="AO10" s="54"/>
      <c r="AP10" s="54"/>
      <c r="AQ10" s="54"/>
      <c r="AR10" s="52">
        <v>0</v>
      </c>
      <c r="AS10" s="52">
        <v>0</v>
      </c>
      <c r="AT10" s="52">
        <v>0</v>
      </c>
      <c r="AU10" s="52">
        <v>0</v>
      </c>
      <c r="AV10" s="52">
        <f t="shared" si="10"/>
        <v>0</v>
      </c>
      <c r="AW10" s="52">
        <v>0</v>
      </c>
      <c r="AX10" s="52">
        <f t="shared" si="3"/>
        <v>0</v>
      </c>
      <c r="AY10" s="55"/>
      <c r="AZ10" s="44"/>
      <c r="BA10" s="44"/>
      <c r="BB10" s="44"/>
      <c r="BC10" s="44"/>
      <c r="BD10" s="44"/>
      <c r="BE10" s="44"/>
      <c r="BF10" s="44"/>
      <c r="BG10" s="56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57" customFormat="1" ht="15.75" x14ac:dyDescent="0.25">
      <c r="A11" s="42"/>
      <c r="B11" s="43" t="s">
        <v>50</v>
      </c>
      <c r="C11" s="44"/>
      <c r="D11" s="45"/>
      <c r="E11" s="46" t="s">
        <v>71</v>
      </c>
      <c r="F11" s="46" t="s">
        <v>72</v>
      </c>
      <c r="G11" s="46" t="s">
        <v>72</v>
      </c>
      <c r="H11" s="45"/>
      <c r="I11" s="47">
        <f t="shared" si="5"/>
        <v>6</v>
      </c>
      <c r="J11" s="47" t="str">
        <f t="shared" si="6"/>
        <v>Ошибка</v>
      </c>
      <c r="K11" s="48" t="s">
        <v>73</v>
      </c>
      <c r="L11" s="58" t="s">
        <v>54</v>
      </c>
      <c r="M11" s="50" t="s">
        <v>51</v>
      </c>
      <c r="N11" s="50" t="s">
        <v>52</v>
      </c>
      <c r="O11" s="50"/>
      <c r="P11" s="44"/>
      <c r="Q11" s="44"/>
      <c r="R11" s="50" t="s">
        <v>53</v>
      </c>
      <c r="S11" s="50" t="s">
        <v>53</v>
      </c>
      <c r="T11" s="50" t="s">
        <v>53</v>
      </c>
      <c r="U11" s="50" t="s">
        <v>53</v>
      </c>
      <c r="V11" s="44"/>
      <c r="W11" s="44"/>
      <c r="X11" s="50" t="s">
        <v>53</v>
      </c>
      <c r="Y11" s="51">
        <v>0</v>
      </c>
      <c r="Z11" s="44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/>
      <c r="AJ11" s="54"/>
      <c r="AK11" s="54"/>
      <c r="AL11" s="54"/>
      <c r="AM11" s="54"/>
      <c r="AN11" s="54"/>
      <c r="AO11" s="54"/>
      <c r="AP11" s="54"/>
      <c r="AQ11" s="54"/>
      <c r="AR11" s="52">
        <v>0</v>
      </c>
      <c r="AS11" s="52">
        <v>0</v>
      </c>
      <c r="AT11" s="52">
        <v>0</v>
      </c>
      <c r="AU11" s="52">
        <v>0</v>
      </c>
      <c r="AV11" s="52">
        <f t="shared" si="10"/>
        <v>0</v>
      </c>
      <c r="AW11" s="52">
        <v>0</v>
      </c>
      <c r="AX11" s="52">
        <f t="shared" si="3"/>
        <v>0</v>
      </c>
      <c r="AY11" s="55"/>
      <c r="AZ11" s="44"/>
      <c r="BA11" s="44"/>
      <c r="BB11" s="44"/>
      <c r="BC11" s="44"/>
      <c r="BD11" s="44"/>
      <c r="BE11" s="44"/>
      <c r="BF11" s="44"/>
      <c r="BG11" s="56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K1" zoomScale="80" zoomScaleNormal="80" workbookViewId="0">
      <selection activeCell="AV3" sqref="AV3:AX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0" t="s">
        <v>177</v>
      </c>
      <c r="AW2" s="90" t="s">
        <v>178</v>
      </c>
      <c r="AX2" s="90" t="s">
        <v>179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76"/>
      <c r="B3" s="91" t="s">
        <v>180</v>
      </c>
      <c r="C3" s="77"/>
      <c r="D3" s="85" t="s">
        <v>165</v>
      </c>
      <c r="E3" s="73" t="s">
        <v>75</v>
      </c>
      <c r="F3" s="19" t="s">
        <v>76</v>
      </c>
      <c r="G3" s="19" t="s">
        <v>76</v>
      </c>
      <c r="H3" s="72"/>
      <c r="I3" s="73">
        <f t="shared" ref="I3:I4" si="0">LEN(F3)</f>
        <v>4</v>
      </c>
      <c r="J3" s="73" t="str">
        <f>IF(LEN(F3)&lt;=$J$1,F3,"")</f>
        <v>Ввод</v>
      </c>
      <c r="K3" s="78" t="s">
        <v>129</v>
      </c>
      <c r="L3" s="79" t="s">
        <v>54</v>
      </c>
      <c r="M3" s="80" t="s">
        <v>51</v>
      </c>
      <c r="N3" s="80" t="s">
        <v>52</v>
      </c>
      <c r="O3" s="80"/>
      <c r="P3" s="30"/>
      <c r="Q3" s="30"/>
      <c r="R3" s="80" t="s">
        <v>53</v>
      </c>
      <c r="S3" s="80" t="s">
        <v>53</v>
      </c>
      <c r="T3" s="80" t="s">
        <v>53</v>
      </c>
      <c r="U3" s="80" t="s">
        <v>53</v>
      </c>
      <c r="V3" s="77"/>
      <c r="W3" s="77"/>
      <c r="X3" s="80" t="s">
        <v>53</v>
      </c>
      <c r="Y3" s="80">
        <v>2</v>
      </c>
      <c r="Z3" s="77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7"/>
      <c r="AK3" s="37"/>
      <c r="AL3" s="37"/>
      <c r="AM3" s="37"/>
      <c r="AN3" s="37"/>
      <c r="AO3" s="37"/>
      <c r="AP3" s="37"/>
      <c r="AQ3" s="37"/>
      <c r="AR3" s="77">
        <v>0</v>
      </c>
      <c r="AS3" s="77">
        <v>1</v>
      </c>
      <c r="AT3" s="77">
        <v>0</v>
      </c>
      <c r="AU3" s="77">
        <v>1</v>
      </c>
      <c r="AV3" s="77">
        <v>1</v>
      </c>
      <c r="AW3" s="77">
        <v>1</v>
      </c>
      <c r="AX3" s="77">
        <v>1</v>
      </c>
      <c r="AY3" s="81"/>
      <c r="AZ3" s="77"/>
      <c r="BA3" s="77"/>
      <c r="BB3" s="77"/>
      <c r="BC3" s="77"/>
      <c r="BD3" s="77"/>
      <c r="BE3" s="77"/>
      <c r="BF3" s="77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76"/>
      <c r="B4" s="91" t="s">
        <v>180</v>
      </c>
      <c r="C4" s="77"/>
      <c r="D4" s="85" t="s">
        <v>165</v>
      </c>
      <c r="E4" s="73" t="s">
        <v>77</v>
      </c>
      <c r="F4" s="19" t="s">
        <v>109</v>
      </c>
      <c r="G4" s="19" t="s">
        <v>109</v>
      </c>
      <c r="H4" s="72"/>
      <c r="I4" s="73">
        <f t="shared" si="0"/>
        <v>17</v>
      </c>
      <c r="J4" s="73" t="str">
        <f t="shared" ref="J4" si="2">IF(LEN(F4)&lt;=$J$1,F4,"")</f>
        <v>Оперативный вывод</v>
      </c>
      <c r="K4" s="78" t="s">
        <v>130</v>
      </c>
      <c r="L4" s="79" t="s">
        <v>54</v>
      </c>
      <c r="M4" s="80" t="s">
        <v>51</v>
      </c>
      <c r="N4" s="80" t="s">
        <v>52</v>
      </c>
      <c r="O4" s="80"/>
      <c r="P4" s="30"/>
      <c r="Q4" s="30"/>
      <c r="R4" s="80" t="s">
        <v>53</v>
      </c>
      <c r="S4" s="80" t="s">
        <v>53</v>
      </c>
      <c r="T4" s="80" t="s">
        <v>53</v>
      </c>
      <c r="U4" s="80" t="s">
        <v>53</v>
      </c>
      <c r="V4" s="77"/>
      <c r="W4" s="77"/>
      <c r="X4" s="80" t="s">
        <v>53</v>
      </c>
      <c r="Y4" s="80">
        <v>2</v>
      </c>
      <c r="Z4" s="77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7"/>
      <c r="AK4" s="37"/>
      <c r="AL4" s="37"/>
      <c r="AM4" s="37"/>
      <c r="AN4" s="37"/>
      <c r="AO4" s="37"/>
      <c r="AP4" s="37"/>
      <c r="AQ4" s="37"/>
      <c r="AR4" s="77">
        <v>0</v>
      </c>
      <c r="AS4" s="77">
        <v>1</v>
      </c>
      <c r="AT4" s="77">
        <v>0</v>
      </c>
      <c r="AU4" s="77">
        <v>1</v>
      </c>
      <c r="AV4" s="77">
        <v>1</v>
      </c>
      <c r="AW4" s="77">
        <v>1</v>
      </c>
      <c r="AX4" s="77">
        <v>1</v>
      </c>
      <c r="AY4" s="81"/>
      <c r="AZ4" s="77"/>
      <c r="BA4" s="77"/>
      <c r="BB4" s="77"/>
      <c r="BC4" s="77"/>
      <c r="BD4" s="77"/>
      <c r="BE4" s="77"/>
      <c r="BF4" s="77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76"/>
      <c r="B5" s="91" t="s">
        <v>180</v>
      </c>
      <c r="C5" s="77"/>
      <c r="D5" s="85" t="s">
        <v>165</v>
      </c>
      <c r="E5" s="73" t="s">
        <v>132</v>
      </c>
      <c r="F5" s="19" t="s">
        <v>132</v>
      </c>
      <c r="G5" s="19" t="s">
        <v>132</v>
      </c>
      <c r="H5" s="72"/>
      <c r="I5" s="73">
        <f>LEN(F5)</f>
        <v>10</v>
      </c>
      <c r="J5" s="73" t="str">
        <f>IF(LEN(F5)&lt;=$J$1,F5,"")</f>
        <v>Отключение</v>
      </c>
      <c r="K5" s="78" t="s">
        <v>131</v>
      </c>
      <c r="L5" s="79" t="s">
        <v>54</v>
      </c>
      <c r="M5" s="80" t="s">
        <v>51</v>
      </c>
      <c r="N5" s="80" t="s">
        <v>52</v>
      </c>
      <c r="O5" s="80"/>
      <c r="P5" s="30"/>
      <c r="Q5" s="30"/>
      <c r="R5" s="80" t="s">
        <v>53</v>
      </c>
      <c r="S5" s="80" t="s">
        <v>53</v>
      </c>
      <c r="T5" s="80" t="s">
        <v>53</v>
      </c>
      <c r="U5" s="80" t="s">
        <v>53</v>
      </c>
      <c r="V5" s="77"/>
      <c r="W5" s="77"/>
      <c r="X5" s="80" t="s">
        <v>53</v>
      </c>
      <c r="Y5" s="80">
        <v>2</v>
      </c>
      <c r="Z5" s="77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82" t="s">
        <v>142</v>
      </c>
      <c r="AJ5" s="37" t="s">
        <v>147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LVCBPTRC1.Op.general</v>
      </c>
      <c r="AQ5" s="37" t="s">
        <v>63</v>
      </c>
      <c r="AR5" s="77">
        <v>0</v>
      </c>
      <c r="AS5" s="77">
        <v>1</v>
      </c>
      <c r="AT5" s="77">
        <v>0</v>
      </c>
      <c r="AU5" s="77">
        <v>1</v>
      </c>
      <c r="AV5" s="77">
        <v>1</v>
      </c>
      <c r="AW5" s="77">
        <v>1</v>
      </c>
      <c r="AX5" s="77">
        <v>1</v>
      </c>
      <c r="AY5" s="81"/>
      <c r="AZ5" s="77"/>
      <c r="BA5" s="77"/>
      <c r="BB5" s="77"/>
      <c r="BC5" s="77"/>
      <c r="BD5" s="77"/>
      <c r="BE5" s="77"/>
      <c r="BF5" s="77"/>
      <c r="BG5" s="7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76"/>
      <c r="B6" s="91" t="s">
        <v>180</v>
      </c>
      <c r="C6" s="77"/>
      <c r="D6" s="85" t="s">
        <v>165</v>
      </c>
      <c r="E6" s="73" t="s">
        <v>133</v>
      </c>
      <c r="F6" s="19" t="s">
        <v>133</v>
      </c>
      <c r="G6" s="19" t="s">
        <v>133</v>
      </c>
      <c r="H6" s="72"/>
      <c r="I6" s="73">
        <f>LEN(F6)</f>
        <v>18</v>
      </c>
      <c r="J6" s="73" t="str">
        <f>IF(LEN(F6)&lt;=$J$1,F6,"")</f>
        <v>Отключить аварийно</v>
      </c>
      <c r="K6" s="78" t="s">
        <v>134</v>
      </c>
      <c r="L6" s="79" t="s">
        <v>54</v>
      </c>
      <c r="M6" s="80" t="s">
        <v>51</v>
      </c>
      <c r="N6" s="80" t="s">
        <v>52</v>
      </c>
      <c r="O6" s="80"/>
      <c r="P6" s="30"/>
      <c r="Q6" s="30"/>
      <c r="R6" s="80" t="s">
        <v>53</v>
      </c>
      <c r="S6" s="80" t="s">
        <v>53</v>
      </c>
      <c r="T6" s="80" t="s">
        <v>53</v>
      </c>
      <c r="U6" s="80" t="s">
        <v>53</v>
      </c>
      <c r="V6" s="77"/>
      <c r="W6" s="77"/>
      <c r="X6" s="80" t="s">
        <v>53</v>
      </c>
      <c r="Y6" s="80">
        <v>2</v>
      </c>
      <c r="Z6" s="77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82" t="s">
        <v>142</v>
      </c>
      <c r="AJ6" s="37" t="s">
        <v>148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LVCBPTRC1.Tr.general</v>
      </c>
      <c r="AQ6" s="37" t="s">
        <v>63</v>
      </c>
      <c r="AR6" s="77">
        <v>0</v>
      </c>
      <c r="AS6" s="77">
        <v>1</v>
      </c>
      <c r="AT6" s="77">
        <v>0</v>
      </c>
      <c r="AU6" s="77">
        <v>1</v>
      </c>
      <c r="AV6" s="77">
        <v>1</v>
      </c>
      <c r="AW6" s="77">
        <v>1</v>
      </c>
      <c r="AX6" s="77">
        <v>1</v>
      </c>
      <c r="AY6" s="81"/>
      <c r="AZ6" s="77"/>
      <c r="BA6" s="77"/>
      <c r="BB6" s="77"/>
      <c r="BC6" s="77"/>
      <c r="BD6" s="77"/>
      <c r="BE6" s="77"/>
      <c r="BF6" s="77"/>
      <c r="BG6" s="7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69" customFormat="1" ht="15.75" x14ac:dyDescent="0.25">
      <c r="A7" s="59"/>
      <c r="B7" s="91" t="s">
        <v>180</v>
      </c>
      <c r="C7" s="60"/>
      <c r="D7" s="86" t="s">
        <v>162</v>
      </c>
      <c r="E7" s="38" t="s">
        <v>75</v>
      </c>
      <c r="F7" s="61" t="s">
        <v>76</v>
      </c>
      <c r="G7" s="61" t="s">
        <v>76</v>
      </c>
      <c r="H7" s="62"/>
      <c r="I7" s="38">
        <f t="shared" ref="I7:I8" si="3">LEN(F7)</f>
        <v>4</v>
      </c>
      <c r="J7" s="38" t="str">
        <f>IF(LEN(F7)&lt;=$J$1,F7,"")</f>
        <v>Ввод</v>
      </c>
      <c r="K7" s="63" t="s">
        <v>135</v>
      </c>
      <c r="L7" s="64" t="s">
        <v>54</v>
      </c>
      <c r="M7" s="65" t="s">
        <v>51</v>
      </c>
      <c r="N7" s="65" t="s">
        <v>52</v>
      </c>
      <c r="O7" s="65"/>
      <c r="P7" s="39"/>
      <c r="Q7" s="39"/>
      <c r="R7" s="65" t="s">
        <v>53</v>
      </c>
      <c r="S7" s="65" t="s">
        <v>53</v>
      </c>
      <c r="T7" s="65" t="s">
        <v>53</v>
      </c>
      <c r="U7" s="65" t="s">
        <v>53</v>
      </c>
      <c r="V7" s="60"/>
      <c r="W7" s="60"/>
      <c r="X7" s="65" t="s">
        <v>53</v>
      </c>
      <c r="Y7" s="65">
        <v>2</v>
      </c>
      <c r="Z7" s="6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1"/>
      <c r="AJ7" s="66"/>
      <c r="AK7" s="66"/>
      <c r="AL7" s="66"/>
      <c r="AM7" s="66"/>
      <c r="AN7" s="66"/>
      <c r="AO7" s="66"/>
      <c r="AP7" s="66"/>
      <c r="AQ7" s="66"/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67"/>
      <c r="AZ7" s="60"/>
      <c r="BA7" s="60"/>
      <c r="BB7" s="60"/>
      <c r="BC7" s="60"/>
      <c r="BD7" s="60"/>
      <c r="BE7" s="60"/>
      <c r="BF7" s="60"/>
      <c r="BG7" s="6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59"/>
      <c r="B8" s="91" t="s">
        <v>180</v>
      </c>
      <c r="C8" s="60"/>
      <c r="D8" s="86" t="s">
        <v>162</v>
      </c>
      <c r="E8" s="38" t="s">
        <v>77</v>
      </c>
      <c r="F8" s="61" t="s">
        <v>109</v>
      </c>
      <c r="G8" s="61" t="s">
        <v>109</v>
      </c>
      <c r="H8" s="62"/>
      <c r="I8" s="38">
        <f t="shared" si="3"/>
        <v>17</v>
      </c>
      <c r="J8" s="38" t="str">
        <f t="shared" ref="J8" si="5">IF(LEN(F8)&lt;=$J$1,F8,"")</f>
        <v>Оперативный вывод</v>
      </c>
      <c r="K8" s="63" t="s">
        <v>136</v>
      </c>
      <c r="L8" s="64" t="s">
        <v>54</v>
      </c>
      <c r="M8" s="65" t="s">
        <v>51</v>
      </c>
      <c r="N8" s="65" t="s">
        <v>52</v>
      </c>
      <c r="O8" s="65"/>
      <c r="P8" s="39"/>
      <c r="Q8" s="39"/>
      <c r="R8" s="65" t="s">
        <v>53</v>
      </c>
      <c r="S8" s="65" t="s">
        <v>53</v>
      </c>
      <c r="T8" s="65" t="s">
        <v>53</v>
      </c>
      <c r="U8" s="65" t="s">
        <v>53</v>
      </c>
      <c r="V8" s="60"/>
      <c r="W8" s="60"/>
      <c r="X8" s="65" t="s">
        <v>53</v>
      </c>
      <c r="Y8" s="65">
        <v>2</v>
      </c>
      <c r="Z8" s="6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1"/>
      <c r="AJ8" s="66"/>
      <c r="AK8" s="66"/>
      <c r="AL8" s="66"/>
      <c r="AM8" s="66"/>
      <c r="AN8" s="66"/>
      <c r="AO8" s="66"/>
      <c r="AP8" s="66"/>
      <c r="AQ8" s="66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67"/>
      <c r="AZ8" s="60"/>
      <c r="BA8" s="60"/>
      <c r="BB8" s="60"/>
      <c r="BC8" s="60"/>
      <c r="BD8" s="60"/>
      <c r="BE8" s="60"/>
      <c r="BF8" s="60"/>
      <c r="BG8" s="6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59"/>
      <c r="B9" s="91" t="s">
        <v>180</v>
      </c>
      <c r="C9" s="60"/>
      <c r="D9" s="86" t="s">
        <v>162</v>
      </c>
      <c r="E9" s="38" t="s">
        <v>117</v>
      </c>
      <c r="F9" s="61" t="s">
        <v>117</v>
      </c>
      <c r="G9" s="61" t="s">
        <v>117</v>
      </c>
      <c r="H9" s="62"/>
      <c r="I9" s="38">
        <f t="shared" ref="I9:I15" si="6">LEN(F9)</f>
        <v>10</v>
      </c>
      <c r="J9" s="38" t="str">
        <f t="shared" ref="J9:J15" si="7">IF(LEN(F9)&lt;=$J$1,F9,"")</f>
        <v>Запрет АПВ</v>
      </c>
      <c r="K9" s="63" t="s">
        <v>137</v>
      </c>
      <c r="L9" s="64" t="s">
        <v>54</v>
      </c>
      <c r="M9" s="65" t="s">
        <v>51</v>
      </c>
      <c r="N9" s="65" t="s">
        <v>52</v>
      </c>
      <c r="O9" s="65"/>
      <c r="P9" s="39"/>
      <c r="Q9" s="39"/>
      <c r="R9" s="65" t="s">
        <v>53</v>
      </c>
      <c r="S9" s="65" t="s">
        <v>53</v>
      </c>
      <c r="T9" s="65" t="s">
        <v>53</v>
      </c>
      <c r="U9" s="65" t="s">
        <v>53</v>
      </c>
      <c r="V9" s="60"/>
      <c r="W9" s="60"/>
      <c r="X9" s="65" t="s">
        <v>53</v>
      </c>
      <c r="Y9" s="65">
        <v>2</v>
      </c>
      <c r="Z9" s="60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1" t="s">
        <v>118</v>
      </c>
      <c r="AJ9" s="66" t="s">
        <v>149</v>
      </c>
      <c r="AK9" s="66" t="s">
        <v>119</v>
      </c>
      <c r="AL9" s="66" t="s">
        <v>64</v>
      </c>
      <c r="AM9" s="66" t="s">
        <v>110</v>
      </c>
      <c r="AN9" s="66"/>
      <c r="AO9" s="66" t="s">
        <v>67</v>
      </c>
      <c r="AP9" s="66" t="str">
        <f>CONCATENATE(AJ9, ".", AL9)</f>
        <v>LVCBRECRBRE1.BlkOp.stVal</v>
      </c>
      <c r="AQ9" s="66" t="s">
        <v>63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67"/>
      <c r="AZ9" s="60"/>
      <c r="BA9" s="60"/>
      <c r="BB9" s="60"/>
      <c r="BC9" s="60"/>
      <c r="BD9" s="60"/>
      <c r="BE9" s="60"/>
      <c r="BF9" s="60"/>
      <c r="BG9" s="68" t="str">
        <f t="shared" ref="BG9:BG15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57" customFormat="1" ht="15.75" x14ac:dyDescent="0.25">
      <c r="A10" s="42"/>
      <c r="B10" s="91" t="s">
        <v>180</v>
      </c>
      <c r="C10" s="44"/>
      <c r="D10" s="87"/>
      <c r="E10" s="46" t="s">
        <v>79</v>
      </c>
      <c r="F10" s="46" t="s">
        <v>80</v>
      </c>
      <c r="G10" s="46" t="s">
        <v>80</v>
      </c>
      <c r="H10" s="44"/>
      <c r="I10" s="46">
        <f t="shared" si="6"/>
        <v>12</v>
      </c>
      <c r="J10" s="46" t="str">
        <f t="shared" si="7"/>
        <v>Поведение LD</v>
      </c>
      <c r="K10" s="48" t="s">
        <v>81</v>
      </c>
      <c r="L10" s="49" t="s">
        <v>57</v>
      </c>
      <c r="M10" s="51" t="s">
        <v>51</v>
      </c>
      <c r="N10" s="51" t="s">
        <v>52</v>
      </c>
      <c r="O10" s="51"/>
      <c r="P10" s="44"/>
      <c r="Q10" s="44"/>
      <c r="R10" s="51" t="s">
        <v>53</v>
      </c>
      <c r="S10" s="51" t="s">
        <v>53</v>
      </c>
      <c r="T10" s="51" t="s">
        <v>53</v>
      </c>
      <c r="U10" s="51" t="s">
        <v>53</v>
      </c>
      <c r="V10" s="44"/>
      <c r="W10" s="44"/>
      <c r="X10" s="51" t="s">
        <v>53</v>
      </c>
      <c r="Y10" s="51">
        <v>0</v>
      </c>
      <c r="Z10" s="44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3" t="s">
        <v>96</v>
      </c>
      <c r="AJ10" s="54" t="s">
        <v>113</v>
      </c>
      <c r="AK10" s="54" t="s">
        <v>82</v>
      </c>
      <c r="AL10" s="54" t="s">
        <v>64</v>
      </c>
      <c r="AM10" s="54" t="s">
        <v>65</v>
      </c>
      <c r="AN10" s="54" t="s">
        <v>66</v>
      </c>
      <c r="AO10" s="54" t="s">
        <v>67</v>
      </c>
      <c r="AP10" s="54" t="str">
        <f t="shared" ref="AP10:AP13" si="9">CONCATENATE(AJ10, ".", AL10)</f>
        <v>LLN0.Beh.stVal</v>
      </c>
      <c r="AQ10" s="54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ref="AV10:AV13" si="10">BIN2DEC(CONCATENATE(0,0,0,0,AR10,AS10,AT10,AU10))</f>
        <v>0</v>
      </c>
      <c r="AW10" s="44">
        <v>0</v>
      </c>
      <c r="AX10" s="44">
        <v>0</v>
      </c>
      <c r="AY10" s="55"/>
      <c r="AZ10" s="44"/>
      <c r="BA10" s="44"/>
      <c r="BB10" s="44"/>
      <c r="BC10" s="44"/>
      <c r="BD10" s="44"/>
      <c r="BE10" s="44"/>
      <c r="BF10" s="44"/>
      <c r="BG10" s="7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57" customFormat="1" ht="15.75" x14ac:dyDescent="0.25">
      <c r="A11" s="42"/>
      <c r="B11" s="91" t="s">
        <v>180</v>
      </c>
      <c r="C11" s="44"/>
      <c r="D11" s="87"/>
      <c r="E11" s="46" t="s">
        <v>83</v>
      </c>
      <c r="F11" s="46" t="s">
        <v>84</v>
      </c>
      <c r="G11" s="46" t="s">
        <v>84</v>
      </c>
      <c r="H11" s="44"/>
      <c r="I11" s="46">
        <f t="shared" si="6"/>
        <v>14</v>
      </c>
      <c r="J11" s="46" t="str">
        <f t="shared" si="7"/>
        <v>Исправность LD</v>
      </c>
      <c r="K11" s="48" t="s">
        <v>85</v>
      </c>
      <c r="L11" s="49" t="s">
        <v>57</v>
      </c>
      <c r="M11" s="51" t="s">
        <v>51</v>
      </c>
      <c r="N11" s="51" t="s">
        <v>52</v>
      </c>
      <c r="O11" s="51"/>
      <c r="P11" s="71"/>
      <c r="Q11" s="71"/>
      <c r="R11" s="51" t="s">
        <v>53</v>
      </c>
      <c r="S11" s="51" t="s">
        <v>53</v>
      </c>
      <c r="T11" s="51" t="s">
        <v>53</v>
      </c>
      <c r="U11" s="51" t="s">
        <v>53</v>
      </c>
      <c r="V11" s="44"/>
      <c r="W11" s="44"/>
      <c r="X11" s="51" t="s">
        <v>53</v>
      </c>
      <c r="Y11" s="51">
        <v>0</v>
      </c>
      <c r="Z11" s="44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 t="s">
        <v>96</v>
      </c>
      <c r="AJ11" s="54" t="s">
        <v>114</v>
      </c>
      <c r="AK11" s="54" t="s">
        <v>82</v>
      </c>
      <c r="AL11" s="54" t="s">
        <v>64</v>
      </c>
      <c r="AM11" s="54" t="s">
        <v>65</v>
      </c>
      <c r="AN11" s="54" t="s">
        <v>86</v>
      </c>
      <c r="AO11" s="54" t="s">
        <v>67</v>
      </c>
      <c r="AP11" s="54" t="str">
        <f t="shared" si="9"/>
        <v>LLN0.Health.stVal</v>
      </c>
      <c r="AQ11" s="54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10"/>
        <v>0</v>
      </c>
      <c r="AW11" s="44">
        <v>0</v>
      </c>
      <c r="AX11" s="44">
        <v>0</v>
      </c>
      <c r="AY11" s="55"/>
      <c r="AZ11" s="44"/>
      <c r="BA11" s="44"/>
      <c r="BB11" s="44"/>
      <c r="BC11" s="44"/>
      <c r="BD11" s="44"/>
      <c r="BE11" s="44"/>
      <c r="BF11" s="44"/>
      <c r="BG11" s="7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7" customFormat="1" ht="15.75" x14ac:dyDescent="0.25">
      <c r="A12" s="76"/>
      <c r="B12" s="91" t="s">
        <v>180</v>
      </c>
      <c r="C12" s="77"/>
      <c r="D12" s="85" t="s">
        <v>165</v>
      </c>
      <c r="E12" s="73" t="s">
        <v>166</v>
      </c>
      <c r="F12" s="73" t="s">
        <v>87</v>
      </c>
      <c r="G12" s="73" t="s">
        <v>87</v>
      </c>
      <c r="H12" s="77"/>
      <c r="I12" s="73">
        <f t="shared" si="6"/>
        <v>9</v>
      </c>
      <c r="J12" s="73" t="str">
        <f t="shared" si="7"/>
        <v>Поведение</v>
      </c>
      <c r="K12" s="78" t="s">
        <v>138</v>
      </c>
      <c r="L12" s="79" t="s">
        <v>57</v>
      </c>
      <c r="M12" s="80" t="s">
        <v>51</v>
      </c>
      <c r="N12" s="80" t="s">
        <v>52</v>
      </c>
      <c r="O12" s="80"/>
      <c r="P12" s="77"/>
      <c r="Q12" s="77"/>
      <c r="R12" s="80" t="s">
        <v>53</v>
      </c>
      <c r="S12" s="80" t="s">
        <v>53</v>
      </c>
      <c r="T12" s="80" t="s">
        <v>53</v>
      </c>
      <c r="U12" s="80" t="s">
        <v>53</v>
      </c>
      <c r="V12" s="77"/>
      <c r="W12" s="77"/>
      <c r="X12" s="80" t="s">
        <v>53</v>
      </c>
      <c r="Y12" s="80">
        <v>0</v>
      </c>
      <c r="Z12" s="77"/>
      <c r="AA12" s="75">
        <v>0</v>
      </c>
      <c r="AB12" s="75"/>
      <c r="AC12" s="75"/>
      <c r="AD12" s="75"/>
      <c r="AE12" s="75"/>
      <c r="AF12" s="75">
        <v>0</v>
      </c>
      <c r="AG12" s="75">
        <v>0</v>
      </c>
      <c r="AH12" s="75">
        <v>0</v>
      </c>
      <c r="AI12" s="82" t="s">
        <v>142</v>
      </c>
      <c r="AJ12" s="37" t="s">
        <v>143</v>
      </c>
      <c r="AK12" s="37" t="s">
        <v>82</v>
      </c>
      <c r="AL12" s="37" t="s">
        <v>64</v>
      </c>
      <c r="AM12" s="37" t="s">
        <v>65</v>
      </c>
      <c r="AN12" s="37" t="s">
        <v>66</v>
      </c>
      <c r="AO12" s="37" t="s">
        <v>67</v>
      </c>
      <c r="AP12" s="37" t="str">
        <f t="shared" si="9"/>
        <v>LVCBPTRC1.Beh.stVal</v>
      </c>
      <c r="AQ12" s="37" t="s">
        <v>63</v>
      </c>
      <c r="AR12" s="77">
        <v>0</v>
      </c>
      <c r="AS12" s="77">
        <v>0</v>
      </c>
      <c r="AT12" s="77">
        <v>0</v>
      </c>
      <c r="AU12" s="77">
        <v>0</v>
      </c>
      <c r="AV12" s="77">
        <f t="shared" si="10"/>
        <v>0</v>
      </c>
      <c r="AW12" s="77">
        <v>0</v>
      </c>
      <c r="AX12" s="77">
        <v>0</v>
      </c>
      <c r="AY12" s="81"/>
      <c r="AZ12" s="77"/>
      <c r="BA12" s="77"/>
      <c r="BB12" s="77"/>
      <c r="BC12" s="77"/>
      <c r="BD12" s="77"/>
      <c r="BE12" s="77"/>
      <c r="BF12" s="77"/>
      <c r="BG12" s="74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3" spans="1:16379" s="17" customFormat="1" ht="15.75" x14ac:dyDescent="0.25">
      <c r="A13" s="76"/>
      <c r="B13" s="91" t="s">
        <v>180</v>
      </c>
      <c r="C13" s="77"/>
      <c r="D13" s="85" t="s">
        <v>165</v>
      </c>
      <c r="E13" s="73" t="s">
        <v>167</v>
      </c>
      <c r="F13" s="73" t="s">
        <v>88</v>
      </c>
      <c r="G13" s="73" t="s">
        <v>88</v>
      </c>
      <c r="H13" s="77"/>
      <c r="I13" s="73">
        <f t="shared" si="6"/>
        <v>11</v>
      </c>
      <c r="J13" s="73" t="str">
        <f t="shared" si="7"/>
        <v>Исправность</v>
      </c>
      <c r="K13" s="78" t="s">
        <v>139</v>
      </c>
      <c r="L13" s="79" t="s">
        <v>57</v>
      </c>
      <c r="M13" s="80" t="s">
        <v>51</v>
      </c>
      <c r="N13" s="80" t="s">
        <v>52</v>
      </c>
      <c r="O13" s="80"/>
      <c r="P13" s="30"/>
      <c r="Q13" s="30"/>
      <c r="R13" s="80" t="s">
        <v>53</v>
      </c>
      <c r="S13" s="80" t="s">
        <v>53</v>
      </c>
      <c r="T13" s="80" t="s">
        <v>53</v>
      </c>
      <c r="U13" s="80" t="s">
        <v>53</v>
      </c>
      <c r="V13" s="77"/>
      <c r="W13" s="77"/>
      <c r="X13" s="80" t="s">
        <v>53</v>
      </c>
      <c r="Y13" s="80">
        <v>0</v>
      </c>
      <c r="Z13" s="77"/>
      <c r="AA13" s="75">
        <v>0</v>
      </c>
      <c r="AB13" s="75"/>
      <c r="AC13" s="75"/>
      <c r="AD13" s="75"/>
      <c r="AE13" s="75"/>
      <c r="AF13" s="75">
        <v>0</v>
      </c>
      <c r="AG13" s="75">
        <v>0</v>
      </c>
      <c r="AH13" s="75">
        <v>0</v>
      </c>
      <c r="AI13" s="82" t="s">
        <v>142</v>
      </c>
      <c r="AJ13" s="37" t="s">
        <v>144</v>
      </c>
      <c r="AK13" s="37" t="s">
        <v>82</v>
      </c>
      <c r="AL13" s="37" t="s">
        <v>64</v>
      </c>
      <c r="AM13" s="37" t="s">
        <v>65</v>
      </c>
      <c r="AN13" s="37" t="s">
        <v>86</v>
      </c>
      <c r="AO13" s="37" t="s">
        <v>67</v>
      </c>
      <c r="AP13" s="37" t="str">
        <f t="shared" si="9"/>
        <v>LVCBPTRC1.Health.stVal</v>
      </c>
      <c r="AQ13" s="37" t="s">
        <v>63</v>
      </c>
      <c r="AR13" s="77">
        <v>0</v>
      </c>
      <c r="AS13" s="77">
        <v>0</v>
      </c>
      <c r="AT13" s="77">
        <v>0</v>
      </c>
      <c r="AU13" s="77">
        <v>0</v>
      </c>
      <c r="AV13" s="77">
        <f t="shared" si="10"/>
        <v>0</v>
      </c>
      <c r="AW13" s="77">
        <v>0</v>
      </c>
      <c r="AX13" s="77">
        <v>0</v>
      </c>
      <c r="AY13" s="81"/>
      <c r="AZ13" s="77"/>
      <c r="BA13" s="77"/>
      <c r="BB13" s="77"/>
      <c r="BC13" s="77"/>
      <c r="BD13" s="77"/>
      <c r="BE13" s="77"/>
      <c r="BF13" s="77"/>
      <c r="BG13" s="74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4" spans="1:16379" s="57" customFormat="1" ht="15.75" x14ac:dyDescent="0.25">
      <c r="A14" s="42"/>
      <c r="B14" s="91" t="s">
        <v>180</v>
      </c>
      <c r="C14" s="44"/>
      <c r="D14" s="87" t="s">
        <v>162</v>
      </c>
      <c r="E14" s="46" t="s">
        <v>163</v>
      </c>
      <c r="F14" s="46" t="s">
        <v>87</v>
      </c>
      <c r="G14" s="46" t="s">
        <v>87</v>
      </c>
      <c r="H14" s="44"/>
      <c r="I14" s="46">
        <f t="shared" si="6"/>
        <v>9</v>
      </c>
      <c r="J14" s="46" t="str">
        <f t="shared" si="7"/>
        <v>Поведение</v>
      </c>
      <c r="K14" s="48" t="s">
        <v>140</v>
      </c>
      <c r="L14" s="49" t="s">
        <v>57</v>
      </c>
      <c r="M14" s="51" t="s">
        <v>51</v>
      </c>
      <c r="N14" s="51" t="s">
        <v>52</v>
      </c>
      <c r="O14" s="51"/>
      <c r="P14" s="44"/>
      <c r="Q14" s="44"/>
      <c r="R14" s="51" t="s">
        <v>53</v>
      </c>
      <c r="S14" s="51" t="s">
        <v>53</v>
      </c>
      <c r="T14" s="51" t="s">
        <v>53</v>
      </c>
      <c r="U14" s="51" t="s">
        <v>53</v>
      </c>
      <c r="V14" s="44"/>
      <c r="W14" s="44"/>
      <c r="X14" s="51" t="s">
        <v>53</v>
      </c>
      <c r="Y14" s="51">
        <v>0</v>
      </c>
      <c r="Z14" s="44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3" t="s">
        <v>118</v>
      </c>
      <c r="AJ14" s="54" t="s">
        <v>145</v>
      </c>
      <c r="AK14" s="54" t="s">
        <v>82</v>
      </c>
      <c r="AL14" s="54" t="s">
        <v>64</v>
      </c>
      <c r="AM14" s="54" t="s">
        <v>65</v>
      </c>
      <c r="AN14" s="54" t="s">
        <v>66</v>
      </c>
      <c r="AO14" s="54" t="s">
        <v>67</v>
      </c>
      <c r="AP14" s="54" t="str">
        <f t="shared" ref="AP14:AP15" si="11">CONCATENATE(AJ14, ".", AL14)</f>
        <v>LVCBRECRBRE1.Beh.stVal</v>
      </c>
      <c r="AQ14" s="54" t="s">
        <v>63</v>
      </c>
      <c r="AR14" s="44">
        <v>0</v>
      </c>
      <c r="AS14" s="44">
        <v>0</v>
      </c>
      <c r="AT14" s="44">
        <v>0</v>
      </c>
      <c r="AU14" s="44">
        <v>0</v>
      </c>
      <c r="AV14" s="44">
        <f t="shared" ref="AV14:AV15" si="12">BIN2DEC(CONCATENATE(0,0,0,0,AR14,AS14,AT14,AU14))</f>
        <v>0</v>
      </c>
      <c r="AW14" s="44">
        <v>0</v>
      </c>
      <c r="AX14" s="44">
        <v>0</v>
      </c>
      <c r="AY14" s="55"/>
      <c r="AZ14" s="44"/>
      <c r="BA14" s="44"/>
      <c r="BB14" s="44"/>
      <c r="BC14" s="44"/>
      <c r="BD14" s="44"/>
      <c r="BE14" s="44"/>
      <c r="BF14" s="44"/>
      <c r="BG14" s="7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5" spans="1:16379" s="57" customFormat="1" ht="15.75" x14ac:dyDescent="0.25">
      <c r="A15" s="42"/>
      <c r="B15" s="91" t="s">
        <v>180</v>
      </c>
      <c r="C15" s="44"/>
      <c r="D15" s="87" t="s">
        <v>162</v>
      </c>
      <c r="E15" s="46" t="s">
        <v>164</v>
      </c>
      <c r="F15" s="46" t="s">
        <v>88</v>
      </c>
      <c r="G15" s="46" t="s">
        <v>88</v>
      </c>
      <c r="H15" s="44"/>
      <c r="I15" s="46">
        <f t="shared" si="6"/>
        <v>11</v>
      </c>
      <c r="J15" s="46" t="str">
        <f t="shared" si="7"/>
        <v>Исправность</v>
      </c>
      <c r="K15" s="48" t="s">
        <v>141</v>
      </c>
      <c r="L15" s="49" t="s">
        <v>57</v>
      </c>
      <c r="M15" s="51" t="s">
        <v>51</v>
      </c>
      <c r="N15" s="51" t="s">
        <v>52</v>
      </c>
      <c r="O15" s="51"/>
      <c r="P15" s="71"/>
      <c r="Q15" s="71"/>
      <c r="R15" s="51" t="s">
        <v>53</v>
      </c>
      <c r="S15" s="51" t="s">
        <v>53</v>
      </c>
      <c r="T15" s="51" t="s">
        <v>53</v>
      </c>
      <c r="U15" s="51" t="s">
        <v>53</v>
      </c>
      <c r="V15" s="44"/>
      <c r="W15" s="44"/>
      <c r="X15" s="51" t="s">
        <v>53</v>
      </c>
      <c r="Y15" s="51">
        <v>0</v>
      </c>
      <c r="Z15" s="44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53" t="s">
        <v>118</v>
      </c>
      <c r="AJ15" s="54" t="s">
        <v>146</v>
      </c>
      <c r="AK15" s="54" t="s">
        <v>82</v>
      </c>
      <c r="AL15" s="54" t="s">
        <v>64</v>
      </c>
      <c r="AM15" s="54" t="s">
        <v>65</v>
      </c>
      <c r="AN15" s="54" t="s">
        <v>86</v>
      </c>
      <c r="AO15" s="54" t="s">
        <v>67</v>
      </c>
      <c r="AP15" s="54" t="str">
        <f t="shared" si="11"/>
        <v>LVCBRECRBRE1.Health.stVal</v>
      </c>
      <c r="AQ15" s="54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55"/>
      <c r="AZ15" s="44"/>
      <c r="BA15" s="44"/>
      <c r="BB15" s="44"/>
      <c r="BC15" s="44"/>
      <c r="BD15" s="44"/>
      <c r="BE15" s="44"/>
      <c r="BF15" s="44"/>
      <c r="BG15" s="7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zoomScale="80" zoomScaleNormal="80" workbookViewId="0">
      <selection activeCell="H2" sqref="H2:H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72"/>
      <c r="BA1" s="95" t="s">
        <v>0</v>
      </c>
      <c r="BB1" s="96"/>
      <c r="BC1" s="96"/>
      <c r="BD1" s="96"/>
      <c r="BE1" s="96"/>
      <c r="BF1" s="96"/>
      <c r="BG1" s="9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3" t="s">
        <v>186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3" customFormat="1" ht="15.75" x14ac:dyDescent="0.25">
      <c r="A3" s="76"/>
      <c r="B3" s="76" t="s">
        <v>89</v>
      </c>
      <c r="C3" s="80"/>
      <c r="D3" s="85" t="s">
        <v>165</v>
      </c>
      <c r="E3" s="73" t="s">
        <v>120</v>
      </c>
      <c r="F3" s="73" t="s">
        <v>111</v>
      </c>
      <c r="G3" s="73" t="s">
        <v>115</v>
      </c>
      <c r="H3" s="94" t="s">
        <v>115</v>
      </c>
      <c r="I3" s="73" t="s">
        <v>105</v>
      </c>
      <c r="J3" s="73">
        <f>LEN(F3)</f>
        <v>12</v>
      </c>
      <c r="K3" s="73" t="str">
        <f>IF(LEN(F3)&lt;=$K$1,F3,"")</f>
        <v>Ввод_функции</v>
      </c>
      <c r="L3" s="76" t="s">
        <v>157</v>
      </c>
      <c r="M3" s="79" t="s">
        <v>54</v>
      </c>
      <c r="N3" s="80" t="s">
        <v>52</v>
      </c>
      <c r="O3" s="80" t="s">
        <v>52</v>
      </c>
      <c r="P3" s="80"/>
      <c r="Q3" s="81">
        <v>0</v>
      </c>
      <c r="R3" s="81"/>
      <c r="S3" s="80" t="s">
        <v>53</v>
      </c>
      <c r="T3" s="80">
        <v>0</v>
      </c>
      <c r="U3" s="80">
        <v>1</v>
      </c>
      <c r="V3" s="80">
        <v>1</v>
      </c>
      <c r="W3" s="80"/>
      <c r="X3" s="80"/>
      <c r="Y3" s="80">
        <v>0</v>
      </c>
      <c r="Z3" s="80">
        <v>0</v>
      </c>
      <c r="AA3" s="78"/>
      <c r="AB3" s="75">
        <v>0</v>
      </c>
      <c r="AC3" s="75"/>
      <c r="AD3" s="75"/>
      <c r="AE3" s="75"/>
      <c r="AF3" s="75"/>
      <c r="AG3" s="75">
        <v>0</v>
      </c>
      <c r="AH3" s="75">
        <v>0</v>
      </c>
      <c r="AI3" s="75">
        <v>0</v>
      </c>
      <c r="AJ3" s="75"/>
      <c r="AK3" s="77"/>
      <c r="AL3" s="77"/>
      <c r="AM3" s="77"/>
      <c r="AN3" s="77"/>
      <c r="AO3" s="77"/>
      <c r="AP3" s="77"/>
      <c r="AQ3" s="77"/>
      <c r="AR3" s="77"/>
      <c r="AS3" s="77">
        <v>0</v>
      </c>
      <c r="AT3" s="77">
        <v>0</v>
      </c>
      <c r="AU3" s="77">
        <v>0</v>
      </c>
      <c r="AV3" s="77">
        <v>0</v>
      </c>
      <c r="AW3" s="77">
        <f>BIN2DEC(CONCATENATE(0,0,0,0,AS3,AT3,AU3,AV3))</f>
        <v>0</v>
      </c>
      <c r="AX3" s="77" t="s">
        <v>106</v>
      </c>
      <c r="AY3" s="77"/>
      <c r="AZ3" s="81"/>
      <c r="BA3" s="77"/>
      <c r="BB3" s="77"/>
      <c r="BC3" s="77"/>
      <c r="BD3" s="77"/>
      <c r="BE3" s="77"/>
      <c r="BF3" s="77"/>
      <c r="BG3" s="77"/>
      <c r="BH3" s="7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3" customFormat="1" ht="15.75" x14ac:dyDescent="0.25">
      <c r="A4" s="76"/>
      <c r="B4" s="76" t="s">
        <v>89</v>
      </c>
      <c r="C4" s="80"/>
      <c r="D4" s="85" t="s">
        <v>165</v>
      </c>
      <c r="E4" s="73" t="s">
        <v>150</v>
      </c>
      <c r="F4" s="73" t="s">
        <v>151</v>
      </c>
      <c r="G4" s="73" t="s">
        <v>152</v>
      </c>
      <c r="H4" s="94" t="s">
        <v>152</v>
      </c>
      <c r="I4" s="73"/>
      <c r="J4" s="73">
        <v>3</v>
      </c>
      <c r="K4" s="73" t="str">
        <f>IF(LEN(F4)&lt;=$K$1,F4,"")</f>
        <v>Тимп</v>
      </c>
      <c r="L4" s="76" t="s">
        <v>158</v>
      </c>
      <c r="M4" s="79" t="s">
        <v>153</v>
      </c>
      <c r="N4" s="80" t="s">
        <v>52</v>
      </c>
      <c r="O4" s="80" t="s">
        <v>52</v>
      </c>
      <c r="P4" s="80"/>
      <c r="Q4" s="81">
        <v>2</v>
      </c>
      <c r="R4" s="81" t="s">
        <v>154</v>
      </c>
      <c r="S4" s="80" t="s">
        <v>155</v>
      </c>
      <c r="T4" s="80">
        <v>50</v>
      </c>
      <c r="U4" s="80">
        <v>60000</v>
      </c>
      <c r="V4" s="80">
        <v>10</v>
      </c>
      <c r="W4" s="80"/>
      <c r="X4" s="80"/>
      <c r="Y4" s="80">
        <v>500</v>
      </c>
      <c r="Z4" s="80">
        <v>0</v>
      </c>
      <c r="AA4" s="78"/>
      <c r="AB4" s="75">
        <v>0</v>
      </c>
      <c r="AC4" s="75"/>
      <c r="AD4" s="75"/>
      <c r="AE4" s="75"/>
      <c r="AF4" s="75"/>
      <c r="AG4" s="75">
        <v>0</v>
      </c>
      <c r="AH4" s="75">
        <v>0</v>
      </c>
      <c r="AI4" s="75">
        <v>0</v>
      </c>
      <c r="AJ4" s="82"/>
      <c r="AK4" s="77"/>
      <c r="AL4" s="77"/>
      <c r="AM4" s="77"/>
      <c r="AN4" s="77"/>
      <c r="AO4" s="77"/>
      <c r="AP4" s="77"/>
      <c r="AQ4" s="72"/>
      <c r="AR4" s="77"/>
      <c r="AS4" s="77">
        <v>0</v>
      </c>
      <c r="AT4" s="77">
        <v>0</v>
      </c>
      <c r="AU4" s="77">
        <v>0</v>
      </c>
      <c r="AV4" s="77">
        <v>0</v>
      </c>
      <c r="AW4" s="77">
        <f>BIN2DEC(CONCATENATE(0,0,0,0,AS4,AT4,AU4,AV4))</f>
        <v>0</v>
      </c>
      <c r="AX4" s="77"/>
      <c r="AY4" s="77"/>
      <c r="AZ4" s="81"/>
      <c r="BA4" s="77"/>
      <c r="BB4" s="77"/>
      <c r="BC4" s="77"/>
      <c r="BD4" s="77"/>
      <c r="BE4" s="77"/>
      <c r="BF4" s="77"/>
      <c r="BG4" s="77"/>
      <c r="BH4" s="74" t="s">
        <v>156</v>
      </c>
    </row>
    <row r="5" spans="1:16380" s="84" customFormat="1" ht="15.75" x14ac:dyDescent="0.25">
      <c r="A5" s="59"/>
      <c r="B5" s="59" t="s">
        <v>89</v>
      </c>
      <c r="C5" s="65"/>
      <c r="D5" s="86" t="s">
        <v>162</v>
      </c>
      <c r="E5" s="38" t="s">
        <v>120</v>
      </c>
      <c r="F5" s="38" t="s">
        <v>111</v>
      </c>
      <c r="G5" s="38" t="s">
        <v>115</v>
      </c>
      <c r="H5" s="94" t="s">
        <v>115</v>
      </c>
      <c r="I5" s="38" t="s">
        <v>105</v>
      </c>
      <c r="J5" s="38">
        <f>LEN(F5)</f>
        <v>12</v>
      </c>
      <c r="K5" s="38" t="str">
        <f>IF(LEN(F5)&lt;=$K$1,F5,"")</f>
        <v>Ввод_функции</v>
      </c>
      <c r="L5" s="59" t="s">
        <v>159</v>
      </c>
      <c r="M5" s="64" t="s">
        <v>54</v>
      </c>
      <c r="N5" s="65" t="s">
        <v>52</v>
      </c>
      <c r="O5" s="65" t="s">
        <v>52</v>
      </c>
      <c r="P5" s="65"/>
      <c r="Q5" s="67">
        <v>0</v>
      </c>
      <c r="R5" s="67"/>
      <c r="S5" s="65" t="s">
        <v>53</v>
      </c>
      <c r="T5" s="65">
        <v>0</v>
      </c>
      <c r="U5" s="65">
        <v>1</v>
      </c>
      <c r="V5" s="65">
        <v>1</v>
      </c>
      <c r="W5" s="65"/>
      <c r="X5" s="65"/>
      <c r="Y5" s="65">
        <v>0</v>
      </c>
      <c r="Z5" s="65">
        <v>0</v>
      </c>
      <c r="AA5" s="63"/>
      <c r="AB5" s="40">
        <v>0</v>
      </c>
      <c r="AC5" s="40"/>
      <c r="AD5" s="40"/>
      <c r="AE5" s="40"/>
      <c r="AF5" s="40"/>
      <c r="AG5" s="40">
        <v>0</v>
      </c>
      <c r="AH5" s="40">
        <v>0</v>
      </c>
      <c r="AI5" s="40">
        <v>0</v>
      </c>
      <c r="AJ5" s="40"/>
      <c r="AK5" s="60"/>
      <c r="AL5" s="60"/>
      <c r="AM5" s="60"/>
      <c r="AN5" s="60"/>
      <c r="AO5" s="60"/>
      <c r="AP5" s="60"/>
      <c r="AQ5" s="60"/>
      <c r="AR5" s="60"/>
      <c r="AS5" s="60">
        <v>0</v>
      </c>
      <c r="AT5" s="60">
        <v>0</v>
      </c>
      <c r="AU5" s="60">
        <v>0</v>
      </c>
      <c r="AV5" s="60">
        <v>0</v>
      </c>
      <c r="AW5" s="60">
        <f>BIN2DEC(CONCATENATE(0,0,0,0,AS5,AT5,AU5,AV5))</f>
        <v>0</v>
      </c>
      <c r="AX5" s="60" t="s">
        <v>106</v>
      </c>
      <c r="AY5" s="60"/>
      <c r="AZ5" s="67"/>
      <c r="BA5" s="60"/>
      <c r="BB5" s="60"/>
      <c r="BC5" s="60"/>
      <c r="BD5" s="60"/>
      <c r="BE5" s="60"/>
      <c r="BF5" s="60"/>
      <c r="BG5" s="60"/>
      <c r="BH5" s="6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18"/>
      <c r="BD6" s="4"/>
      <c r="BE6" s="18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8" sqref="B18"/>
    </sheetView>
  </sheetViews>
  <sheetFormatPr defaultRowHeight="15.75" x14ac:dyDescent="0.25"/>
  <cols>
    <col min="1" max="1" width="22.42578125" style="88" customWidth="1"/>
    <col min="2" max="2" width="66" style="88" customWidth="1"/>
    <col min="3" max="16384" width="9.140625" style="88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89" t="s">
        <v>168</v>
      </c>
    </row>
    <row r="4" spans="1:2" x14ac:dyDescent="0.25">
      <c r="A4" s="20" t="s">
        <v>93</v>
      </c>
      <c r="B4" s="22">
        <v>535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161</v>
      </c>
    </row>
    <row r="7" spans="1:2" x14ac:dyDescent="0.25">
      <c r="A7" s="23" t="s">
        <v>175</v>
      </c>
      <c r="B7" s="21">
        <v>1</v>
      </c>
    </row>
    <row r="8" spans="1:2" x14ac:dyDescent="0.25">
      <c r="A8" s="92" t="s">
        <v>181</v>
      </c>
      <c r="B8" t="s">
        <v>185</v>
      </c>
    </row>
    <row r="9" spans="1:2" x14ac:dyDescent="0.25">
      <c r="A9" s="92" t="s">
        <v>182</v>
      </c>
      <c r="B9" s="92"/>
    </row>
    <row r="10" spans="1:2" x14ac:dyDescent="0.25">
      <c r="A10" s="27" t="s">
        <v>165</v>
      </c>
      <c r="B10" t="s">
        <v>183</v>
      </c>
    </row>
    <row r="11" spans="1:2" x14ac:dyDescent="0.25">
      <c r="A11" s="86" t="s">
        <v>162</v>
      </c>
      <c r="B11" t="s">
        <v>184</v>
      </c>
    </row>
    <row r="12" spans="1:2" x14ac:dyDescent="0.25">
      <c r="A12" s="92" t="s">
        <v>182</v>
      </c>
      <c r="B12" s="9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2025-09-09T05:58:02Z</dcterms:modified>
</cp:coreProperties>
</file>