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19440" windowHeight="15000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X10" i="4" l="1"/>
  <c r="AX9" i="4"/>
  <c r="AX8" i="4"/>
  <c r="AX7" i="4"/>
  <c r="AX6" i="4"/>
  <c r="AX5" i="4"/>
  <c r="AX11" i="5"/>
  <c r="AX10" i="5"/>
  <c r="AX9" i="5"/>
  <c r="AX8" i="5"/>
  <c r="BG5" i="4" l="1"/>
  <c r="AV5" i="4"/>
  <c r="J5" i="4"/>
  <c r="I5" i="4"/>
  <c r="BH4" i="6" l="1"/>
  <c r="AW4" i="6"/>
  <c r="K4" i="6"/>
  <c r="J4" i="6"/>
  <c r="BG7" i="4"/>
  <c r="AV7" i="4"/>
  <c r="J7" i="4"/>
  <c r="I7" i="4"/>
  <c r="J5" i="6" l="1"/>
  <c r="I4" i="5"/>
  <c r="I5" i="5"/>
  <c r="I6" i="5"/>
  <c r="I7" i="5"/>
  <c r="I8" i="5"/>
  <c r="I9" i="5"/>
  <c r="I10" i="5"/>
  <c r="I11" i="5"/>
  <c r="J3" i="4"/>
  <c r="J4" i="4"/>
  <c r="J6" i="4"/>
  <c r="J8" i="4"/>
  <c r="J9" i="4"/>
  <c r="J10" i="4"/>
  <c r="I3" i="4"/>
  <c r="I4" i="4"/>
  <c r="I6" i="4"/>
  <c r="I8" i="4"/>
  <c r="I9" i="4"/>
  <c r="I10" i="4"/>
  <c r="AV8" i="5" l="1"/>
  <c r="AV9" i="5"/>
  <c r="AV10" i="5"/>
  <c r="AV11" i="5"/>
  <c r="AW3" i="6" l="1"/>
  <c r="AW5" i="6"/>
  <c r="BG6" i="5"/>
  <c r="J6" i="5"/>
  <c r="BG5" i="5"/>
  <c r="J5" i="5"/>
  <c r="BG6" i="4"/>
  <c r="AV6" i="4"/>
  <c r="BG4" i="4"/>
  <c r="BH5" i="6"/>
  <c r="K5" i="6"/>
  <c r="BH3" i="6"/>
  <c r="K3" i="6"/>
  <c r="J3" i="6"/>
  <c r="AI1" i="6"/>
  <c r="BG11" i="5"/>
  <c r="AP11" i="5"/>
  <c r="J11" i="5"/>
  <c r="BG10" i="5"/>
  <c r="AP10" i="5"/>
  <c r="J10" i="5"/>
  <c r="BG9" i="5"/>
  <c r="AP9" i="5"/>
  <c r="J9" i="5"/>
  <c r="BG8" i="5"/>
  <c r="AP8" i="5"/>
  <c r="J8" i="5"/>
  <c r="BG7" i="5"/>
  <c r="AP6" i="5"/>
  <c r="J7" i="5"/>
  <c r="BG4" i="5"/>
  <c r="J4" i="5"/>
  <c r="BG3" i="5"/>
  <c r="J3" i="5"/>
  <c r="I3" i="5"/>
  <c r="AH1" i="5"/>
  <c r="BG10" i="4"/>
  <c r="AV10" i="4"/>
  <c r="BG9" i="4"/>
  <c r="AV9" i="4"/>
  <c r="BG8" i="4"/>
  <c r="AV8" i="4"/>
  <c r="AP8" i="4"/>
  <c r="BG3" i="4"/>
  <c r="AH1" i="4"/>
</calcChain>
</file>

<file path=xl/sharedStrings.xml><?xml version="1.0" encoding="utf-8"?>
<sst xmlns="http://schemas.openxmlformats.org/spreadsheetml/2006/main" count="507" uniqueCount="173">
  <si>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</si>
  <si>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</si>
  <si>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</si>
  <si>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</si>
  <si>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</si>
  <si>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</si>
  <si>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</si>
  <si>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</si>
  <si>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</si>
  <si>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</si>
  <si>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</si>
  <si>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</si>
  <si>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</si>
  <si>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</si>
  <si>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</si>
  <si>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</si>
  <si>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</si>
  <si>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</si>
  <si>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</si>
  <si>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</si>
  <si>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</si>
  <si>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</si>
  <si>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</si>
  <si>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</si>
  <si>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</si>
  <si>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</si>
  <si>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</si>
  <si>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</si>
  <si>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</si>
  <si>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</si>
  <si>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</si>
  <si>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</si>
  <si>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</si>
  <si>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</si>
  <si>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</si>
  <si>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</si>
  <si>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</si>
  <si>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</si>
  <si>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</si>
  <si>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</si>
  <si>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</si>
  <si>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</si>
  <si>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</si>
  <si>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</si>
  <si>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</si>
  <si>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</si>
  <si>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</si>
  <si>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</si>
  <si>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</si>
  <si>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</si>
  <si>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</si>
  <si>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</si>
  <si>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</si>
  <si>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</si>
  <si>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</si>
  <si>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</si>
  <si>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</si>
  <si>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</si>
  <si>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</si>
  <si>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</si>
  <si>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</si>
  <si>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</si>
  <si>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</si>
  <si>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</si>
  <si>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</si>
  <si>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</si>
  <si>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</si>
  <si>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</si>
  <si>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</si>
  <si>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</si>
  <si>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</si>
  <si>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</si>
  <si>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</si>
  <si>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</si>
  <si>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</si>
  <si>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</si>
  <si>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</si>
  <si>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Функция оперативно выведена из работы</t>
  </si>
  <si>
    <t>general</t>
  </si>
  <si>
    <t>BOOLEAN</t>
  </si>
  <si>
    <t>ACT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</si>
  <si>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</si>
  <si>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</si>
  <si>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</si>
  <si>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</si>
  <si>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</si>
  <si>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</si>
  <si>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</si>
  <si>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</si>
  <si>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</si>
  <si>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</si>
  <si>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</si>
  <si>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Ввод функции в работу</t>
  </si>
  <si>
    <t>TimeSettingScaleCoefficient</t>
  </si>
  <si>
    <t>мс</t>
  </si>
  <si>
    <t>INT32</t>
  </si>
  <si>
    <t>Parameter</t>
  </si>
  <si>
    <t>Value</t>
  </si>
  <si>
    <t>RussianName</t>
  </si>
  <si>
    <t>WeightCoefficient</t>
  </si>
  <si>
    <t>IsCoded</t>
  </si>
  <si>
    <t>IEC61850Name</t>
  </si>
  <si>
    <t>61850_TypeLN</t>
  </si>
  <si>
    <t>FBLLN0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</si>
  <si>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</si>
  <si>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</si>
  <si>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</si>
  <si>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</si>
  <si>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</si>
  <si>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</si>
  <si>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</si>
  <si>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</si>
  <si>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</si>
  <si>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</si>
  <si>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</si>
  <si>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</t>
  </si>
  <si>
    <t>Ввод_функции</t>
  </si>
  <si>
    <t>LLN0.GrRef</t>
  </si>
  <si>
    <t>LLN0.Beh</t>
  </si>
  <si>
    <t>LLN0.Health</t>
  </si>
  <si>
    <t>SGF1</t>
  </si>
  <si>
    <t>SGF2</t>
  </si>
  <si>
    <t>T1</t>
  </si>
  <si>
    <t>FbVersion</t>
  </si>
  <si>
    <t>Оперативный вывод функции УВ</t>
  </si>
  <si>
    <t>ОВ УВ</t>
  </si>
  <si>
    <t>HVBCTRL_operOutFunction</t>
  </si>
  <si>
    <t>Разрешение оперативного включения</t>
  </si>
  <si>
    <t>Разреш.опер.вкл. В</t>
  </si>
  <si>
    <t>PermAutoClsFrmRSYN</t>
  </si>
  <si>
    <t>Оперативно включить В</t>
  </si>
  <si>
    <t>Опер. включить В</t>
  </si>
  <si>
    <t>OperClsCB</t>
  </si>
  <si>
    <t>Блокировка включения от КСВ</t>
  </si>
  <si>
    <t>Блок вкл от КСВ</t>
  </si>
  <si>
    <t>BlkToClsFrmCBSUP</t>
  </si>
  <si>
    <t>УВ</t>
  </si>
  <si>
    <t>CBCSWI1_FuncEnabled</t>
  </si>
  <si>
    <t>CBCSWI1_FuncOperDisabled</t>
  </si>
  <si>
    <t>CBCSWI1_ClsWithSynchCond</t>
  </si>
  <si>
    <t>CBCSWI1_OpCls</t>
  </si>
  <si>
    <t>CBCSWI1_SwitchOnDelay</t>
  </si>
  <si>
    <t>Включение с контролем синхронизма</t>
  </si>
  <si>
    <t>Включение с КС</t>
  </si>
  <si>
    <t>Включить выключатель</t>
  </si>
  <si>
    <t>Включить</t>
  </si>
  <si>
    <t>Задержка включения с контролем синхронизма</t>
  </si>
  <si>
    <t>Задержка вкл. с КС</t>
  </si>
  <si>
    <t>Индикация поведения логического узла УВ</t>
  </si>
  <si>
    <t>Индикация исправности логического узла УВ</t>
  </si>
  <si>
    <t>CBCSWI1_Beh</t>
  </si>
  <si>
    <t>CBCSWI1_Health</t>
  </si>
  <si>
    <t>CBCSWI1.Beh</t>
  </si>
  <si>
    <t>CBCSWI1.Health</t>
  </si>
  <si>
    <t>HVCSWI</t>
  </si>
  <si>
    <t>CBCSWI1.OpCls</t>
  </si>
  <si>
    <t>Контроль_синхр</t>
  </si>
  <si>
    <t>CBCSWI1_EnaDis</t>
  </si>
  <si>
    <t>CBCSWI1_SynchCtrl</t>
  </si>
  <si>
    <t>Длительность задержки включения с контролем синхронизма</t>
  </si>
  <si>
    <t>Тзад_вкл_с_КС</t>
  </si>
  <si>
    <t>CBCSWI1_TdelaySwitchOn</t>
  </si>
  <si>
    <t>HVBCTRL</t>
  </si>
  <si>
    <t>DescriptionFB</t>
  </si>
  <si>
    <t>Управление выключателем</t>
  </si>
  <si>
    <t>DescriptionFuncList</t>
  </si>
  <si>
    <t>alias</t>
  </si>
  <si>
    <t>status</t>
  </si>
  <si>
    <t>Logger</t>
  </si>
  <si>
    <t>Disturber</t>
  </si>
  <si>
    <t>StartDisturber</t>
  </si>
  <si>
    <t>control</t>
  </si>
  <si>
    <t>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</si>
</sst>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0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7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3" fillId="0" borderId="2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8" fillId="0" borderId="2" xfId="1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3" fillId="0" borderId="2" xfId="0" applyFont="1" applyFill="1" applyBorder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7" fillId="0" borderId="1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0" xfId="0" applyFont="1" applyFill="1"/>
    <xf numFmtId="0" fontId="2" fillId="0" borderId="0" xfId="0" applyFont="1"/>
    <xf numFmtId="0" fontId="2" fillId="6" borderId="0" xfId="0" applyFont="1" applyFill="1"/>
    <xf numFmtId="0" fontId="3" fillId="0" borderId="2" xfId="0" applyFont="1" applyFill="1" applyBorder="1"/>
    <xf numFmtId="0" fontId="4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vertical="center"/>
    </xf>
    <xf numFmtId="0" fontId="4" fillId="6" borderId="2" xfId="0" applyFont="1" applyFill="1" applyBorder="1" applyAlignment="1">
      <alignment horizontal="center" vertical="center" wrapText="1"/>
    </xf>
    <xf numFmtId="0" fontId="3" fillId="8" borderId="2" xfId="1" applyFont="1" applyFill="1" applyBorder="1" applyAlignment="1">
      <alignment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9" borderId="2" xfId="1" applyFont="1" applyFill="1" applyBorder="1" applyAlignment="1">
      <alignment vertical="center"/>
    </xf>
    <xf numFmtId="0" fontId="3" fillId="9" borderId="2" xfId="1" applyFont="1" applyFill="1" applyBorder="1" applyAlignment="1">
      <alignment horizontal="left" vertical="center" wrapText="1"/>
    </xf>
    <xf numFmtId="0" fontId="3" fillId="9" borderId="1" xfId="1" applyFont="1" applyFill="1" applyBorder="1" applyAlignment="1">
      <alignment horizontal="left" vertical="center" wrapText="1"/>
    </xf>
    <xf numFmtId="0" fontId="3" fillId="9" borderId="1" xfId="1" applyFont="1" applyFill="1" applyBorder="1" applyAlignment="1">
      <alignment vertical="center" wrapText="1"/>
    </xf>
    <xf numFmtId="0" fontId="3" fillId="9" borderId="1" xfId="0" applyFont="1" applyFill="1" applyBorder="1" applyAlignment="1">
      <alignment vertical="center" wrapText="1"/>
    </xf>
    <xf numFmtId="0" fontId="3" fillId="9" borderId="2" xfId="1" applyFont="1" applyFill="1" applyBorder="1" applyAlignment="1">
      <alignment horizontal="right" vertical="center" wrapText="1"/>
    </xf>
    <xf numFmtId="0" fontId="3" fillId="9" borderId="2" xfId="1" applyFont="1" applyFill="1" applyBorder="1" applyAlignment="1">
      <alignment horizontal="center" vertical="center" wrapText="1"/>
    </xf>
    <xf numFmtId="0" fontId="3" fillId="9" borderId="2" xfId="1" applyFont="1" applyFill="1" applyBorder="1" applyAlignment="1">
      <alignment horizontal="left" vertical="center"/>
    </xf>
    <xf numFmtId="0" fontId="3" fillId="9" borderId="2" xfId="1" applyFont="1" applyFill="1" applyBorder="1" applyAlignment="1">
      <alignment horizontal="center" vertical="center"/>
    </xf>
    <xf numFmtId="0" fontId="3" fillId="9" borderId="1" xfId="1" applyFont="1" applyFill="1" applyBorder="1" applyAlignment="1">
      <alignment horizontal="center" vertical="center"/>
    </xf>
    <xf numFmtId="0" fontId="2" fillId="9" borderId="1" xfId="1" applyFont="1" applyFill="1" applyBorder="1" applyAlignment="1">
      <alignment horizontal="center" vertical="center" wrapText="1"/>
    </xf>
    <xf numFmtId="0" fontId="7" fillId="9" borderId="2" xfId="1" applyFont="1" applyFill="1" applyBorder="1" applyAlignment="1">
      <alignment horizontal="center" vertical="center"/>
    </xf>
    <xf numFmtId="0" fontId="8" fillId="9" borderId="2" xfId="1" applyFont="1" applyFill="1" applyBorder="1" applyAlignment="1">
      <alignment horizontal="center" vertical="center"/>
    </xf>
    <xf numFmtId="0" fontId="3" fillId="9" borderId="2" xfId="1" applyFont="1" applyFill="1" applyBorder="1" applyAlignment="1">
      <alignment vertical="center" wrapText="1"/>
    </xf>
    <xf numFmtId="0" fontId="2" fillId="9" borderId="0" xfId="0" applyFont="1" applyFill="1" applyAlignment="1">
      <alignment vertical="center"/>
    </xf>
    <xf numFmtId="0" fontId="2" fillId="9" borderId="0" xfId="0" applyFont="1" applyFill="1" applyAlignment="1">
      <alignment vertical="center" wrapText="1"/>
    </xf>
    <xf numFmtId="0" fontId="3" fillId="10" borderId="2" xfId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7"/>
  <sheetViews>
    <sheetView tabSelected="1" topLeftCell="AM1" zoomScale="80" zoomScaleNormal="80" workbookViewId="0">
      <selection activeCell="AT19" sqref="AT19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7.57031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17.28515625" style="2" bestFit="1" customWidth="1" outlineLevel="1"/>
    <col min="7" max="7" width="20.28515625" style="2" customWidth="1" outlineLevel="1"/>
    <col min="8" max="8" width="31.28515625" style="2" bestFit="1" customWidth="1" outlineLevel="1"/>
    <col min="9" max="9" width="10" style="2" customWidth="1"/>
    <col min="10" max="10" width="31" style="2" bestFit="1" customWidth="1"/>
    <col min="11" max="11" width="25.7109375" style="2" bestFit="1" customWidth="1"/>
    <col min="12" max="12" width="9.42578125" style="2" customWidth="1"/>
    <col min="13" max="14" width="13.85546875" style="2" customWidth="1" outlineLevel="1"/>
    <col min="15" max="15" width="8.85546875" style="2" bestFit="1" customWidth="1" outlineLevel="1"/>
    <col min="16" max="17" width="19" style="2" customWidth="1" outlineLevel="1"/>
    <col min="18" max="18" width="6.42578125" style="3" customWidth="1" outlineLevel="1"/>
    <col min="19" max="19" width="9.5703125" style="4" customWidth="1" outlineLevel="1"/>
    <col min="20" max="20" width="10.42578125" style="4" customWidth="1" outlineLevel="1"/>
    <col min="21" max="21" width="6.42578125" style="4" customWidth="1" outlineLevel="1"/>
    <col min="22" max="23" width="13.5703125" style="4" customWidth="1" outlineLevel="1"/>
    <col min="24" max="24" width="13.140625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.14062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3" hidden="1" customWidth="1" outlineLevel="1"/>
    <col min="55" max="55" width="13.28515625" style="4" hidden="1" customWidth="1" outlineLevel="1"/>
    <col min="56" max="56" width="13" style="43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78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SUM(AA3:AA64)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61" t="s">
        <v>0</v>
      </c>
      <c r="BA1" s="62"/>
      <c r="BB1" s="62"/>
      <c r="BC1" s="62"/>
      <c r="BD1" s="62"/>
      <c r="BE1" s="62"/>
      <c r="BF1" s="62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109</v>
      </c>
      <c r="G2" s="10" t="s">
        <v>6</v>
      </c>
      <c r="H2" s="10" t="s">
        <v>7</v>
      </c>
      <c r="I2" s="10" t="s">
        <v>8</v>
      </c>
      <c r="J2" s="10" t="s">
        <v>110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108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104</v>
      </c>
      <c r="AC2" s="15" t="s">
        <v>105</v>
      </c>
      <c r="AD2" s="15" t="s">
        <v>106</v>
      </c>
      <c r="AE2" s="15" t="s">
        <v>107</v>
      </c>
      <c r="AF2" s="15" t="s">
        <v>25</v>
      </c>
      <c r="AG2" s="15" t="s">
        <v>26</v>
      </c>
      <c r="AH2" s="14" t="s">
        <v>27</v>
      </c>
      <c r="AI2" s="50" t="s">
        <v>102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59" t="s">
        <v>168</v>
      </c>
      <c r="AW2" s="59" t="s">
        <v>169</v>
      </c>
      <c r="AX2" s="59" t="s">
        <v>170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78" customFormat="1" ht="15.75" x14ac:dyDescent="0.25">
      <c r="A3" s="63"/>
      <c r="B3" s="63" t="s">
        <v>171</v>
      </c>
      <c r="C3" s="64"/>
      <c r="D3" s="65"/>
      <c r="E3" s="66" t="s">
        <v>113</v>
      </c>
      <c r="F3" s="67" t="s">
        <v>113</v>
      </c>
      <c r="G3" s="67" t="s">
        <v>113</v>
      </c>
      <c r="H3" s="66"/>
      <c r="I3" s="66">
        <f t="shared" ref="I3:I10" si="0">LEN(F3)</f>
        <v>15</v>
      </c>
      <c r="J3" s="66" t="str">
        <f t="shared" ref="J3:J10" si="1">IF(LEN(F3)&lt;=$J$1,F3,"")</f>
        <v>Вывод терминала</v>
      </c>
      <c r="K3" s="63" t="s">
        <v>114</v>
      </c>
      <c r="L3" s="68" t="s">
        <v>55</v>
      </c>
      <c r="M3" s="64" t="s">
        <v>52</v>
      </c>
      <c r="N3" s="64" t="s">
        <v>53</v>
      </c>
      <c r="O3" s="64"/>
      <c r="P3" s="69"/>
      <c r="Q3" s="69"/>
      <c r="R3" s="64" t="s">
        <v>54</v>
      </c>
      <c r="S3" s="64" t="s">
        <v>54</v>
      </c>
      <c r="T3" s="64" t="s">
        <v>54</v>
      </c>
      <c r="U3" s="64" t="s">
        <v>54</v>
      </c>
      <c r="V3" s="64"/>
      <c r="W3" s="64"/>
      <c r="X3" s="64" t="s">
        <v>54</v>
      </c>
      <c r="Y3" s="64">
        <v>0</v>
      </c>
      <c r="Z3" s="70"/>
      <c r="AA3" s="71">
        <v>0</v>
      </c>
      <c r="AB3" s="71"/>
      <c r="AC3" s="71"/>
      <c r="AD3" s="71"/>
      <c r="AE3" s="71"/>
      <c r="AF3" s="71">
        <v>0</v>
      </c>
      <c r="AG3" s="71">
        <v>0</v>
      </c>
      <c r="AH3" s="71">
        <v>0</v>
      </c>
      <c r="AI3" s="72"/>
      <c r="AJ3" s="73"/>
      <c r="AK3" s="73"/>
      <c r="AL3" s="73"/>
      <c r="AM3" s="73"/>
      <c r="AN3" s="73"/>
      <c r="AO3" s="73"/>
      <c r="AP3" s="73"/>
      <c r="AQ3" s="73"/>
      <c r="AR3" s="71">
        <v>0</v>
      </c>
      <c r="AS3" s="71">
        <v>0</v>
      </c>
      <c r="AT3" s="79">
        <v>1</v>
      </c>
      <c r="AU3" s="25">
        <v>0</v>
      </c>
      <c r="AV3" s="79">
        <v>1</v>
      </c>
      <c r="AW3" s="79">
        <v>1</v>
      </c>
      <c r="AX3" s="79">
        <v>1</v>
      </c>
      <c r="AY3" s="71"/>
      <c r="AZ3" s="69"/>
      <c r="BA3" s="71"/>
      <c r="BB3" s="71"/>
      <c r="BC3" s="74"/>
      <c r="BD3" s="71"/>
      <c r="BE3" s="75"/>
      <c r="BF3" s="71"/>
      <c r="BG3" s="76" t="str">
        <f t="shared" ref="BG3:BG10" si="2"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"control", minValue: null, maxValue: null, step: null, units: "null", defaultValue: null, eventRegistration: 0</v>
      </c>
      <c r="BH3" s="77"/>
    </row>
    <row r="4" spans="1:16379" s="78" customFormat="1" ht="15.75" x14ac:dyDescent="0.25">
      <c r="A4" s="63"/>
      <c r="B4" s="63" t="s">
        <v>171</v>
      </c>
      <c r="C4" s="64"/>
      <c r="D4" s="65" t="s">
        <v>136</v>
      </c>
      <c r="E4" s="66" t="s">
        <v>124</v>
      </c>
      <c r="F4" s="67" t="s">
        <v>125</v>
      </c>
      <c r="G4" s="67" t="s">
        <v>125</v>
      </c>
      <c r="H4" s="66"/>
      <c r="I4" s="66">
        <f t="shared" si="0"/>
        <v>5</v>
      </c>
      <c r="J4" s="66" t="str">
        <f t="shared" si="1"/>
        <v>ОВ УВ</v>
      </c>
      <c r="K4" s="63" t="s">
        <v>126</v>
      </c>
      <c r="L4" s="68" t="s">
        <v>55</v>
      </c>
      <c r="M4" s="64" t="s">
        <v>52</v>
      </c>
      <c r="N4" s="64" t="s">
        <v>53</v>
      </c>
      <c r="O4" s="64"/>
      <c r="P4" s="69"/>
      <c r="Q4" s="69"/>
      <c r="R4" s="64" t="s">
        <v>54</v>
      </c>
      <c r="S4" s="64" t="s">
        <v>54</v>
      </c>
      <c r="T4" s="64" t="s">
        <v>54</v>
      </c>
      <c r="U4" s="64" t="s">
        <v>54</v>
      </c>
      <c r="V4" s="64"/>
      <c r="W4" s="64"/>
      <c r="X4" s="64" t="s">
        <v>54</v>
      </c>
      <c r="Y4" s="64">
        <v>0</v>
      </c>
      <c r="Z4" s="70"/>
      <c r="AA4" s="71">
        <v>0</v>
      </c>
      <c r="AB4" s="71"/>
      <c r="AC4" s="71"/>
      <c r="AD4" s="71"/>
      <c r="AE4" s="71"/>
      <c r="AF4" s="71">
        <v>0</v>
      </c>
      <c r="AG4" s="71">
        <v>0</v>
      </c>
      <c r="AH4" s="71">
        <v>0</v>
      </c>
      <c r="AI4" s="72"/>
      <c r="AJ4" s="73"/>
      <c r="AK4" s="73"/>
      <c r="AL4" s="73"/>
      <c r="AM4" s="73"/>
      <c r="AN4" s="73"/>
      <c r="AO4" s="73"/>
      <c r="AP4" s="73"/>
      <c r="AQ4" s="73"/>
      <c r="AR4" s="71">
        <v>0</v>
      </c>
      <c r="AS4" s="71">
        <v>0</v>
      </c>
      <c r="AT4" s="79">
        <v>1</v>
      </c>
      <c r="AU4" s="25">
        <v>0</v>
      </c>
      <c r="AV4" s="79">
        <v>1</v>
      </c>
      <c r="AW4" s="79">
        <v>1</v>
      </c>
      <c r="AX4" s="79">
        <v>1</v>
      </c>
      <c r="AY4" s="71"/>
      <c r="AZ4" s="69"/>
      <c r="BA4" s="71"/>
      <c r="BB4" s="71"/>
      <c r="BC4" s="74"/>
      <c r="BD4" s="71"/>
      <c r="BE4" s="75"/>
      <c r="BF4" s="71"/>
      <c r="BG4" s="76" t="str">
        <f t="shared" ref="BG4:BG5" si="3">CONCATENATE("description: """,F4,"""", ", ", "note: """,E4,"""",", ","group: """, B4, """",", ","minValue: ", S4,", ","maxValue: ", T4,", ","step: ", U4,", ","units: """, R4, """",", ","defaultValue: ", X4,", ","eventRegistration: ", Y4,)</f>
        <v>description: "ОВ УВ", note: "Оперативный вывод функции УВ", group: "control", minValue: null, maxValue: null, step: null, units: "null", defaultValue: null, eventRegistration: 0</v>
      </c>
      <c r="BH4" s="77"/>
    </row>
    <row r="5" spans="1:16379" s="33" customFormat="1" ht="15.75" x14ac:dyDescent="0.25">
      <c r="A5" s="18"/>
      <c r="B5" s="60" t="s">
        <v>172</v>
      </c>
      <c r="C5" s="19"/>
      <c r="D5" s="20"/>
      <c r="E5" s="21" t="s">
        <v>130</v>
      </c>
      <c r="F5" s="30" t="s">
        <v>131</v>
      </c>
      <c r="G5" s="30" t="s">
        <v>131</v>
      </c>
      <c r="H5" s="21"/>
      <c r="I5" s="21">
        <f t="shared" si="0"/>
        <v>16</v>
      </c>
      <c r="J5" s="21" t="str">
        <f t="shared" si="1"/>
        <v>Опер. включить В</v>
      </c>
      <c r="K5" s="18" t="s">
        <v>132</v>
      </c>
      <c r="L5" s="22" t="s">
        <v>55</v>
      </c>
      <c r="M5" s="19" t="s">
        <v>52</v>
      </c>
      <c r="N5" s="19" t="s">
        <v>53</v>
      </c>
      <c r="O5" s="19"/>
      <c r="P5" s="23"/>
      <c r="Q5" s="23"/>
      <c r="R5" s="19" t="s">
        <v>54</v>
      </c>
      <c r="S5" s="19" t="s">
        <v>54</v>
      </c>
      <c r="T5" s="19" t="s">
        <v>54</v>
      </c>
      <c r="U5" s="19" t="s">
        <v>54</v>
      </c>
      <c r="V5" s="19"/>
      <c r="W5" s="19"/>
      <c r="X5" s="19" t="s">
        <v>54</v>
      </c>
      <c r="Y5" s="19">
        <v>0</v>
      </c>
      <c r="Z5" s="24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51"/>
      <c r="AJ5" s="27"/>
      <c r="AK5" s="27"/>
      <c r="AL5" s="27"/>
      <c r="AM5" s="27"/>
      <c r="AN5" s="27"/>
      <c r="AO5" s="27"/>
      <c r="AP5" s="27"/>
      <c r="AQ5" s="27"/>
      <c r="AR5" s="25">
        <v>0</v>
      </c>
      <c r="AS5" s="25">
        <v>0</v>
      </c>
      <c r="AT5" s="25">
        <v>0</v>
      </c>
      <c r="AU5" s="25">
        <v>0</v>
      </c>
      <c r="AV5" s="25">
        <f t="shared" ref="AV4:AV5" si="4">BIN2DEC(CONCATENATE(0,0,0,0,AR5,AS5,AT5,AU5))</f>
        <v>0</v>
      </c>
      <c r="AW5" s="25">
        <v>0</v>
      </c>
      <c r="AX5" s="25">
        <f t="shared" ref="AX3:AX10" si="5">BIN2DEC(CONCATENATE(0,0,0,0,AT5,AU5,AV5,AW5))</f>
        <v>0</v>
      </c>
      <c r="AY5" s="25"/>
      <c r="AZ5" s="23"/>
      <c r="BA5" s="25"/>
      <c r="BB5" s="25"/>
      <c r="BC5" s="26"/>
      <c r="BD5" s="25"/>
      <c r="BE5" s="31"/>
      <c r="BF5" s="25"/>
      <c r="BG5" s="29" t="str">
        <f t="shared" si="3"/>
        <v>description: "Опер. включить В", note: "Оперативно включить В", group: "input", minValue: null, maxValue: null, step: null, units: "null", defaultValue: null, eventRegistration: 0</v>
      </c>
      <c r="BH5" s="32"/>
    </row>
    <row r="6" spans="1:16379" s="33" customFormat="1" ht="15" customHeight="1" x14ac:dyDescent="0.25">
      <c r="A6" s="18"/>
      <c r="B6" s="18" t="s">
        <v>51</v>
      </c>
      <c r="C6" s="19"/>
      <c r="D6" s="20"/>
      <c r="E6" s="21" t="s">
        <v>127</v>
      </c>
      <c r="F6" s="30" t="s">
        <v>128</v>
      </c>
      <c r="G6" s="30" t="s">
        <v>128</v>
      </c>
      <c r="H6" s="21"/>
      <c r="I6" s="21">
        <f t="shared" si="0"/>
        <v>18</v>
      </c>
      <c r="J6" s="21" t="str">
        <f t="shared" si="1"/>
        <v>Разреш.опер.вкл. В</v>
      </c>
      <c r="K6" s="18" t="s">
        <v>129</v>
      </c>
      <c r="L6" s="22" t="s">
        <v>55</v>
      </c>
      <c r="M6" s="19" t="s">
        <v>52</v>
      </c>
      <c r="N6" s="19" t="s">
        <v>53</v>
      </c>
      <c r="O6" s="19"/>
      <c r="P6" s="23"/>
      <c r="Q6" s="23"/>
      <c r="R6" s="19" t="s">
        <v>54</v>
      </c>
      <c r="S6" s="19" t="s">
        <v>54</v>
      </c>
      <c r="T6" s="19" t="s">
        <v>54</v>
      </c>
      <c r="U6" s="19" t="s">
        <v>54</v>
      </c>
      <c r="V6" s="19"/>
      <c r="W6" s="19"/>
      <c r="X6" s="19" t="s">
        <v>54</v>
      </c>
      <c r="Y6" s="19">
        <v>0</v>
      </c>
      <c r="Z6" s="24"/>
      <c r="AA6" s="25">
        <v>0</v>
      </c>
      <c r="AB6" s="25"/>
      <c r="AC6" s="25"/>
      <c r="AD6" s="25"/>
      <c r="AE6" s="25"/>
      <c r="AF6" s="25">
        <v>0</v>
      </c>
      <c r="AG6" s="25">
        <v>0</v>
      </c>
      <c r="AH6" s="25">
        <v>0</v>
      </c>
      <c r="AI6" s="51"/>
      <c r="AJ6" s="27"/>
      <c r="AK6" s="27"/>
      <c r="AL6" s="27"/>
      <c r="AM6" s="27"/>
      <c r="AN6" s="27"/>
      <c r="AO6" s="27"/>
      <c r="AP6" s="27"/>
      <c r="AQ6" s="27"/>
      <c r="AR6" s="25">
        <v>0</v>
      </c>
      <c r="AS6" s="25">
        <v>0</v>
      </c>
      <c r="AT6" s="25">
        <v>0</v>
      </c>
      <c r="AU6" s="25">
        <v>0</v>
      </c>
      <c r="AV6" s="25">
        <f t="shared" ref="AV6" si="6">BIN2DEC(CONCATENATE(0,0,0,0,AR6,AS6,AT6,AU6))</f>
        <v>0</v>
      </c>
      <c r="AW6" s="25">
        <v>0</v>
      </c>
      <c r="AX6" s="25">
        <f t="shared" si="5"/>
        <v>0</v>
      </c>
      <c r="AY6" s="25"/>
      <c r="AZ6" s="23"/>
      <c r="BA6" s="25"/>
      <c r="BB6" s="25"/>
      <c r="BC6" s="26"/>
      <c r="BD6" s="25"/>
      <c r="BE6" s="31"/>
      <c r="BF6" s="25"/>
      <c r="BG6" s="29" t="str">
        <f t="shared" ref="BG6" si="7">CONCATENATE("description: """,F6,"""", ", ", "note: """,E6,"""",", ","group: """, B6, """",", ","minValue: ", S6,", ","maxValue: ", T6,", ","step: ", U6,", ","units: """, R6, """",", ","defaultValue: ", X6,", ","eventRegistration: ", Y6,)</f>
        <v>description: "Разреш.опер.вкл. В", note: "Разрешение оперативного включения", group: "measurement", minValue: null, maxValue: null, step: null, units: "null", defaultValue: null, eventRegistration: 0</v>
      </c>
      <c r="BH6" s="32"/>
    </row>
    <row r="7" spans="1:16379" s="33" customFormat="1" ht="15.75" x14ac:dyDescent="0.25">
      <c r="A7" s="18"/>
      <c r="B7" s="18" t="s">
        <v>51</v>
      </c>
      <c r="C7" s="19"/>
      <c r="D7" s="20"/>
      <c r="E7" s="21" t="s">
        <v>133</v>
      </c>
      <c r="F7" s="30" t="s">
        <v>134</v>
      </c>
      <c r="G7" s="30" t="s">
        <v>134</v>
      </c>
      <c r="H7" s="21"/>
      <c r="I7" s="21">
        <f t="shared" ref="I7" si="8">LEN(F7)</f>
        <v>15</v>
      </c>
      <c r="J7" s="21" t="str">
        <f t="shared" ref="J7" si="9">IF(LEN(F7)&lt;=$J$1,F7,"")</f>
        <v>Блок вкл от КСВ</v>
      </c>
      <c r="K7" s="18" t="s">
        <v>135</v>
      </c>
      <c r="L7" s="22" t="s">
        <v>55</v>
      </c>
      <c r="M7" s="19" t="s">
        <v>52</v>
      </c>
      <c r="N7" s="19" t="s">
        <v>53</v>
      </c>
      <c r="O7" s="19"/>
      <c r="P7" s="23"/>
      <c r="Q7" s="23"/>
      <c r="R7" s="19" t="s">
        <v>54</v>
      </c>
      <c r="S7" s="19" t="s">
        <v>54</v>
      </c>
      <c r="T7" s="19" t="s">
        <v>54</v>
      </c>
      <c r="U7" s="19" t="s">
        <v>54</v>
      </c>
      <c r="V7" s="19"/>
      <c r="W7" s="19"/>
      <c r="X7" s="19" t="s">
        <v>54</v>
      </c>
      <c r="Y7" s="19">
        <v>0</v>
      </c>
      <c r="Z7" s="24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51"/>
      <c r="AJ7" s="27"/>
      <c r="AK7" s="27"/>
      <c r="AL7" s="27"/>
      <c r="AM7" s="27"/>
      <c r="AN7" s="27"/>
      <c r="AO7" s="27"/>
      <c r="AP7" s="27"/>
      <c r="AQ7" s="27"/>
      <c r="AR7" s="25">
        <v>0</v>
      </c>
      <c r="AS7" s="25">
        <v>0</v>
      </c>
      <c r="AT7" s="25">
        <v>0</v>
      </c>
      <c r="AU7" s="25">
        <v>0</v>
      </c>
      <c r="AV7" s="25">
        <f t="shared" ref="AV7" si="10">BIN2DEC(CONCATENATE(0,0,0,0,AR7,AS7,AT7,AU7))</f>
        <v>0</v>
      </c>
      <c r="AW7" s="25">
        <v>0</v>
      </c>
      <c r="AX7" s="25">
        <f t="shared" si="5"/>
        <v>0</v>
      </c>
      <c r="AY7" s="25"/>
      <c r="AZ7" s="23"/>
      <c r="BA7" s="25"/>
      <c r="BB7" s="25"/>
      <c r="BC7" s="26"/>
      <c r="BD7" s="25"/>
      <c r="BE7" s="31"/>
      <c r="BF7" s="25"/>
      <c r="BG7" s="29" t="str">
        <f t="shared" ref="BG7" si="11">CONCATENATE("description: """,F7,"""", ", ", "note: """,E7,"""",", ","group: """, B7, """",", ","minValue: ", S7,", ","maxValue: ", T7,", ","step: ", U7,", ","units: """, R7, """",", ","defaultValue: ", X7,", ","eventRegistration: ", Y7,)</f>
        <v>description: "Блок вкл от КСВ", note: "Блокировка включения от КСВ", group: "measurement", minValue: null, maxValue: null, step: null, units: "null", defaultValue: null, eventRegistration: 0</v>
      </c>
      <c r="BH7" s="32"/>
    </row>
    <row r="8" spans="1:16379" s="41" customFormat="1" ht="15.75" x14ac:dyDescent="0.25">
      <c r="A8" s="34"/>
      <c r="B8" s="18" t="s">
        <v>51</v>
      </c>
      <c r="C8" s="35"/>
      <c r="D8" s="9"/>
      <c r="E8" s="30" t="s">
        <v>56</v>
      </c>
      <c r="F8" s="30" t="s">
        <v>57</v>
      </c>
      <c r="G8" s="30" t="s">
        <v>57</v>
      </c>
      <c r="H8" s="9"/>
      <c r="I8" s="21">
        <f t="shared" si="0"/>
        <v>10</v>
      </c>
      <c r="J8" s="21" t="str">
        <f t="shared" si="1"/>
        <v>Насл.режим</v>
      </c>
      <c r="K8" s="36" t="s">
        <v>59</v>
      </c>
      <c r="L8" s="37" t="s">
        <v>58</v>
      </c>
      <c r="M8" s="19" t="s">
        <v>52</v>
      </c>
      <c r="N8" s="19" t="s">
        <v>53</v>
      </c>
      <c r="O8" s="19"/>
      <c r="P8" s="35"/>
      <c r="Q8" s="35"/>
      <c r="R8" s="19" t="s">
        <v>54</v>
      </c>
      <c r="S8" s="19" t="s">
        <v>54</v>
      </c>
      <c r="T8" s="19" t="s">
        <v>54</v>
      </c>
      <c r="U8" s="19" t="s">
        <v>54</v>
      </c>
      <c r="V8" s="35"/>
      <c r="W8" s="35"/>
      <c r="X8" s="19" t="s">
        <v>54</v>
      </c>
      <c r="Y8" s="38">
        <v>0</v>
      </c>
      <c r="Z8" s="35"/>
      <c r="AA8" s="25">
        <v>0</v>
      </c>
      <c r="AB8" s="25"/>
      <c r="AC8" s="25"/>
      <c r="AD8" s="25"/>
      <c r="AE8" s="25"/>
      <c r="AF8" s="25">
        <v>0</v>
      </c>
      <c r="AG8" s="25">
        <v>0</v>
      </c>
      <c r="AH8" s="25">
        <v>0</v>
      </c>
      <c r="AI8" s="51" t="s">
        <v>103</v>
      </c>
      <c r="AJ8" s="39" t="s">
        <v>117</v>
      </c>
      <c r="AK8" s="39" t="s">
        <v>60</v>
      </c>
      <c r="AL8" s="39" t="s">
        <v>61</v>
      </c>
      <c r="AM8" s="39" t="s">
        <v>62</v>
      </c>
      <c r="AN8" s="39"/>
      <c r="AO8" s="39" t="s">
        <v>63</v>
      </c>
      <c r="AP8" s="39" t="str">
        <f>CONCATENATE(AJ8, ".", AL8)</f>
        <v>LLN0.GrRef.setSrcRef</v>
      </c>
      <c r="AQ8" s="39" t="s">
        <v>64</v>
      </c>
      <c r="AR8" s="25">
        <v>0</v>
      </c>
      <c r="AS8" s="25">
        <v>0</v>
      </c>
      <c r="AT8" s="25">
        <v>0</v>
      </c>
      <c r="AU8" s="25">
        <v>0</v>
      </c>
      <c r="AV8" s="25">
        <f t="shared" ref="AV3:AV8" si="12">BIN2DEC(CONCATENATE(0,0,0,0,AR8,AS8,AT8,AU8))</f>
        <v>0</v>
      </c>
      <c r="AW8" s="25">
        <v>0</v>
      </c>
      <c r="AX8" s="25">
        <f t="shared" si="5"/>
        <v>0</v>
      </c>
      <c r="AY8" s="46"/>
      <c r="AZ8" s="40"/>
      <c r="BA8" s="40"/>
      <c r="BB8" s="40"/>
      <c r="BC8" s="40"/>
      <c r="BD8" s="40"/>
      <c r="BE8" s="40"/>
      <c r="BF8" s="40"/>
      <c r="BG8" s="29" t="str">
        <f t="shared" si="2"/>
        <v>description: "Насл.режим", note: "Наследуемый режим работы", group: "measurement", minValue: null, maxValue: null, step: null, units: "null", defaultValue: null, eventRegistration: 0</v>
      </c>
    </row>
    <row r="9" spans="1:16379" s="41" customFormat="1" ht="15.75" x14ac:dyDescent="0.25">
      <c r="A9" s="34"/>
      <c r="B9" s="18" t="s">
        <v>51</v>
      </c>
      <c r="C9" s="35"/>
      <c r="D9" s="9"/>
      <c r="E9" s="30" t="s">
        <v>69</v>
      </c>
      <c r="F9" s="30" t="s">
        <v>70</v>
      </c>
      <c r="G9" s="30" t="s">
        <v>70</v>
      </c>
      <c r="H9" s="9"/>
      <c r="I9" s="21">
        <f t="shared" si="0"/>
        <v>8</v>
      </c>
      <c r="J9" s="21" t="str">
        <f t="shared" si="1"/>
        <v>Ош.крит.</v>
      </c>
      <c r="K9" s="36" t="s">
        <v>71</v>
      </c>
      <c r="L9" s="22" t="s">
        <v>55</v>
      </c>
      <c r="M9" s="19" t="s">
        <v>52</v>
      </c>
      <c r="N9" s="19" t="s">
        <v>53</v>
      </c>
      <c r="O9" s="19"/>
      <c r="P9" s="35"/>
      <c r="Q9" s="35"/>
      <c r="R9" s="19" t="s">
        <v>54</v>
      </c>
      <c r="S9" s="19" t="s">
        <v>54</v>
      </c>
      <c r="T9" s="19" t="s">
        <v>54</v>
      </c>
      <c r="U9" s="19" t="s">
        <v>54</v>
      </c>
      <c r="V9" s="35"/>
      <c r="W9" s="35"/>
      <c r="X9" s="19" t="s">
        <v>54</v>
      </c>
      <c r="Y9" s="38">
        <v>0</v>
      </c>
      <c r="Z9" s="35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49"/>
      <c r="AJ9" s="39"/>
      <c r="AK9" s="39"/>
      <c r="AL9" s="39"/>
      <c r="AM9" s="39"/>
      <c r="AN9" s="39"/>
      <c r="AO9" s="39"/>
      <c r="AP9" s="39"/>
      <c r="AQ9" s="39"/>
      <c r="AR9" s="25">
        <v>0</v>
      </c>
      <c r="AS9" s="25">
        <v>0</v>
      </c>
      <c r="AT9" s="25">
        <v>0</v>
      </c>
      <c r="AU9" s="25">
        <v>0</v>
      </c>
      <c r="AV9" s="25">
        <f t="shared" ref="AV9:AV10" si="13">BIN2DEC(CONCATENATE(0,0,0,0,AR9,AS9,AT9,AU9))</f>
        <v>0</v>
      </c>
      <c r="AW9" s="25">
        <v>0</v>
      </c>
      <c r="AX9" s="25">
        <f t="shared" si="5"/>
        <v>0</v>
      </c>
      <c r="AY9" s="46"/>
      <c r="AZ9" s="40"/>
      <c r="BA9" s="40"/>
      <c r="BB9" s="40"/>
      <c r="BC9" s="40"/>
      <c r="BD9" s="40"/>
      <c r="BE9" s="40"/>
      <c r="BF9" s="40"/>
      <c r="BG9" s="29" t="str">
        <f t="shared" si="2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0" spans="1:16379" s="41" customFormat="1" ht="15.75" x14ac:dyDescent="0.25">
      <c r="A10" s="34"/>
      <c r="B10" s="18" t="s">
        <v>51</v>
      </c>
      <c r="C10" s="35"/>
      <c r="D10" s="9"/>
      <c r="E10" s="30" t="s">
        <v>72</v>
      </c>
      <c r="F10" s="30" t="s">
        <v>73</v>
      </c>
      <c r="G10" s="30" t="s">
        <v>73</v>
      </c>
      <c r="H10" s="9"/>
      <c r="I10" s="21">
        <f t="shared" si="0"/>
        <v>6</v>
      </c>
      <c r="J10" s="21" t="str">
        <f t="shared" si="1"/>
        <v>Ошибка</v>
      </c>
      <c r="K10" s="36" t="s">
        <v>74</v>
      </c>
      <c r="L10" s="22" t="s">
        <v>55</v>
      </c>
      <c r="M10" s="19" t="s">
        <v>52</v>
      </c>
      <c r="N10" s="19" t="s">
        <v>53</v>
      </c>
      <c r="O10" s="19"/>
      <c r="P10" s="35"/>
      <c r="Q10" s="35"/>
      <c r="R10" s="19" t="s">
        <v>54</v>
      </c>
      <c r="S10" s="19" t="s">
        <v>54</v>
      </c>
      <c r="T10" s="19" t="s">
        <v>54</v>
      </c>
      <c r="U10" s="19" t="s">
        <v>54</v>
      </c>
      <c r="V10" s="35"/>
      <c r="W10" s="35"/>
      <c r="X10" s="19" t="s">
        <v>54</v>
      </c>
      <c r="Y10" s="38">
        <v>0</v>
      </c>
      <c r="Z10" s="35"/>
      <c r="AA10" s="25">
        <v>0</v>
      </c>
      <c r="AB10" s="25"/>
      <c r="AC10" s="25"/>
      <c r="AD10" s="25"/>
      <c r="AE10" s="25"/>
      <c r="AF10" s="25">
        <v>0</v>
      </c>
      <c r="AG10" s="25">
        <v>0</v>
      </c>
      <c r="AH10" s="25">
        <v>0</v>
      </c>
      <c r="AI10" s="49"/>
      <c r="AJ10" s="39"/>
      <c r="AK10" s="39"/>
      <c r="AL10" s="39"/>
      <c r="AM10" s="39"/>
      <c r="AN10" s="39"/>
      <c r="AO10" s="39"/>
      <c r="AP10" s="39"/>
      <c r="AQ10" s="39"/>
      <c r="AR10" s="25">
        <v>0</v>
      </c>
      <c r="AS10" s="25">
        <v>0</v>
      </c>
      <c r="AT10" s="25">
        <v>0</v>
      </c>
      <c r="AU10" s="25">
        <v>0</v>
      </c>
      <c r="AV10" s="25">
        <f t="shared" si="13"/>
        <v>0</v>
      </c>
      <c r="AW10" s="25">
        <v>0</v>
      </c>
      <c r="AX10" s="25">
        <f t="shared" si="5"/>
        <v>0</v>
      </c>
      <c r="AY10" s="46"/>
      <c r="AZ10" s="40"/>
      <c r="BA10" s="40"/>
      <c r="BB10" s="40"/>
      <c r="BC10" s="40"/>
      <c r="BD10" s="40"/>
      <c r="BE10" s="40"/>
      <c r="BF10" s="40"/>
      <c r="BG10" s="29" t="str">
        <f t="shared" si="2"/>
        <v>description: "Ошибка", note: "Наличие некритической ошибки", group: "measurement", minValue: null, maxValue: null, step: null, units: "null", defaultValue: null, eventRegistration: 0</v>
      </c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3"/>
      <c r="BC11" s="4"/>
      <c r="BD11" s="43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3"/>
      <c r="BC12" s="4"/>
      <c r="BD12" s="43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3"/>
      <c r="BC13" s="4"/>
      <c r="BD13" s="43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3"/>
      <c r="BC14" s="4"/>
      <c r="BD14" s="43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3"/>
      <c r="BC15" s="4"/>
      <c r="BD15" s="43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3"/>
      <c r="BC16" s="4"/>
      <c r="BD16" s="43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3"/>
      <c r="BC17" s="4"/>
      <c r="BD17" s="43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3"/>
      <c r="BC18" s="4"/>
      <c r="BD18" s="43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3"/>
      <c r="BC19" s="4"/>
      <c r="BD19" s="43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3"/>
      <c r="BC20" s="4"/>
      <c r="BD20" s="43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3"/>
      <c r="BC21" s="4"/>
      <c r="BD21" s="43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3"/>
      <c r="BC22" s="4"/>
      <c r="BD22" s="43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3"/>
      <c r="BC23" s="4"/>
      <c r="BD23" s="43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3"/>
      <c r="BC24" s="4"/>
      <c r="BD24" s="43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3"/>
      <c r="BC25" s="4"/>
      <c r="BD25" s="43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3"/>
      <c r="BC26" s="4"/>
      <c r="BD26" s="43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3"/>
      <c r="BC27" s="4"/>
      <c r="BD27" s="43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3"/>
      <c r="BC28" s="4"/>
      <c r="BD28" s="43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3"/>
      <c r="BC29" s="4"/>
      <c r="BD29" s="43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3"/>
      <c r="BC30" s="4"/>
      <c r="BD30" s="43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3"/>
      <c r="BC31" s="4"/>
      <c r="BD31" s="43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3"/>
      <c r="BC32" s="4"/>
      <c r="BD32" s="43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3"/>
      <c r="BC33" s="4"/>
      <c r="BD33" s="43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3"/>
      <c r="BC34" s="4"/>
      <c r="BD34" s="43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3"/>
      <c r="BC35" s="4"/>
      <c r="BD35" s="43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3"/>
      <c r="BC36" s="4"/>
      <c r="BD36" s="43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3"/>
      <c r="BC37" s="4"/>
      <c r="BD37" s="43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3"/>
      <c r="BC38" s="4"/>
      <c r="BD38" s="43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3"/>
      <c r="BC39" s="4"/>
      <c r="BD39" s="43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3"/>
      <c r="BC40" s="4"/>
      <c r="BD40" s="43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3"/>
      <c r="BC41" s="4"/>
      <c r="BD41" s="43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3"/>
      <c r="BC42" s="4"/>
      <c r="BD42" s="43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3"/>
      <c r="BC43" s="4"/>
      <c r="BD43" s="43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3"/>
      <c r="BC44" s="4"/>
      <c r="BD44" s="43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3"/>
      <c r="BC45" s="4"/>
      <c r="BD45" s="43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3"/>
      <c r="BC46" s="4"/>
      <c r="BD46" s="43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3"/>
      <c r="BC47" s="4"/>
      <c r="BD47" s="43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3"/>
      <c r="BC48" s="4"/>
      <c r="BD48" s="43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3"/>
      <c r="BC49" s="4"/>
      <c r="BD49" s="43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3"/>
      <c r="BC50" s="4"/>
      <c r="BD50" s="43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3"/>
      <c r="BC51" s="4"/>
      <c r="BD51" s="43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3"/>
      <c r="BC52" s="4"/>
      <c r="BD52" s="43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3"/>
      <c r="BC53" s="4"/>
      <c r="BD53" s="43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3"/>
      <c r="BC54" s="4"/>
      <c r="BD54" s="43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3"/>
      <c r="BC55" s="4"/>
      <c r="BD55" s="43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3"/>
      <c r="BC56" s="4"/>
      <c r="BD56" s="43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3"/>
      <c r="BC57" s="4"/>
      <c r="BD57" s="43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3"/>
      <c r="BC58" s="4"/>
      <c r="BD58" s="43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3"/>
      <c r="BC59" s="4"/>
      <c r="BD59" s="43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3"/>
      <c r="BC60" s="4"/>
      <c r="BD60" s="43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3"/>
      <c r="BC61" s="4"/>
      <c r="BD61" s="43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3"/>
      <c r="BC62" s="4"/>
      <c r="BD62" s="43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3"/>
      <c r="BC63" s="4"/>
      <c r="BD63" s="43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3"/>
      <c r="BC64" s="4"/>
      <c r="BD64" s="43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3"/>
      <c r="BC65" s="4"/>
      <c r="BD65" s="43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3"/>
      <c r="BC66" s="4"/>
      <c r="BD66" s="43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3"/>
      <c r="BC67" s="4"/>
      <c r="BD67" s="43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3"/>
      <c r="BC68" s="4"/>
      <c r="BD68" s="43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3"/>
      <c r="BC69" s="4"/>
      <c r="BD69" s="43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3"/>
      <c r="BC70" s="4"/>
      <c r="BD70" s="43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3"/>
      <c r="BC71" s="4"/>
      <c r="BD71" s="43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3"/>
      <c r="BC72" s="4"/>
      <c r="BD72" s="43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3"/>
      <c r="BC73" s="4"/>
      <c r="BD73" s="43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3"/>
      <c r="BC74" s="4"/>
      <c r="BD74" s="43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3"/>
      <c r="BC75" s="4"/>
      <c r="BD75" s="43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3"/>
      <c r="BC76" s="4"/>
      <c r="BD76" s="43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3"/>
      <c r="BC77" s="4"/>
      <c r="BD77" s="43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3"/>
      <c r="BC78" s="4"/>
      <c r="BD78" s="43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3"/>
      <c r="BC79" s="4"/>
      <c r="BD79" s="43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3"/>
      <c r="BC80" s="4"/>
      <c r="BD80" s="43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3"/>
      <c r="BC81" s="4"/>
      <c r="BD81" s="43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3"/>
      <c r="BC82" s="4"/>
      <c r="BD82" s="43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3"/>
      <c r="BC83" s="4"/>
      <c r="BD83" s="43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3"/>
      <c r="BC84" s="4"/>
      <c r="BD84" s="43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3"/>
      <c r="BC85" s="4"/>
      <c r="BD85" s="43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3"/>
      <c r="BC86" s="4"/>
      <c r="BD86" s="43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3"/>
      <c r="BC87" s="4"/>
      <c r="BD87" s="43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3"/>
      <c r="BC88" s="4"/>
      <c r="BD88" s="43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3"/>
      <c r="BC89" s="4"/>
      <c r="BD89" s="43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3"/>
      <c r="BC90" s="4"/>
      <c r="BD90" s="43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3"/>
      <c r="BC91" s="4"/>
      <c r="BD91" s="43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3"/>
      <c r="BC92" s="4"/>
      <c r="BD92" s="43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3"/>
      <c r="BC93" s="4"/>
      <c r="BD93" s="43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3"/>
      <c r="BC94" s="4"/>
      <c r="BD94" s="43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3"/>
      <c r="BC95" s="4"/>
      <c r="BD95" s="43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3"/>
      <c r="BC96" s="4"/>
      <c r="BD96" s="43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3"/>
      <c r="BC97" s="4"/>
      <c r="BD97" s="43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3"/>
      <c r="BC98" s="4"/>
      <c r="BD98" s="43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3"/>
      <c r="BC99" s="4"/>
      <c r="BD99" s="43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3"/>
      <c r="BC100" s="4"/>
      <c r="BD100" s="43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3"/>
      <c r="BC101" s="4"/>
      <c r="BD101" s="43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3"/>
      <c r="BC102" s="4"/>
      <c r="BD102" s="43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3"/>
      <c r="BC103" s="4"/>
      <c r="BD103" s="43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3"/>
      <c r="BC104" s="4"/>
      <c r="BD104" s="43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3"/>
      <c r="BC105" s="4"/>
      <c r="BD105" s="43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3"/>
      <c r="BC106" s="4"/>
      <c r="BD106" s="43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3"/>
      <c r="BC107" s="4"/>
      <c r="BD107" s="43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3"/>
      <c r="BC108" s="4"/>
      <c r="BD108" s="43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3"/>
      <c r="BC109" s="4"/>
      <c r="BD109" s="43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3"/>
      <c r="BC110" s="4"/>
      <c r="BD110" s="43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3"/>
      <c r="BC111" s="4"/>
      <c r="BD111" s="43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3"/>
      <c r="BC112" s="4"/>
      <c r="BD112" s="43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3"/>
      <c r="BC113" s="4"/>
      <c r="BD113" s="43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3"/>
      <c r="BC114" s="4"/>
      <c r="BD114" s="43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3"/>
      <c r="BC115" s="4"/>
      <c r="BD115" s="43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3"/>
      <c r="BC116" s="4"/>
      <c r="BD116" s="43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3"/>
      <c r="BC117" s="4"/>
      <c r="BD117" s="43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3"/>
      <c r="BC118" s="4"/>
      <c r="BD118" s="43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3"/>
      <c r="BC119" s="4"/>
      <c r="BD119" s="43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3"/>
      <c r="BC120" s="4"/>
      <c r="BD120" s="43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3"/>
      <c r="BC121" s="4"/>
      <c r="BD121" s="43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3"/>
      <c r="BC122" s="4"/>
      <c r="BD122" s="43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3"/>
      <c r="BC123" s="4"/>
      <c r="BD123" s="43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3"/>
      <c r="BC124" s="4"/>
      <c r="BD124" s="43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3"/>
      <c r="BC125" s="4"/>
      <c r="BD125" s="43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3"/>
      <c r="BC126" s="4"/>
      <c r="BD126" s="43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3"/>
      <c r="BC127" s="4"/>
      <c r="BD127" s="43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3"/>
      <c r="BC128" s="4"/>
      <c r="BD128" s="43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3"/>
      <c r="BC129" s="4"/>
      <c r="BD129" s="43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3"/>
      <c r="BC130" s="4"/>
      <c r="BD130" s="43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3"/>
      <c r="BC131" s="4"/>
      <c r="BD131" s="43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3"/>
      <c r="BC132" s="4"/>
      <c r="BD132" s="43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3"/>
      <c r="BC133" s="4"/>
      <c r="BD133" s="43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3"/>
      <c r="BC134" s="4"/>
      <c r="BD134" s="43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3"/>
      <c r="BC135" s="4"/>
      <c r="BD135" s="43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3"/>
      <c r="BC136" s="4"/>
      <c r="BD136" s="43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3"/>
      <c r="BC137" s="4"/>
      <c r="BD137" s="43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3"/>
      <c r="BC138" s="4"/>
      <c r="BD138" s="43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3"/>
      <c r="BC139" s="4"/>
      <c r="BD139" s="43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3"/>
      <c r="BC140" s="4"/>
      <c r="BD140" s="43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3"/>
      <c r="BC141" s="4"/>
      <c r="BD141" s="43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3"/>
      <c r="BC142" s="4"/>
      <c r="BD142" s="43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3"/>
      <c r="BC143" s="4"/>
      <c r="BD143" s="43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3"/>
      <c r="BC144" s="4"/>
      <c r="BD144" s="43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3"/>
      <c r="BC145" s="4"/>
      <c r="BD145" s="43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3"/>
      <c r="BC146" s="4"/>
      <c r="BD146" s="43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3"/>
      <c r="BC147" s="4"/>
      <c r="BD147" s="43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3"/>
      <c r="BC148" s="4"/>
      <c r="BD148" s="43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3"/>
      <c r="BC149" s="4"/>
      <c r="BD149" s="43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3"/>
      <c r="BC150" s="4"/>
      <c r="BD150" s="43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3"/>
      <c r="BC151" s="4"/>
      <c r="BD151" s="43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3"/>
      <c r="BC152" s="4"/>
      <c r="BD152" s="43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3"/>
      <c r="BC153" s="4"/>
      <c r="BD153" s="43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3"/>
      <c r="BC154" s="4"/>
      <c r="BD154" s="43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3"/>
      <c r="BC155" s="4"/>
      <c r="BD155" s="43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3"/>
      <c r="BC156" s="4"/>
      <c r="BD156" s="43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3"/>
      <c r="BC157" s="4"/>
      <c r="BD157" s="43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3"/>
      <c r="BC158" s="4"/>
      <c r="BD158" s="43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3"/>
      <c r="BC159" s="4"/>
      <c r="BD159" s="43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3"/>
      <c r="BC160" s="4"/>
      <c r="BD160" s="43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3"/>
      <c r="BC161" s="4"/>
      <c r="BD161" s="43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3"/>
      <c r="BC162" s="4"/>
      <c r="BD162" s="43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3"/>
      <c r="BC163" s="4"/>
      <c r="BD163" s="43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3"/>
      <c r="BC164" s="4"/>
      <c r="BD164" s="43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3"/>
      <c r="BC165" s="4"/>
      <c r="BD165" s="43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3"/>
      <c r="BC166" s="4"/>
      <c r="BD166" s="43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3"/>
      <c r="BC167" s="4"/>
      <c r="BD167" s="43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3"/>
      <c r="BC168" s="4"/>
      <c r="BD168" s="43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43"/>
      <c r="BC169" s="4"/>
      <c r="BD169" s="43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43"/>
      <c r="BC170" s="4"/>
      <c r="BD170" s="43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43"/>
      <c r="BC171" s="4"/>
      <c r="BD171" s="43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43"/>
      <c r="BC172" s="4"/>
      <c r="BD172" s="43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3"/>
      <c r="BC173" s="4"/>
      <c r="BD173" s="43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3"/>
      <c r="BC174" s="4"/>
      <c r="BD174" s="43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3"/>
      <c r="BC175" s="4"/>
      <c r="BD175" s="43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3"/>
      <c r="BC176" s="4"/>
      <c r="BD176" s="43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3"/>
      <c r="BC177" s="4"/>
      <c r="BD177" s="43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3"/>
      <c r="BC178" s="4"/>
      <c r="BD178" s="43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3"/>
      <c r="BC179" s="4"/>
      <c r="BD179" s="43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3"/>
      <c r="BC180" s="4"/>
      <c r="BD180" s="43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3"/>
      <c r="BC181" s="4"/>
      <c r="BD181" s="43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3"/>
      <c r="BC182" s="4"/>
      <c r="BD182" s="43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3"/>
      <c r="BC183" s="4"/>
      <c r="BD183" s="43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3"/>
      <c r="BC184" s="4"/>
      <c r="BD184" s="43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3"/>
      <c r="BC185" s="4"/>
      <c r="BD185" s="43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3"/>
      <c r="BC186" s="4"/>
      <c r="BD186" s="43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3"/>
      <c r="BC187" s="4"/>
      <c r="BD187" s="43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3"/>
      <c r="BC188" s="4"/>
      <c r="BD188" s="43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3"/>
      <c r="BC189" s="4"/>
      <c r="BD189" s="43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3"/>
      <c r="BC190" s="4"/>
      <c r="BD190" s="43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3"/>
      <c r="BC191" s="4"/>
      <c r="BD191" s="43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3"/>
      <c r="BC192" s="4"/>
      <c r="BD192" s="43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3"/>
      <c r="BC193" s="4"/>
      <c r="BD193" s="43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3"/>
      <c r="BC194" s="4"/>
      <c r="BD194" s="43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3"/>
      <c r="BC195" s="4"/>
      <c r="BD195" s="43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3"/>
      <c r="BC196" s="4"/>
      <c r="BD196" s="43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3"/>
      <c r="BC197" s="4"/>
      <c r="BD197" s="43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3"/>
      <c r="BC198" s="4"/>
      <c r="BD198" s="43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3"/>
      <c r="BC199" s="4"/>
      <c r="BD199" s="43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3"/>
      <c r="BC200" s="4"/>
      <c r="BD200" s="43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3"/>
      <c r="BC201" s="4"/>
      <c r="BD201" s="43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3"/>
      <c r="BC202" s="4"/>
      <c r="BD202" s="43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3"/>
      <c r="BC203" s="4"/>
      <c r="BD203" s="43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3"/>
      <c r="BC204" s="4"/>
      <c r="BD204" s="43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3"/>
      <c r="BC205" s="4"/>
      <c r="BD205" s="43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3"/>
      <c r="BC206" s="4"/>
      <c r="BD206" s="43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43"/>
      <c r="BC207" s="4"/>
      <c r="BD207" s="43"/>
      <c r="BE207" s="4"/>
      <c r="BF207" s="4"/>
      <c r="BG207" s="1"/>
      <c r="BH20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4"/>
  <sheetViews>
    <sheetView zoomScale="80" zoomScaleNormal="80" workbookViewId="0">
      <selection activeCell="AT11" sqref="AT11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9" style="2" customWidth="1"/>
    <col min="6" max="6" width="26.28515625" style="2" customWidth="1" outlineLevel="1"/>
    <col min="7" max="7" width="25.85546875" style="2" customWidth="1" outlineLevel="1"/>
    <col min="8" max="8" width="34.42578125" style="2" customWidth="1" outlineLevel="1"/>
    <col min="9" max="9" width="15.7109375" style="2" customWidth="1"/>
    <col min="10" max="10" width="35.28515625" style="2" customWidth="1"/>
    <col min="11" max="11" width="28.85546875" style="2" customWidth="1"/>
    <col min="12" max="12" width="9.42578125" style="2" customWidth="1"/>
    <col min="13" max="13" width="15.7109375" style="2" customWidth="1" outlineLevel="1"/>
    <col min="14" max="14" width="15.28515625" style="2" customWidth="1" outlineLevel="1"/>
    <col min="15" max="15" width="8.85546875" style="2" bestFit="1" customWidth="1" outlineLevel="1"/>
    <col min="16" max="17" width="19" style="2" customWidth="1" outlineLevel="1"/>
    <col min="18" max="18" width="8.140625" style="3" customWidth="1" outlineLevel="1"/>
    <col min="19" max="19" width="9.5703125" style="4" customWidth="1" outlineLevel="1"/>
    <col min="20" max="20" width="12.85546875" style="4" customWidth="1" outlineLevel="1"/>
    <col min="21" max="21" width="8.28515625" style="4" customWidth="1" outlineLevel="1"/>
    <col min="22" max="23" width="13.5703125" style="4" customWidth="1" outlineLevel="1"/>
    <col min="24" max="24" width="15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4.140625" style="2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3" hidden="1" customWidth="1" outlineLevel="1"/>
    <col min="55" max="55" width="13.28515625" style="4" hidden="1" customWidth="1" outlineLevel="1"/>
    <col min="56" max="56" width="13" style="43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86.1406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SUM(AA3:AA81)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61" t="s">
        <v>0</v>
      </c>
      <c r="BA1" s="62"/>
      <c r="BB1" s="62"/>
      <c r="BC1" s="62"/>
      <c r="BD1" s="62"/>
      <c r="BE1" s="62"/>
      <c r="BF1" s="62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109</v>
      </c>
      <c r="G2" s="10" t="s">
        <v>6</v>
      </c>
      <c r="H2" s="10" t="s">
        <v>7</v>
      </c>
      <c r="I2" s="10" t="s">
        <v>8</v>
      </c>
      <c r="J2" s="10" t="s">
        <v>110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108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104</v>
      </c>
      <c r="AC2" s="15" t="s">
        <v>105</v>
      </c>
      <c r="AD2" s="15" t="s">
        <v>106</v>
      </c>
      <c r="AE2" s="15" t="s">
        <v>107</v>
      </c>
      <c r="AF2" s="15" t="s">
        <v>25</v>
      </c>
      <c r="AG2" s="15" t="s">
        <v>26</v>
      </c>
      <c r="AH2" s="14" t="s">
        <v>27</v>
      </c>
      <c r="AI2" s="50" t="s">
        <v>102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59" t="s">
        <v>168</v>
      </c>
      <c r="AW2" s="59" t="s">
        <v>169</v>
      </c>
      <c r="AX2" s="59" t="s">
        <v>170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41" customFormat="1" ht="15.75" x14ac:dyDescent="0.25">
      <c r="A3" s="34"/>
      <c r="B3" s="58" t="s">
        <v>167</v>
      </c>
      <c r="C3" s="35"/>
      <c r="D3" s="44" t="s">
        <v>136</v>
      </c>
      <c r="E3" s="30" t="s">
        <v>75</v>
      </c>
      <c r="F3" s="45" t="s">
        <v>76</v>
      </c>
      <c r="G3" s="45" t="s">
        <v>76</v>
      </c>
      <c r="H3" s="9"/>
      <c r="I3" s="30">
        <f t="shared" ref="I3:I11" si="0">LEN(F3)</f>
        <v>4</v>
      </c>
      <c r="J3" s="30" t="str">
        <f t="shared" ref="J3:J11" si="1">IF(LEN(F3)&lt;=$J$1,F3,"")</f>
        <v>Ввод</v>
      </c>
      <c r="K3" s="36" t="s">
        <v>137</v>
      </c>
      <c r="L3" s="37" t="s">
        <v>55</v>
      </c>
      <c r="M3" s="38" t="s">
        <v>52</v>
      </c>
      <c r="N3" s="38" t="s">
        <v>53</v>
      </c>
      <c r="O3" s="38"/>
      <c r="P3" s="23"/>
      <c r="Q3" s="23"/>
      <c r="R3" s="38" t="s">
        <v>54</v>
      </c>
      <c r="S3" s="38" t="s">
        <v>54</v>
      </c>
      <c r="T3" s="38" t="s">
        <v>54</v>
      </c>
      <c r="U3" s="38" t="s">
        <v>54</v>
      </c>
      <c r="V3" s="35"/>
      <c r="W3" s="35"/>
      <c r="X3" s="38" t="s">
        <v>54</v>
      </c>
      <c r="Y3" s="38">
        <v>2</v>
      </c>
      <c r="Z3" s="35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51"/>
      <c r="AJ3" s="39"/>
      <c r="AK3" s="39"/>
      <c r="AL3" s="39"/>
      <c r="AM3" s="39"/>
      <c r="AN3" s="39"/>
      <c r="AO3" s="39"/>
      <c r="AP3" s="39"/>
      <c r="AQ3" s="39"/>
      <c r="AR3" s="35">
        <v>0</v>
      </c>
      <c r="AS3" s="35">
        <v>1</v>
      </c>
      <c r="AT3" s="35">
        <v>0</v>
      </c>
      <c r="AU3" s="35">
        <v>1</v>
      </c>
      <c r="AV3" s="35">
        <v>1</v>
      </c>
      <c r="AW3" s="35">
        <v>1</v>
      </c>
      <c r="AX3" s="35">
        <v>1</v>
      </c>
      <c r="AY3" s="46"/>
      <c r="AZ3" s="35"/>
      <c r="BA3" s="35"/>
      <c r="BB3" s="35"/>
      <c r="BC3" s="35"/>
      <c r="BD3" s="35"/>
      <c r="BE3" s="35"/>
      <c r="BF3" s="35"/>
      <c r="BG3" s="42" t="str">
        <f t="shared" ref="BG3:BG11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41" customFormat="1" ht="15.75" x14ac:dyDescent="0.25">
      <c r="A4" s="34"/>
      <c r="B4" s="58" t="s">
        <v>167</v>
      </c>
      <c r="C4" s="35"/>
      <c r="D4" s="44" t="s">
        <v>136</v>
      </c>
      <c r="E4" s="30" t="s">
        <v>77</v>
      </c>
      <c r="F4" s="45" t="s">
        <v>115</v>
      </c>
      <c r="G4" s="44" t="s">
        <v>115</v>
      </c>
      <c r="H4" s="9"/>
      <c r="I4" s="30">
        <f t="shared" si="0"/>
        <v>17</v>
      </c>
      <c r="J4" s="30" t="str">
        <f t="shared" si="1"/>
        <v>Оперативный вывод</v>
      </c>
      <c r="K4" s="36" t="s">
        <v>138</v>
      </c>
      <c r="L4" s="37" t="s">
        <v>55</v>
      </c>
      <c r="M4" s="38" t="s">
        <v>52</v>
      </c>
      <c r="N4" s="38" t="s">
        <v>53</v>
      </c>
      <c r="O4" s="38"/>
      <c r="P4" s="23"/>
      <c r="Q4" s="23"/>
      <c r="R4" s="38" t="s">
        <v>54</v>
      </c>
      <c r="S4" s="38" t="s">
        <v>54</v>
      </c>
      <c r="T4" s="38" t="s">
        <v>54</v>
      </c>
      <c r="U4" s="38" t="s">
        <v>54</v>
      </c>
      <c r="V4" s="35"/>
      <c r="W4" s="35"/>
      <c r="X4" s="38" t="s">
        <v>54</v>
      </c>
      <c r="Y4" s="38">
        <v>2</v>
      </c>
      <c r="Z4" s="35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51"/>
      <c r="AJ4" s="39"/>
      <c r="AK4" s="39"/>
      <c r="AL4" s="39"/>
      <c r="AM4" s="39"/>
      <c r="AN4" s="39"/>
      <c r="AO4" s="39"/>
      <c r="AP4" s="39"/>
      <c r="AQ4" s="39"/>
      <c r="AR4" s="35">
        <v>0</v>
      </c>
      <c r="AS4" s="35">
        <v>1</v>
      </c>
      <c r="AT4" s="35">
        <v>0</v>
      </c>
      <c r="AU4" s="35">
        <v>1</v>
      </c>
      <c r="AV4" s="35">
        <v>1</v>
      </c>
      <c r="AW4" s="35">
        <v>1</v>
      </c>
      <c r="AX4" s="35">
        <v>1</v>
      </c>
      <c r="AY4" s="46"/>
      <c r="AZ4" s="35"/>
      <c r="BA4" s="35"/>
      <c r="BB4" s="35"/>
      <c r="BC4" s="35"/>
      <c r="BD4" s="35"/>
      <c r="BE4" s="35"/>
      <c r="BF4" s="35"/>
      <c r="BG4" s="42" t="str">
        <f t="shared" si="2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41" customFormat="1" ht="15.75" x14ac:dyDescent="0.25">
      <c r="A5" s="34"/>
      <c r="B5" s="58" t="s">
        <v>167</v>
      </c>
      <c r="C5" s="35"/>
      <c r="D5" s="44" t="s">
        <v>136</v>
      </c>
      <c r="E5" s="30" t="s">
        <v>142</v>
      </c>
      <c r="F5" s="45" t="s">
        <v>143</v>
      </c>
      <c r="G5" s="44" t="s">
        <v>143</v>
      </c>
      <c r="H5" s="9"/>
      <c r="I5" s="30">
        <f t="shared" si="0"/>
        <v>14</v>
      </c>
      <c r="J5" s="30" t="str">
        <f t="shared" ref="J5" si="3">IF(LEN(F5)&lt;=$J$1,F5,"")</f>
        <v>Включение с КС</v>
      </c>
      <c r="K5" s="36" t="s">
        <v>139</v>
      </c>
      <c r="L5" s="37" t="s">
        <v>55</v>
      </c>
      <c r="M5" s="38" t="s">
        <v>52</v>
      </c>
      <c r="N5" s="38" t="s">
        <v>53</v>
      </c>
      <c r="O5" s="38"/>
      <c r="P5" s="23"/>
      <c r="Q5" s="23"/>
      <c r="R5" s="38" t="s">
        <v>54</v>
      </c>
      <c r="S5" s="38" t="s">
        <v>54</v>
      </c>
      <c r="T5" s="38" t="s">
        <v>54</v>
      </c>
      <c r="U5" s="38" t="s">
        <v>54</v>
      </c>
      <c r="V5" s="35"/>
      <c r="W5" s="35"/>
      <c r="X5" s="38" t="s">
        <v>54</v>
      </c>
      <c r="Y5" s="38">
        <v>2</v>
      </c>
      <c r="Z5" s="35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51"/>
      <c r="AJ5" s="39"/>
      <c r="AK5" s="39"/>
      <c r="AL5" s="39"/>
      <c r="AM5" s="39"/>
      <c r="AN5" s="39"/>
      <c r="AO5" s="39"/>
      <c r="AP5" s="39"/>
      <c r="AQ5" s="39"/>
      <c r="AR5" s="35">
        <v>0</v>
      </c>
      <c r="AS5" s="35">
        <v>1</v>
      </c>
      <c r="AT5" s="35">
        <v>0</v>
      </c>
      <c r="AU5" s="35">
        <v>1</v>
      </c>
      <c r="AV5" s="35">
        <v>1</v>
      </c>
      <c r="AW5" s="35">
        <v>1</v>
      </c>
      <c r="AX5" s="35">
        <v>1</v>
      </c>
      <c r="AY5" s="46"/>
      <c r="AZ5" s="35"/>
      <c r="BA5" s="35"/>
      <c r="BB5" s="35"/>
      <c r="BC5" s="35"/>
      <c r="BD5" s="35"/>
      <c r="BE5" s="35"/>
      <c r="BF5" s="35"/>
      <c r="BG5" s="42" t="str">
        <f t="shared" ref="BG5" si="4">CONCATENATE("description: """,F5,"""", ", ", "note: """,E5,"""",", ","group: """, B5, """",", ","minValue: ", S5,", ","maxValue: ", T5,", ","step: ", U5,", ","units: """, R5, """",", ","defaultValue: ", X5,", ","eventRegistration: ", Y5,)</f>
        <v>description: "Включение с КС", note: "Включение с контролем синхронизма", group: "status", minValue: null, maxValue: null, step: null, units: "null", defaultValue: null, eventRegistration: 2</v>
      </c>
    </row>
    <row r="6" spans="1:16379" s="41" customFormat="1" ht="17.25" customHeight="1" x14ac:dyDescent="0.25">
      <c r="A6" s="34"/>
      <c r="B6" s="58" t="s">
        <v>167</v>
      </c>
      <c r="C6" s="35"/>
      <c r="D6" s="44" t="s">
        <v>136</v>
      </c>
      <c r="E6" s="30" t="s">
        <v>144</v>
      </c>
      <c r="F6" s="45" t="s">
        <v>145</v>
      </c>
      <c r="G6" s="44" t="s">
        <v>145</v>
      </c>
      <c r="H6" s="9"/>
      <c r="I6" s="30">
        <f t="shared" si="0"/>
        <v>8</v>
      </c>
      <c r="J6" s="30" t="str">
        <f t="shared" ref="J6" si="5">IF(LEN(F6)&lt;=$J$1,F6,"")</f>
        <v>Включить</v>
      </c>
      <c r="K6" s="36" t="s">
        <v>140</v>
      </c>
      <c r="L6" s="37" t="s">
        <v>55</v>
      </c>
      <c r="M6" s="38" t="s">
        <v>52</v>
      </c>
      <c r="N6" s="38" t="s">
        <v>53</v>
      </c>
      <c r="O6" s="38"/>
      <c r="P6" s="23"/>
      <c r="Q6" s="23"/>
      <c r="R6" s="38" t="s">
        <v>54</v>
      </c>
      <c r="S6" s="38" t="s">
        <v>54</v>
      </c>
      <c r="T6" s="38" t="s">
        <v>54</v>
      </c>
      <c r="U6" s="38" t="s">
        <v>54</v>
      </c>
      <c r="V6" s="35"/>
      <c r="W6" s="35"/>
      <c r="X6" s="38" t="s">
        <v>54</v>
      </c>
      <c r="Y6" s="38">
        <v>2</v>
      </c>
      <c r="Z6" s="35"/>
      <c r="AA6" s="25">
        <v>0</v>
      </c>
      <c r="AB6" s="25"/>
      <c r="AC6" s="25"/>
      <c r="AD6" s="25"/>
      <c r="AE6" s="25"/>
      <c r="AF6" s="25">
        <v>0</v>
      </c>
      <c r="AG6" s="25">
        <v>0</v>
      </c>
      <c r="AH6" s="25">
        <v>0</v>
      </c>
      <c r="AI6" s="51" t="s">
        <v>154</v>
      </c>
      <c r="AJ6" s="39" t="s">
        <v>155</v>
      </c>
      <c r="AK6" s="39" t="s">
        <v>80</v>
      </c>
      <c r="AL6" s="39" t="s">
        <v>78</v>
      </c>
      <c r="AM6" s="39" t="s">
        <v>79</v>
      </c>
      <c r="AN6" s="39"/>
      <c r="AO6" s="39" t="s">
        <v>68</v>
      </c>
      <c r="AP6" s="39" t="str">
        <f t="shared" ref="AP6" si="6">CONCATENATE(AJ6, ".", AL6)</f>
        <v>CBCSWI1.OpCls.general</v>
      </c>
      <c r="AQ6" s="39" t="s">
        <v>64</v>
      </c>
      <c r="AR6" s="35">
        <v>0</v>
      </c>
      <c r="AS6" s="35">
        <v>1</v>
      </c>
      <c r="AT6" s="35">
        <v>0</v>
      </c>
      <c r="AU6" s="35">
        <v>1</v>
      </c>
      <c r="AV6" s="35">
        <v>1</v>
      </c>
      <c r="AW6" s="35">
        <v>1</v>
      </c>
      <c r="AX6" s="35">
        <v>1</v>
      </c>
      <c r="AY6" s="46"/>
      <c r="AZ6" s="35"/>
      <c r="BA6" s="35"/>
      <c r="BB6" s="35"/>
      <c r="BC6" s="35"/>
      <c r="BD6" s="35"/>
      <c r="BE6" s="35"/>
      <c r="BF6" s="35"/>
      <c r="BG6" s="42" t="str">
        <f t="shared" ref="BG6" si="7">CONCATENATE("description: """,F6,"""", ", ", "note: """,E6,"""",", ","group: """, B6, """",", ","minValue: ", S6,", ","maxValue: ", T6,", ","step: ", U6,", ","units: """, R6, """",", ","defaultValue: ", X6,", ","eventRegistration: ", Y6,)</f>
        <v>description: "Включить", note: "Включить выключатель", group: "status", minValue: null, maxValue: null, step: null, units: "null", defaultValue: null, eventRegistration: 2</v>
      </c>
    </row>
    <row r="7" spans="1:16379" s="41" customFormat="1" ht="15.75" x14ac:dyDescent="0.25">
      <c r="A7" s="34"/>
      <c r="B7" s="58" t="s">
        <v>167</v>
      </c>
      <c r="C7" s="38"/>
      <c r="D7" s="44" t="s">
        <v>136</v>
      </c>
      <c r="E7" s="30" t="s">
        <v>146</v>
      </c>
      <c r="F7" s="30" t="s">
        <v>147</v>
      </c>
      <c r="G7" s="30" t="s">
        <v>147</v>
      </c>
      <c r="H7" s="30"/>
      <c r="I7" s="30">
        <f t="shared" si="0"/>
        <v>18</v>
      </c>
      <c r="J7" s="30" t="str">
        <f t="shared" si="1"/>
        <v>Задержка вкл. с КС</v>
      </c>
      <c r="K7" s="34" t="s">
        <v>141</v>
      </c>
      <c r="L7" s="37" t="s">
        <v>55</v>
      </c>
      <c r="M7" s="38" t="s">
        <v>52</v>
      </c>
      <c r="N7" s="38" t="s">
        <v>53</v>
      </c>
      <c r="O7" s="38"/>
      <c r="P7" s="46"/>
      <c r="Q7" s="46"/>
      <c r="R7" s="38" t="s">
        <v>54</v>
      </c>
      <c r="S7" s="38" t="s">
        <v>54</v>
      </c>
      <c r="T7" s="38" t="s">
        <v>54</v>
      </c>
      <c r="U7" s="38" t="s">
        <v>54</v>
      </c>
      <c r="V7" s="38"/>
      <c r="W7" s="38"/>
      <c r="X7" s="38" t="s">
        <v>54</v>
      </c>
      <c r="Y7" s="38">
        <v>2</v>
      </c>
      <c r="Z7" s="36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34"/>
      <c r="AJ7" s="34"/>
      <c r="AK7" s="34"/>
      <c r="AL7" s="34"/>
      <c r="AM7" s="34"/>
      <c r="AN7" s="34"/>
      <c r="AO7" s="34"/>
      <c r="AP7" s="34"/>
      <c r="AQ7" s="34"/>
      <c r="AR7" s="35">
        <v>0</v>
      </c>
      <c r="AS7" s="35">
        <v>1</v>
      </c>
      <c r="AT7" s="35">
        <v>0</v>
      </c>
      <c r="AU7" s="35">
        <v>1</v>
      </c>
      <c r="AV7" s="35">
        <v>1</v>
      </c>
      <c r="AW7" s="35">
        <v>1</v>
      </c>
      <c r="AX7" s="35">
        <v>1</v>
      </c>
      <c r="AY7" s="46"/>
      <c r="AZ7" s="35"/>
      <c r="BA7" s="35"/>
      <c r="BB7" s="35"/>
      <c r="BC7" s="35"/>
      <c r="BD7" s="35"/>
      <c r="BE7" s="35"/>
      <c r="BF7" s="35"/>
      <c r="BG7" s="42" t="str">
        <f t="shared" si="2"/>
        <v>description: "Задержка вкл. с КС", note: "Задержка включения с контролем синхронизма", group: "status", minValue: null, maxValue: null, step: null, units: "null", defaultValue: null, eventRegistration: 2</v>
      </c>
    </row>
    <row r="8" spans="1:16379" s="41" customFormat="1" ht="15.75" x14ac:dyDescent="0.25">
      <c r="A8" s="34"/>
      <c r="B8" s="58" t="s">
        <v>167</v>
      </c>
      <c r="C8" s="35"/>
      <c r="D8" s="44"/>
      <c r="E8" s="30" t="s">
        <v>81</v>
      </c>
      <c r="F8" s="30" t="s">
        <v>82</v>
      </c>
      <c r="G8" s="30" t="s">
        <v>82</v>
      </c>
      <c r="H8" s="35"/>
      <c r="I8" s="30">
        <f t="shared" si="0"/>
        <v>12</v>
      </c>
      <c r="J8" s="30" t="str">
        <f t="shared" si="1"/>
        <v>Поведение LD</v>
      </c>
      <c r="K8" s="36" t="s">
        <v>83</v>
      </c>
      <c r="L8" s="37" t="s">
        <v>58</v>
      </c>
      <c r="M8" s="38" t="s">
        <v>52</v>
      </c>
      <c r="N8" s="38" t="s">
        <v>53</v>
      </c>
      <c r="O8" s="38"/>
      <c r="P8" s="35"/>
      <c r="Q8" s="35"/>
      <c r="R8" s="38" t="s">
        <v>54</v>
      </c>
      <c r="S8" s="38" t="s">
        <v>54</v>
      </c>
      <c r="T8" s="38" t="s">
        <v>54</v>
      </c>
      <c r="U8" s="38" t="s">
        <v>54</v>
      </c>
      <c r="V8" s="35"/>
      <c r="W8" s="35"/>
      <c r="X8" s="38" t="s">
        <v>54</v>
      </c>
      <c r="Y8" s="38">
        <v>0</v>
      </c>
      <c r="Z8" s="35"/>
      <c r="AA8" s="25">
        <v>0</v>
      </c>
      <c r="AB8" s="25"/>
      <c r="AC8" s="25"/>
      <c r="AD8" s="25"/>
      <c r="AE8" s="25"/>
      <c r="AF8" s="25">
        <v>0</v>
      </c>
      <c r="AG8" s="25">
        <v>0</v>
      </c>
      <c r="AH8" s="25">
        <v>0</v>
      </c>
      <c r="AI8" s="51" t="s">
        <v>103</v>
      </c>
      <c r="AJ8" s="39" t="s">
        <v>118</v>
      </c>
      <c r="AK8" s="39" t="s">
        <v>84</v>
      </c>
      <c r="AL8" s="39" t="s">
        <v>65</v>
      </c>
      <c r="AM8" s="39" t="s">
        <v>66</v>
      </c>
      <c r="AN8" s="39" t="s">
        <v>67</v>
      </c>
      <c r="AO8" s="39" t="s">
        <v>68</v>
      </c>
      <c r="AP8" s="39" t="str">
        <f>CONCATENATE(AJ8, ".", AL8)</f>
        <v>LLN0.Beh.stVal</v>
      </c>
      <c r="AQ8" s="39" t="s">
        <v>64</v>
      </c>
      <c r="AR8" s="35">
        <v>0</v>
      </c>
      <c r="AS8" s="35">
        <v>0</v>
      </c>
      <c r="AT8" s="35">
        <v>0</v>
      </c>
      <c r="AU8" s="35">
        <v>0</v>
      </c>
      <c r="AV8" s="35">
        <f t="shared" ref="AV8:AV11" si="8">BIN2DEC(CONCATENATE(0,0,0,0,AR8,AS8,AT8,AU8))</f>
        <v>0</v>
      </c>
      <c r="AW8" s="35">
        <v>0</v>
      </c>
      <c r="AX8" s="35">
        <f t="shared" ref="AX8:AX11" si="9">BIN2DEC(CONCATENATE(0,0,0,0,AT8,AU8,AV8,AW8))</f>
        <v>0</v>
      </c>
      <c r="AY8" s="46"/>
      <c r="AZ8" s="40"/>
      <c r="BA8" s="40"/>
      <c r="BB8" s="40"/>
      <c r="BC8" s="40"/>
      <c r="BD8" s="40"/>
      <c r="BE8" s="40"/>
      <c r="BF8" s="40"/>
      <c r="BG8" s="42" t="str">
        <f t="shared" si="2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9" spans="1:16379" s="41" customFormat="1" ht="15.75" x14ac:dyDescent="0.25">
      <c r="A9" s="34"/>
      <c r="B9" s="58" t="s">
        <v>167</v>
      </c>
      <c r="C9" s="35"/>
      <c r="D9" s="44"/>
      <c r="E9" s="30" t="s">
        <v>85</v>
      </c>
      <c r="F9" s="30" t="s">
        <v>86</v>
      </c>
      <c r="G9" s="30" t="s">
        <v>86</v>
      </c>
      <c r="H9" s="35"/>
      <c r="I9" s="30">
        <f t="shared" si="0"/>
        <v>14</v>
      </c>
      <c r="J9" s="30" t="str">
        <f t="shared" si="1"/>
        <v>Исправность LD</v>
      </c>
      <c r="K9" s="36" t="s">
        <v>87</v>
      </c>
      <c r="L9" s="37" t="s">
        <v>58</v>
      </c>
      <c r="M9" s="38" t="s">
        <v>52</v>
      </c>
      <c r="N9" s="38" t="s">
        <v>53</v>
      </c>
      <c r="O9" s="38"/>
      <c r="P9" s="23"/>
      <c r="Q9" s="23"/>
      <c r="R9" s="38" t="s">
        <v>54</v>
      </c>
      <c r="S9" s="38" t="s">
        <v>54</v>
      </c>
      <c r="T9" s="38" t="s">
        <v>54</v>
      </c>
      <c r="U9" s="38" t="s">
        <v>54</v>
      </c>
      <c r="V9" s="35"/>
      <c r="W9" s="35"/>
      <c r="X9" s="38" t="s">
        <v>54</v>
      </c>
      <c r="Y9" s="38">
        <v>0</v>
      </c>
      <c r="Z9" s="35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51" t="s">
        <v>103</v>
      </c>
      <c r="AJ9" s="39" t="s">
        <v>119</v>
      </c>
      <c r="AK9" s="39" t="s">
        <v>84</v>
      </c>
      <c r="AL9" s="39" t="s">
        <v>65</v>
      </c>
      <c r="AM9" s="39" t="s">
        <v>66</v>
      </c>
      <c r="AN9" s="39" t="s">
        <v>88</v>
      </c>
      <c r="AO9" s="39" t="s">
        <v>68</v>
      </c>
      <c r="AP9" s="39" t="str">
        <f>CONCATENATE(AJ9, ".", AL9)</f>
        <v>LLN0.Health.stVal</v>
      </c>
      <c r="AQ9" s="39" t="s">
        <v>64</v>
      </c>
      <c r="AR9" s="35">
        <v>0</v>
      </c>
      <c r="AS9" s="35">
        <v>0</v>
      </c>
      <c r="AT9" s="35">
        <v>0</v>
      </c>
      <c r="AU9" s="35">
        <v>0</v>
      </c>
      <c r="AV9" s="35">
        <f t="shared" si="8"/>
        <v>0</v>
      </c>
      <c r="AW9" s="35">
        <v>0</v>
      </c>
      <c r="AX9" s="35">
        <f t="shared" si="9"/>
        <v>0</v>
      </c>
      <c r="AY9" s="46"/>
      <c r="AZ9" s="40"/>
      <c r="BA9" s="40"/>
      <c r="BB9" s="40"/>
      <c r="BC9" s="40"/>
      <c r="BD9" s="40"/>
      <c r="BE9" s="40"/>
      <c r="BF9" s="40"/>
      <c r="BG9" s="42" t="str">
        <f t="shared" si="2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0" spans="1:16379" s="41" customFormat="1" ht="15.75" x14ac:dyDescent="0.25">
      <c r="A10" s="34"/>
      <c r="B10" s="58" t="s">
        <v>167</v>
      </c>
      <c r="C10" s="35"/>
      <c r="D10" s="44" t="s">
        <v>136</v>
      </c>
      <c r="E10" s="30" t="s">
        <v>148</v>
      </c>
      <c r="F10" s="30" t="s">
        <v>89</v>
      </c>
      <c r="G10" s="30" t="s">
        <v>89</v>
      </c>
      <c r="H10" s="35"/>
      <c r="I10" s="30">
        <f t="shared" si="0"/>
        <v>9</v>
      </c>
      <c r="J10" s="30" t="str">
        <f t="shared" si="1"/>
        <v>Поведение</v>
      </c>
      <c r="K10" s="36" t="s">
        <v>150</v>
      </c>
      <c r="L10" s="37" t="s">
        <v>58</v>
      </c>
      <c r="M10" s="38" t="s">
        <v>52</v>
      </c>
      <c r="N10" s="38" t="s">
        <v>53</v>
      </c>
      <c r="O10" s="38"/>
      <c r="P10" s="35"/>
      <c r="Q10" s="35"/>
      <c r="R10" s="38" t="s">
        <v>54</v>
      </c>
      <c r="S10" s="38" t="s">
        <v>54</v>
      </c>
      <c r="T10" s="38" t="s">
        <v>54</v>
      </c>
      <c r="U10" s="38" t="s">
        <v>54</v>
      </c>
      <c r="V10" s="35"/>
      <c r="W10" s="35"/>
      <c r="X10" s="38" t="s">
        <v>54</v>
      </c>
      <c r="Y10" s="38">
        <v>0</v>
      </c>
      <c r="Z10" s="35"/>
      <c r="AA10" s="25">
        <v>0</v>
      </c>
      <c r="AB10" s="25"/>
      <c r="AC10" s="25"/>
      <c r="AD10" s="25"/>
      <c r="AE10" s="25"/>
      <c r="AF10" s="25">
        <v>0</v>
      </c>
      <c r="AG10" s="25">
        <v>0</v>
      </c>
      <c r="AH10" s="25">
        <v>0</v>
      </c>
      <c r="AI10" s="51" t="s">
        <v>154</v>
      </c>
      <c r="AJ10" s="39" t="s">
        <v>152</v>
      </c>
      <c r="AK10" s="39" t="s">
        <v>84</v>
      </c>
      <c r="AL10" s="39" t="s">
        <v>65</v>
      </c>
      <c r="AM10" s="39" t="s">
        <v>66</v>
      </c>
      <c r="AN10" s="39" t="s">
        <v>67</v>
      </c>
      <c r="AO10" s="39" t="s">
        <v>68</v>
      </c>
      <c r="AP10" s="39" t="str">
        <f>CONCATENATE(AJ10, ".", AL10)</f>
        <v>CBCSWI1.Beh.stVal</v>
      </c>
      <c r="AQ10" s="39" t="s">
        <v>64</v>
      </c>
      <c r="AR10" s="35">
        <v>0</v>
      </c>
      <c r="AS10" s="35">
        <v>0</v>
      </c>
      <c r="AT10" s="35">
        <v>0</v>
      </c>
      <c r="AU10" s="35">
        <v>0</v>
      </c>
      <c r="AV10" s="35">
        <f t="shared" si="8"/>
        <v>0</v>
      </c>
      <c r="AW10" s="35">
        <v>0</v>
      </c>
      <c r="AX10" s="35">
        <f t="shared" si="9"/>
        <v>0</v>
      </c>
      <c r="AY10" s="46"/>
      <c r="AZ10" s="40"/>
      <c r="BA10" s="40"/>
      <c r="BB10" s="40"/>
      <c r="BC10" s="40"/>
      <c r="BD10" s="40"/>
      <c r="BE10" s="40"/>
      <c r="BF10" s="40"/>
      <c r="BG10" s="42" t="str">
        <f t="shared" si="2"/>
        <v>description: "Поведение", note: "Индикация поведения логического узла УВ", group: "status", minValue: null, maxValue: null, step: null, units: "null", defaultValue: null, eventRegistration: 0</v>
      </c>
    </row>
    <row r="11" spans="1:16379" s="41" customFormat="1" ht="15.75" x14ac:dyDescent="0.25">
      <c r="A11" s="34"/>
      <c r="B11" s="58" t="s">
        <v>167</v>
      </c>
      <c r="C11" s="35"/>
      <c r="D11" s="44" t="s">
        <v>136</v>
      </c>
      <c r="E11" s="30" t="s">
        <v>149</v>
      </c>
      <c r="F11" s="30" t="s">
        <v>90</v>
      </c>
      <c r="G11" s="30" t="s">
        <v>90</v>
      </c>
      <c r="H11" s="35"/>
      <c r="I11" s="30">
        <f t="shared" si="0"/>
        <v>11</v>
      </c>
      <c r="J11" s="30" t="str">
        <f t="shared" si="1"/>
        <v>Исправность</v>
      </c>
      <c r="K11" s="36" t="s">
        <v>151</v>
      </c>
      <c r="L11" s="37" t="s">
        <v>58</v>
      </c>
      <c r="M11" s="38" t="s">
        <v>52</v>
      </c>
      <c r="N11" s="38" t="s">
        <v>53</v>
      </c>
      <c r="O11" s="38"/>
      <c r="P11" s="23"/>
      <c r="Q11" s="23"/>
      <c r="R11" s="38" t="s">
        <v>54</v>
      </c>
      <c r="S11" s="38" t="s">
        <v>54</v>
      </c>
      <c r="T11" s="38" t="s">
        <v>54</v>
      </c>
      <c r="U11" s="38" t="s">
        <v>54</v>
      </c>
      <c r="V11" s="35"/>
      <c r="W11" s="35"/>
      <c r="X11" s="38" t="s">
        <v>54</v>
      </c>
      <c r="Y11" s="38">
        <v>0</v>
      </c>
      <c r="Z11" s="35"/>
      <c r="AA11" s="25">
        <v>0</v>
      </c>
      <c r="AB11" s="25"/>
      <c r="AC11" s="25"/>
      <c r="AD11" s="25"/>
      <c r="AE11" s="25"/>
      <c r="AF11" s="25">
        <v>0</v>
      </c>
      <c r="AG11" s="25">
        <v>0</v>
      </c>
      <c r="AH11" s="25">
        <v>0</v>
      </c>
      <c r="AI11" s="51" t="s">
        <v>154</v>
      </c>
      <c r="AJ11" s="39" t="s">
        <v>153</v>
      </c>
      <c r="AK11" s="39" t="s">
        <v>84</v>
      </c>
      <c r="AL11" s="39" t="s">
        <v>65</v>
      </c>
      <c r="AM11" s="39" t="s">
        <v>66</v>
      </c>
      <c r="AN11" s="39" t="s">
        <v>88</v>
      </c>
      <c r="AO11" s="39" t="s">
        <v>68</v>
      </c>
      <c r="AP11" s="39" t="str">
        <f>CONCATENATE(AJ11, ".", AL11)</f>
        <v>CBCSWI1.Health.stVal</v>
      </c>
      <c r="AQ11" s="39" t="s">
        <v>64</v>
      </c>
      <c r="AR11" s="35">
        <v>0</v>
      </c>
      <c r="AS11" s="35">
        <v>0</v>
      </c>
      <c r="AT11" s="35">
        <v>0</v>
      </c>
      <c r="AU11" s="35">
        <v>0</v>
      </c>
      <c r="AV11" s="35">
        <f t="shared" si="8"/>
        <v>0</v>
      </c>
      <c r="AW11" s="35">
        <v>0</v>
      </c>
      <c r="AX11" s="35">
        <f t="shared" si="9"/>
        <v>0</v>
      </c>
      <c r="AY11" s="46"/>
      <c r="AZ11" s="40"/>
      <c r="BA11" s="40"/>
      <c r="BB11" s="40"/>
      <c r="BC11" s="40"/>
      <c r="BD11" s="40"/>
      <c r="BE11" s="40"/>
      <c r="BF11" s="40"/>
      <c r="BG11" s="42" t="str">
        <f t="shared" si="2"/>
        <v>description: "Исправность", note: "Индикация исправности логического узла УВ", group: "status", minValue: null, maxValue: null, step: null, units: "null", defaultValue: null, eventRegistration: 0</v>
      </c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3"/>
      <c r="BC12" s="4"/>
      <c r="BD12" s="43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3"/>
      <c r="BC13" s="4"/>
      <c r="BD13" s="43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3"/>
      <c r="BC14" s="4"/>
      <c r="BD14" s="43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3"/>
      <c r="BC15" s="4"/>
      <c r="BD15" s="43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3"/>
      <c r="BC16" s="4"/>
      <c r="BD16" s="43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3"/>
      <c r="BC17" s="4"/>
      <c r="BD17" s="43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3"/>
      <c r="BC18" s="4"/>
      <c r="BD18" s="43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3"/>
      <c r="BC19" s="4"/>
      <c r="BD19" s="43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3"/>
      <c r="BC20" s="4"/>
      <c r="BD20" s="43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3"/>
      <c r="BC21" s="4"/>
      <c r="BD21" s="43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3"/>
      <c r="BC22" s="4"/>
      <c r="BD22" s="43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3"/>
      <c r="BC23" s="4"/>
      <c r="BD23" s="43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3"/>
      <c r="BC24" s="4"/>
      <c r="BD24" s="43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3"/>
      <c r="BC25" s="4"/>
      <c r="BD25" s="43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3"/>
      <c r="BC26" s="4"/>
      <c r="BD26" s="43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3"/>
      <c r="BC27" s="4"/>
      <c r="BD27" s="43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3"/>
      <c r="BC28" s="4"/>
      <c r="BD28" s="43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3"/>
      <c r="BC29" s="4"/>
      <c r="BD29" s="43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3"/>
      <c r="BC30" s="4"/>
      <c r="BD30" s="43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3"/>
      <c r="BC31" s="4"/>
      <c r="BD31" s="43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3"/>
      <c r="BC32" s="4"/>
      <c r="BD32" s="43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3"/>
      <c r="BC33" s="4"/>
      <c r="BD33" s="43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3"/>
      <c r="BC34" s="4"/>
      <c r="BD34" s="43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3"/>
      <c r="BC35" s="4"/>
      <c r="BD35" s="43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3"/>
      <c r="BC36" s="4"/>
      <c r="BD36" s="43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3"/>
      <c r="BC37" s="4"/>
      <c r="BD37" s="43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3"/>
      <c r="BC38" s="4"/>
      <c r="BD38" s="43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3"/>
      <c r="BC39" s="4"/>
      <c r="BD39" s="43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3"/>
      <c r="BC40" s="4"/>
      <c r="BD40" s="43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3"/>
      <c r="BC41" s="4"/>
      <c r="BD41" s="43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3"/>
      <c r="BC42" s="4"/>
      <c r="BD42" s="43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3"/>
      <c r="BC43" s="4"/>
      <c r="BD43" s="43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3"/>
      <c r="BC44" s="4"/>
      <c r="BD44" s="43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3"/>
      <c r="BC45" s="4"/>
      <c r="BD45" s="43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3"/>
      <c r="BC46" s="4"/>
      <c r="BD46" s="43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3"/>
      <c r="BC47" s="4"/>
      <c r="BD47" s="43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3"/>
      <c r="BC48" s="4"/>
      <c r="BD48" s="43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3"/>
      <c r="BC49" s="4"/>
      <c r="BD49" s="43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3"/>
      <c r="BC50" s="4"/>
      <c r="BD50" s="43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3"/>
      <c r="BC51" s="4"/>
      <c r="BD51" s="43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3"/>
      <c r="BC52" s="4"/>
      <c r="BD52" s="43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3"/>
      <c r="BC53" s="4"/>
      <c r="BD53" s="43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3"/>
      <c r="BC54" s="4"/>
      <c r="BD54" s="43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3"/>
      <c r="BC55" s="4"/>
      <c r="BD55" s="43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3"/>
      <c r="BC56" s="4"/>
      <c r="BD56" s="43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3"/>
      <c r="BC57" s="4"/>
      <c r="BD57" s="43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3"/>
      <c r="BC58" s="4"/>
      <c r="BD58" s="43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3"/>
      <c r="BC59" s="4"/>
      <c r="BD59" s="43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3"/>
      <c r="BC60" s="4"/>
      <c r="BD60" s="43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3"/>
      <c r="BC61" s="4"/>
      <c r="BD61" s="43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3"/>
      <c r="BC62" s="4"/>
      <c r="BD62" s="43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3"/>
      <c r="BC63" s="4"/>
      <c r="BD63" s="43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3"/>
      <c r="BC64" s="4"/>
      <c r="BD64" s="43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3"/>
      <c r="BC65" s="4"/>
      <c r="BD65" s="43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3"/>
      <c r="BC66" s="4"/>
      <c r="BD66" s="43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3"/>
      <c r="BC67" s="4"/>
      <c r="BD67" s="43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3"/>
      <c r="BC68" s="4"/>
      <c r="BD68" s="43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3"/>
      <c r="BC69" s="4"/>
      <c r="BD69" s="43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3"/>
      <c r="BC70" s="4"/>
      <c r="BD70" s="43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3"/>
      <c r="BC71" s="4"/>
      <c r="BD71" s="43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3"/>
      <c r="BC72" s="4"/>
      <c r="BD72" s="43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3"/>
      <c r="BC73" s="4"/>
      <c r="BD73" s="43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3"/>
      <c r="BC74" s="4"/>
      <c r="BD74" s="43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3"/>
      <c r="BC75" s="4"/>
      <c r="BD75" s="43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3"/>
      <c r="BC76" s="4"/>
      <c r="BD76" s="43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3"/>
      <c r="BC77" s="4"/>
      <c r="BD77" s="43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3"/>
      <c r="BC78" s="4"/>
      <c r="BD78" s="43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3"/>
      <c r="BC79" s="4"/>
      <c r="BD79" s="43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3"/>
      <c r="BC80" s="4"/>
      <c r="BD80" s="43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3"/>
      <c r="BC81" s="4"/>
      <c r="BD81" s="43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3"/>
      <c r="BC82" s="4"/>
      <c r="BD82" s="43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3"/>
      <c r="BC83" s="4"/>
      <c r="BD83" s="43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3"/>
      <c r="BC84" s="4"/>
      <c r="BD84" s="43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3"/>
      <c r="BC85" s="4"/>
      <c r="BD85" s="43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3"/>
      <c r="BC86" s="4"/>
      <c r="BD86" s="43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3"/>
      <c r="BC87" s="4"/>
      <c r="BD87" s="43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3"/>
      <c r="BC88" s="4"/>
      <c r="BD88" s="43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3"/>
      <c r="BC89" s="4"/>
      <c r="BD89" s="43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3"/>
      <c r="BC90" s="4"/>
      <c r="BD90" s="43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3"/>
      <c r="BC91" s="4"/>
      <c r="BD91" s="43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3"/>
      <c r="BC92" s="4"/>
      <c r="BD92" s="43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3"/>
      <c r="BC93" s="4"/>
      <c r="BD93" s="43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3"/>
      <c r="BC94" s="4"/>
      <c r="BD94" s="43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3"/>
      <c r="BC95" s="4"/>
      <c r="BD95" s="43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3"/>
      <c r="BC96" s="4"/>
      <c r="BD96" s="43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3"/>
      <c r="BC97" s="4"/>
      <c r="BD97" s="43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3"/>
      <c r="BC98" s="4"/>
      <c r="BD98" s="43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3"/>
      <c r="BC99" s="4"/>
      <c r="BD99" s="43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3"/>
      <c r="BC100" s="4"/>
      <c r="BD100" s="43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3"/>
      <c r="BC101" s="4"/>
      <c r="BD101" s="43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3"/>
      <c r="BC102" s="4"/>
      <c r="BD102" s="43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3"/>
      <c r="BC103" s="4"/>
      <c r="BD103" s="43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3"/>
      <c r="BC104" s="4"/>
      <c r="BD104" s="43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3"/>
      <c r="BC105" s="4"/>
      <c r="BD105" s="43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3"/>
      <c r="BC106" s="4"/>
      <c r="BD106" s="43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3"/>
      <c r="BC107" s="4"/>
      <c r="BD107" s="43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3"/>
      <c r="BC108" s="4"/>
      <c r="BD108" s="43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3"/>
      <c r="BC109" s="4"/>
      <c r="BD109" s="43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3"/>
      <c r="BC110" s="4"/>
      <c r="BD110" s="43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3"/>
      <c r="BC111" s="4"/>
      <c r="BD111" s="43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3"/>
      <c r="BC112" s="4"/>
      <c r="BD112" s="43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3"/>
      <c r="BC113" s="4"/>
      <c r="BD113" s="43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3"/>
      <c r="BC114" s="4"/>
      <c r="BD114" s="43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3"/>
      <c r="BC115" s="4"/>
      <c r="BD115" s="43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3"/>
      <c r="BC116" s="4"/>
      <c r="BD116" s="43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3"/>
      <c r="BC117" s="4"/>
      <c r="BD117" s="43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3"/>
      <c r="BC118" s="4"/>
      <c r="BD118" s="43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3"/>
      <c r="BC119" s="4"/>
      <c r="BD119" s="43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3"/>
      <c r="BC120" s="4"/>
      <c r="BD120" s="43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3"/>
      <c r="BC121" s="4"/>
      <c r="BD121" s="43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3"/>
      <c r="BC122" s="4"/>
      <c r="BD122" s="43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3"/>
      <c r="BC123" s="4"/>
      <c r="BD123" s="43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3"/>
      <c r="BC124" s="4"/>
      <c r="BD124" s="43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3"/>
      <c r="BC125" s="4"/>
      <c r="BD125" s="43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3"/>
      <c r="BC126" s="4"/>
      <c r="BD126" s="43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3"/>
      <c r="BC127" s="4"/>
      <c r="BD127" s="43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3"/>
      <c r="BC128" s="4"/>
      <c r="BD128" s="43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3"/>
      <c r="BC129" s="4"/>
      <c r="BD129" s="43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3"/>
      <c r="BC130" s="4"/>
      <c r="BD130" s="43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3"/>
      <c r="BC131" s="4"/>
      <c r="BD131" s="43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3"/>
      <c r="BC132" s="4"/>
      <c r="BD132" s="43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3"/>
      <c r="BC133" s="4"/>
      <c r="BD133" s="43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3"/>
      <c r="BC134" s="4"/>
      <c r="BD134" s="43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3"/>
      <c r="BC135" s="4"/>
      <c r="BD135" s="43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3"/>
      <c r="BC136" s="4"/>
      <c r="BD136" s="43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3"/>
      <c r="BC137" s="4"/>
      <c r="BD137" s="43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3"/>
      <c r="BC138" s="4"/>
      <c r="BD138" s="43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3"/>
      <c r="BC139" s="4"/>
      <c r="BD139" s="43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3"/>
      <c r="BC140" s="4"/>
      <c r="BD140" s="43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3"/>
      <c r="BC141" s="4"/>
      <c r="BD141" s="43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3"/>
      <c r="BC142" s="4"/>
      <c r="BD142" s="43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3"/>
      <c r="BC143" s="4"/>
      <c r="BD143" s="43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3"/>
      <c r="BC144" s="4"/>
      <c r="BD144" s="43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3"/>
      <c r="BC145" s="4"/>
      <c r="BD145" s="43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3"/>
      <c r="BC146" s="4"/>
      <c r="BD146" s="43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3"/>
      <c r="BC147" s="4"/>
      <c r="BD147" s="43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3"/>
      <c r="BC148" s="4"/>
      <c r="BD148" s="43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3"/>
      <c r="BC149" s="4"/>
      <c r="BD149" s="43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3"/>
      <c r="BC150" s="4"/>
      <c r="BD150" s="43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3"/>
      <c r="BC151" s="4"/>
      <c r="BD151" s="43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3"/>
      <c r="BC152" s="4"/>
      <c r="BD152" s="43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3"/>
      <c r="BC153" s="4"/>
      <c r="BD153" s="43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3"/>
      <c r="BC154" s="4"/>
      <c r="BD154" s="43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3"/>
      <c r="BC155" s="4"/>
      <c r="BD155" s="43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3"/>
      <c r="BC156" s="4"/>
      <c r="BD156" s="43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3"/>
      <c r="BC157" s="4"/>
      <c r="BD157" s="43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3"/>
      <c r="BC158" s="4"/>
      <c r="BD158" s="43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3"/>
      <c r="BC159" s="4"/>
      <c r="BD159" s="43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3"/>
      <c r="BC160" s="4"/>
      <c r="BD160" s="43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3"/>
      <c r="BC161" s="4"/>
      <c r="BD161" s="43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3"/>
      <c r="BC162" s="4"/>
      <c r="BD162" s="43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3"/>
      <c r="BC163" s="4"/>
      <c r="BD163" s="43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3"/>
      <c r="BC164" s="4"/>
      <c r="BD164" s="43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3"/>
      <c r="BC165" s="4"/>
      <c r="BD165" s="43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3"/>
      <c r="BC166" s="4"/>
      <c r="BD166" s="43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3"/>
      <c r="BC167" s="4"/>
      <c r="BD167" s="43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3"/>
      <c r="BC168" s="4"/>
      <c r="BD168" s="43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3"/>
      <c r="BC169" s="4"/>
      <c r="BD169" s="43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3"/>
      <c r="BC170" s="4"/>
      <c r="BD170" s="43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3"/>
      <c r="BC171" s="4"/>
      <c r="BD171" s="43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3"/>
      <c r="BC172" s="4"/>
      <c r="BD172" s="43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3"/>
      <c r="BC173" s="4"/>
      <c r="BD173" s="43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3"/>
      <c r="BC174" s="4"/>
      <c r="BD174" s="43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3"/>
      <c r="BC175" s="4"/>
      <c r="BD175" s="43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3"/>
      <c r="BC176" s="4"/>
      <c r="BD176" s="43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3"/>
      <c r="BC177" s="4"/>
      <c r="BD177" s="43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3"/>
      <c r="BC178" s="4"/>
      <c r="BD178" s="43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3"/>
      <c r="BC179" s="4"/>
      <c r="BD179" s="43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3"/>
      <c r="BC180" s="4"/>
      <c r="BD180" s="43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3"/>
      <c r="BC181" s="4"/>
      <c r="BD181" s="43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3"/>
      <c r="BC182" s="4"/>
      <c r="BD182" s="43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3"/>
      <c r="BC183" s="4"/>
      <c r="BD183" s="43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3"/>
      <c r="BC184" s="4"/>
      <c r="BD184" s="43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3"/>
      <c r="BC185" s="4"/>
      <c r="BD185" s="43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4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3"/>
      <c r="BC186" s="4"/>
      <c r="BD186" s="43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3"/>
      <c r="BC187" s="4"/>
      <c r="BD187" s="43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3"/>
      <c r="BC188" s="4"/>
      <c r="BD188" s="43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3"/>
      <c r="BC189" s="4"/>
      <c r="BD189" s="43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3"/>
      <c r="BC190" s="4"/>
      <c r="BD190" s="43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3"/>
      <c r="BC191" s="4"/>
      <c r="BD191" s="43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3"/>
      <c r="BC192" s="4"/>
      <c r="BD192" s="43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3"/>
      <c r="BC193" s="4"/>
      <c r="BD193" s="43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"/>
      <c r="AC194" s="4"/>
      <c r="AD194" s="4"/>
      <c r="AE194" s="4"/>
      <c r="AF194" s="4"/>
      <c r="AG194" s="4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3"/>
      <c r="BC194" s="4"/>
      <c r="BD194" s="43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4"/>
      <c r="AB195" s="4"/>
      <c r="AC195" s="4"/>
      <c r="AD195" s="4"/>
      <c r="AE195" s="4"/>
      <c r="AF195" s="4"/>
      <c r="AG195" s="4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3"/>
      <c r="BC195" s="4"/>
      <c r="BD195" s="43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4"/>
      <c r="AB196" s="4"/>
      <c r="AC196" s="4"/>
      <c r="AD196" s="4"/>
      <c r="AE196" s="4"/>
      <c r="AF196" s="4"/>
      <c r="AG196" s="4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3"/>
      <c r="BC196" s="4"/>
      <c r="BD196" s="43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4"/>
      <c r="AB197" s="4"/>
      <c r="AC197" s="4"/>
      <c r="AD197" s="4"/>
      <c r="AE197" s="4"/>
      <c r="AF197" s="4"/>
      <c r="AG197" s="4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3"/>
      <c r="BC197" s="4"/>
      <c r="BD197" s="43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3"/>
      <c r="BC198" s="4"/>
      <c r="BD198" s="43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3"/>
      <c r="BC199" s="4"/>
      <c r="BD199" s="43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3"/>
      <c r="BC200" s="4"/>
      <c r="BD200" s="43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3"/>
      <c r="BC201" s="4"/>
      <c r="BD201" s="43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3"/>
      <c r="BC202" s="4"/>
      <c r="BD202" s="43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3"/>
      <c r="BC203" s="4"/>
      <c r="BD203" s="43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3"/>
      <c r="BC204" s="4"/>
      <c r="BD204" s="43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3"/>
      <c r="BC205" s="4"/>
      <c r="BD205" s="43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3"/>
      <c r="BC206" s="4"/>
      <c r="BD206" s="43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43"/>
      <c r="BC207" s="4"/>
      <c r="BD207" s="43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43"/>
      <c r="BC208" s="4"/>
      <c r="BD208" s="43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43"/>
      <c r="BC209" s="4"/>
      <c r="BD209" s="43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43"/>
      <c r="BC210" s="4"/>
      <c r="BD210" s="43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43"/>
      <c r="BC211" s="4"/>
      <c r="BD211" s="43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43"/>
      <c r="BC212" s="4"/>
      <c r="BD212" s="43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43"/>
      <c r="BC213" s="4"/>
      <c r="BD213" s="43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43"/>
      <c r="BC214" s="4"/>
      <c r="BD214" s="43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43"/>
      <c r="BC215" s="4"/>
      <c r="BD215" s="43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43"/>
      <c r="BC216" s="4"/>
      <c r="BD216" s="43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43"/>
      <c r="BC217" s="4"/>
      <c r="BD217" s="43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43"/>
      <c r="BC218" s="4"/>
      <c r="BD218" s="43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43"/>
      <c r="BC219" s="4"/>
      <c r="BD219" s="43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43"/>
      <c r="BC220" s="4"/>
      <c r="BD220" s="43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4"/>
      <c r="AZ221" s="4"/>
      <c r="BA221" s="4"/>
      <c r="BB221" s="43"/>
      <c r="BC221" s="4"/>
      <c r="BD221" s="43"/>
      <c r="BE221" s="4"/>
      <c r="BF221" s="4"/>
      <c r="BG221" s="1"/>
      <c r="BH221" s="1"/>
    </row>
    <row r="222" spans="1:60" s="2" customFormat="1" ht="15.75" x14ac:dyDescent="0.25">
      <c r="A222" s="1"/>
      <c r="B222" s="1"/>
      <c r="C222" s="1"/>
      <c r="D222" s="1"/>
      <c r="R222" s="3"/>
      <c r="S222" s="4"/>
      <c r="T222" s="4"/>
      <c r="U222" s="4"/>
      <c r="V222" s="4"/>
      <c r="W222" s="4"/>
      <c r="X222" s="4"/>
      <c r="Y222" s="4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R222" s="1"/>
      <c r="AS222" s="1"/>
      <c r="AT222" s="1"/>
      <c r="AU222" s="1"/>
      <c r="AV222" s="1"/>
      <c r="AW222" s="1"/>
      <c r="AX222" s="1"/>
      <c r="AY222" s="4"/>
      <c r="AZ222" s="4"/>
      <c r="BA222" s="4"/>
      <c r="BB222" s="43"/>
      <c r="BC222" s="4"/>
      <c r="BD222" s="43"/>
      <c r="BE222" s="4"/>
      <c r="BF222" s="4"/>
      <c r="BG222" s="1"/>
      <c r="BH222" s="1"/>
    </row>
    <row r="223" spans="1:60" s="2" customFormat="1" ht="15.75" x14ac:dyDescent="0.25">
      <c r="A223" s="1"/>
      <c r="B223" s="1"/>
      <c r="C223" s="1"/>
      <c r="D223" s="1"/>
      <c r="R223" s="3"/>
      <c r="S223" s="4"/>
      <c r="T223" s="4"/>
      <c r="U223" s="4"/>
      <c r="V223" s="4"/>
      <c r="W223" s="4"/>
      <c r="X223" s="4"/>
      <c r="Y223" s="4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R223" s="1"/>
      <c r="AS223" s="1"/>
      <c r="AT223" s="1"/>
      <c r="AU223" s="1"/>
      <c r="AV223" s="1"/>
      <c r="AW223" s="1"/>
      <c r="AX223" s="1"/>
      <c r="AY223" s="4"/>
      <c r="AZ223" s="4"/>
      <c r="BA223" s="4"/>
      <c r="BB223" s="43"/>
      <c r="BC223" s="4"/>
      <c r="BD223" s="43"/>
      <c r="BE223" s="4"/>
      <c r="BF223" s="4"/>
      <c r="BG223" s="1"/>
      <c r="BH223" s="1"/>
    </row>
    <row r="224" spans="1:60" s="2" customFormat="1" ht="15.75" x14ac:dyDescent="0.25">
      <c r="A224" s="1"/>
      <c r="B224" s="1"/>
      <c r="C224" s="1"/>
      <c r="D224" s="1"/>
      <c r="R224" s="3"/>
      <c r="S224" s="4"/>
      <c r="T224" s="4"/>
      <c r="U224" s="4"/>
      <c r="V224" s="4"/>
      <c r="W224" s="4"/>
      <c r="X224" s="4"/>
      <c r="Y224" s="4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R224" s="1"/>
      <c r="AS224" s="1"/>
      <c r="AT224" s="1"/>
      <c r="AU224" s="1"/>
      <c r="AV224" s="1"/>
      <c r="AW224" s="1"/>
      <c r="AX224" s="1"/>
      <c r="AY224" s="4"/>
      <c r="AZ224" s="4"/>
      <c r="BA224" s="4"/>
      <c r="BB224" s="43"/>
      <c r="BC224" s="4"/>
      <c r="BD224" s="43"/>
      <c r="BE224" s="4"/>
      <c r="BF224" s="4"/>
      <c r="BG224" s="1"/>
      <c r="BH224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203"/>
  <sheetViews>
    <sheetView zoomScale="80" zoomScaleNormal="80" workbookViewId="0">
      <selection activeCell="F13" sqref="F13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65.28515625" style="2" bestFit="1" customWidth="1"/>
    <col min="6" max="6" width="21.42578125" style="2" customWidth="1" outlineLevel="1"/>
    <col min="7" max="7" width="20.5703125" style="2" bestFit="1" customWidth="1" outlineLevel="1"/>
    <col min="8" max="8" width="20.5703125" style="2" customWidth="1" outlineLevel="1"/>
    <col min="9" max="9" width="40.28515625" style="2" bestFit="1" customWidth="1" outlineLevel="1"/>
    <col min="10" max="10" width="10" style="2" customWidth="1"/>
    <col min="11" max="11" width="35.140625" style="2" bestFit="1" customWidth="1"/>
    <col min="12" max="12" width="25.140625" style="2" bestFit="1" customWidth="1"/>
    <col min="13" max="13" width="9.42578125" style="2" customWidth="1"/>
    <col min="14" max="15" width="13.85546875" style="2" customWidth="1" outlineLevel="1"/>
    <col min="16" max="16" width="8.85546875" style="2" bestFit="1" customWidth="1" outlineLevel="1"/>
    <col min="17" max="17" width="19" style="2" customWidth="1" outlineLevel="1"/>
    <col min="18" max="18" width="24.85546875" style="2" customWidth="1" outlineLevel="1"/>
    <col min="19" max="19" width="7.140625" style="3" customWidth="1" outlineLevel="1"/>
    <col min="20" max="20" width="9.5703125" style="4" customWidth="1" outlineLevel="1"/>
    <col min="21" max="21" width="11.42578125" style="4" customWidth="1" outlineLevel="1"/>
    <col min="22" max="24" width="13.5703125" style="4" customWidth="1" outlineLevel="1"/>
    <col min="25" max="25" width="14" style="4" customWidth="1" outlineLevel="1"/>
    <col min="26" max="26" width="9.7109375" style="4" customWidth="1"/>
    <col min="27" max="27" width="12.7109375" style="1" customWidth="1"/>
    <col min="28" max="28" width="14.28515625" style="1" bestFit="1" customWidth="1"/>
    <col min="29" max="29" width="16.42578125" style="1" bestFit="1" customWidth="1"/>
    <col min="30" max="30" width="16.7109375" style="1" bestFit="1" customWidth="1"/>
    <col min="31" max="31" width="7.7109375" style="1" bestFit="1" customWidth="1"/>
    <col min="32" max="32" width="33" style="1" bestFit="1" customWidth="1"/>
    <col min="33" max="34" width="12.7109375" style="1" customWidth="1"/>
    <col min="35" max="35" width="9.28515625" style="1" bestFit="1" customWidth="1"/>
    <col min="36" max="36" width="15" style="1" bestFit="1" customWidth="1"/>
    <col min="37" max="37" width="24.5703125" style="2" customWidth="1"/>
    <col min="38" max="38" width="25.7109375" style="2" customWidth="1"/>
    <col min="39" max="39" width="22.85546875" style="2" customWidth="1"/>
    <col min="40" max="41" width="24.5703125" style="2" customWidth="1"/>
    <col min="42" max="42" width="15.85546875" style="2" customWidth="1"/>
    <col min="43" max="43" width="26.42578125" style="2" bestFit="1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32.42578125" style="1" bestFit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2.140625" style="4" hidden="1" customWidth="1" outlineLevel="1"/>
    <col min="55" max="55" width="13.28515625" style="43" hidden="1" customWidth="1" outlineLevel="1"/>
    <col min="56" max="56" width="13.28515625" style="4" hidden="1" customWidth="1" outlineLevel="1"/>
    <col min="57" max="57" width="13" style="43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193.140625" style="1" bestFit="1" customWidth="1" collapsed="1"/>
    <col min="61" max="16384" width="9.140625" style="1"/>
  </cols>
  <sheetData>
    <row r="1" spans="1:16380" ht="15.75" x14ac:dyDescent="0.25">
      <c r="E1" s="1"/>
      <c r="K1" s="2">
        <v>19</v>
      </c>
      <c r="AB1" s="5"/>
      <c r="AC1" s="5"/>
      <c r="AD1" s="5"/>
      <c r="AE1" s="5"/>
      <c r="AF1" s="5"/>
      <c r="AG1" s="6"/>
      <c r="AH1" s="6"/>
      <c r="AI1" s="5">
        <f>SUM(AB3:AB60)</f>
        <v>0</v>
      </c>
      <c r="AJ1" s="7"/>
      <c r="AK1" s="8"/>
      <c r="AL1" s="8"/>
      <c r="AM1" s="8"/>
      <c r="AN1" s="8"/>
      <c r="AO1" s="8"/>
      <c r="AP1" s="8"/>
      <c r="AQ1" s="8"/>
      <c r="AR1" s="8"/>
      <c r="AS1" s="7"/>
      <c r="AT1" s="6"/>
      <c r="AU1" s="6"/>
      <c r="AV1" s="6"/>
      <c r="AW1" s="6"/>
      <c r="AX1" s="6"/>
      <c r="AY1" s="6"/>
      <c r="AZ1" s="9"/>
      <c r="BA1" s="61" t="s">
        <v>0</v>
      </c>
      <c r="BB1" s="62"/>
      <c r="BC1" s="62"/>
      <c r="BD1" s="62"/>
      <c r="BE1" s="62"/>
      <c r="BF1" s="62"/>
      <c r="BG1" s="62"/>
    </row>
    <row r="2" spans="1:16380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109</v>
      </c>
      <c r="G2" s="10" t="s">
        <v>6</v>
      </c>
      <c r="H2" s="56" t="s">
        <v>166</v>
      </c>
      <c r="I2" s="10" t="s">
        <v>7</v>
      </c>
      <c r="J2" s="10" t="s">
        <v>8</v>
      </c>
      <c r="K2" s="10" t="s">
        <v>110</v>
      </c>
      <c r="L2" s="14" t="s">
        <v>9</v>
      </c>
      <c r="M2" s="14" t="s">
        <v>10</v>
      </c>
      <c r="N2" s="14" t="s">
        <v>11</v>
      </c>
      <c r="O2" s="14" t="s">
        <v>12</v>
      </c>
      <c r="P2" s="14" t="s">
        <v>108</v>
      </c>
      <c r="Q2" s="14" t="s">
        <v>13</v>
      </c>
      <c r="R2" s="14" t="s">
        <v>14</v>
      </c>
      <c r="S2" s="14" t="s">
        <v>15</v>
      </c>
      <c r="T2" s="14" t="s">
        <v>16</v>
      </c>
      <c r="U2" s="14" t="s">
        <v>17</v>
      </c>
      <c r="V2" s="14" t="s">
        <v>18</v>
      </c>
      <c r="W2" s="14" t="s">
        <v>19</v>
      </c>
      <c r="X2" s="14" t="s">
        <v>20</v>
      </c>
      <c r="Y2" s="15" t="s">
        <v>21</v>
      </c>
      <c r="Z2" s="15" t="s">
        <v>22</v>
      </c>
      <c r="AA2" s="14" t="s">
        <v>23</v>
      </c>
      <c r="AB2" s="15" t="s">
        <v>24</v>
      </c>
      <c r="AC2" s="15" t="s">
        <v>104</v>
      </c>
      <c r="AD2" s="15" t="s">
        <v>105</v>
      </c>
      <c r="AE2" s="15" t="s">
        <v>106</v>
      </c>
      <c r="AF2" s="15" t="s">
        <v>107</v>
      </c>
      <c r="AG2" s="15" t="s">
        <v>25</v>
      </c>
      <c r="AH2" s="15" t="s">
        <v>26</v>
      </c>
      <c r="AI2" s="14" t="s">
        <v>27</v>
      </c>
      <c r="AJ2" s="50" t="s">
        <v>102</v>
      </c>
      <c r="AK2" s="10" t="s">
        <v>28</v>
      </c>
      <c r="AL2" s="10" t="s">
        <v>29</v>
      </c>
      <c r="AM2" s="10" t="s">
        <v>30</v>
      </c>
      <c r="AN2" s="10" t="s">
        <v>31</v>
      </c>
      <c r="AO2" s="10" t="s">
        <v>32</v>
      </c>
      <c r="AP2" s="10" t="s">
        <v>33</v>
      </c>
      <c r="AQ2" s="10" t="s">
        <v>34</v>
      </c>
      <c r="AR2" s="10" t="s">
        <v>35</v>
      </c>
      <c r="AS2" s="14" t="s">
        <v>36</v>
      </c>
      <c r="AT2" s="14" t="s">
        <v>37</v>
      </c>
      <c r="AU2" s="14" t="s">
        <v>38</v>
      </c>
      <c r="AV2" s="14" t="s">
        <v>39</v>
      </c>
      <c r="AW2" s="14" t="s">
        <v>40</v>
      </c>
      <c r="AX2" s="14" t="s">
        <v>41</v>
      </c>
      <c r="AY2" s="14" t="s">
        <v>42</v>
      </c>
      <c r="AZ2" s="15"/>
      <c r="BA2" s="14" t="s">
        <v>43</v>
      </c>
      <c r="BB2" s="14" t="s">
        <v>44</v>
      </c>
      <c r="BC2" s="16" t="s">
        <v>45</v>
      </c>
      <c r="BD2" s="14" t="s">
        <v>46</v>
      </c>
      <c r="BE2" s="16" t="s">
        <v>47</v>
      </c>
      <c r="BF2" s="14" t="s">
        <v>48</v>
      </c>
      <c r="BG2" s="14" t="s">
        <v>49</v>
      </c>
      <c r="BH2" s="15" t="s">
        <v>50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52" customFormat="1" ht="15.75" x14ac:dyDescent="0.25">
      <c r="A3" s="34"/>
      <c r="B3" s="34" t="s">
        <v>91</v>
      </c>
      <c r="C3" s="38"/>
      <c r="D3" s="44" t="s">
        <v>136</v>
      </c>
      <c r="E3" s="30" t="s">
        <v>92</v>
      </c>
      <c r="F3" s="30" t="s">
        <v>116</v>
      </c>
      <c r="G3" s="30" t="s">
        <v>120</v>
      </c>
      <c r="H3" s="57" t="s">
        <v>120</v>
      </c>
      <c r="I3" s="30" t="s">
        <v>111</v>
      </c>
      <c r="J3" s="30">
        <f t="shared" ref="J3:J5" si="0">LEN(F3)</f>
        <v>12</v>
      </c>
      <c r="K3" s="30" t="str">
        <f t="shared" ref="K3:K5" si="1">IF(LEN(F3)&lt;=$K$1,F3,"")</f>
        <v>Ввод_функции</v>
      </c>
      <c r="L3" s="34" t="s">
        <v>157</v>
      </c>
      <c r="M3" s="37" t="s">
        <v>55</v>
      </c>
      <c r="N3" s="38" t="s">
        <v>53</v>
      </c>
      <c r="O3" s="38" t="s">
        <v>53</v>
      </c>
      <c r="P3" s="38"/>
      <c r="Q3" s="46">
        <v>0</v>
      </c>
      <c r="R3" s="46"/>
      <c r="S3" s="38" t="s">
        <v>54</v>
      </c>
      <c r="T3" s="38">
        <v>0</v>
      </c>
      <c r="U3" s="38">
        <v>1</v>
      </c>
      <c r="V3" s="38">
        <v>1</v>
      </c>
      <c r="W3" s="38"/>
      <c r="X3" s="38"/>
      <c r="Y3" s="38">
        <v>0</v>
      </c>
      <c r="Z3" s="38">
        <v>0</v>
      </c>
      <c r="AA3" s="36"/>
      <c r="AB3" s="25">
        <v>0</v>
      </c>
      <c r="AC3" s="25"/>
      <c r="AD3" s="25"/>
      <c r="AE3" s="25"/>
      <c r="AF3" s="25"/>
      <c r="AG3" s="25">
        <v>0</v>
      </c>
      <c r="AH3" s="25">
        <v>0</v>
      </c>
      <c r="AI3" s="25">
        <v>0</v>
      </c>
      <c r="AJ3" s="25"/>
      <c r="AK3" s="35"/>
      <c r="AL3" s="35"/>
      <c r="AM3" s="35"/>
      <c r="AN3" s="35"/>
      <c r="AO3" s="35"/>
      <c r="AP3" s="35"/>
      <c r="AQ3" s="35"/>
      <c r="AR3" s="35"/>
      <c r="AS3" s="35">
        <v>0</v>
      </c>
      <c r="AT3" s="35">
        <v>0</v>
      </c>
      <c r="AU3" s="35">
        <v>0</v>
      </c>
      <c r="AV3" s="35">
        <v>0</v>
      </c>
      <c r="AW3" s="35">
        <f>BIN2DEC(CONCATENATE(0,0,0,0,AS3,AT3,AU3,AV3))</f>
        <v>0</v>
      </c>
      <c r="AX3" s="35" t="s">
        <v>112</v>
      </c>
      <c r="AY3" s="35"/>
      <c r="AZ3" s="46"/>
      <c r="BA3" s="35"/>
      <c r="BB3" s="35"/>
      <c r="BC3" s="35"/>
      <c r="BD3" s="35"/>
      <c r="BE3" s="35"/>
      <c r="BF3" s="35"/>
      <c r="BG3" s="35"/>
      <c r="BH3" s="42" t="str">
        <f t="shared" ref="BH3:BH5" si="2"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52" customFormat="1" ht="15.75" x14ac:dyDescent="0.25">
      <c r="A4" s="34"/>
      <c r="B4" s="34" t="s">
        <v>91</v>
      </c>
      <c r="C4" s="38"/>
      <c r="D4" s="44" t="s">
        <v>136</v>
      </c>
      <c r="E4" s="30" t="s">
        <v>142</v>
      </c>
      <c r="F4" s="30" t="s">
        <v>156</v>
      </c>
      <c r="G4" s="30" t="s">
        <v>121</v>
      </c>
      <c r="H4" s="57" t="s">
        <v>121</v>
      </c>
      <c r="I4" s="30" t="s">
        <v>111</v>
      </c>
      <c r="J4" s="30">
        <f t="shared" ref="J4" si="3">LEN(F4)</f>
        <v>14</v>
      </c>
      <c r="K4" s="30" t="str">
        <f t="shared" ref="K4" si="4">IF(LEN(F4)&lt;=$K$1,F4,"")</f>
        <v>Контроль_синхр</v>
      </c>
      <c r="L4" s="34" t="s">
        <v>158</v>
      </c>
      <c r="M4" s="37" t="s">
        <v>55</v>
      </c>
      <c r="N4" s="38" t="s">
        <v>53</v>
      </c>
      <c r="O4" s="38" t="s">
        <v>53</v>
      </c>
      <c r="P4" s="38"/>
      <c r="Q4" s="46">
        <v>0</v>
      </c>
      <c r="R4" s="46"/>
      <c r="S4" s="38" t="s">
        <v>54</v>
      </c>
      <c r="T4" s="38">
        <v>0</v>
      </c>
      <c r="U4" s="38">
        <v>1</v>
      </c>
      <c r="V4" s="38">
        <v>1</v>
      </c>
      <c r="W4" s="38"/>
      <c r="X4" s="38"/>
      <c r="Y4" s="38">
        <v>0</v>
      </c>
      <c r="Z4" s="38">
        <v>0</v>
      </c>
      <c r="AA4" s="36"/>
      <c r="AB4" s="25">
        <v>0</v>
      </c>
      <c r="AC4" s="25"/>
      <c r="AD4" s="25"/>
      <c r="AE4" s="25"/>
      <c r="AF4" s="25"/>
      <c r="AG4" s="25">
        <v>0</v>
      </c>
      <c r="AH4" s="25">
        <v>0</v>
      </c>
      <c r="AI4" s="25">
        <v>0</v>
      </c>
      <c r="AJ4" s="25"/>
      <c r="AK4" s="35"/>
      <c r="AL4" s="35"/>
      <c r="AM4" s="35"/>
      <c r="AN4" s="35"/>
      <c r="AO4" s="35"/>
      <c r="AP4" s="35"/>
      <c r="AQ4" s="35"/>
      <c r="AR4" s="35"/>
      <c r="AS4" s="35">
        <v>0</v>
      </c>
      <c r="AT4" s="35">
        <v>0</v>
      </c>
      <c r="AU4" s="35">
        <v>0</v>
      </c>
      <c r="AV4" s="35">
        <v>0</v>
      </c>
      <c r="AW4" s="35">
        <f>BIN2DEC(CONCATENATE(0,0,0,0,AS4,AT4,AU4,AV4))</f>
        <v>0</v>
      </c>
      <c r="AX4" s="35" t="s">
        <v>112</v>
      </c>
      <c r="AY4" s="35"/>
      <c r="AZ4" s="46"/>
      <c r="BA4" s="35"/>
      <c r="BB4" s="35"/>
      <c r="BC4" s="35"/>
      <c r="BD4" s="35"/>
      <c r="BE4" s="35"/>
      <c r="BF4" s="35"/>
      <c r="BG4" s="35"/>
      <c r="BH4" s="42" t="str">
        <f t="shared" ref="BH4" si="5">CONCATENATE("description: """,F4,"""", ", ", "note: """,E4,"""",", ","group: """, B4, """",", ","minValue: ", T4,", ","maxValue: ", U4,", ","step: ", V4,", ","units: """, S4, """",", ","defaultValue: ", Y4,", ","eventRegistration: ", Z4,)</f>
        <v>description: "Контроль_синхр", note: "Включение с контролем синхронизма", group: "setting", minValue: 0, maxValue: 1, step: 1, units: "null", defaultValue: 0, eventRegistration: 0</v>
      </c>
    </row>
    <row r="5" spans="1:16380" s="52" customFormat="1" ht="15.75" customHeight="1" x14ac:dyDescent="0.25">
      <c r="A5" s="34"/>
      <c r="B5" s="34" t="s">
        <v>91</v>
      </c>
      <c r="C5" s="38"/>
      <c r="D5" s="44" t="s">
        <v>136</v>
      </c>
      <c r="E5" s="30" t="s">
        <v>159</v>
      </c>
      <c r="F5" s="30" t="s">
        <v>160</v>
      </c>
      <c r="G5" s="30" t="s">
        <v>122</v>
      </c>
      <c r="H5" s="57" t="s">
        <v>122</v>
      </c>
      <c r="I5" s="30"/>
      <c r="J5" s="30">
        <f t="shared" si="0"/>
        <v>13</v>
      </c>
      <c r="K5" s="30" t="str">
        <f t="shared" si="1"/>
        <v>Тзад_вкл_с_КС</v>
      </c>
      <c r="L5" s="34" t="s">
        <v>161</v>
      </c>
      <c r="M5" s="37" t="s">
        <v>95</v>
      </c>
      <c r="N5" s="38" t="s">
        <v>53</v>
      </c>
      <c r="O5" s="38" t="s">
        <v>53</v>
      </c>
      <c r="P5" s="38"/>
      <c r="Q5" s="46">
        <v>2</v>
      </c>
      <c r="R5" s="46" t="s">
        <v>93</v>
      </c>
      <c r="S5" s="38" t="s">
        <v>94</v>
      </c>
      <c r="T5" s="38">
        <v>1000</v>
      </c>
      <c r="U5" s="38">
        <v>60000</v>
      </c>
      <c r="V5" s="38">
        <v>10</v>
      </c>
      <c r="W5" s="38"/>
      <c r="X5" s="38"/>
      <c r="Y5" s="38">
        <v>60000</v>
      </c>
      <c r="Z5" s="38">
        <v>0</v>
      </c>
      <c r="AA5" s="36"/>
      <c r="AB5" s="25">
        <v>0</v>
      </c>
      <c r="AC5" s="25"/>
      <c r="AD5" s="25"/>
      <c r="AE5" s="25"/>
      <c r="AF5" s="25"/>
      <c r="AG5" s="25">
        <v>0</v>
      </c>
      <c r="AH5" s="25">
        <v>0</v>
      </c>
      <c r="AI5" s="25">
        <v>0</v>
      </c>
      <c r="AJ5" s="25"/>
      <c r="AK5" s="35"/>
      <c r="AL5" s="35"/>
      <c r="AM5" s="35"/>
      <c r="AN5" s="35"/>
      <c r="AO5" s="35"/>
      <c r="AP5" s="35"/>
      <c r="AQ5" s="39"/>
      <c r="AR5" s="35"/>
      <c r="AS5" s="35">
        <v>0</v>
      </c>
      <c r="AT5" s="35">
        <v>0</v>
      </c>
      <c r="AU5" s="35">
        <v>0</v>
      </c>
      <c r="AV5" s="35">
        <v>0</v>
      </c>
      <c r="AW5" s="35">
        <f t="shared" ref="AW5" si="6">BIN2DEC(CONCATENATE(0,0,0,0,AS5,AT5,AU5,AV5))</f>
        <v>0</v>
      </c>
      <c r="AX5" s="35"/>
      <c r="AY5" s="35"/>
      <c r="AZ5" s="46"/>
      <c r="BA5" s="35"/>
      <c r="BB5" s="35"/>
      <c r="BC5" s="35"/>
      <c r="BD5" s="35"/>
      <c r="BE5" s="35"/>
      <c r="BF5" s="35"/>
      <c r="BG5" s="35"/>
      <c r="BH5" s="42" t="str">
        <f t="shared" si="2"/>
        <v>description: "Тзад_вкл_с_КС", note: "Длительность задержки включения с контролем синхронизма", group: "setting", minValue: 1000, maxValue: 60000, step: 10, units: "мс", defaultValue: 60000, eventRegistration: 0</v>
      </c>
    </row>
    <row r="6" spans="1:16380" s="2" customFormat="1" ht="15.75" x14ac:dyDescent="0.25">
      <c r="A6" s="1"/>
      <c r="B6" s="1"/>
      <c r="C6" s="1"/>
      <c r="D6" s="1"/>
      <c r="S6" s="3"/>
      <c r="T6" s="4"/>
      <c r="U6" s="4"/>
      <c r="V6" s="4"/>
      <c r="W6" s="4"/>
      <c r="X6" s="4"/>
      <c r="Y6" s="4"/>
      <c r="Z6" s="4"/>
      <c r="AA6" s="1"/>
      <c r="AB6" s="4"/>
      <c r="AC6" s="4"/>
      <c r="AD6" s="4"/>
      <c r="AE6" s="4"/>
      <c r="AF6" s="4"/>
      <c r="AG6" s="4"/>
      <c r="AH6" s="4"/>
      <c r="AI6" s="1"/>
      <c r="AJ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3"/>
      <c r="BD6" s="4"/>
      <c r="BE6" s="43"/>
      <c r="BF6" s="4"/>
      <c r="BG6" s="4"/>
      <c r="BH6" s="1"/>
      <c r="BI6" s="1"/>
    </row>
    <row r="7" spans="1:16380" s="2" customFormat="1" ht="15.75" x14ac:dyDescent="0.25">
      <c r="A7" s="1"/>
      <c r="B7" s="1"/>
      <c r="C7" s="1"/>
      <c r="D7" s="1"/>
      <c r="S7" s="3"/>
      <c r="T7" s="4"/>
      <c r="U7" s="4"/>
      <c r="V7" s="4"/>
      <c r="W7" s="4"/>
      <c r="X7" s="4"/>
      <c r="Y7" s="4"/>
      <c r="Z7" s="4"/>
      <c r="AA7" s="1"/>
      <c r="AB7" s="4"/>
      <c r="AC7" s="4"/>
      <c r="AD7" s="4"/>
      <c r="AE7" s="4"/>
      <c r="AF7" s="4"/>
      <c r="AG7" s="4"/>
      <c r="AH7" s="4"/>
      <c r="AI7" s="1"/>
      <c r="AJ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3"/>
      <c r="BD7" s="4"/>
      <c r="BE7" s="43"/>
      <c r="BF7" s="4"/>
      <c r="BG7" s="4"/>
      <c r="BH7" s="1"/>
      <c r="BI7" s="1"/>
    </row>
    <row r="8" spans="1:16380" s="2" customFormat="1" ht="15.75" x14ac:dyDescent="0.25">
      <c r="A8" s="1"/>
      <c r="B8" s="1"/>
      <c r="C8" s="1"/>
      <c r="D8" s="1"/>
      <c r="S8" s="3"/>
      <c r="T8" s="4"/>
      <c r="U8" s="4"/>
      <c r="V8" s="4"/>
      <c r="W8" s="4"/>
      <c r="X8" s="4"/>
      <c r="Y8" s="4"/>
      <c r="Z8" s="4"/>
      <c r="AA8" s="1"/>
      <c r="AB8" s="4"/>
      <c r="AC8" s="4"/>
      <c r="AD8" s="4"/>
      <c r="AE8" s="4"/>
      <c r="AF8" s="4"/>
      <c r="AG8" s="4"/>
      <c r="AH8" s="4"/>
      <c r="AI8" s="1"/>
      <c r="AJ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3"/>
      <c r="BD8" s="4"/>
      <c r="BE8" s="43"/>
      <c r="BF8" s="4"/>
      <c r="BG8" s="4"/>
      <c r="BH8" s="1"/>
      <c r="BI8" s="1"/>
    </row>
    <row r="9" spans="1:16380" s="2" customFormat="1" ht="15.75" x14ac:dyDescent="0.25">
      <c r="A9" s="1"/>
      <c r="B9" s="1"/>
      <c r="C9" s="1"/>
      <c r="D9" s="1"/>
      <c r="S9" s="3"/>
      <c r="T9" s="4"/>
      <c r="U9" s="4"/>
      <c r="V9" s="4"/>
      <c r="W9" s="4"/>
      <c r="X9" s="4"/>
      <c r="Y9" s="4"/>
      <c r="Z9" s="4"/>
      <c r="AA9" s="1"/>
      <c r="AB9" s="4"/>
      <c r="AC9" s="4"/>
      <c r="AD9" s="4"/>
      <c r="AE9" s="4"/>
      <c r="AF9" s="4"/>
      <c r="AG9" s="4"/>
      <c r="AH9" s="4"/>
      <c r="AI9" s="1"/>
      <c r="AJ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3"/>
      <c r="BD9" s="4"/>
      <c r="BE9" s="43"/>
      <c r="BF9" s="4"/>
      <c r="BG9" s="4"/>
      <c r="BH9" s="1"/>
      <c r="BI9" s="1"/>
    </row>
    <row r="10" spans="1:16380" s="2" customFormat="1" ht="15.75" x14ac:dyDescent="0.25">
      <c r="A10" s="1"/>
      <c r="B10" s="1"/>
      <c r="C10" s="1"/>
      <c r="D10" s="1"/>
      <c r="S10" s="3"/>
      <c r="T10" s="4"/>
      <c r="U10" s="4"/>
      <c r="V10" s="4"/>
      <c r="W10" s="4"/>
      <c r="X10" s="4"/>
      <c r="Y10" s="4"/>
      <c r="Z10" s="4"/>
      <c r="AA10" s="1"/>
      <c r="AB10" s="4"/>
      <c r="AC10" s="4"/>
      <c r="AD10" s="4"/>
      <c r="AE10" s="4"/>
      <c r="AF10" s="4"/>
      <c r="AG10" s="4"/>
      <c r="AH10" s="4"/>
      <c r="AI10" s="1"/>
      <c r="AJ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3"/>
      <c r="BD10" s="4"/>
      <c r="BE10" s="43"/>
      <c r="BF10" s="4"/>
      <c r="BG10" s="4"/>
      <c r="BH10" s="1"/>
      <c r="BI10" s="1"/>
    </row>
    <row r="11" spans="1:16380" s="2" customFormat="1" ht="15.75" x14ac:dyDescent="0.25">
      <c r="A11" s="1"/>
      <c r="B11" s="1"/>
      <c r="C11" s="1"/>
      <c r="D11" s="1"/>
      <c r="S11" s="3"/>
      <c r="T11" s="4"/>
      <c r="U11" s="4"/>
      <c r="V11" s="4"/>
      <c r="W11" s="4"/>
      <c r="X11" s="4"/>
      <c r="Y11" s="4"/>
      <c r="Z11" s="4"/>
      <c r="AA11" s="1"/>
      <c r="AB11" s="4"/>
      <c r="AC11" s="4"/>
      <c r="AD11" s="4"/>
      <c r="AE11" s="4"/>
      <c r="AF11" s="4"/>
      <c r="AG11" s="4"/>
      <c r="AH11" s="4"/>
      <c r="AI11" s="1"/>
      <c r="AJ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3"/>
      <c r="BD11" s="4"/>
      <c r="BE11" s="43"/>
      <c r="BF11" s="4"/>
      <c r="BG11" s="4"/>
      <c r="BH11" s="1"/>
      <c r="BI11" s="1"/>
    </row>
    <row r="12" spans="1:16380" s="2" customFormat="1" ht="15.75" x14ac:dyDescent="0.25">
      <c r="A12" s="1"/>
      <c r="B12" s="1"/>
      <c r="C12" s="1"/>
      <c r="D12" s="1"/>
      <c r="S12" s="3"/>
      <c r="T12" s="4"/>
      <c r="U12" s="4"/>
      <c r="V12" s="4"/>
      <c r="W12" s="4"/>
      <c r="X12" s="4"/>
      <c r="Y12" s="4"/>
      <c r="Z12" s="4"/>
      <c r="AA12" s="1"/>
      <c r="AB12" s="4"/>
      <c r="AC12" s="4"/>
      <c r="AD12" s="4"/>
      <c r="AE12" s="4"/>
      <c r="AF12" s="4"/>
      <c r="AG12" s="4"/>
      <c r="AH12" s="4"/>
      <c r="AI12" s="1"/>
      <c r="AJ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3"/>
      <c r="BD12" s="4"/>
      <c r="BE12" s="43"/>
      <c r="BF12" s="4"/>
      <c r="BG12" s="4"/>
      <c r="BH12" s="1"/>
      <c r="BI12" s="1"/>
    </row>
    <row r="13" spans="1:16380" s="2" customFormat="1" ht="15.75" x14ac:dyDescent="0.25">
      <c r="A13" s="1"/>
      <c r="B13" s="1"/>
      <c r="C13" s="1"/>
      <c r="D13" s="1"/>
      <c r="S13" s="3"/>
      <c r="T13" s="4"/>
      <c r="U13" s="4"/>
      <c r="V13" s="4"/>
      <c r="W13" s="4"/>
      <c r="X13" s="4"/>
      <c r="Y13" s="4"/>
      <c r="Z13" s="4"/>
      <c r="AA13" s="1"/>
      <c r="AB13" s="4"/>
      <c r="AC13" s="4"/>
      <c r="AD13" s="4"/>
      <c r="AE13" s="4"/>
      <c r="AF13" s="4"/>
      <c r="AG13" s="4"/>
      <c r="AH13" s="4"/>
      <c r="AI13" s="1"/>
      <c r="AJ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3"/>
      <c r="BD13" s="4"/>
      <c r="BE13" s="43"/>
      <c r="BF13" s="4"/>
      <c r="BG13" s="4"/>
      <c r="BH13" s="1"/>
      <c r="BI13" s="1"/>
    </row>
    <row r="14" spans="1:16380" s="2" customFormat="1" ht="15.75" x14ac:dyDescent="0.25">
      <c r="A14" s="1"/>
      <c r="B14" s="1"/>
      <c r="C14" s="1"/>
      <c r="D14" s="1"/>
      <c r="S14" s="3"/>
      <c r="T14" s="4"/>
      <c r="U14" s="4"/>
      <c r="V14" s="4"/>
      <c r="W14" s="4"/>
      <c r="X14" s="4"/>
      <c r="Y14" s="4"/>
      <c r="Z14" s="4"/>
      <c r="AA14" s="1"/>
      <c r="AB14" s="4"/>
      <c r="AC14" s="4"/>
      <c r="AD14" s="4"/>
      <c r="AE14" s="4"/>
      <c r="AF14" s="4"/>
      <c r="AG14" s="4"/>
      <c r="AH14" s="4"/>
      <c r="AI14" s="1"/>
      <c r="AJ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3"/>
      <c r="BD14" s="4"/>
      <c r="BE14" s="43"/>
      <c r="BF14" s="4"/>
      <c r="BG14" s="4"/>
      <c r="BH14" s="1"/>
      <c r="BI14" s="1"/>
    </row>
    <row r="15" spans="1:16380" s="2" customFormat="1" ht="15.75" x14ac:dyDescent="0.25">
      <c r="A15" s="1"/>
      <c r="B15" s="1"/>
      <c r="C15" s="1"/>
      <c r="D15" s="1"/>
      <c r="S15" s="3"/>
      <c r="T15" s="4"/>
      <c r="U15" s="4"/>
      <c r="V15" s="4"/>
      <c r="W15" s="4"/>
      <c r="X15" s="4"/>
      <c r="Y15" s="4"/>
      <c r="Z15" s="4"/>
      <c r="AA15" s="1"/>
      <c r="AB15" s="4"/>
      <c r="AC15" s="4"/>
      <c r="AD15" s="4"/>
      <c r="AE15" s="4"/>
      <c r="AF15" s="4"/>
      <c r="AG15" s="4"/>
      <c r="AH15" s="4"/>
      <c r="AI15" s="1"/>
      <c r="AJ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3"/>
      <c r="BD15" s="4"/>
      <c r="BE15" s="43"/>
      <c r="BF15" s="4"/>
      <c r="BG15" s="4"/>
      <c r="BH15" s="1"/>
      <c r="BI15" s="1"/>
    </row>
    <row r="16" spans="1:16380" s="2" customFormat="1" ht="15.75" x14ac:dyDescent="0.25">
      <c r="A16" s="1"/>
      <c r="B16" s="1"/>
      <c r="C16" s="1"/>
      <c r="D16" s="1"/>
      <c r="S16" s="3"/>
      <c r="T16" s="4"/>
      <c r="U16" s="4"/>
      <c r="V16" s="4"/>
      <c r="W16" s="4"/>
      <c r="X16" s="4"/>
      <c r="Y16" s="4"/>
      <c r="Z16" s="4"/>
      <c r="AA16" s="1"/>
      <c r="AB16" s="4"/>
      <c r="AC16" s="4"/>
      <c r="AD16" s="4"/>
      <c r="AE16" s="4"/>
      <c r="AF16" s="4"/>
      <c r="AG16" s="4"/>
      <c r="AH16" s="4"/>
      <c r="AI16" s="1"/>
      <c r="AJ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3"/>
      <c r="BD16" s="4"/>
      <c r="BE16" s="43"/>
      <c r="BF16" s="4"/>
      <c r="BG16" s="4"/>
      <c r="BH16" s="1"/>
      <c r="BI16" s="1"/>
    </row>
    <row r="17" spans="1:61" s="2" customFormat="1" ht="15.75" x14ac:dyDescent="0.25">
      <c r="A17" s="1"/>
      <c r="B17" s="1"/>
      <c r="C17" s="1"/>
      <c r="D17" s="1"/>
      <c r="S17" s="3"/>
      <c r="T17" s="4"/>
      <c r="U17" s="4"/>
      <c r="V17" s="4"/>
      <c r="W17" s="4"/>
      <c r="X17" s="4"/>
      <c r="Y17" s="4"/>
      <c r="Z17" s="4"/>
      <c r="AA17" s="1"/>
      <c r="AB17" s="4"/>
      <c r="AC17" s="4"/>
      <c r="AD17" s="4"/>
      <c r="AE17" s="4"/>
      <c r="AF17" s="4"/>
      <c r="AG17" s="4"/>
      <c r="AH17" s="4"/>
      <c r="AI17" s="1"/>
      <c r="AJ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3"/>
      <c r="BD17" s="4"/>
      <c r="BE17" s="43"/>
      <c r="BF17" s="4"/>
      <c r="BG17" s="4"/>
      <c r="BH17" s="1"/>
      <c r="BI17" s="1"/>
    </row>
    <row r="18" spans="1:61" s="2" customFormat="1" ht="15.75" x14ac:dyDescent="0.25">
      <c r="A18" s="1"/>
      <c r="B18" s="1"/>
      <c r="C18" s="1"/>
      <c r="D18" s="1"/>
      <c r="S18" s="3"/>
      <c r="T18" s="4"/>
      <c r="U18" s="4"/>
      <c r="V18" s="4"/>
      <c r="W18" s="4"/>
      <c r="X18" s="4"/>
      <c r="Y18" s="4"/>
      <c r="Z18" s="4"/>
      <c r="AA18" s="1"/>
      <c r="AB18" s="4"/>
      <c r="AC18" s="4"/>
      <c r="AD18" s="4"/>
      <c r="AE18" s="4"/>
      <c r="AF18" s="4"/>
      <c r="AG18" s="4"/>
      <c r="AH18" s="4"/>
      <c r="AI18" s="1"/>
      <c r="AJ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3"/>
      <c r="BD18" s="4"/>
      <c r="BE18" s="43"/>
      <c r="BF18" s="4"/>
      <c r="BG18" s="4"/>
      <c r="BH18" s="1"/>
      <c r="BI18" s="1"/>
    </row>
    <row r="19" spans="1:61" s="2" customFormat="1" ht="15.75" x14ac:dyDescent="0.25">
      <c r="A19" s="1"/>
      <c r="B19" s="1"/>
      <c r="C19" s="1"/>
      <c r="D19" s="1"/>
      <c r="S19" s="3"/>
      <c r="T19" s="4"/>
      <c r="U19" s="4"/>
      <c r="V19" s="4"/>
      <c r="W19" s="4"/>
      <c r="X19" s="4"/>
      <c r="Y19" s="4"/>
      <c r="Z19" s="4"/>
      <c r="AA19" s="1"/>
      <c r="AB19" s="4"/>
      <c r="AC19" s="4"/>
      <c r="AD19" s="4"/>
      <c r="AE19" s="4"/>
      <c r="AF19" s="4"/>
      <c r="AG19" s="4"/>
      <c r="AH19" s="4"/>
      <c r="AI19" s="1"/>
      <c r="AJ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3"/>
      <c r="BD19" s="4"/>
      <c r="BE19" s="43"/>
      <c r="BF19" s="4"/>
      <c r="BG19" s="4"/>
      <c r="BH19" s="1"/>
      <c r="BI19" s="1"/>
    </row>
    <row r="20" spans="1:61" s="2" customFormat="1" ht="15.75" x14ac:dyDescent="0.25">
      <c r="A20" s="1"/>
      <c r="B20" s="1"/>
      <c r="C20" s="1"/>
      <c r="D20" s="1"/>
      <c r="S20" s="3"/>
      <c r="T20" s="4"/>
      <c r="U20" s="4"/>
      <c r="V20" s="4"/>
      <c r="W20" s="4"/>
      <c r="X20" s="4"/>
      <c r="Y20" s="4"/>
      <c r="Z20" s="4"/>
      <c r="AA20" s="1"/>
      <c r="AB20" s="4"/>
      <c r="AC20" s="4"/>
      <c r="AD20" s="4"/>
      <c r="AE20" s="4"/>
      <c r="AF20" s="4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3"/>
      <c r="BD20" s="4"/>
      <c r="BE20" s="43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S21" s="3"/>
      <c r="T21" s="4"/>
      <c r="U21" s="4"/>
      <c r="V21" s="4"/>
      <c r="W21" s="4"/>
      <c r="X21" s="4"/>
      <c r="Y21" s="4"/>
      <c r="Z21" s="4"/>
      <c r="AA21" s="1"/>
      <c r="AB21" s="4"/>
      <c r="AC21" s="4"/>
      <c r="AD21" s="4"/>
      <c r="AE21" s="4"/>
      <c r="AF21" s="4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3"/>
      <c r="BD21" s="4"/>
      <c r="BE21" s="43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S22" s="3"/>
      <c r="T22" s="4"/>
      <c r="U22" s="4"/>
      <c r="V22" s="4"/>
      <c r="W22" s="4"/>
      <c r="X22" s="4"/>
      <c r="Y22" s="4"/>
      <c r="Z22" s="4"/>
      <c r="AA22" s="1"/>
      <c r="AB22" s="4"/>
      <c r="AC22" s="4"/>
      <c r="AD22" s="4"/>
      <c r="AE22" s="4"/>
      <c r="AF22" s="4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3"/>
      <c r="BD22" s="4"/>
      <c r="BE22" s="43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S23" s="3"/>
      <c r="T23" s="4"/>
      <c r="U23" s="4"/>
      <c r="V23" s="4"/>
      <c r="W23" s="4"/>
      <c r="X23" s="4"/>
      <c r="Y23" s="4"/>
      <c r="Z23" s="4"/>
      <c r="AA23" s="1"/>
      <c r="AB23" s="4"/>
      <c r="AC23" s="4"/>
      <c r="AD23" s="4"/>
      <c r="AE23" s="4"/>
      <c r="AF23" s="4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3"/>
      <c r="BD23" s="4"/>
      <c r="BE23" s="43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S24" s="3"/>
      <c r="T24" s="4"/>
      <c r="U24" s="4"/>
      <c r="V24" s="4"/>
      <c r="W24" s="4"/>
      <c r="X24" s="4"/>
      <c r="Y24" s="4"/>
      <c r="Z24" s="4"/>
      <c r="AA24" s="1"/>
      <c r="AB24" s="4"/>
      <c r="AC24" s="4"/>
      <c r="AD24" s="4"/>
      <c r="AE24" s="4"/>
      <c r="AF24" s="4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3"/>
      <c r="BD24" s="4"/>
      <c r="BE24" s="43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S25" s="3"/>
      <c r="T25" s="4"/>
      <c r="U25" s="4"/>
      <c r="V25" s="4"/>
      <c r="W25" s="4"/>
      <c r="X25" s="4"/>
      <c r="Y25" s="4"/>
      <c r="Z25" s="4"/>
      <c r="AA25" s="1"/>
      <c r="AB25" s="4"/>
      <c r="AC25" s="4"/>
      <c r="AD25" s="4"/>
      <c r="AE25" s="4"/>
      <c r="AF25" s="4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3"/>
      <c r="BD25" s="4"/>
      <c r="BE25" s="43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S26" s="3"/>
      <c r="T26" s="4"/>
      <c r="U26" s="4"/>
      <c r="V26" s="4"/>
      <c r="W26" s="4"/>
      <c r="X26" s="4"/>
      <c r="Y26" s="4"/>
      <c r="Z26" s="4"/>
      <c r="AA26" s="1"/>
      <c r="AB26" s="4"/>
      <c r="AC26" s="4"/>
      <c r="AD26" s="4"/>
      <c r="AE26" s="4"/>
      <c r="AF26" s="4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3"/>
      <c r="BD26" s="4"/>
      <c r="BE26" s="43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S27" s="3"/>
      <c r="T27" s="4"/>
      <c r="U27" s="4"/>
      <c r="V27" s="4"/>
      <c r="W27" s="4"/>
      <c r="X27" s="4"/>
      <c r="Y27" s="4"/>
      <c r="Z27" s="4"/>
      <c r="AA27" s="1"/>
      <c r="AB27" s="4"/>
      <c r="AC27" s="4"/>
      <c r="AD27" s="4"/>
      <c r="AE27" s="4"/>
      <c r="AF27" s="4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3"/>
      <c r="BD27" s="4"/>
      <c r="BE27" s="43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S28" s="3"/>
      <c r="T28" s="4"/>
      <c r="U28" s="4"/>
      <c r="V28" s="4"/>
      <c r="W28" s="4"/>
      <c r="X28" s="4"/>
      <c r="Y28" s="4"/>
      <c r="Z28" s="4"/>
      <c r="AA28" s="1"/>
      <c r="AB28" s="4"/>
      <c r="AC28" s="4"/>
      <c r="AD28" s="4"/>
      <c r="AE28" s="4"/>
      <c r="AF28" s="4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3"/>
      <c r="BD28" s="4"/>
      <c r="BE28" s="43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S29" s="3"/>
      <c r="T29" s="4"/>
      <c r="U29" s="4"/>
      <c r="V29" s="4"/>
      <c r="W29" s="4"/>
      <c r="X29" s="4"/>
      <c r="Y29" s="4"/>
      <c r="Z29" s="4"/>
      <c r="AA29" s="1"/>
      <c r="AB29" s="4"/>
      <c r="AC29" s="4"/>
      <c r="AD29" s="4"/>
      <c r="AE29" s="4"/>
      <c r="AF29" s="4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3"/>
      <c r="BD29" s="4"/>
      <c r="BE29" s="43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S30" s="3"/>
      <c r="T30" s="4"/>
      <c r="U30" s="4"/>
      <c r="V30" s="4"/>
      <c r="W30" s="4"/>
      <c r="X30" s="4"/>
      <c r="Y30" s="4"/>
      <c r="Z30" s="4"/>
      <c r="AA30" s="1"/>
      <c r="AB30" s="4"/>
      <c r="AC30" s="4"/>
      <c r="AD30" s="4"/>
      <c r="AE30" s="4"/>
      <c r="AF30" s="4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3"/>
      <c r="BD30" s="4"/>
      <c r="BE30" s="43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S31" s="3"/>
      <c r="T31" s="4"/>
      <c r="U31" s="4"/>
      <c r="V31" s="4"/>
      <c r="W31" s="4"/>
      <c r="X31" s="4"/>
      <c r="Y31" s="4"/>
      <c r="Z31" s="4"/>
      <c r="AA31" s="1"/>
      <c r="AB31" s="4"/>
      <c r="AC31" s="4"/>
      <c r="AD31" s="4"/>
      <c r="AE31" s="4"/>
      <c r="AF31" s="4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3"/>
      <c r="BD31" s="4"/>
      <c r="BE31" s="43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S32" s="3"/>
      <c r="T32" s="4"/>
      <c r="U32" s="4"/>
      <c r="V32" s="4"/>
      <c r="W32" s="4"/>
      <c r="X32" s="4"/>
      <c r="Y32" s="4"/>
      <c r="Z32" s="4"/>
      <c r="AA32" s="1"/>
      <c r="AB32" s="4"/>
      <c r="AC32" s="4"/>
      <c r="AD32" s="4"/>
      <c r="AE32" s="4"/>
      <c r="AF32" s="4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3"/>
      <c r="BD32" s="4"/>
      <c r="BE32" s="43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S33" s="3"/>
      <c r="T33" s="4"/>
      <c r="U33" s="4"/>
      <c r="V33" s="4"/>
      <c r="W33" s="4"/>
      <c r="X33" s="4"/>
      <c r="Y33" s="4"/>
      <c r="Z33" s="4"/>
      <c r="AA33" s="1"/>
      <c r="AB33" s="4"/>
      <c r="AC33" s="4"/>
      <c r="AD33" s="4"/>
      <c r="AE33" s="4"/>
      <c r="AF33" s="4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3"/>
      <c r="BD33" s="4"/>
      <c r="BE33" s="43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S34" s="3"/>
      <c r="T34" s="4"/>
      <c r="U34" s="4"/>
      <c r="V34" s="4"/>
      <c r="W34" s="4"/>
      <c r="X34" s="4"/>
      <c r="Y34" s="4"/>
      <c r="Z34" s="4"/>
      <c r="AA34" s="1"/>
      <c r="AB34" s="4"/>
      <c r="AC34" s="4"/>
      <c r="AD34" s="4"/>
      <c r="AE34" s="4"/>
      <c r="AF34" s="4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3"/>
      <c r="BD34" s="4"/>
      <c r="BE34" s="43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S35" s="3"/>
      <c r="T35" s="4"/>
      <c r="U35" s="4"/>
      <c r="V35" s="4"/>
      <c r="W35" s="4"/>
      <c r="X35" s="4"/>
      <c r="Y35" s="4"/>
      <c r="Z35" s="4"/>
      <c r="AA35" s="1"/>
      <c r="AB35" s="4"/>
      <c r="AC35" s="4"/>
      <c r="AD35" s="4"/>
      <c r="AE35" s="4"/>
      <c r="AF35" s="4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3"/>
      <c r="BD35" s="4"/>
      <c r="BE35" s="43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S36" s="3"/>
      <c r="T36" s="4"/>
      <c r="U36" s="4"/>
      <c r="V36" s="4"/>
      <c r="W36" s="4"/>
      <c r="X36" s="4"/>
      <c r="Y36" s="4"/>
      <c r="Z36" s="4"/>
      <c r="AA36" s="1"/>
      <c r="AB36" s="4"/>
      <c r="AC36" s="4"/>
      <c r="AD36" s="4"/>
      <c r="AE36" s="4"/>
      <c r="AF36" s="4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3"/>
      <c r="BD36" s="4"/>
      <c r="BE36" s="43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S37" s="3"/>
      <c r="T37" s="4"/>
      <c r="U37" s="4"/>
      <c r="V37" s="4"/>
      <c r="W37" s="4"/>
      <c r="X37" s="4"/>
      <c r="Y37" s="4"/>
      <c r="Z37" s="4"/>
      <c r="AA37" s="1"/>
      <c r="AB37" s="4"/>
      <c r="AC37" s="4"/>
      <c r="AD37" s="4"/>
      <c r="AE37" s="4"/>
      <c r="AF37" s="4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3"/>
      <c r="BD37" s="4"/>
      <c r="BE37" s="43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S38" s="3"/>
      <c r="T38" s="4"/>
      <c r="U38" s="4"/>
      <c r="V38" s="4"/>
      <c r="W38" s="4"/>
      <c r="X38" s="4"/>
      <c r="Y38" s="4"/>
      <c r="Z38" s="4"/>
      <c r="AA38" s="1"/>
      <c r="AB38" s="4"/>
      <c r="AC38" s="4"/>
      <c r="AD38" s="4"/>
      <c r="AE38" s="4"/>
      <c r="AF38" s="4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3"/>
      <c r="BD38" s="4"/>
      <c r="BE38" s="43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S39" s="3"/>
      <c r="T39" s="4"/>
      <c r="U39" s="4"/>
      <c r="V39" s="4"/>
      <c r="W39" s="4"/>
      <c r="X39" s="4"/>
      <c r="Y39" s="4"/>
      <c r="Z39" s="4"/>
      <c r="AA39" s="1"/>
      <c r="AB39" s="4"/>
      <c r="AC39" s="4"/>
      <c r="AD39" s="4"/>
      <c r="AE39" s="4"/>
      <c r="AF39" s="4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3"/>
      <c r="BD39" s="4"/>
      <c r="BE39" s="43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S40" s="3"/>
      <c r="T40" s="4"/>
      <c r="U40" s="4"/>
      <c r="V40" s="4"/>
      <c r="W40" s="4"/>
      <c r="X40" s="4"/>
      <c r="Y40" s="4"/>
      <c r="Z40" s="4"/>
      <c r="AA40" s="1"/>
      <c r="AB40" s="4"/>
      <c r="AC40" s="4"/>
      <c r="AD40" s="4"/>
      <c r="AE40" s="4"/>
      <c r="AF40" s="4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3"/>
      <c r="BD40" s="4"/>
      <c r="BE40" s="43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S41" s="3"/>
      <c r="T41" s="4"/>
      <c r="U41" s="4"/>
      <c r="V41" s="4"/>
      <c r="W41" s="4"/>
      <c r="X41" s="4"/>
      <c r="Y41" s="4"/>
      <c r="Z41" s="4"/>
      <c r="AA41" s="1"/>
      <c r="AB41" s="4"/>
      <c r="AC41" s="4"/>
      <c r="AD41" s="4"/>
      <c r="AE41" s="4"/>
      <c r="AF41" s="4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3"/>
      <c r="BD41" s="4"/>
      <c r="BE41" s="43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S42" s="3"/>
      <c r="T42" s="4"/>
      <c r="U42" s="4"/>
      <c r="V42" s="4"/>
      <c r="W42" s="4"/>
      <c r="X42" s="4"/>
      <c r="Y42" s="4"/>
      <c r="Z42" s="4"/>
      <c r="AA42" s="1"/>
      <c r="AB42" s="4"/>
      <c r="AC42" s="4"/>
      <c r="AD42" s="4"/>
      <c r="AE42" s="4"/>
      <c r="AF42" s="4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3"/>
      <c r="BD42" s="4"/>
      <c r="BE42" s="43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S43" s="3"/>
      <c r="T43" s="4"/>
      <c r="U43" s="4"/>
      <c r="V43" s="4"/>
      <c r="W43" s="4"/>
      <c r="X43" s="4"/>
      <c r="Y43" s="4"/>
      <c r="Z43" s="4"/>
      <c r="AA43" s="1"/>
      <c r="AB43" s="4"/>
      <c r="AC43" s="4"/>
      <c r="AD43" s="4"/>
      <c r="AE43" s="4"/>
      <c r="AF43" s="4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3"/>
      <c r="BD43" s="4"/>
      <c r="BE43" s="43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S44" s="3"/>
      <c r="T44" s="4"/>
      <c r="U44" s="4"/>
      <c r="V44" s="4"/>
      <c r="W44" s="4"/>
      <c r="X44" s="4"/>
      <c r="Y44" s="4"/>
      <c r="Z44" s="4"/>
      <c r="AA44" s="1"/>
      <c r="AB44" s="4"/>
      <c r="AC44" s="4"/>
      <c r="AD44" s="4"/>
      <c r="AE44" s="4"/>
      <c r="AF44" s="4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3"/>
      <c r="BD44" s="4"/>
      <c r="BE44" s="43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S45" s="3"/>
      <c r="T45" s="4"/>
      <c r="U45" s="4"/>
      <c r="V45" s="4"/>
      <c r="W45" s="4"/>
      <c r="X45" s="4"/>
      <c r="Y45" s="4"/>
      <c r="Z45" s="4"/>
      <c r="AA45" s="1"/>
      <c r="AB45" s="4"/>
      <c r="AC45" s="4"/>
      <c r="AD45" s="4"/>
      <c r="AE45" s="4"/>
      <c r="AF45" s="4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3"/>
      <c r="BD45" s="4"/>
      <c r="BE45" s="43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S46" s="3"/>
      <c r="T46" s="4"/>
      <c r="U46" s="4"/>
      <c r="V46" s="4"/>
      <c r="W46" s="4"/>
      <c r="X46" s="4"/>
      <c r="Y46" s="4"/>
      <c r="Z46" s="4"/>
      <c r="AA46" s="1"/>
      <c r="AB46" s="4"/>
      <c r="AC46" s="4"/>
      <c r="AD46" s="4"/>
      <c r="AE46" s="4"/>
      <c r="AF46" s="4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3"/>
      <c r="BD46" s="4"/>
      <c r="BE46" s="43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S47" s="3"/>
      <c r="T47" s="4"/>
      <c r="U47" s="4"/>
      <c r="V47" s="4"/>
      <c r="W47" s="4"/>
      <c r="X47" s="4"/>
      <c r="Y47" s="4"/>
      <c r="Z47" s="4"/>
      <c r="AA47" s="1"/>
      <c r="AB47" s="4"/>
      <c r="AC47" s="4"/>
      <c r="AD47" s="4"/>
      <c r="AE47" s="4"/>
      <c r="AF47" s="4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3"/>
      <c r="BD47" s="4"/>
      <c r="BE47" s="43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S48" s="3"/>
      <c r="T48" s="4"/>
      <c r="U48" s="4"/>
      <c r="V48" s="4"/>
      <c r="W48" s="4"/>
      <c r="X48" s="4"/>
      <c r="Y48" s="4"/>
      <c r="Z48" s="4"/>
      <c r="AA48" s="1"/>
      <c r="AB48" s="4"/>
      <c r="AC48" s="4"/>
      <c r="AD48" s="4"/>
      <c r="AE48" s="4"/>
      <c r="AF48" s="4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3"/>
      <c r="BD48" s="4"/>
      <c r="BE48" s="43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S49" s="3"/>
      <c r="T49" s="4"/>
      <c r="U49" s="4"/>
      <c r="V49" s="4"/>
      <c r="W49" s="4"/>
      <c r="X49" s="4"/>
      <c r="Y49" s="4"/>
      <c r="Z49" s="4"/>
      <c r="AA49" s="1"/>
      <c r="AB49" s="4"/>
      <c r="AC49" s="4"/>
      <c r="AD49" s="4"/>
      <c r="AE49" s="4"/>
      <c r="AF49" s="4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3"/>
      <c r="BD49" s="4"/>
      <c r="BE49" s="43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S50" s="3"/>
      <c r="T50" s="4"/>
      <c r="U50" s="4"/>
      <c r="V50" s="4"/>
      <c r="W50" s="4"/>
      <c r="X50" s="4"/>
      <c r="Y50" s="4"/>
      <c r="Z50" s="4"/>
      <c r="AA50" s="1"/>
      <c r="AB50" s="4"/>
      <c r="AC50" s="4"/>
      <c r="AD50" s="4"/>
      <c r="AE50" s="4"/>
      <c r="AF50" s="4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3"/>
      <c r="BD50" s="4"/>
      <c r="BE50" s="43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S51" s="3"/>
      <c r="T51" s="4"/>
      <c r="U51" s="4"/>
      <c r="V51" s="4"/>
      <c r="W51" s="4"/>
      <c r="X51" s="4"/>
      <c r="Y51" s="4"/>
      <c r="Z51" s="4"/>
      <c r="AA51" s="1"/>
      <c r="AB51" s="4"/>
      <c r="AC51" s="4"/>
      <c r="AD51" s="4"/>
      <c r="AE51" s="4"/>
      <c r="AF51" s="4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3"/>
      <c r="BD51" s="4"/>
      <c r="BE51" s="43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S52" s="3"/>
      <c r="T52" s="4"/>
      <c r="U52" s="4"/>
      <c r="V52" s="4"/>
      <c r="W52" s="4"/>
      <c r="X52" s="4"/>
      <c r="Y52" s="4"/>
      <c r="Z52" s="4"/>
      <c r="AA52" s="1"/>
      <c r="AB52" s="4"/>
      <c r="AC52" s="4"/>
      <c r="AD52" s="4"/>
      <c r="AE52" s="4"/>
      <c r="AF52" s="4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3"/>
      <c r="BD52" s="4"/>
      <c r="BE52" s="43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S53" s="3"/>
      <c r="T53" s="4"/>
      <c r="U53" s="4"/>
      <c r="V53" s="4"/>
      <c r="W53" s="4"/>
      <c r="X53" s="4"/>
      <c r="Y53" s="4"/>
      <c r="Z53" s="4"/>
      <c r="AA53" s="1"/>
      <c r="AB53" s="4"/>
      <c r="AC53" s="4"/>
      <c r="AD53" s="4"/>
      <c r="AE53" s="4"/>
      <c r="AF53" s="4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3"/>
      <c r="BD53" s="4"/>
      <c r="BE53" s="43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S54" s="3"/>
      <c r="T54" s="4"/>
      <c r="U54" s="4"/>
      <c r="V54" s="4"/>
      <c r="W54" s="4"/>
      <c r="X54" s="4"/>
      <c r="Y54" s="4"/>
      <c r="Z54" s="4"/>
      <c r="AA54" s="1"/>
      <c r="AB54" s="4"/>
      <c r="AC54" s="4"/>
      <c r="AD54" s="4"/>
      <c r="AE54" s="4"/>
      <c r="AF54" s="4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3"/>
      <c r="BD54" s="4"/>
      <c r="BE54" s="43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S55" s="3"/>
      <c r="T55" s="4"/>
      <c r="U55" s="4"/>
      <c r="V55" s="4"/>
      <c r="W55" s="4"/>
      <c r="X55" s="4"/>
      <c r="Y55" s="4"/>
      <c r="Z55" s="4"/>
      <c r="AA55" s="1"/>
      <c r="AB55" s="4"/>
      <c r="AC55" s="4"/>
      <c r="AD55" s="4"/>
      <c r="AE55" s="4"/>
      <c r="AF55" s="4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3"/>
      <c r="BD55" s="4"/>
      <c r="BE55" s="43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S56" s="3"/>
      <c r="T56" s="4"/>
      <c r="U56" s="4"/>
      <c r="V56" s="4"/>
      <c r="W56" s="4"/>
      <c r="X56" s="4"/>
      <c r="Y56" s="4"/>
      <c r="Z56" s="4"/>
      <c r="AA56" s="1"/>
      <c r="AB56" s="4"/>
      <c r="AC56" s="4"/>
      <c r="AD56" s="4"/>
      <c r="AE56" s="4"/>
      <c r="AF56" s="4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3"/>
      <c r="BD56" s="4"/>
      <c r="BE56" s="43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S57" s="3"/>
      <c r="T57" s="4"/>
      <c r="U57" s="4"/>
      <c r="V57" s="4"/>
      <c r="W57" s="4"/>
      <c r="X57" s="4"/>
      <c r="Y57" s="4"/>
      <c r="Z57" s="4"/>
      <c r="AA57" s="1"/>
      <c r="AB57" s="4"/>
      <c r="AC57" s="4"/>
      <c r="AD57" s="4"/>
      <c r="AE57" s="4"/>
      <c r="AF57" s="4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3"/>
      <c r="BD57" s="4"/>
      <c r="BE57" s="43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S58" s="3"/>
      <c r="T58" s="4"/>
      <c r="U58" s="4"/>
      <c r="V58" s="4"/>
      <c r="W58" s="4"/>
      <c r="X58" s="4"/>
      <c r="Y58" s="4"/>
      <c r="Z58" s="4"/>
      <c r="AA58" s="1"/>
      <c r="AB58" s="4"/>
      <c r="AC58" s="4"/>
      <c r="AD58" s="4"/>
      <c r="AE58" s="4"/>
      <c r="AF58" s="4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3"/>
      <c r="BD58" s="4"/>
      <c r="BE58" s="43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S59" s="3"/>
      <c r="T59" s="4"/>
      <c r="U59" s="4"/>
      <c r="V59" s="4"/>
      <c r="W59" s="4"/>
      <c r="X59" s="4"/>
      <c r="Y59" s="4"/>
      <c r="Z59" s="4"/>
      <c r="AA59" s="1"/>
      <c r="AB59" s="4"/>
      <c r="AC59" s="4"/>
      <c r="AD59" s="4"/>
      <c r="AE59" s="4"/>
      <c r="AF59" s="4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3"/>
      <c r="BD59" s="4"/>
      <c r="BE59" s="43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S60" s="3"/>
      <c r="T60" s="4"/>
      <c r="U60" s="4"/>
      <c r="V60" s="4"/>
      <c r="W60" s="4"/>
      <c r="X60" s="4"/>
      <c r="Y60" s="4"/>
      <c r="Z60" s="4"/>
      <c r="AA60" s="1"/>
      <c r="AB60" s="4"/>
      <c r="AC60" s="4"/>
      <c r="AD60" s="4"/>
      <c r="AE60" s="4"/>
      <c r="AF60" s="4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3"/>
      <c r="BD60" s="4"/>
      <c r="BE60" s="43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3"/>
      <c r="BD61" s="4"/>
      <c r="BE61" s="43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3"/>
      <c r="BD62" s="4"/>
      <c r="BE62" s="43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3"/>
      <c r="BD63" s="4"/>
      <c r="BE63" s="43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3"/>
      <c r="BD64" s="4"/>
      <c r="BE64" s="43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3"/>
      <c r="BD65" s="4"/>
      <c r="BE65" s="43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3"/>
      <c r="BD66" s="4"/>
      <c r="BE66" s="43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3"/>
      <c r="BD67" s="4"/>
      <c r="BE67" s="43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3"/>
      <c r="BD68" s="4"/>
      <c r="BE68" s="43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3"/>
      <c r="BD69" s="4"/>
      <c r="BE69" s="43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3"/>
      <c r="BD70" s="4"/>
      <c r="BE70" s="43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3"/>
      <c r="BD71" s="4"/>
      <c r="BE71" s="43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3"/>
      <c r="BD72" s="4"/>
      <c r="BE72" s="43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3"/>
      <c r="BD73" s="4"/>
      <c r="BE73" s="43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3"/>
      <c r="BD74" s="4"/>
      <c r="BE74" s="43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3"/>
      <c r="BD75" s="4"/>
      <c r="BE75" s="43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3"/>
      <c r="BD76" s="4"/>
      <c r="BE76" s="43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3"/>
      <c r="BD77" s="4"/>
      <c r="BE77" s="43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3"/>
      <c r="BD78" s="4"/>
      <c r="BE78" s="43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3"/>
      <c r="BD79" s="4"/>
      <c r="BE79" s="43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3"/>
      <c r="BD80" s="4"/>
      <c r="BE80" s="43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3"/>
      <c r="BD81" s="4"/>
      <c r="BE81" s="43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3"/>
      <c r="BD82" s="4"/>
      <c r="BE82" s="43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3"/>
      <c r="BD83" s="4"/>
      <c r="BE83" s="43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3"/>
      <c r="BD84" s="4"/>
      <c r="BE84" s="43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3"/>
      <c r="BD85" s="4"/>
      <c r="BE85" s="43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3"/>
      <c r="BD86" s="4"/>
      <c r="BE86" s="43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3"/>
      <c r="BD87" s="4"/>
      <c r="BE87" s="43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3"/>
      <c r="BD88" s="4"/>
      <c r="BE88" s="43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3"/>
      <c r="BD89" s="4"/>
      <c r="BE89" s="43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3"/>
      <c r="BD90" s="4"/>
      <c r="BE90" s="43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3"/>
      <c r="BD91" s="4"/>
      <c r="BE91" s="43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3"/>
      <c r="BD92" s="4"/>
      <c r="BE92" s="43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3"/>
      <c r="BD93" s="4"/>
      <c r="BE93" s="43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3"/>
      <c r="BD94" s="4"/>
      <c r="BE94" s="43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3"/>
      <c r="BD95" s="4"/>
      <c r="BE95" s="43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3"/>
      <c r="BD96" s="4"/>
      <c r="BE96" s="43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3"/>
      <c r="BD97" s="4"/>
      <c r="BE97" s="43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3"/>
      <c r="BD98" s="4"/>
      <c r="BE98" s="43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3"/>
      <c r="BD99" s="4"/>
      <c r="BE99" s="43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3"/>
      <c r="BD100" s="4"/>
      <c r="BE100" s="43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3"/>
      <c r="BD101" s="4"/>
      <c r="BE101" s="43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3"/>
      <c r="BD102" s="4"/>
      <c r="BE102" s="43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3"/>
      <c r="BD103" s="4"/>
      <c r="BE103" s="43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3"/>
      <c r="BD104" s="4"/>
      <c r="BE104" s="43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3"/>
      <c r="BD105" s="4"/>
      <c r="BE105" s="43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3"/>
      <c r="BD106" s="4"/>
      <c r="BE106" s="43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3"/>
      <c r="BD107" s="4"/>
      <c r="BE107" s="43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3"/>
      <c r="BD108" s="4"/>
      <c r="BE108" s="43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3"/>
      <c r="BD109" s="4"/>
      <c r="BE109" s="43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3"/>
      <c r="BD110" s="4"/>
      <c r="BE110" s="43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3"/>
      <c r="BD111" s="4"/>
      <c r="BE111" s="43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3"/>
      <c r="BD112" s="4"/>
      <c r="BE112" s="43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3"/>
      <c r="BD113" s="4"/>
      <c r="BE113" s="43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3"/>
      <c r="BD114" s="4"/>
      <c r="BE114" s="43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3"/>
      <c r="BD115" s="4"/>
      <c r="BE115" s="43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3"/>
      <c r="BD116" s="4"/>
      <c r="BE116" s="43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3"/>
      <c r="BD117" s="4"/>
      <c r="BE117" s="43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3"/>
      <c r="BD118" s="4"/>
      <c r="BE118" s="43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3"/>
      <c r="BD119" s="4"/>
      <c r="BE119" s="43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3"/>
      <c r="BD120" s="4"/>
      <c r="BE120" s="43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3"/>
      <c r="BD121" s="4"/>
      <c r="BE121" s="43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3"/>
      <c r="BD122" s="4"/>
      <c r="BE122" s="43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3"/>
      <c r="BD123" s="4"/>
      <c r="BE123" s="43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3"/>
      <c r="BD124" s="4"/>
      <c r="BE124" s="43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3"/>
      <c r="BD125" s="4"/>
      <c r="BE125" s="43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3"/>
      <c r="BD126" s="4"/>
      <c r="BE126" s="43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3"/>
      <c r="BD127" s="4"/>
      <c r="BE127" s="43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"/>
      <c r="AD128" s="4"/>
      <c r="AE128" s="4"/>
      <c r="AF128" s="4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3"/>
      <c r="BD128" s="4"/>
      <c r="BE128" s="43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4"/>
      <c r="AD129" s="4"/>
      <c r="AE129" s="4"/>
      <c r="AF129" s="4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3"/>
      <c r="BD129" s="4"/>
      <c r="BE129" s="43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4"/>
      <c r="AD130" s="4"/>
      <c r="AE130" s="4"/>
      <c r="AF130" s="4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3"/>
      <c r="BD130" s="4"/>
      <c r="BE130" s="43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4"/>
      <c r="AD131" s="4"/>
      <c r="AE131" s="4"/>
      <c r="AF131" s="4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3"/>
      <c r="BD131" s="4"/>
      <c r="BE131" s="43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4"/>
      <c r="AD132" s="4"/>
      <c r="AE132" s="4"/>
      <c r="AF132" s="4"/>
      <c r="AG132" s="4"/>
      <c r="AH132" s="4"/>
      <c r="AI132" s="1"/>
      <c r="AJ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3"/>
      <c r="BD132" s="4"/>
      <c r="BE132" s="43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4"/>
      <c r="AD133" s="4"/>
      <c r="AE133" s="4"/>
      <c r="AF133" s="4"/>
      <c r="AG133" s="4"/>
      <c r="AH133" s="4"/>
      <c r="AI133" s="1"/>
      <c r="AJ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3"/>
      <c r="BD133" s="4"/>
      <c r="BE133" s="43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4"/>
      <c r="AD134" s="4"/>
      <c r="AE134" s="4"/>
      <c r="AF134" s="4"/>
      <c r="AG134" s="4"/>
      <c r="AH134" s="4"/>
      <c r="AI134" s="1"/>
      <c r="AJ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3"/>
      <c r="BD134" s="4"/>
      <c r="BE134" s="43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4"/>
      <c r="AD135" s="4"/>
      <c r="AE135" s="4"/>
      <c r="AF135" s="4"/>
      <c r="AG135" s="4"/>
      <c r="AH135" s="4"/>
      <c r="AI135" s="1"/>
      <c r="AJ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3"/>
      <c r="BD135" s="4"/>
      <c r="BE135" s="43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4"/>
      <c r="AD136" s="4"/>
      <c r="AE136" s="4"/>
      <c r="AF136" s="4"/>
      <c r="AG136" s="4"/>
      <c r="AH136" s="4"/>
      <c r="AI136" s="1"/>
      <c r="AJ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3"/>
      <c r="BD136" s="4"/>
      <c r="BE136" s="43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4"/>
      <c r="AD137" s="4"/>
      <c r="AE137" s="4"/>
      <c r="AF137" s="4"/>
      <c r="AG137" s="4"/>
      <c r="AH137" s="4"/>
      <c r="AI137" s="1"/>
      <c r="AJ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3"/>
      <c r="BD137" s="4"/>
      <c r="BE137" s="43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4"/>
      <c r="AD138" s="4"/>
      <c r="AE138" s="4"/>
      <c r="AF138" s="4"/>
      <c r="AG138" s="4"/>
      <c r="AH138" s="4"/>
      <c r="AI138" s="1"/>
      <c r="AJ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3"/>
      <c r="BD138" s="4"/>
      <c r="BE138" s="43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4"/>
      <c r="AD139" s="4"/>
      <c r="AE139" s="4"/>
      <c r="AF139" s="4"/>
      <c r="AG139" s="4"/>
      <c r="AH139" s="4"/>
      <c r="AI139" s="1"/>
      <c r="AJ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3"/>
      <c r="BD139" s="4"/>
      <c r="BE139" s="43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4"/>
      <c r="AD140" s="4"/>
      <c r="AE140" s="4"/>
      <c r="AF140" s="4"/>
      <c r="AG140" s="4"/>
      <c r="AH140" s="4"/>
      <c r="AI140" s="1"/>
      <c r="AJ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3"/>
      <c r="BD140" s="4"/>
      <c r="BE140" s="43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4"/>
      <c r="AD141" s="4"/>
      <c r="AE141" s="4"/>
      <c r="AF141" s="4"/>
      <c r="AG141" s="4"/>
      <c r="AH141" s="4"/>
      <c r="AI141" s="1"/>
      <c r="AJ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3"/>
      <c r="BD141" s="4"/>
      <c r="BE141" s="43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4"/>
      <c r="AD142" s="4"/>
      <c r="AE142" s="4"/>
      <c r="AF142" s="4"/>
      <c r="AG142" s="4"/>
      <c r="AH142" s="4"/>
      <c r="AI142" s="1"/>
      <c r="AJ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3"/>
      <c r="BD142" s="4"/>
      <c r="BE142" s="43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4"/>
      <c r="AD143" s="4"/>
      <c r="AE143" s="4"/>
      <c r="AF143" s="4"/>
      <c r="AG143" s="4"/>
      <c r="AH143" s="4"/>
      <c r="AI143" s="1"/>
      <c r="AJ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3"/>
      <c r="BD143" s="4"/>
      <c r="BE143" s="43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S144" s="3"/>
      <c r="T144" s="4"/>
      <c r="U144" s="4"/>
      <c r="V144" s="4"/>
      <c r="W144" s="4"/>
      <c r="X144" s="4"/>
      <c r="Y144" s="4"/>
      <c r="Z144" s="4"/>
      <c r="AA144" s="1"/>
      <c r="AB144" s="4"/>
      <c r="AC144" s="4"/>
      <c r="AD144" s="4"/>
      <c r="AE144" s="4"/>
      <c r="AF144" s="4"/>
      <c r="AG144" s="4"/>
      <c r="AH144" s="4"/>
      <c r="AI144" s="1"/>
      <c r="AJ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3"/>
      <c r="BD144" s="4"/>
      <c r="BE144" s="43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S145" s="3"/>
      <c r="T145" s="4"/>
      <c r="U145" s="4"/>
      <c r="V145" s="4"/>
      <c r="W145" s="4"/>
      <c r="X145" s="4"/>
      <c r="Y145" s="4"/>
      <c r="Z145" s="4"/>
      <c r="AA145" s="1"/>
      <c r="AB145" s="4"/>
      <c r="AC145" s="4"/>
      <c r="AD145" s="4"/>
      <c r="AE145" s="4"/>
      <c r="AF145" s="4"/>
      <c r="AG145" s="4"/>
      <c r="AH145" s="4"/>
      <c r="AI145" s="1"/>
      <c r="AJ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3"/>
      <c r="BD145" s="4"/>
      <c r="BE145" s="43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S146" s="3"/>
      <c r="T146" s="4"/>
      <c r="U146" s="4"/>
      <c r="V146" s="4"/>
      <c r="W146" s="4"/>
      <c r="X146" s="4"/>
      <c r="Y146" s="4"/>
      <c r="Z146" s="4"/>
      <c r="AA146" s="1"/>
      <c r="AB146" s="4"/>
      <c r="AC146" s="4"/>
      <c r="AD146" s="4"/>
      <c r="AE146" s="4"/>
      <c r="AF146" s="4"/>
      <c r="AG146" s="4"/>
      <c r="AH146" s="4"/>
      <c r="AI146" s="1"/>
      <c r="AJ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3"/>
      <c r="BD146" s="4"/>
      <c r="BE146" s="43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S147" s="3"/>
      <c r="T147" s="4"/>
      <c r="U147" s="4"/>
      <c r="V147" s="4"/>
      <c r="W147" s="4"/>
      <c r="X147" s="4"/>
      <c r="Y147" s="4"/>
      <c r="Z147" s="4"/>
      <c r="AA147" s="1"/>
      <c r="AB147" s="4"/>
      <c r="AC147" s="4"/>
      <c r="AD147" s="4"/>
      <c r="AE147" s="4"/>
      <c r="AF147" s="4"/>
      <c r="AG147" s="4"/>
      <c r="AH147" s="4"/>
      <c r="AI147" s="1"/>
      <c r="AJ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3"/>
      <c r="BD147" s="4"/>
      <c r="BE147" s="43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S148" s="3"/>
      <c r="T148" s="4"/>
      <c r="U148" s="4"/>
      <c r="V148" s="4"/>
      <c r="W148" s="4"/>
      <c r="X148" s="4"/>
      <c r="Y148" s="4"/>
      <c r="Z148" s="4"/>
      <c r="AA148" s="1"/>
      <c r="AB148" s="4"/>
      <c r="AC148" s="4"/>
      <c r="AD148" s="4"/>
      <c r="AE148" s="4"/>
      <c r="AF148" s="4"/>
      <c r="AG148" s="4"/>
      <c r="AH148" s="4"/>
      <c r="AI148" s="1"/>
      <c r="AJ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3"/>
      <c r="BD148" s="4"/>
      <c r="BE148" s="43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S149" s="3"/>
      <c r="T149" s="4"/>
      <c r="U149" s="4"/>
      <c r="V149" s="4"/>
      <c r="W149" s="4"/>
      <c r="X149" s="4"/>
      <c r="Y149" s="4"/>
      <c r="Z149" s="4"/>
      <c r="AA149" s="1"/>
      <c r="AB149" s="4"/>
      <c r="AC149" s="4"/>
      <c r="AD149" s="4"/>
      <c r="AE149" s="4"/>
      <c r="AF149" s="4"/>
      <c r="AG149" s="4"/>
      <c r="AH149" s="4"/>
      <c r="AI149" s="1"/>
      <c r="AJ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3"/>
      <c r="BD149" s="4"/>
      <c r="BE149" s="43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S150" s="3"/>
      <c r="T150" s="4"/>
      <c r="U150" s="4"/>
      <c r="V150" s="4"/>
      <c r="W150" s="4"/>
      <c r="X150" s="4"/>
      <c r="Y150" s="4"/>
      <c r="Z150" s="4"/>
      <c r="AA150" s="1"/>
      <c r="AB150" s="4"/>
      <c r="AC150" s="4"/>
      <c r="AD150" s="4"/>
      <c r="AE150" s="4"/>
      <c r="AF150" s="4"/>
      <c r="AG150" s="4"/>
      <c r="AH150" s="4"/>
      <c r="AI150" s="1"/>
      <c r="AJ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3"/>
      <c r="BD150" s="4"/>
      <c r="BE150" s="43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S151" s="3"/>
      <c r="T151" s="4"/>
      <c r="U151" s="4"/>
      <c r="V151" s="4"/>
      <c r="W151" s="4"/>
      <c r="X151" s="4"/>
      <c r="Y151" s="4"/>
      <c r="Z151" s="4"/>
      <c r="AA151" s="1"/>
      <c r="AB151" s="4"/>
      <c r="AC151" s="4"/>
      <c r="AD151" s="4"/>
      <c r="AE151" s="4"/>
      <c r="AF151" s="4"/>
      <c r="AG151" s="4"/>
      <c r="AH151" s="4"/>
      <c r="AI151" s="1"/>
      <c r="AJ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3"/>
      <c r="BD151" s="4"/>
      <c r="BE151" s="43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S152" s="3"/>
      <c r="T152" s="4"/>
      <c r="U152" s="4"/>
      <c r="V152" s="4"/>
      <c r="W152" s="4"/>
      <c r="X152" s="4"/>
      <c r="Y152" s="4"/>
      <c r="Z152" s="4"/>
      <c r="AA152" s="1"/>
      <c r="AB152" s="4"/>
      <c r="AC152" s="4"/>
      <c r="AD152" s="4"/>
      <c r="AE152" s="4"/>
      <c r="AF152" s="4"/>
      <c r="AG152" s="4"/>
      <c r="AH152" s="4"/>
      <c r="AI152" s="1"/>
      <c r="AJ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3"/>
      <c r="BD152" s="4"/>
      <c r="BE152" s="43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S153" s="3"/>
      <c r="T153" s="4"/>
      <c r="U153" s="4"/>
      <c r="V153" s="4"/>
      <c r="W153" s="4"/>
      <c r="X153" s="4"/>
      <c r="Y153" s="4"/>
      <c r="Z153" s="4"/>
      <c r="AA153" s="1"/>
      <c r="AB153" s="4"/>
      <c r="AC153" s="4"/>
      <c r="AD153" s="4"/>
      <c r="AE153" s="4"/>
      <c r="AF153" s="4"/>
      <c r="AG153" s="4"/>
      <c r="AH153" s="4"/>
      <c r="AI153" s="1"/>
      <c r="AJ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3"/>
      <c r="BD153" s="4"/>
      <c r="BE153" s="43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S154" s="3"/>
      <c r="T154" s="4"/>
      <c r="U154" s="4"/>
      <c r="V154" s="4"/>
      <c r="W154" s="4"/>
      <c r="X154" s="4"/>
      <c r="Y154" s="4"/>
      <c r="Z154" s="4"/>
      <c r="AA154" s="1"/>
      <c r="AB154" s="4"/>
      <c r="AC154" s="4"/>
      <c r="AD154" s="4"/>
      <c r="AE154" s="4"/>
      <c r="AF154" s="4"/>
      <c r="AG154" s="4"/>
      <c r="AH154" s="4"/>
      <c r="AI154" s="1"/>
      <c r="AJ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3"/>
      <c r="BD154" s="4"/>
      <c r="BE154" s="43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S155" s="3"/>
      <c r="T155" s="4"/>
      <c r="U155" s="4"/>
      <c r="V155" s="4"/>
      <c r="W155" s="4"/>
      <c r="X155" s="4"/>
      <c r="Y155" s="4"/>
      <c r="Z155" s="4"/>
      <c r="AA155" s="1"/>
      <c r="AB155" s="4"/>
      <c r="AC155" s="4"/>
      <c r="AD155" s="4"/>
      <c r="AE155" s="4"/>
      <c r="AF155" s="4"/>
      <c r="AG155" s="4"/>
      <c r="AH155" s="4"/>
      <c r="AI155" s="1"/>
      <c r="AJ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3"/>
      <c r="BD155" s="4"/>
      <c r="BE155" s="43"/>
      <c r="BF155" s="4"/>
      <c r="BG155" s="4"/>
      <c r="BH155" s="1"/>
      <c r="BI155" s="1"/>
    </row>
    <row r="156" spans="1:61" s="2" customFormat="1" ht="15.75" x14ac:dyDescent="0.25">
      <c r="A156" s="1"/>
      <c r="B156" s="1"/>
      <c r="C156" s="1"/>
      <c r="D156" s="1"/>
      <c r="S156" s="3"/>
      <c r="T156" s="4"/>
      <c r="U156" s="4"/>
      <c r="V156" s="4"/>
      <c r="W156" s="4"/>
      <c r="X156" s="4"/>
      <c r="Y156" s="4"/>
      <c r="Z156" s="4"/>
      <c r="AA156" s="1"/>
      <c r="AB156" s="4"/>
      <c r="AC156" s="4"/>
      <c r="AD156" s="4"/>
      <c r="AE156" s="4"/>
      <c r="AF156" s="4"/>
      <c r="AG156" s="4"/>
      <c r="AH156" s="4"/>
      <c r="AI156" s="1"/>
      <c r="AJ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3"/>
      <c r="BD156" s="4"/>
      <c r="BE156" s="43"/>
      <c r="BF156" s="4"/>
      <c r="BG156" s="4"/>
      <c r="BH156" s="1"/>
      <c r="BI156" s="1"/>
    </row>
    <row r="157" spans="1:61" s="2" customFormat="1" ht="15.75" x14ac:dyDescent="0.25">
      <c r="A157" s="1"/>
      <c r="B157" s="1"/>
      <c r="C157" s="1"/>
      <c r="D157" s="1"/>
      <c r="S157" s="3"/>
      <c r="T157" s="4"/>
      <c r="U157" s="4"/>
      <c r="V157" s="4"/>
      <c r="W157" s="4"/>
      <c r="X157" s="4"/>
      <c r="Y157" s="4"/>
      <c r="Z157" s="4"/>
      <c r="AA157" s="1"/>
      <c r="AB157" s="4"/>
      <c r="AC157" s="4"/>
      <c r="AD157" s="4"/>
      <c r="AE157" s="4"/>
      <c r="AF157" s="4"/>
      <c r="AG157" s="4"/>
      <c r="AH157" s="4"/>
      <c r="AI157" s="1"/>
      <c r="AJ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3"/>
      <c r="BD157" s="4"/>
      <c r="BE157" s="43"/>
      <c r="BF157" s="4"/>
      <c r="BG157" s="4"/>
      <c r="BH157" s="1"/>
      <c r="BI157" s="1"/>
    </row>
    <row r="158" spans="1:61" s="2" customFormat="1" ht="15.75" x14ac:dyDescent="0.25">
      <c r="A158" s="1"/>
      <c r="B158" s="1"/>
      <c r="C158" s="1"/>
      <c r="D158" s="1"/>
      <c r="S158" s="3"/>
      <c r="T158" s="4"/>
      <c r="U158" s="4"/>
      <c r="V158" s="4"/>
      <c r="W158" s="4"/>
      <c r="X158" s="4"/>
      <c r="Y158" s="4"/>
      <c r="Z158" s="4"/>
      <c r="AA158" s="1"/>
      <c r="AB158" s="4"/>
      <c r="AC158" s="4"/>
      <c r="AD158" s="4"/>
      <c r="AE158" s="4"/>
      <c r="AF158" s="4"/>
      <c r="AG158" s="4"/>
      <c r="AH158" s="4"/>
      <c r="AI158" s="1"/>
      <c r="AJ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3"/>
      <c r="BD158" s="4"/>
      <c r="BE158" s="43"/>
      <c r="BF158" s="4"/>
      <c r="BG158" s="4"/>
      <c r="BH158" s="1"/>
      <c r="BI158" s="1"/>
    </row>
    <row r="159" spans="1:61" s="2" customFormat="1" ht="15.75" x14ac:dyDescent="0.25">
      <c r="A159" s="1"/>
      <c r="B159" s="1"/>
      <c r="C159" s="1"/>
      <c r="D159" s="1"/>
      <c r="S159" s="3"/>
      <c r="T159" s="4"/>
      <c r="U159" s="4"/>
      <c r="V159" s="4"/>
      <c r="W159" s="4"/>
      <c r="X159" s="4"/>
      <c r="Y159" s="4"/>
      <c r="Z159" s="4"/>
      <c r="AA159" s="1"/>
      <c r="AB159" s="4"/>
      <c r="AC159" s="4"/>
      <c r="AD159" s="4"/>
      <c r="AE159" s="4"/>
      <c r="AF159" s="4"/>
      <c r="AG159" s="4"/>
      <c r="AH159" s="4"/>
      <c r="AI159" s="1"/>
      <c r="AJ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3"/>
      <c r="BD159" s="4"/>
      <c r="BE159" s="43"/>
      <c r="BF159" s="4"/>
      <c r="BG159" s="4"/>
      <c r="BH159" s="1"/>
      <c r="BI159" s="1"/>
    </row>
    <row r="160" spans="1:61" s="2" customFormat="1" ht="15.75" x14ac:dyDescent="0.25">
      <c r="A160" s="1"/>
      <c r="B160" s="1"/>
      <c r="C160" s="1"/>
      <c r="D160" s="1"/>
      <c r="S160" s="3"/>
      <c r="T160" s="4"/>
      <c r="U160" s="4"/>
      <c r="V160" s="4"/>
      <c r="W160" s="4"/>
      <c r="X160" s="4"/>
      <c r="Y160" s="4"/>
      <c r="Z160" s="4"/>
      <c r="AA160" s="1"/>
      <c r="AB160" s="4"/>
      <c r="AC160" s="4"/>
      <c r="AD160" s="4"/>
      <c r="AE160" s="4"/>
      <c r="AF160" s="4"/>
      <c r="AG160" s="4"/>
      <c r="AH160" s="4"/>
      <c r="AI160" s="1"/>
      <c r="AJ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3"/>
      <c r="BD160" s="4"/>
      <c r="BE160" s="43"/>
      <c r="BF160" s="4"/>
      <c r="BG160" s="4"/>
      <c r="BH160" s="1"/>
      <c r="BI160" s="1"/>
    </row>
    <row r="161" spans="1:61" s="2" customFormat="1" ht="15.75" x14ac:dyDescent="0.25">
      <c r="A161" s="1"/>
      <c r="B161" s="1"/>
      <c r="C161" s="1"/>
      <c r="D161" s="1"/>
      <c r="S161" s="3"/>
      <c r="T161" s="4"/>
      <c r="U161" s="4"/>
      <c r="V161" s="4"/>
      <c r="W161" s="4"/>
      <c r="X161" s="4"/>
      <c r="Y161" s="4"/>
      <c r="Z161" s="4"/>
      <c r="AA161" s="1"/>
      <c r="AB161" s="4"/>
      <c r="AC161" s="4"/>
      <c r="AD161" s="4"/>
      <c r="AE161" s="4"/>
      <c r="AF161" s="4"/>
      <c r="AG161" s="4"/>
      <c r="AH161" s="4"/>
      <c r="AI161" s="1"/>
      <c r="AJ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3"/>
      <c r="BD161" s="4"/>
      <c r="BE161" s="43"/>
      <c r="BF161" s="4"/>
      <c r="BG161" s="4"/>
      <c r="BH161" s="1"/>
      <c r="BI161" s="1"/>
    </row>
    <row r="162" spans="1:61" s="2" customFormat="1" ht="15.75" x14ac:dyDescent="0.25">
      <c r="A162" s="1"/>
      <c r="B162" s="1"/>
      <c r="C162" s="1"/>
      <c r="D162" s="1"/>
      <c r="S162" s="3"/>
      <c r="T162" s="4"/>
      <c r="U162" s="4"/>
      <c r="V162" s="4"/>
      <c r="W162" s="4"/>
      <c r="X162" s="4"/>
      <c r="Y162" s="4"/>
      <c r="Z162" s="4"/>
      <c r="AA162" s="1"/>
      <c r="AB162" s="4"/>
      <c r="AC162" s="4"/>
      <c r="AD162" s="4"/>
      <c r="AE162" s="4"/>
      <c r="AF162" s="4"/>
      <c r="AG162" s="4"/>
      <c r="AH162" s="4"/>
      <c r="AI162" s="1"/>
      <c r="AJ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3"/>
      <c r="BD162" s="4"/>
      <c r="BE162" s="43"/>
      <c r="BF162" s="4"/>
      <c r="BG162" s="4"/>
      <c r="BH162" s="1"/>
      <c r="BI162" s="1"/>
    </row>
    <row r="163" spans="1:61" s="2" customFormat="1" ht="15.75" x14ac:dyDescent="0.25">
      <c r="A163" s="1"/>
      <c r="B163" s="1"/>
      <c r="C163" s="1"/>
      <c r="D163" s="1"/>
      <c r="S163" s="3"/>
      <c r="T163" s="4"/>
      <c r="U163" s="4"/>
      <c r="V163" s="4"/>
      <c r="W163" s="4"/>
      <c r="X163" s="4"/>
      <c r="Y163" s="4"/>
      <c r="Z163" s="4"/>
      <c r="AA163" s="1"/>
      <c r="AB163" s="4"/>
      <c r="AC163" s="4"/>
      <c r="AD163" s="4"/>
      <c r="AE163" s="4"/>
      <c r="AF163" s="4"/>
      <c r="AG163" s="4"/>
      <c r="AH163" s="4"/>
      <c r="AI163" s="1"/>
      <c r="AJ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3"/>
      <c r="BD163" s="4"/>
      <c r="BE163" s="43"/>
      <c r="BF163" s="4"/>
      <c r="BG163" s="4"/>
      <c r="BH163" s="1"/>
      <c r="BI163" s="1"/>
    </row>
    <row r="164" spans="1:61" s="2" customFormat="1" ht="15.75" x14ac:dyDescent="0.25">
      <c r="A164" s="1"/>
      <c r="B164" s="1"/>
      <c r="C164" s="1"/>
      <c r="D164" s="1"/>
      <c r="S164" s="3"/>
      <c r="T164" s="4"/>
      <c r="U164" s="4"/>
      <c r="V164" s="4"/>
      <c r="W164" s="4"/>
      <c r="X164" s="4"/>
      <c r="Y164" s="4"/>
      <c r="Z164" s="4"/>
      <c r="AA164" s="1"/>
      <c r="AB164" s="4"/>
      <c r="AC164" s="4"/>
      <c r="AD164" s="4"/>
      <c r="AE164" s="4"/>
      <c r="AF164" s="4"/>
      <c r="AG164" s="4"/>
      <c r="AH164" s="4"/>
      <c r="AI164" s="1"/>
      <c r="AJ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3"/>
      <c r="BD164" s="4"/>
      <c r="BE164" s="43"/>
      <c r="BF164" s="4"/>
      <c r="BG164" s="4"/>
      <c r="BH164" s="1"/>
      <c r="BI164" s="1"/>
    </row>
    <row r="165" spans="1:61" s="2" customFormat="1" ht="15.75" x14ac:dyDescent="0.25">
      <c r="A165" s="1"/>
      <c r="B165" s="1"/>
      <c r="C165" s="1"/>
      <c r="D165" s="1"/>
      <c r="S165" s="3"/>
      <c r="T165" s="4"/>
      <c r="U165" s="4"/>
      <c r="V165" s="4"/>
      <c r="W165" s="4"/>
      <c r="X165" s="4"/>
      <c r="Y165" s="4"/>
      <c r="Z165" s="4"/>
      <c r="AA165" s="1"/>
      <c r="AB165" s="4"/>
      <c r="AC165" s="4"/>
      <c r="AD165" s="4"/>
      <c r="AE165" s="4"/>
      <c r="AF165" s="4"/>
      <c r="AG165" s="4"/>
      <c r="AH165" s="4"/>
      <c r="AI165" s="1"/>
      <c r="AJ165" s="4"/>
      <c r="AS165" s="1"/>
      <c r="AT165" s="1"/>
      <c r="AU165" s="1"/>
      <c r="AV165" s="1"/>
      <c r="AW165" s="1"/>
      <c r="AX165" s="1"/>
      <c r="AY165" s="1"/>
      <c r="AZ165" s="4"/>
      <c r="BA165" s="4"/>
      <c r="BB165" s="4"/>
      <c r="BC165" s="43"/>
      <c r="BD165" s="4"/>
      <c r="BE165" s="43"/>
      <c r="BF165" s="4"/>
      <c r="BG165" s="4"/>
      <c r="BH165" s="1"/>
      <c r="BI165" s="1"/>
    </row>
    <row r="166" spans="1:61" s="2" customFormat="1" ht="15.75" x14ac:dyDescent="0.25">
      <c r="A166" s="1"/>
      <c r="B166" s="1"/>
      <c r="C166" s="1"/>
      <c r="D166" s="1"/>
      <c r="S166" s="3"/>
      <c r="T166" s="4"/>
      <c r="U166" s="4"/>
      <c r="V166" s="4"/>
      <c r="W166" s="4"/>
      <c r="X166" s="4"/>
      <c r="Y166" s="4"/>
      <c r="Z166" s="4"/>
      <c r="AA166" s="1"/>
      <c r="AB166" s="4"/>
      <c r="AC166" s="4"/>
      <c r="AD166" s="4"/>
      <c r="AE166" s="4"/>
      <c r="AF166" s="4"/>
      <c r="AG166" s="4"/>
      <c r="AH166" s="4"/>
      <c r="AI166" s="1"/>
      <c r="AJ166" s="1"/>
      <c r="AS166" s="1"/>
      <c r="AT166" s="1"/>
      <c r="AU166" s="1"/>
      <c r="AV166" s="1"/>
      <c r="AW166" s="1"/>
      <c r="AX166" s="1"/>
      <c r="AY166" s="1"/>
      <c r="AZ166" s="4"/>
      <c r="BA166" s="4"/>
      <c r="BB166" s="4"/>
      <c r="BC166" s="43"/>
      <c r="BD166" s="4"/>
      <c r="BE166" s="43"/>
      <c r="BF166" s="4"/>
      <c r="BG166" s="4"/>
      <c r="BH166" s="1"/>
      <c r="BI166" s="1"/>
    </row>
    <row r="167" spans="1:61" s="2" customFormat="1" ht="15.75" x14ac:dyDescent="0.25">
      <c r="A167" s="1"/>
      <c r="B167" s="1"/>
      <c r="C167" s="1"/>
      <c r="D167" s="1"/>
      <c r="S167" s="3"/>
      <c r="T167" s="4"/>
      <c r="U167" s="4"/>
      <c r="V167" s="4"/>
      <c r="W167" s="4"/>
      <c r="X167" s="4"/>
      <c r="Y167" s="4"/>
      <c r="Z167" s="4"/>
      <c r="AA167" s="1"/>
      <c r="AB167" s="4"/>
      <c r="AC167" s="4"/>
      <c r="AD167" s="4"/>
      <c r="AE167" s="4"/>
      <c r="AF167" s="4"/>
      <c r="AG167" s="4"/>
      <c r="AH167" s="4"/>
      <c r="AI167" s="1"/>
      <c r="AJ167" s="1"/>
      <c r="AS167" s="1"/>
      <c r="AT167" s="1"/>
      <c r="AU167" s="1"/>
      <c r="AV167" s="1"/>
      <c r="AW167" s="1"/>
      <c r="AX167" s="1"/>
      <c r="AY167" s="1"/>
      <c r="AZ167" s="4"/>
      <c r="BA167" s="4"/>
      <c r="BB167" s="4"/>
      <c r="BC167" s="43"/>
      <c r="BD167" s="4"/>
      <c r="BE167" s="43"/>
      <c r="BF167" s="4"/>
      <c r="BG167" s="4"/>
      <c r="BH167" s="1"/>
      <c r="BI167" s="1"/>
    </row>
    <row r="168" spans="1:61" s="2" customFormat="1" ht="15.75" x14ac:dyDescent="0.25">
      <c r="A168" s="1"/>
      <c r="B168" s="1"/>
      <c r="C168" s="1"/>
      <c r="D168" s="1"/>
      <c r="S168" s="3"/>
      <c r="T168" s="4"/>
      <c r="U168" s="4"/>
      <c r="V168" s="4"/>
      <c r="W168" s="4"/>
      <c r="X168" s="4"/>
      <c r="Y168" s="4"/>
      <c r="Z168" s="4"/>
      <c r="AA168" s="1"/>
      <c r="AB168" s="4"/>
      <c r="AC168" s="4"/>
      <c r="AD168" s="4"/>
      <c r="AE168" s="4"/>
      <c r="AF168" s="4"/>
      <c r="AG168" s="4"/>
      <c r="AH168" s="4"/>
      <c r="AI168" s="1"/>
      <c r="AJ168" s="1"/>
      <c r="AS168" s="1"/>
      <c r="AT168" s="1"/>
      <c r="AU168" s="1"/>
      <c r="AV168" s="1"/>
      <c r="AW168" s="1"/>
      <c r="AX168" s="1"/>
      <c r="AY168" s="1"/>
      <c r="AZ168" s="4"/>
      <c r="BA168" s="4"/>
      <c r="BB168" s="4"/>
      <c r="BC168" s="43"/>
      <c r="BD168" s="4"/>
      <c r="BE168" s="43"/>
      <c r="BF168" s="4"/>
      <c r="BG168" s="4"/>
      <c r="BH168" s="1"/>
      <c r="BI168" s="1"/>
    </row>
    <row r="169" spans="1:61" s="2" customFormat="1" ht="15.75" x14ac:dyDescent="0.25">
      <c r="A169" s="1"/>
      <c r="B169" s="1"/>
      <c r="C169" s="1"/>
      <c r="D169" s="1"/>
      <c r="S169" s="3"/>
      <c r="T169" s="4"/>
      <c r="U169" s="4"/>
      <c r="V169" s="4"/>
      <c r="W169" s="4"/>
      <c r="X169" s="4"/>
      <c r="Y169" s="4"/>
      <c r="Z169" s="4"/>
      <c r="AA169" s="1"/>
      <c r="AB169" s="4"/>
      <c r="AC169" s="4"/>
      <c r="AD169" s="4"/>
      <c r="AE169" s="4"/>
      <c r="AF169" s="4"/>
      <c r="AG169" s="4"/>
      <c r="AH169" s="4"/>
      <c r="AI169" s="1"/>
      <c r="AJ169" s="1"/>
      <c r="AS169" s="1"/>
      <c r="AT169" s="1"/>
      <c r="AU169" s="1"/>
      <c r="AV169" s="1"/>
      <c r="AW169" s="1"/>
      <c r="AX169" s="1"/>
      <c r="AY169" s="1"/>
      <c r="AZ169" s="4"/>
      <c r="BA169" s="4"/>
      <c r="BB169" s="4"/>
      <c r="BC169" s="43"/>
      <c r="BD169" s="4"/>
      <c r="BE169" s="43"/>
      <c r="BF169" s="4"/>
      <c r="BG169" s="4"/>
      <c r="BH169" s="1"/>
      <c r="BI169" s="1"/>
    </row>
    <row r="170" spans="1:61" s="2" customFormat="1" ht="15.75" x14ac:dyDescent="0.25">
      <c r="A170" s="1"/>
      <c r="B170" s="1"/>
      <c r="C170" s="1"/>
      <c r="D170" s="1"/>
      <c r="S170" s="3"/>
      <c r="T170" s="4"/>
      <c r="U170" s="4"/>
      <c r="V170" s="4"/>
      <c r="W170" s="4"/>
      <c r="X170" s="4"/>
      <c r="Y170" s="4"/>
      <c r="Z170" s="4"/>
      <c r="AA170" s="1"/>
      <c r="AB170" s="4"/>
      <c r="AC170" s="4"/>
      <c r="AD170" s="4"/>
      <c r="AE170" s="4"/>
      <c r="AF170" s="4"/>
      <c r="AG170" s="4"/>
      <c r="AH170" s="4"/>
      <c r="AI170" s="1"/>
      <c r="AJ170" s="1"/>
      <c r="AS170" s="1"/>
      <c r="AT170" s="1"/>
      <c r="AU170" s="1"/>
      <c r="AV170" s="1"/>
      <c r="AW170" s="1"/>
      <c r="AX170" s="1"/>
      <c r="AY170" s="1"/>
      <c r="AZ170" s="4"/>
      <c r="BA170" s="4"/>
      <c r="BB170" s="4"/>
      <c r="BC170" s="43"/>
      <c r="BD170" s="4"/>
      <c r="BE170" s="43"/>
      <c r="BF170" s="4"/>
      <c r="BG170" s="4"/>
      <c r="BH170" s="1"/>
      <c r="BI170" s="1"/>
    </row>
    <row r="171" spans="1:61" s="2" customFormat="1" ht="15.75" x14ac:dyDescent="0.25">
      <c r="A171" s="1"/>
      <c r="B171" s="1"/>
      <c r="C171" s="1"/>
      <c r="D171" s="1"/>
      <c r="S171" s="3"/>
      <c r="T171" s="4"/>
      <c r="U171" s="4"/>
      <c r="V171" s="4"/>
      <c r="W171" s="4"/>
      <c r="X171" s="4"/>
      <c r="Y171" s="4"/>
      <c r="Z171" s="4"/>
      <c r="AA171" s="1"/>
      <c r="AB171" s="4"/>
      <c r="AC171" s="4"/>
      <c r="AD171" s="4"/>
      <c r="AE171" s="4"/>
      <c r="AF171" s="4"/>
      <c r="AG171" s="4"/>
      <c r="AH171" s="4"/>
      <c r="AI171" s="1"/>
      <c r="AJ171" s="1"/>
      <c r="AS171" s="1"/>
      <c r="AT171" s="1"/>
      <c r="AU171" s="1"/>
      <c r="AV171" s="1"/>
      <c r="AW171" s="1"/>
      <c r="AX171" s="1"/>
      <c r="AY171" s="1"/>
      <c r="AZ171" s="4"/>
      <c r="BA171" s="4"/>
      <c r="BB171" s="4"/>
      <c r="BC171" s="43"/>
      <c r="BD171" s="4"/>
      <c r="BE171" s="43"/>
      <c r="BF171" s="4"/>
      <c r="BG171" s="4"/>
      <c r="BH171" s="1"/>
      <c r="BI171" s="1"/>
    </row>
    <row r="172" spans="1:61" s="2" customFormat="1" ht="15.75" x14ac:dyDescent="0.25">
      <c r="A172" s="1"/>
      <c r="B172" s="1"/>
      <c r="C172" s="1"/>
      <c r="D172" s="1"/>
      <c r="S172" s="3"/>
      <c r="T172" s="4"/>
      <c r="U172" s="4"/>
      <c r="V172" s="4"/>
      <c r="W172" s="4"/>
      <c r="X172" s="4"/>
      <c r="Y172" s="4"/>
      <c r="Z172" s="4"/>
      <c r="AA172" s="1"/>
      <c r="AB172" s="4"/>
      <c r="AC172" s="4"/>
      <c r="AD172" s="4"/>
      <c r="AE172" s="4"/>
      <c r="AF172" s="4"/>
      <c r="AG172" s="4"/>
      <c r="AH172" s="4"/>
      <c r="AI172" s="1"/>
      <c r="AJ172" s="1"/>
      <c r="AS172" s="1"/>
      <c r="AT172" s="1"/>
      <c r="AU172" s="1"/>
      <c r="AV172" s="1"/>
      <c r="AW172" s="1"/>
      <c r="AX172" s="1"/>
      <c r="AY172" s="1"/>
      <c r="AZ172" s="4"/>
      <c r="BA172" s="4"/>
      <c r="BB172" s="4"/>
      <c r="BC172" s="43"/>
      <c r="BD172" s="4"/>
      <c r="BE172" s="43"/>
      <c r="BF172" s="4"/>
      <c r="BG172" s="4"/>
      <c r="BH172" s="1"/>
      <c r="BI172" s="1"/>
    </row>
    <row r="173" spans="1:61" s="2" customFormat="1" ht="15.75" x14ac:dyDescent="0.25">
      <c r="A173" s="1"/>
      <c r="B173" s="1"/>
      <c r="C173" s="1"/>
      <c r="D173" s="1"/>
      <c r="S173" s="3"/>
      <c r="T173" s="4"/>
      <c r="U173" s="4"/>
      <c r="V173" s="4"/>
      <c r="W173" s="4"/>
      <c r="X173" s="4"/>
      <c r="Y173" s="4"/>
      <c r="Z173" s="4"/>
      <c r="AA173" s="1"/>
      <c r="AB173" s="4"/>
      <c r="AC173" s="4"/>
      <c r="AD173" s="4"/>
      <c r="AE173" s="4"/>
      <c r="AF173" s="4"/>
      <c r="AG173" s="4"/>
      <c r="AH173" s="4"/>
      <c r="AI173" s="1"/>
      <c r="AJ173" s="1"/>
      <c r="AS173" s="1"/>
      <c r="AT173" s="1"/>
      <c r="AU173" s="1"/>
      <c r="AV173" s="1"/>
      <c r="AW173" s="1"/>
      <c r="AX173" s="1"/>
      <c r="AY173" s="1"/>
      <c r="AZ173" s="4"/>
      <c r="BA173" s="4"/>
      <c r="BB173" s="4"/>
      <c r="BC173" s="43"/>
      <c r="BD173" s="4"/>
      <c r="BE173" s="43"/>
      <c r="BF173" s="4"/>
      <c r="BG173" s="4"/>
      <c r="BH173" s="1"/>
      <c r="BI173" s="1"/>
    </row>
    <row r="174" spans="1:61" s="2" customFormat="1" ht="15.75" x14ac:dyDescent="0.25">
      <c r="A174" s="1"/>
      <c r="B174" s="1"/>
      <c r="C174" s="1"/>
      <c r="D174" s="1"/>
      <c r="S174" s="3"/>
      <c r="T174" s="4"/>
      <c r="U174" s="4"/>
      <c r="V174" s="4"/>
      <c r="W174" s="4"/>
      <c r="X174" s="4"/>
      <c r="Y174" s="4"/>
      <c r="Z174" s="4"/>
      <c r="AA174" s="1"/>
      <c r="AB174" s="4"/>
      <c r="AC174" s="4"/>
      <c r="AD174" s="4"/>
      <c r="AE174" s="4"/>
      <c r="AF174" s="4"/>
      <c r="AG174" s="4"/>
      <c r="AH174" s="4"/>
      <c r="AI174" s="1"/>
      <c r="AJ174" s="1"/>
      <c r="AS174" s="1"/>
      <c r="AT174" s="1"/>
      <c r="AU174" s="1"/>
      <c r="AV174" s="1"/>
      <c r="AW174" s="1"/>
      <c r="AX174" s="1"/>
      <c r="AY174" s="1"/>
      <c r="AZ174" s="4"/>
      <c r="BA174" s="4"/>
      <c r="BB174" s="4"/>
      <c r="BC174" s="43"/>
      <c r="BD174" s="4"/>
      <c r="BE174" s="43"/>
      <c r="BF174" s="4"/>
      <c r="BG174" s="4"/>
      <c r="BH174" s="1"/>
      <c r="BI174" s="1"/>
    </row>
    <row r="175" spans="1:61" s="2" customFormat="1" ht="15.75" x14ac:dyDescent="0.25">
      <c r="A175" s="1"/>
      <c r="B175" s="1"/>
      <c r="C175" s="1"/>
      <c r="D175" s="1"/>
      <c r="S175" s="3"/>
      <c r="T175" s="4"/>
      <c r="U175" s="4"/>
      <c r="V175" s="4"/>
      <c r="W175" s="4"/>
      <c r="X175" s="4"/>
      <c r="Y175" s="4"/>
      <c r="Z175" s="4"/>
      <c r="AA175" s="1"/>
      <c r="AB175" s="4"/>
      <c r="AC175" s="4"/>
      <c r="AD175" s="4"/>
      <c r="AE175" s="4"/>
      <c r="AF175" s="4"/>
      <c r="AG175" s="4"/>
      <c r="AH175" s="4"/>
      <c r="AI175" s="1"/>
      <c r="AJ175" s="1"/>
      <c r="AS175" s="1"/>
      <c r="AT175" s="1"/>
      <c r="AU175" s="1"/>
      <c r="AV175" s="1"/>
      <c r="AW175" s="1"/>
      <c r="AX175" s="1"/>
      <c r="AY175" s="1"/>
      <c r="AZ175" s="4"/>
      <c r="BA175" s="4"/>
      <c r="BB175" s="4"/>
      <c r="BC175" s="43"/>
      <c r="BD175" s="4"/>
      <c r="BE175" s="43"/>
      <c r="BF175" s="4"/>
      <c r="BG175" s="4"/>
      <c r="BH175" s="1"/>
      <c r="BI175" s="1"/>
    </row>
    <row r="176" spans="1:61" s="2" customFormat="1" ht="15.75" x14ac:dyDescent="0.25">
      <c r="A176" s="1"/>
      <c r="B176" s="1"/>
      <c r="C176" s="1"/>
      <c r="D176" s="1"/>
      <c r="S176" s="3"/>
      <c r="T176" s="4"/>
      <c r="U176" s="4"/>
      <c r="V176" s="4"/>
      <c r="W176" s="4"/>
      <c r="X176" s="4"/>
      <c r="Y176" s="4"/>
      <c r="Z176" s="4"/>
      <c r="AA176" s="1"/>
      <c r="AB176" s="4"/>
      <c r="AC176" s="4"/>
      <c r="AD176" s="4"/>
      <c r="AE176" s="4"/>
      <c r="AF176" s="4"/>
      <c r="AG176" s="4"/>
      <c r="AH176" s="4"/>
      <c r="AI176" s="1"/>
      <c r="AJ176" s="1"/>
      <c r="AS176" s="1"/>
      <c r="AT176" s="1"/>
      <c r="AU176" s="1"/>
      <c r="AV176" s="1"/>
      <c r="AW176" s="1"/>
      <c r="AX176" s="1"/>
      <c r="AY176" s="1"/>
      <c r="AZ176" s="4"/>
      <c r="BA176" s="4"/>
      <c r="BB176" s="4"/>
      <c r="BC176" s="43"/>
      <c r="BD176" s="4"/>
      <c r="BE176" s="43"/>
      <c r="BF176" s="4"/>
      <c r="BG176" s="4"/>
      <c r="BH176" s="1"/>
      <c r="BI176" s="1"/>
    </row>
    <row r="177" spans="1:61" s="2" customFormat="1" ht="15.75" x14ac:dyDescent="0.25">
      <c r="A177" s="1"/>
      <c r="B177" s="1"/>
      <c r="C177" s="1"/>
      <c r="D177" s="1"/>
      <c r="S177" s="3"/>
      <c r="T177" s="4"/>
      <c r="U177" s="4"/>
      <c r="V177" s="4"/>
      <c r="W177" s="4"/>
      <c r="X177" s="4"/>
      <c r="Y177" s="4"/>
      <c r="Z177" s="4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S177" s="1"/>
      <c r="AT177" s="1"/>
      <c r="AU177" s="1"/>
      <c r="AV177" s="1"/>
      <c r="AW177" s="1"/>
      <c r="AX177" s="1"/>
      <c r="AY177" s="1"/>
      <c r="AZ177" s="4"/>
      <c r="BA177" s="4"/>
      <c r="BB177" s="4"/>
      <c r="BC177" s="43"/>
      <c r="BD177" s="4"/>
      <c r="BE177" s="43"/>
      <c r="BF177" s="4"/>
      <c r="BG177" s="4"/>
      <c r="BH177" s="1"/>
      <c r="BI177" s="1"/>
    </row>
    <row r="178" spans="1:61" s="2" customFormat="1" ht="15.75" x14ac:dyDescent="0.25">
      <c r="A178" s="1"/>
      <c r="B178" s="1"/>
      <c r="C178" s="1"/>
      <c r="D178" s="1"/>
      <c r="S178" s="3"/>
      <c r="T178" s="4"/>
      <c r="U178" s="4"/>
      <c r="V178" s="4"/>
      <c r="W178" s="4"/>
      <c r="X178" s="4"/>
      <c r="Y178" s="4"/>
      <c r="Z178" s="4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S178" s="1"/>
      <c r="AT178" s="1"/>
      <c r="AU178" s="1"/>
      <c r="AV178" s="1"/>
      <c r="AW178" s="1"/>
      <c r="AX178" s="1"/>
      <c r="AY178" s="1"/>
      <c r="AZ178" s="4"/>
      <c r="BA178" s="4"/>
      <c r="BB178" s="4"/>
      <c r="BC178" s="43"/>
      <c r="BD178" s="4"/>
      <c r="BE178" s="43"/>
      <c r="BF178" s="4"/>
      <c r="BG178" s="4"/>
      <c r="BH178" s="1"/>
      <c r="BI178" s="1"/>
    </row>
    <row r="179" spans="1:61" s="2" customFormat="1" ht="15.75" x14ac:dyDescent="0.25">
      <c r="A179" s="1"/>
      <c r="B179" s="1"/>
      <c r="C179" s="1"/>
      <c r="D179" s="1"/>
      <c r="S179" s="3"/>
      <c r="T179" s="4"/>
      <c r="U179" s="4"/>
      <c r="V179" s="4"/>
      <c r="W179" s="4"/>
      <c r="X179" s="4"/>
      <c r="Y179" s="4"/>
      <c r="Z179" s="4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S179" s="1"/>
      <c r="AT179" s="1"/>
      <c r="AU179" s="1"/>
      <c r="AV179" s="1"/>
      <c r="AW179" s="1"/>
      <c r="AX179" s="1"/>
      <c r="AY179" s="1"/>
      <c r="AZ179" s="4"/>
      <c r="BA179" s="4"/>
      <c r="BB179" s="4"/>
      <c r="BC179" s="43"/>
      <c r="BD179" s="4"/>
      <c r="BE179" s="43"/>
      <c r="BF179" s="4"/>
      <c r="BG179" s="4"/>
      <c r="BH179" s="1"/>
      <c r="BI179" s="1"/>
    </row>
    <row r="180" spans="1:61" s="2" customFormat="1" ht="15.75" x14ac:dyDescent="0.25">
      <c r="A180" s="1"/>
      <c r="B180" s="1"/>
      <c r="C180" s="1"/>
      <c r="D180" s="1"/>
      <c r="S180" s="3"/>
      <c r="T180" s="4"/>
      <c r="U180" s="4"/>
      <c r="V180" s="4"/>
      <c r="W180" s="4"/>
      <c r="X180" s="4"/>
      <c r="Y180" s="4"/>
      <c r="Z180" s="4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S180" s="1"/>
      <c r="AT180" s="1"/>
      <c r="AU180" s="1"/>
      <c r="AV180" s="1"/>
      <c r="AW180" s="1"/>
      <c r="AX180" s="1"/>
      <c r="AY180" s="1"/>
      <c r="AZ180" s="4"/>
      <c r="BA180" s="4"/>
      <c r="BB180" s="4"/>
      <c r="BC180" s="43"/>
      <c r="BD180" s="4"/>
      <c r="BE180" s="43"/>
      <c r="BF180" s="4"/>
      <c r="BG180" s="4"/>
      <c r="BH180" s="1"/>
      <c r="BI180" s="1"/>
    </row>
    <row r="181" spans="1:61" s="2" customFormat="1" ht="15.75" x14ac:dyDescent="0.25">
      <c r="A181" s="1"/>
      <c r="B181" s="1"/>
      <c r="C181" s="1"/>
      <c r="D181" s="1"/>
      <c r="S181" s="3"/>
      <c r="T181" s="4"/>
      <c r="U181" s="4"/>
      <c r="V181" s="4"/>
      <c r="W181" s="4"/>
      <c r="X181" s="4"/>
      <c r="Y181" s="4"/>
      <c r="Z181" s="4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S181" s="1"/>
      <c r="AT181" s="1"/>
      <c r="AU181" s="1"/>
      <c r="AV181" s="1"/>
      <c r="AW181" s="1"/>
      <c r="AX181" s="1"/>
      <c r="AY181" s="1"/>
      <c r="AZ181" s="4"/>
      <c r="BA181" s="4"/>
      <c r="BB181" s="4"/>
      <c r="BC181" s="43"/>
      <c r="BD181" s="4"/>
      <c r="BE181" s="43"/>
      <c r="BF181" s="4"/>
      <c r="BG181" s="4"/>
      <c r="BH181" s="1"/>
      <c r="BI181" s="1"/>
    </row>
    <row r="182" spans="1:61" s="2" customFormat="1" ht="15.75" x14ac:dyDescent="0.25">
      <c r="A182" s="1"/>
      <c r="B182" s="1"/>
      <c r="C182" s="1"/>
      <c r="D182" s="1"/>
      <c r="S182" s="3"/>
      <c r="T182" s="4"/>
      <c r="U182" s="4"/>
      <c r="V182" s="4"/>
      <c r="W182" s="4"/>
      <c r="X182" s="4"/>
      <c r="Y182" s="4"/>
      <c r="Z182" s="4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S182" s="1"/>
      <c r="AT182" s="1"/>
      <c r="AU182" s="1"/>
      <c r="AV182" s="1"/>
      <c r="AW182" s="1"/>
      <c r="AX182" s="1"/>
      <c r="AY182" s="1"/>
      <c r="AZ182" s="4"/>
      <c r="BA182" s="4"/>
      <c r="BB182" s="4"/>
      <c r="BC182" s="43"/>
      <c r="BD182" s="4"/>
      <c r="BE182" s="43"/>
      <c r="BF182" s="4"/>
      <c r="BG182" s="4"/>
      <c r="BH182" s="1"/>
      <c r="BI182" s="1"/>
    </row>
    <row r="183" spans="1:61" s="2" customFormat="1" ht="15.75" x14ac:dyDescent="0.25">
      <c r="A183" s="1"/>
      <c r="B183" s="1"/>
      <c r="C183" s="1"/>
      <c r="D183" s="1"/>
      <c r="S183" s="3"/>
      <c r="T183" s="4"/>
      <c r="U183" s="4"/>
      <c r="V183" s="4"/>
      <c r="W183" s="4"/>
      <c r="X183" s="4"/>
      <c r="Y183" s="4"/>
      <c r="Z183" s="4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4"/>
      <c r="BA183" s="4"/>
      <c r="BB183" s="4"/>
      <c r="BC183" s="43"/>
      <c r="BD183" s="4"/>
      <c r="BE183" s="43"/>
      <c r="BF183" s="4"/>
      <c r="BG183" s="4"/>
      <c r="BH183" s="1"/>
      <c r="BI183" s="1"/>
    </row>
    <row r="184" spans="1:61" s="2" customFormat="1" ht="15.75" x14ac:dyDescent="0.25">
      <c r="A184" s="1"/>
      <c r="B184" s="1"/>
      <c r="C184" s="1"/>
      <c r="D184" s="1"/>
      <c r="S184" s="3"/>
      <c r="T184" s="4"/>
      <c r="U184" s="4"/>
      <c r="V184" s="4"/>
      <c r="W184" s="4"/>
      <c r="X184" s="4"/>
      <c r="Y184" s="4"/>
      <c r="Z184" s="4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S184" s="1"/>
      <c r="AT184" s="1"/>
      <c r="AU184" s="1"/>
      <c r="AV184" s="1"/>
      <c r="AW184" s="1"/>
      <c r="AX184" s="1"/>
      <c r="AY184" s="1"/>
      <c r="AZ184" s="4"/>
      <c r="BA184" s="4"/>
      <c r="BB184" s="4"/>
      <c r="BC184" s="43"/>
      <c r="BD184" s="4"/>
      <c r="BE184" s="43"/>
      <c r="BF184" s="4"/>
      <c r="BG184" s="4"/>
      <c r="BH184" s="1"/>
      <c r="BI184" s="1"/>
    </row>
    <row r="185" spans="1:61" s="2" customFormat="1" ht="15.75" x14ac:dyDescent="0.25">
      <c r="A185" s="1"/>
      <c r="B185" s="1"/>
      <c r="C185" s="1"/>
      <c r="D185" s="1"/>
      <c r="S185" s="3"/>
      <c r="T185" s="4"/>
      <c r="U185" s="4"/>
      <c r="V185" s="4"/>
      <c r="W185" s="4"/>
      <c r="X185" s="4"/>
      <c r="Y185" s="4"/>
      <c r="Z185" s="4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S185" s="1"/>
      <c r="AT185" s="1"/>
      <c r="AU185" s="1"/>
      <c r="AV185" s="1"/>
      <c r="AW185" s="1"/>
      <c r="AX185" s="1"/>
      <c r="AY185" s="1"/>
      <c r="AZ185" s="4"/>
      <c r="BA185" s="4"/>
      <c r="BB185" s="4"/>
      <c r="BC185" s="43"/>
      <c r="BD185" s="4"/>
      <c r="BE185" s="43"/>
      <c r="BF185" s="4"/>
      <c r="BG185" s="4"/>
      <c r="BH185" s="1"/>
      <c r="BI185" s="1"/>
    </row>
    <row r="186" spans="1:61" s="2" customFormat="1" ht="15.75" x14ac:dyDescent="0.25">
      <c r="A186" s="1"/>
      <c r="B186" s="1"/>
      <c r="C186" s="1"/>
      <c r="D186" s="1"/>
      <c r="S186" s="3"/>
      <c r="T186" s="4"/>
      <c r="U186" s="4"/>
      <c r="V186" s="4"/>
      <c r="W186" s="4"/>
      <c r="X186" s="4"/>
      <c r="Y186" s="4"/>
      <c r="Z186" s="4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S186" s="1"/>
      <c r="AT186" s="1"/>
      <c r="AU186" s="1"/>
      <c r="AV186" s="1"/>
      <c r="AW186" s="1"/>
      <c r="AX186" s="1"/>
      <c r="AY186" s="1"/>
      <c r="AZ186" s="4"/>
      <c r="BA186" s="4"/>
      <c r="BB186" s="4"/>
      <c r="BC186" s="43"/>
      <c r="BD186" s="4"/>
      <c r="BE186" s="43"/>
      <c r="BF186" s="4"/>
      <c r="BG186" s="4"/>
      <c r="BH186" s="1"/>
      <c r="BI186" s="1"/>
    </row>
    <row r="187" spans="1:61" s="2" customFormat="1" ht="15.75" x14ac:dyDescent="0.25">
      <c r="A187" s="1"/>
      <c r="B187" s="1"/>
      <c r="C187" s="1"/>
      <c r="D187" s="1"/>
      <c r="S187" s="3"/>
      <c r="T187" s="4"/>
      <c r="U187" s="4"/>
      <c r="V187" s="4"/>
      <c r="W187" s="4"/>
      <c r="X187" s="4"/>
      <c r="Y187" s="4"/>
      <c r="Z187" s="4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S187" s="1"/>
      <c r="AT187" s="1"/>
      <c r="AU187" s="1"/>
      <c r="AV187" s="1"/>
      <c r="AW187" s="1"/>
      <c r="AX187" s="1"/>
      <c r="AY187" s="1"/>
      <c r="AZ187" s="4"/>
      <c r="BA187" s="4"/>
      <c r="BB187" s="4"/>
      <c r="BC187" s="43"/>
      <c r="BD187" s="4"/>
      <c r="BE187" s="43"/>
      <c r="BF187" s="4"/>
      <c r="BG187" s="4"/>
      <c r="BH187" s="1"/>
      <c r="BI187" s="1"/>
    </row>
    <row r="188" spans="1:61" s="2" customFormat="1" ht="15.75" x14ac:dyDescent="0.25">
      <c r="A188" s="1"/>
      <c r="B188" s="1"/>
      <c r="C188" s="1"/>
      <c r="D188" s="1"/>
      <c r="S188" s="3"/>
      <c r="T188" s="4"/>
      <c r="U188" s="4"/>
      <c r="V188" s="4"/>
      <c r="W188" s="4"/>
      <c r="X188" s="4"/>
      <c r="Y188" s="4"/>
      <c r="Z188" s="4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S188" s="1"/>
      <c r="AT188" s="1"/>
      <c r="AU188" s="1"/>
      <c r="AV188" s="1"/>
      <c r="AW188" s="1"/>
      <c r="AX188" s="1"/>
      <c r="AY188" s="1"/>
      <c r="AZ188" s="4"/>
      <c r="BA188" s="4"/>
      <c r="BB188" s="4"/>
      <c r="BC188" s="43"/>
      <c r="BD188" s="4"/>
      <c r="BE188" s="43"/>
      <c r="BF188" s="4"/>
      <c r="BG188" s="4"/>
      <c r="BH188" s="1"/>
      <c r="BI188" s="1"/>
    </row>
    <row r="189" spans="1:61" s="2" customFormat="1" ht="15.75" x14ac:dyDescent="0.25">
      <c r="A189" s="1"/>
      <c r="B189" s="1"/>
      <c r="C189" s="1"/>
      <c r="D189" s="1"/>
      <c r="S189" s="3"/>
      <c r="T189" s="4"/>
      <c r="U189" s="4"/>
      <c r="V189" s="4"/>
      <c r="W189" s="4"/>
      <c r="X189" s="4"/>
      <c r="Y189" s="4"/>
      <c r="Z189" s="4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S189" s="1"/>
      <c r="AT189" s="1"/>
      <c r="AU189" s="1"/>
      <c r="AV189" s="1"/>
      <c r="AW189" s="1"/>
      <c r="AX189" s="1"/>
      <c r="AY189" s="1"/>
      <c r="AZ189" s="4"/>
      <c r="BA189" s="4"/>
      <c r="BB189" s="4"/>
      <c r="BC189" s="43"/>
      <c r="BD189" s="4"/>
      <c r="BE189" s="43"/>
      <c r="BF189" s="4"/>
      <c r="BG189" s="4"/>
      <c r="BH189" s="1"/>
      <c r="BI189" s="1"/>
    </row>
    <row r="190" spans="1:61" s="2" customFormat="1" ht="15.75" x14ac:dyDescent="0.25">
      <c r="A190" s="1"/>
      <c r="B190" s="1"/>
      <c r="C190" s="1"/>
      <c r="D190" s="1"/>
      <c r="S190" s="3"/>
      <c r="T190" s="4"/>
      <c r="U190" s="4"/>
      <c r="V190" s="4"/>
      <c r="W190" s="4"/>
      <c r="X190" s="4"/>
      <c r="Y190" s="4"/>
      <c r="Z190" s="4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S190" s="1"/>
      <c r="AT190" s="1"/>
      <c r="AU190" s="1"/>
      <c r="AV190" s="1"/>
      <c r="AW190" s="1"/>
      <c r="AX190" s="1"/>
      <c r="AY190" s="1"/>
      <c r="AZ190" s="4"/>
      <c r="BA190" s="4"/>
      <c r="BB190" s="4"/>
      <c r="BC190" s="43"/>
      <c r="BD190" s="4"/>
      <c r="BE190" s="43"/>
      <c r="BF190" s="4"/>
      <c r="BG190" s="4"/>
      <c r="BH190" s="1"/>
      <c r="BI190" s="1"/>
    </row>
    <row r="191" spans="1:61" s="2" customFormat="1" ht="15.75" x14ac:dyDescent="0.25">
      <c r="A191" s="1"/>
      <c r="B191" s="1"/>
      <c r="C191" s="1"/>
      <c r="D191" s="1"/>
      <c r="S191" s="3"/>
      <c r="T191" s="4"/>
      <c r="U191" s="4"/>
      <c r="V191" s="4"/>
      <c r="W191" s="4"/>
      <c r="X191" s="4"/>
      <c r="Y191" s="4"/>
      <c r="Z191" s="4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S191" s="1"/>
      <c r="AT191" s="1"/>
      <c r="AU191" s="1"/>
      <c r="AV191" s="1"/>
      <c r="AW191" s="1"/>
      <c r="AX191" s="1"/>
      <c r="AY191" s="1"/>
      <c r="AZ191" s="4"/>
      <c r="BA191" s="4"/>
      <c r="BB191" s="4"/>
      <c r="BC191" s="43"/>
      <c r="BD191" s="4"/>
      <c r="BE191" s="43"/>
      <c r="BF191" s="4"/>
      <c r="BG191" s="4"/>
      <c r="BH191" s="1"/>
      <c r="BI191" s="1"/>
    </row>
    <row r="192" spans="1:61" s="2" customFormat="1" ht="15.75" x14ac:dyDescent="0.25">
      <c r="A192" s="1"/>
      <c r="B192" s="1"/>
      <c r="C192" s="1"/>
      <c r="D192" s="1"/>
      <c r="S192" s="3"/>
      <c r="T192" s="4"/>
      <c r="U192" s="4"/>
      <c r="V192" s="4"/>
      <c r="W192" s="4"/>
      <c r="X192" s="4"/>
      <c r="Y192" s="4"/>
      <c r="Z192" s="4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S192" s="1"/>
      <c r="AT192" s="1"/>
      <c r="AU192" s="1"/>
      <c r="AV192" s="1"/>
      <c r="AW192" s="1"/>
      <c r="AX192" s="1"/>
      <c r="AY192" s="1"/>
      <c r="AZ192" s="4"/>
      <c r="BA192" s="4"/>
      <c r="BB192" s="4"/>
      <c r="BC192" s="43"/>
      <c r="BD192" s="4"/>
      <c r="BE192" s="43"/>
      <c r="BF192" s="4"/>
      <c r="BG192" s="4"/>
      <c r="BH192" s="1"/>
      <c r="BI192" s="1"/>
    </row>
    <row r="193" spans="1:61" s="2" customFormat="1" ht="15.75" x14ac:dyDescent="0.25">
      <c r="A193" s="1"/>
      <c r="B193" s="1"/>
      <c r="C193" s="1"/>
      <c r="D193" s="1"/>
      <c r="S193" s="3"/>
      <c r="T193" s="4"/>
      <c r="U193" s="4"/>
      <c r="V193" s="4"/>
      <c r="W193" s="4"/>
      <c r="X193" s="4"/>
      <c r="Y193" s="4"/>
      <c r="Z193" s="4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S193" s="1"/>
      <c r="AT193" s="1"/>
      <c r="AU193" s="1"/>
      <c r="AV193" s="1"/>
      <c r="AW193" s="1"/>
      <c r="AX193" s="1"/>
      <c r="AY193" s="1"/>
      <c r="AZ193" s="4"/>
      <c r="BA193" s="4"/>
      <c r="BB193" s="4"/>
      <c r="BC193" s="43"/>
      <c r="BD193" s="4"/>
      <c r="BE193" s="43"/>
      <c r="BF193" s="4"/>
      <c r="BG193" s="4"/>
      <c r="BH193" s="1"/>
      <c r="BI193" s="1"/>
    </row>
    <row r="194" spans="1:61" s="2" customFormat="1" ht="15.75" x14ac:dyDescent="0.25">
      <c r="A194" s="1"/>
      <c r="B194" s="1"/>
      <c r="C194" s="1"/>
      <c r="D194" s="1"/>
      <c r="S194" s="3"/>
      <c r="T194" s="4"/>
      <c r="U194" s="4"/>
      <c r="V194" s="4"/>
      <c r="W194" s="4"/>
      <c r="X194" s="4"/>
      <c r="Y194" s="4"/>
      <c r="Z194" s="4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S194" s="1"/>
      <c r="AT194" s="1"/>
      <c r="AU194" s="1"/>
      <c r="AV194" s="1"/>
      <c r="AW194" s="1"/>
      <c r="AX194" s="1"/>
      <c r="AY194" s="1"/>
      <c r="AZ194" s="4"/>
      <c r="BA194" s="4"/>
      <c r="BB194" s="4"/>
      <c r="BC194" s="43"/>
      <c r="BD194" s="4"/>
      <c r="BE194" s="43"/>
      <c r="BF194" s="4"/>
      <c r="BG194" s="4"/>
      <c r="BH194" s="1"/>
      <c r="BI194" s="1"/>
    </row>
    <row r="195" spans="1:61" s="2" customFormat="1" ht="15.75" x14ac:dyDescent="0.25">
      <c r="A195" s="1"/>
      <c r="B195" s="1"/>
      <c r="C195" s="1"/>
      <c r="D195" s="1"/>
      <c r="S195" s="3"/>
      <c r="T195" s="4"/>
      <c r="U195" s="4"/>
      <c r="V195" s="4"/>
      <c r="W195" s="4"/>
      <c r="X195" s="4"/>
      <c r="Y195" s="4"/>
      <c r="Z195" s="4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S195" s="1"/>
      <c r="AT195" s="1"/>
      <c r="AU195" s="1"/>
      <c r="AV195" s="1"/>
      <c r="AW195" s="1"/>
      <c r="AX195" s="1"/>
      <c r="AY195" s="1"/>
      <c r="AZ195" s="4"/>
      <c r="BA195" s="4"/>
      <c r="BB195" s="4"/>
      <c r="BC195" s="43"/>
      <c r="BD195" s="4"/>
      <c r="BE195" s="43"/>
      <c r="BF195" s="4"/>
      <c r="BG195" s="4"/>
      <c r="BH195" s="1"/>
      <c r="BI195" s="1"/>
    </row>
    <row r="196" spans="1:61" s="2" customFormat="1" ht="15.75" x14ac:dyDescent="0.25">
      <c r="A196" s="1"/>
      <c r="B196" s="1"/>
      <c r="C196" s="1"/>
      <c r="D196" s="1"/>
      <c r="S196" s="3"/>
      <c r="T196" s="4"/>
      <c r="U196" s="4"/>
      <c r="V196" s="4"/>
      <c r="W196" s="4"/>
      <c r="X196" s="4"/>
      <c r="Y196" s="4"/>
      <c r="Z196" s="4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S196" s="1"/>
      <c r="AT196" s="1"/>
      <c r="AU196" s="1"/>
      <c r="AV196" s="1"/>
      <c r="AW196" s="1"/>
      <c r="AX196" s="1"/>
      <c r="AY196" s="1"/>
      <c r="AZ196" s="4"/>
      <c r="BA196" s="4"/>
      <c r="BB196" s="4"/>
      <c r="BC196" s="43"/>
      <c r="BD196" s="4"/>
      <c r="BE196" s="43"/>
      <c r="BF196" s="4"/>
      <c r="BG196" s="4"/>
      <c r="BH196" s="1"/>
      <c r="BI196" s="1"/>
    </row>
    <row r="197" spans="1:61" s="2" customFormat="1" ht="15.75" x14ac:dyDescent="0.25">
      <c r="A197" s="1"/>
      <c r="B197" s="1"/>
      <c r="C197" s="1"/>
      <c r="D197" s="1"/>
      <c r="S197" s="3"/>
      <c r="T197" s="4"/>
      <c r="U197" s="4"/>
      <c r="V197" s="4"/>
      <c r="W197" s="4"/>
      <c r="X197" s="4"/>
      <c r="Y197" s="4"/>
      <c r="Z197" s="4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S197" s="1"/>
      <c r="AT197" s="1"/>
      <c r="AU197" s="1"/>
      <c r="AV197" s="1"/>
      <c r="AW197" s="1"/>
      <c r="AX197" s="1"/>
      <c r="AY197" s="1"/>
      <c r="AZ197" s="4"/>
      <c r="BA197" s="4"/>
      <c r="BB197" s="4"/>
      <c r="BC197" s="43"/>
      <c r="BD197" s="4"/>
      <c r="BE197" s="43"/>
      <c r="BF197" s="4"/>
      <c r="BG197" s="4"/>
      <c r="BH197" s="1"/>
      <c r="BI197" s="1"/>
    </row>
    <row r="198" spans="1:61" s="2" customFormat="1" ht="15.75" x14ac:dyDescent="0.25">
      <c r="A198" s="1"/>
      <c r="B198" s="1"/>
      <c r="C198" s="1"/>
      <c r="D198" s="1"/>
      <c r="S198" s="3"/>
      <c r="T198" s="4"/>
      <c r="U198" s="4"/>
      <c r="V198" s="4"/>
      <c r="W198" s="4"/>
      <c r="X198" s="4"/>
      <c r="Y198" s="4"/>
      <c r="Z198" s="4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S198" s="1"/>
      <c r="AT198" s="1"/>
      <c r="AU198" s="1"/>
      <c r="AV198" s="1"/>
      <c r="AW198" s="1"/>
      <c r="AX198" s="1"/>
      <c r="AY198" s="1"/>
      <c r="AZ198" s="4"/>
      <c r="BA198" s="4"/>
      <c r="BB198" s="4"/>
      <c r="BC198" s="43"/>
      <c r="BD198" s="4"/>
      <c r="BE198" s="43"/>
      <c r="BF198" s="4"/>
      <c r="BG198" s="4"/>
      <c r="BH198" s="1"/>
      <c r="BI198" s="1"/>
    </row>
    <row r="199" spans="1:61" s="2" customFormat="1" ht="15.75" x14ac:dyDescent="0.25">
      <c r="A199" s="1"/>
      <c r="B199" s="1"/>
      <c r="C199" s="1"/>
      <c r="D199" s="1"/>
      <c r="S199" s="3"/>
      <c r="T199" s="4"/>
      <c r="U199" s="4"/>
      <c r="V199" s="4"/>
      <c r="W199" s="4"/>
      <c r="X199" s="4"/>
      <c r="Y199" s="4"/>
      <c r="Z199" s="4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S199" s="1"/>
      <c r="AT199" s="1"/>
      <c r="AU199" s="1"/>
      <c r="AV199" s="1"/>
      <c r="AW199" s="1"/>
      <c r="AX199" s="1"/>
      <c r="AY199" s="1"/>
      <c r="AZ199" s="4"/>
      <c r="BA199" s="4"/>
      <c r="BB199" s="4"/>
      <c r="BC199" s="43"/>
      <c r="BD199" s="4"/>
      <c r="BE199" s="43"/>
      <c r="BF199" s="4"/>
      <c r="BG199" s="4"/>
      <c r="BH199" s="1"/>
      <c r="BI199" s="1"/>
    </row>
    <row r="200" spans="1:61" s="2" customFormat="1" ht="15.75" x14ac:dyDescent="0.25">
      <c r="A200" s="1"/>
      <c r="B200" s="1"/>
      <c r="C200" s="1"/>
      <c r="D200" s="1"/>
      <c r="S200" s="3"/>
      <c r="T200" s="4"/>
      <c r="U200" s="4"/>
      <c r="V200" s="4"/>
      <c r="W200" s="4"/>
      <c r="X200" s="4"/>
      <c r="Y200" s="4"/>
      <c r="Z200" s="4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S200" s="1"/>
      <c r="AT200" s="1"/>
      <c r="AU200" s="1"/>
      <c r="AV200" s="1"/>
      <c r="AW200" s="1"/>
      <c r="AX200" s="1"/>
      <c r="AY200" s="1"/>
      <c r="AZ200" s="4"/>
      <c r="BA200" s="4"/>
      <c r="BB200" s="4"/>
      <c r="BC200" s="43"/>
      <c r="BD200" s="4"/>
      <c r="BE200" s="43"/>
      <c r="BF200" s="4"/>
      <c r="BG200" s="4"/>
      <c r="BH200" s="1"/>
      <c r="BI200" s="1"/>
    </row>
    <row r="201" spans="1:61" s="2" customFormat="1" ht="15.75" x14ac:dyDescent="0.25">
      <c r="A201" s="1"/>
      <c r="B201" s="1"/>
      <c r="C201" s="1"/>
      <c r="D201" s="1"/>
      <c r="S201" s="3"/>
      <c r="T201" s="4"/>
      <c r="U201" s="4"/>
      <c r="V201" s="4"/>
      <c r="W201" s="4"/>
      <c r="X201" s="4"/>
      <c r="Y201" s="4"/>
      <c r="Z201" s="4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S201" s="1"/>
      <c r="AT201" s="1"/>
      <c r="AU201" s="1"/>
      <c r="AV201" s="1"/>
      <c r="AW201" s="1"/>
      <c r="AX201" s="1"/>
      <c r="AY201" s="1"/>
      <c r="AZ201" s="4"/>
      <c r="BA201" s="4"/>
      <c r="BB201" s="4"/>
      <c r="BC201" s="43"/>
      <c r="BD201" s="4"/>
      <c r="BE201" s="43"/>
      <c r="BF201" s="4"/>
      <c r="BG201" s="4"/>
      <c r="BH201" s="1"/>
      <c r="BI201" s="1"/>
    </row>
    <row r="202" spans="1:61" s="2" customFormat="1" ht="15.75" x14ac:dyDescent="0.25">
      <c r="A202" s="1"/>
      <c r="B202" s="1"/>
      <c r="C202" s="1"/>
      <c r="D202" s="1"/>
      <c r="S202" s="3"/>
      <c r="T202" s="4"/>
      <c r="U202" s="4"/>
      <c r="V202" s="4"/>
      <c r="W202" s="4"/>
      <c r="X202" s="4"/>
      <c r="Y202" s="4"/>
      <c r="Z202" s="4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S202" s="1"/>
      <c r="AT202" s="1"/>
      <c r="AU202" s="1"/>
      <c r="AV202" s="1"/>
      <c r="AW202" s="1"/>
      <c r="AX202" s="1"/>
      <c r="AY202" s="1"/>
      <c r="AZ202" s="4"/>
      <c r="BA202" s="4"/>
      <c r="BB202" s="4"/>
      <c r="BC202" s="43"/>
      <c r="BD202" s="4"/>
      <c r="BE202" s="43"/>
      <c r="BF202" s="4"/>
      <c r="BG202" s="4"/>
      <c r="BH202" s="1"/>
      <c r="BI202" s="1"/>
    </row>
    <row r="203" spans="1:61" s="2" customFormat="1" ht="15.75" x14ac:dyDescent="0.25">
      <c r="A203" s="1"/>
      <c r="B203" s="1"/>
      <c r="C203" s="1"/>
      <c r="D203" s="1"/>
      <c r="S203" s="3"/>
      <c r="T203" s="4"/>
      <c r="U203" s="4"/>
      <c r="V203" s="4"/>
      <c r="W203" s="4"/>
      <c r="X203" s="4"/>
      <c r="Y203" s="4"/>
      <c r="Z203" s="4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S203" s="1"/>
      <c r="AT203" s="1"/>
      <c r="AU203" s="1"/>
      <c r="AV203" s="1"/>
      <c r="AW203" s="1"/>
      <c r="AX203" s="1"/>
      <c r="AY203" s="1"/>
      <c r="AZ203" s="4"/>
      <c r="BA203" s="4"/>
      <c r="BB203" s="4"/>
      <c r="BC203" s="43"/>
      <c r="BD203" s="4"/>
      <c r="BE203" s="43"/>
      <c r="BF203" s="4"/>
      <c r="BG203" s="4"/>
      <c r="BH203" s="1"/>
      <c r="BI203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B13" sqref="B13"/>
    </sheetView>
  </sheetViews>
  <sheetFormatPr defaultRowHeight="15.75" x14ac:dyDescent="0.25"/>
  <cols>
    <col min="1" max="1" width="22.42578125" style="53" customWidth="1"/>
    <col min="2" max="2" width="71.5703125" style="53" customWidth="1"/>
    <col min="3" max="16384" width="9.140625" style="53"/>
  </cols>
  <sheetData>
    <row r="2" spans="1:2" x14ac:dyDescent="0.25">
      <c r="A2" s="10" t="s">
        <v>96</v>
      </c>
      <c r="B2" s="10" t="s">
        <v>97</v>
      </c>
    </row>
    <row r="3" spans="1:2" x14ac:dyDescent="0.25">
      <c r="A3" s="28" t="s">
        <v>98</v>
      </c>
      <c r="B3" s="47" t="s">
        <v>136</v>
      </c>
    </row>
    <row r="4" spans="1:2" x14ac:dyDescent="0.25">
      <c r="A4" s="28" t="s">
        <v>99</v>
      </c>
      <c r="B4" s="48">
        <v>551</v>
      </c>
    </row>
    <row r="5" spans="1:2" x14ac:dyDescent="0.25">
      <c r="A5" s="28" t="s">
        <v>100</v>
      </c>
      <c r="B5" s="47" t="s">
        <v>53</v>
      </c>
    </row>
    <row r="6" spans="1:2" x14ac:dyDescent="0.25">
      <c r="A6" s="28" t="s">
        <v>101</v>
      </c>
      <c r="B6" s="47" t="s">
        <v>162</v>
      </c>
    </row>
    <row r="7" spans="1:2" x14ac:dyDescent="0.25">
      <c r="A7" s="28" t="s">
        <v>123</v>
      </c>
      <c r="B7" s="47">
        <v>1</v>
      </c>
    </row>
    <row r="8" spans="1:2" x14ac:dyDescent="0.25">
      <c r="A8" s="54" t="s">
        <v>163</v>
      </c>
      <c r="B8" t="s">
        <v>164</v>
      </c>
    </row>
    <row r="9" spans="1:2" x14ac:dyDescent="0.25">
      <c r="A9" s="54" t="s">
        <v>165</v>
      </c>
      <c r="B9" s="54"/>
    </row>
    <row r="10" spans="1:2" x14ac:dyDescent="0.25">
      <c r="A10" s="55" t="s">
        <v>136</v>
      </c>
      <c r="B10" t="s">
        <v>164</v>
      </c>
    </row>
    <row r="11" spans="1:2" x14ac:dyDescent="0.25">
      <c r="A11" s="54" t="s">
        <v>165</v>
      </c>
      <c r="B11" s="5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2025-09-09T05:42:30Z</dcterms:modified>
</cp:coreProperties>
</file>