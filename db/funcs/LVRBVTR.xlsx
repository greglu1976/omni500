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J7" i="6" l="1"/>
  <c r="I9" i="5"/>
  <c r="I10" i="5"/>
  <c r="I11" i="5"/>
  <c r="I12" i="5"/>
  <c r="BH4" i="6"/>
  <c r="AW4" i="6"/>
  <c r="K4" i="6"/>
  <c r="J4" i="6"/>
  <c r="AP6" i="5" l="1"/>
  <c r="AP5" i="5" l="1"/>
  <c r="AP8" i="5"/>
  <c r="BH7" i="6" l="1"/>
  <c r="AW7" i="6"/>
  <c r="AQ7" i="6"/>
  <c r="K7" i="6"/>
  <c r="BH6" i="6"/>
  <c r="AW6" i="6"/>
  <c r="AQ6" i="6"/>
  <c r="K6" i="6"/>
  <c r="J6" i="6"/>
  <c r="BH5" i="6"/>
  <c r="AW5" i="6"/>
  <c r="AQ5" i="6"/>
  <c r="K5" i="6"/>
  <c r="J5" i="6"/>
  <c r="BH3" i="6"/>
  <c r="AW3" i="6"/>
  <c r="K3" i="6"/>
  <c r="J3" i="6"/>
  <c r="BG8" i="5"/>
  <c r="J8" i="5"/>
  <c r="I8" i="5"/>
  <c r="BG7" i="5"/>
  <c r="J7" i="5"/>
  <c r="I7" i="5"/>
  <c r="BG6" i="5"/>
  <c r="J6" i="5"/>
  <c r="I6" i="5"/>
  <c r="BG5" i="5"/>
  <c r="J5" i="5"/>
  <c r="I5" i="5"/>
  <c r="BG4" i="5"/>
  <c r="J4" i="5"/>
  <c r="I4" i="5"/>
  <c r="BG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J8" i="4"/>
  <c r="I8" i="4"/>
  <c r="BG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<sst xmlns="http://schemas.openxmlformats.org/spreadsheetml/2006/main" count="606" uniqueCount="208">
  <si>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</si>
  <si>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</si>
  <si>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</si>
  <si>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</si>
  <si>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</si>
  <si>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</si>
  <si>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</si>
  <si>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</si>
  <si>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</si>
  <si>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</si>
  <si>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</si>
  <si>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</si>
  <si>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</si>
  <si>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</si>
  <si>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</si>
  <si>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</si>
  <si>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</si>
  <si>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</si>
  <si>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</si>
  <si>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</si>
  <si>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</si>
  <si>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</si>
  <si>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</si>
  <si>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</si>
  <si>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</si>
  <si>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</si>
  <si>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</si>
  <si>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</si>
  <si>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</si>
  <si>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</si>
  <si>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</si>
  <si>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</si>
  <si>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</si>
  <si>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</si>
  <si>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</si>
  <si>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</si>
  <si>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</si>
  <si>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</si>
  <si>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</si>
  <si>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</si>
  <si>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</si>
  <si>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</si>
  <si>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</si>
  <si>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</si>
  <si>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</si>
  <si>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</si>
  <si>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</si>
  <si>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</si>
  <si>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</si>
  <si>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</si>
  <si>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</si>
  <si>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</si>
  <si>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</si>
  <si>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</si>
  <si>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</si>
  <si>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</si>
  <si>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</si>
  <si>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</si>
  <si>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</si>
  <si>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</si>
  <si>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</si>
  <si>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</si>
  <si>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</si>
  <si>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</si>
  <si>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</si>
  <si>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</si>
  <si>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</si>
  <si>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</si>
  <si>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</si>
  <si>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</si>
  <si>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</si>
  <si>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</si>
  <si>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</si>
  <si>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</si>
  <si>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</si>
  <si>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</si>
  <si>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</si>
  <si>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</si>
  <si>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</si>
  <si>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</si>
  <si>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</si>
  <si>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</si>
  <si>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</si>
  <si>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</si>
  <si>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</si>
  <si>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</si>
  <si>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</si>
  <si>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</si>
  <si>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</si>
  <si>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</si>
  <si>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</si>
  <si>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</si>
  <si>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</si>
  <si>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</si>
  <si>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</si>
  <si>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</si>
  <si>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</si>
  <si>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</si>
  <si>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</si>
  <si>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</si>
  <si>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</si>
  <si>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</si>
  <si>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</si>
  <si>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</si>
  <si>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</si>
  <si>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</si>
  <si>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</si>
  <si>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</si>
  <si>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</si>
  <si>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</si>
  <si>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</si>
  <si>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</si>
  <si>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</si>
  <si>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</si>
  <si>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</si>
  <si>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</si>
  <si>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Действующее значение 1 гармоники напряжения Uab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</si>
  <si>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</si>
  <si>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</si>
  <si>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</si>
  <si>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</si>
  <si>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</si>
  <si>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</si>
  <si>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magU2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</si>
  <si>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</si>
  <si>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</si>
  <si>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</si>
  <si>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</si>
  <si>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</si>
  <si>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</si>
  <si>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</si>
  <si>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</si>
  <si>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</si>
  <si>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</si>
  <si>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</si>
  <si>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</si>
  <si>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</si>
  <si>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</si>
  <si>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</si>
  <si>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</si>
  <si>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</si>
  <si>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</si>
  <si>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Uab (1гарм)</t>
  </si>
  <si>
    <t>Ubc (1гарм)</t>
  </si>
  <si>
    <t>Действующее значение напряжения обратной последовательности</t>
  </si>
  <si>
    <t>U2 (1гарм)</t>
  </si>
  <si>
    <t>Неисправность цепей напряжения</t>
  </si>
  <si>
    <t>Uca (1гарм)</t>
  </si>
  <si>
    <t>Tср</t>
  </si>
  <si>
    <t>FbVersion</t>
  </si>
  <si>
    <t>SG</t>
  </si>
  <si>
    <t>Оперативный вывод функции КЦН НН</t>
  </si>
  <si>
    <t>ОВ КЦН НН</t>
  </si>
  <si>
    <t>LVRBVTR_operOutFunction</t>
  </si>
  <si>
    <t>КЦН НН</t>
  </si>
  <si>
    <t>Срабатывание внешнего БНН</t>
  </si>
  <si>
    <t>Сраб БНН внеш</t>
  </si>
  <si>
    <t>OutBlkV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</si>
  <si>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</si>
  <si>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</si>
  <si>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</si>
  <si>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</si>
  <si>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</si>
  <si>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</si>
  <si>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</si>
  <si>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</si>
  <si>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</si>
  <si>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</si>
  <si>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</si>
  <si>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</si>
  <si>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</si>
  <si>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</si>
  <si>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</si>
  <si>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</si>
  <si>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</si>
  <si>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</si>
  <si>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</si>
  <si>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</si>
  <si>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</si>
  <si>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</si>
  <si>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</si>
  <si>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</si>
  <si>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</si>
  <si>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</si>
  <si>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</si>
  <si>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</si>
  <si>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LVRBVTR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</si>
  <si>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</si>
  <si>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</si>
  <si>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</si>
  <si>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</si>
  <si>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</si>
  <si>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</si>
  <si>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0 - Внутренний, 1 - Внешний</t>
  </si>
  <si>
    <t>Internal_External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</si>
  <si>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</si>
  <si>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</si>
  <si>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</si>
  <si>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</si>
  <si>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</si>
  <si>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</si>
  <si>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</si>
  <si>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</si>
  <si>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Сигнализация неисправности цепей напряжения стороны НН</t>
  </si>
  <si>
    <t>Сигнализация неисправности цепей напряжения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</si>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</sst>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tabSelected="1" topLeftCell="AO1" zoomScale="80" zoomScaleNormal="80" workbookViewId="0">
      <selection activeCell="AX18" sqref="AX18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65.28515625" style="57" bestFit="1" customWidth="1"/>
    <col min="6" max="7" width="21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19" style="57" customWidth="1"/>
    <col min="11" max="11" width="25.7109375" style="57" bestFit="1" customWidth="1"/>
    <col min="12" max="12" width="9.42578125" style="57" customWidth="1"/>
    <col min="13" max="13" width="13.85546875" style="57" customWidth="1" outlineLevel="1"/>
    <col min="14" max="14" width="14.28515625" style="57" customWidth="1" outlineLevel="1"/>
    <col min="15" max="15" width="8.85546875" style="57" bestFit="1" customWidth="1" outlineLevel="1"/>
    <col min="16" max="17" width="19" style="57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7" customWidth="1"/>
    <col min="37" max="37" width="26" style="57" customWidth="1"/>
    <col min="38" max="38" width="21.28515625" style="57" customWidth="1"/>
    <col min="39" max="40" width="21.85546875" style="57" customWidth="1"/>
    <col min="41" max="41" width="11.28515625" style="57" customWidth="1"/>
    <col min="42" max="42" width="20.28515625" style="57" customWidth="1"/>
    <col min="43" max="43" width="17.28515625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94.28515625" style="24" bestFit="1" customWidth="1" collapsed="1"/>
    <col min="60" max="16384" width="9.140625" style="24"/>
  </cols>
  <sheetData>
    <row r="1" spans="1:16379" ht="15.75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2" t="s">
        <v>0</v>
      </c>
      <c r="BA1" s="83"/>
      <c r="BB1" s="83"/>
      <c r="BC1" s="83"/>
      <c r="BD1" s="83"/>
      <c r="BE1" s="83"/>
      <c r="BF1" s="83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5" t="s">
        <v>197</v>
      </c>
      <c r="AW2" s="75" t="s">
        <v>198</v>
      </c>
      <c r="AX2" s="75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69" customFormat="1" ht="16.5" customHeight="1" x14ac:dyDescent="0.25">
      <c r="A3" s="45"/>
      <c r="B3" s="45" t="s">
        <v>50</v>
      </c>
      <c r="C3" s="46"/>
      <c r="D3" s="70"/>
      <c r="E3" s="47" t="s">
        <v>116</v>
      </c>
      <c r="F3" s="60" t="s">
        <v>142</v>
      </c>
      <c r="G3" s="60" t="s">
        <v>142</v>
      </c>
      <c r="H3" s="47"/>
      <c r="I3" s="47">
        <f t="shared" ref="I3:I6" si="0">LEN(F3)</f>
        <v>11</v>
      </c>
      <c r="J3" s="47" t="str">
        <f t="shared" ref="J3:J6" si="1">IF(LEN(F3)&lt;=$J$1,F3,"")</f>
        <v>Uab (1гарм)</v>
      </c>
      <c r="K3" s="45" t="s">
        <v>117</v>
      </c>
      <c r="L3" s="48" t="s">
        <v>118</v>
      </c>
      <c r="M3" s="46" t="s">
        <v>51</v>
      </c>
      <c r="N3" s="46" t="s">
        <v>52</v>
      </c>
      <c r="O3" s="46"/>
      <c r="P3" s="49"/>
      <c r="Q3" s="49"/>
      <c r="R3" s="46" t="s">
        <v>124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1"/>
      <c r="AK3" s="51"/>
      <c r="AL3" s="51"/>
      <c r="AM3" s="51"/>
      <c r="AN3" s="51"/>
      <c r="AO3" s="51"/>
      <c r="AP3" s="51"/>
      <c r="AQ3" s="51"/>
      <c r="AR3" s="59">
        <v>0</v>
      </c>
      <c r="AS3" s="59">
        <v>0</v>
      </c>
      <c r="AT3" s="59">
        <v>0</v>
      </c>
      <c r="AU3" s="59">
        <v>0</v>
      </c>
      <c r="AV3" s="59">
        <f t="shared" ref="AV3:AV6" si="2">BIN2DEC(CONCATENATE(0,0,0,0,AR3,AS3,AT3,AU3))</f>
        <v>0</v>
      </c>
      <c r="AW3" s="59">
        <v>0</v>
      </c>
      <c r="AX3" s="59">
        <v>0</v>
      </c>
      <c r="AY3" s="59"/>
      <c r="AZ3" s="49"/>
      <c r="BA3" s="59"/>
      <c r="BB3" s="59"/>
      <c r="BC3" s="52"/>
      <c r="BD3" s="59"/>
      <c r="BE3" s="53"/>
      <c r="BF3" s="59"/>
      <c r="BG3" s="54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3" s="55"/>
    </row>
    <row r="4" spans="1:16379" s="69" customFormat="1" ht="16.5" customHeight="1" x14ac:dyDescent="0.25">
      <c r="A4" s="45"/>
      <c r="B4" s="45" t="s">
        <v>50</v>
      </c>
      <c r="C4" s="46"/>
      <c r="D4" s="70"/>
      <c r="E4" s="47" t="s">
        <v>119</v>
      </c>
      <c r="F4" s="60" t="s">
        <v>143</v>
      </c>
      <c r="G4" s="60" t="s">
        <v>143</v>
      </c>
      <c r="H4" s="47"/>
      <c r="I4" s="47">
        <f t="shared" si="0"/>
        <v>11</v>
      </c>
      <c r="J4" s="47" t="str">
        <f t="shared" si="1"/>
        <v>Ubc (1гарм)</v>
      </c>
      <c r="K4" s="45" t="s">
        <v>120</v>
      </c>
      <c r="L4" s="48" t="s">
        <v>118</v>
      </c>
      <c r="M4" s="46" t="s">
        <v>51</v>
      </c>
      <c r="N4" s="46" t="s">
        <v>52</v>
      </c>
      <c r="O4" s="46"/>
      <c r="P4" s="49"/>
      <c r="Q4" s="49"/>
      <c r="R4" s="46" t="s">
        <v>124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1"/>
      <c r="AK4" s="51"/>
      <c r="AL4" s="51"/>
      <c r="AM4" s="51"/>
      <c r="AN4" s="51"/>
      <c r="AO4" s="51"/>
      <c r="AP4" s="51"/>
      <c r="AQ4" s="51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>
        <v>0</v>
      </c>
      <c r="AX4" s="59">
        <v>0</v>
      </c>
      <c r="AY4" s="59"/>
      <c r="AZ4" s="49"/>
      <c r="BA4" s="59"/>
      <c r="BB4" s="59"/>
      <c r="BC4" s="52"/>
      <c r="BD4" s="59"/>
      <c r="BE4" s="53"/>
      <c r="BF4" s="59"/>
      <c r="BG4" s="54" t="str">
        <f t="shared" si="3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4" s="55"/>
    </row>
    <row r="5" spans="1:16379" s="69" customFormat="1" ht="16.5" customHeight="1" x14ac:dyDescent="0.25">
      <c r="A5" s="45"/>
      <c r="B5" s="45" t="s">
        <v>50</v>
      </c>
      <c r="C5" s="46"/>
      <c r="D5" s="70"/>
      <c r="E5" s="47" t="s">
        <v>121</v>
      </c>
      <c r="F5" s="60" t="s">
        <v>147</v>
      </c>
      <c r="G5" s="60" t="s">
        <v>147</v>
      </c>
      <c r="H5" s="47"/>
      <c r="I5" s="47">
        <f t="shared" si="0"/>
        <v>11</v>
      </c>
      <c r="J5" s="47" t="str">
        <f t="shared" si="1"/>
        <v>Uca (1гарм)</v>
      </c>
      <c r="K5" s="45" t="s">
        <v>122</v>
      </c>
      <c r="L5" s="48" t="s">
        <v>118</v>
      </c>
      <c r="M5" s="46" t="s">
        <v>51</v>
      </c>
      <c r="N5" s="46" t="s">
        <v>52</v>
      </c>
      <c r="O5" s="46"/>
      <c r="P5" s="49"/>
      <c r="Q5" s="49"/>
      <c r="R5" s="46" t="s">
        <v>124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/>
      <c r="AJ5" s="51"/>
      <c r="AK5" s="51"/>
      <c r="AL5" s="51"/>
      <c r="AM5" s="51"/>
      <c r="AN5" s="51"/>
      <c r="AO5" s="51"/>
      <c r="AP5" s="51"/>
      <c r="AQ5" s="51"/>
      <c r="AR5" s="59">
        <v>0</v>
      </c>
      <c r="AS5" s="59">
        <v>0</v>
      </c>
      <c r="AT5" s="59">
        <v>0</v>
      </c>
      <c r="AU5" s="59">
        <v>0</v>
      </c>
      <c r="AV5" s="59">
        <f t="shared" si="2"/>
        <v>0</v>
      </c>
      <c r="AW5" s="59">
        <v>0</v>
      </c>
      <c r="AX5" s="59">
        <v>0</v>
      </c>
      <c r="AY5" s="59"/>
      <c r="AZ5" s="49"/>
      <c r="BA5" s="59"/>
      <c r="BB5" s="59"/>
      <c r="BC5" s="52"/>
      <c r="BD5" s="59"/>
      <c r="BE5" s="53"/>
      <c r="BF5" s="59"/>
      <c r="BG5" s="54" t="str">
        <f t="shared" si="3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5" s="55"/>
    </row>
    <row r="6" spans="1:16379" s="69" customFormat="1" ht="16.5" customHeight="1" x14ac:dyDescent="0.25">
      <c r="A6" s="45"/>
      <c r="B6" s="45" t="s">
        <v>50</v>
      </c>
      <c r="C6" s="46"/>
      <c r="D6" s="70"/>
      <c r="E6" s="47" t="s">
        <v>144</v>
      </c>
      <c r="F6" s="60" t="s">
        <v>145</v>
      </c>
      <c r="G6" s="60" t="s">
        <v>145</v>
      </c>
      <c r="H6" s="47"/>
      <c r="I6" s="47">
        <f t="shared" si="0"/>
        <v>10</v>
      </c>
      <c r="J6" s="47" t="str">
        <f t="shared" si="1"/>
        <v>U2 (1гарм)</v>
      </c>
      <c r="K6" s="45" t="s">
        <v>123</v>
      </c>
      <c r="L6" s="48" t="s">
        <v>118</v>
      </c>
      <c r="M6" s="46" t="s">
        <v>51</v>
      </c>
      <c r="N6" s="46" t="s">
        <v>52</v>
      </c>
      <c r="O6" s="46"/>
      <c r="P6" s="49"/>
      <c r="Q6" s="49"/>
      <c r="R6" s="46" t="s">
        <v>124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/>
      <c r="AJ6" s="51"/>
      <c r="AK6" s="51"/>
      <c r="AL6" s="51"/>
      <c r="AM6" s="51"/>
      <c r="AN6" s="51"/>
      <c r="AO6" s="51"/>
      <c r="AP6" s="51"/>
      <c r="AQ6" s="51"/>
      <c r="AR6" s="59">
        <v>0</v>
      </c>
      <c r="AS6" s="59">
        <v>0</v>
      </c>
      <c r="AT6" s="59">
        <v>0</v>
      </c>
      <c r="AU6" s="59">
        <v>0</v>
      </c>
      <c r="AV6" s="59">
        <f t="shared" si="2"/>
        <v>0</v>
      </c>
      <c r="AW6" s="59">
        <v>0</v>
      </c>
      <c r="AX6" s="59">
        <v>0</v>
      </c>
      <c r="AY6" s="59"/>
      <c r="AZ6" s="49"/>
      <c r="BA6" s="59"/>
      <c r="BB6" s="59"/>
      <c r="BC6" s="52"/>
      <c r="BD6" s="59"/>
      <c r="BE6" s="53"/>
      <c r="BF6" s="59"/>
      <c r="BG6" s="54" t="str">
        <f t="shared" si="3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55"/>
    </row>
    <row r="7" spans="1:16379" s="99" customFormat="1" ht="16.5" customHeight="1" x14ac:dyDescent="0.25">
      <c r="A7" s="84"/>
      <c r="B7" s="84" t="s">
        <v>195</v>
      </c>
      <c r="C7" s="85"/>
      <c r="D7" s="86"/>
      <c r="E7" s="87" t="s">
        <v>103</v>
      </c>
      <c r="F7" s="88" t="s">
        <v>103</v>
      </c>
      <c r="G7" s="88" t="s">
        <v>103</v>
      </c>
      <c r="H7" s="87"/>
      <c r="I7" s="87">
        <f t="shared" ref="I7:I8" si="4">LEN(F7)</f>
        <v>15</v>
      </c>
      <c r="J7" s="87" t="str">
        <f t="shared" ref="J7:J8" si="5">IF(LEN(F7)&lt;=$J$1,F7,"")</f>
        <v>Вывод терминала</v>
      </c>
      <c r="K7" s="84" t="s">
        <v>104</v>
      </c>
      <c r="L7" s="89" t="s">
        <v>54</v>
      </c>
      <c r="M7" s="85" t="s">
        <v>51</v>
      </c>
      <c r="N7" s="85" t="s">
        <v>52</v>
      </c>
      <c r="O7" s="85"/>
      <c r="P7" s="90"/>
      <c r="Q7" s="90"/>
      <c r="R7" s="85" t="s">
        <v>53</v>
      </c>
      <c r="S7" s="85" t="s">
        <v>53</v>
      </c>
      <c r="T7" s="85" t="s">
        <v>53</v>
      </c>
      <c r="U7" s="85" t="s">
        <v>53</v>
      </c>
      <c r="V7" s="85"/>
      <c r="W7" s="85"/>
      <c r="X7" s="85" t="s">
        <v>53</v>
      </c>
      <c r="Y7" s="85">
        <v>0</v>
      </c>
      <c r="Z7" s="91"/>
      <c r="AA7" s="92">
        <v>0</v>
      </c>
      <c r="AB7" s="92"/>
      <c r="AC7" s="92"/>
      <c r="AD7" s="92"/>
      <c r="AE7" s="92"/>
      <c r="AF7" s="92">
        <v>0</v>
      </c>
      <c r="AG7" s="92">
        <v>0</v>
      </c>
      <c r="AH7" s="92">
        <v>0</v>
      </c>
      <c r="AI7" s="93"/>
      <c r="AJ7" s="94"/>
      <c r="AK7" s="94"/>
      <c r="AL7" s="94"/>
      <c r="AM7" s="94"/>
      <c r="AN7" s="94"/>
      <c r="AO7" s="94"/>
      <c r="AP7" s="94"/>
      <c r="AQ7" s="94"/>
      <c r="AR7" s="92">
        <v>0</v>
      </c>
      <c r="AS7" s="92">
        <v>0</v>
      </c>
      <c r="AT7" s="100">
        <v>1</v>
      </c>
      <c r="AU7" s="59">
        <v>0</v>
      </c>
      <c r="AV7" s="100">
        <v>1</v>
      </c>
      <c r="AW7" s="100">
        <v>1</v>
      </c>
      <c r="AX7" s="100">
        <v>1</v>
      </c>
      <c r="AY7" s="92"/>
      <c r="AZ7" s="90"/>
      <c r="BA7" s="92"/>
      <c r="BB7" s="92"/>
      <c r="BC7" s="95"/>
      <c r="BD7" s="92"/>
      <c r="BE7" s="96"/>
      <c r="BF7" s="92"/>
      <c r="BG7" s="97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98"/>
    </row>
    <row r="8" spans="1:16379" s="99" customFormat="1" ht="16.5" customHeight="1" x14ac:dyDescent="0.25">
      <c r="A8" s="84"/>
      <c r="B8" s="84" t="s">
        <v>195</v>
      </c>
      <c r="C8" s="85"/>
      <c r="D8" s="86" t="s">
        <v>154</v>
      </c>
      <c r="E8" s="87" t="s">
        <v>151</v>
      </c>
      <c r="F8" s="88" t="s">
        <v>152</v>
      </c>
      <c r="G8" s="88" t="s">
        <v>152</v>
      </c>
      <c r="H8" s="87"/>
      <c r="I8" s="87">
        <f t="shared" si="4"/>
        <v>9</v>
      </c>
      <c r="J8" s="87" t="str">
        <f t="shared" si="5"/>
        <v>ОВ КЦН НН</v>
      </c>
      <c r="K8" s="84" t="s">
        <v>153</v>
      </c>
      <c r="L8" s="89" t="s">
        <v>54</v>
      </c>
      <c r="M8" s="85" t="s">
        <v>51</v>
      </c>
      <c r="N8" s="85" t="s">
        <v>52</v>
      </c>
      <c r="O8" s="85"/>
      <c r="P8" s="90"/>
      <c r="Q8" s="90"/>
      <c r="R8" s="85" t="s">
        <v>53</v>
      </c>
      <c r="S8" s="85" t="s">
        <v>53</v>
      </c>
      <c r="T8" s="85" t="s">
        <v>53</v>
      </c>
      <c r="U8" s="85" t="s">
        <v>53</v>
      </c>
      <c r="V8" s="85"/>
      <c r="W8" s="85"/>
      <c r="X8" s="85" t="s">
        <v>53</v>
      </c>
      <c r="Y8" s="85">
        <v>0</v>
      </c>
      <c r="Z8" s="91"/>
      <c r="AA8" s="92">
        <v>0</v>
      </c>
      <c r="AB8" s="92"/>
      <c r="AC8" s="92"/>
      <c r="AD8" s="92"/>
      <c r="AE8" s="92"/>
      <c r="AF8" s="92">
        <v>0</v>
      </c>
      <c r="AG8" s="92">
        <v>0</v>
      </c>
      <c r="AH8" s="92">
        <v>0</v>
      </c>
      <c r="AI8" s="93"/>
      <c r="AJ8" s="94"/>
      <c r="AK8" s="94"/>
      <c r="AL8" s="94"/>
      <c r="AM8" s="94"/>
      <c r="AN8" s="94"/>
      <c r="AO8" s="94"/>
      <c r="AP8" s="94"/>
      <c r="AQ8" s="94"/>
      <c r="AR8" s="92">
        <v>0</v>
      </c>
      <c r="AS8" s="92">
        <v>0</v>
      </c>
      <c r="AT8" s="100">
        <v>1</v>
      </c>
      <c r="AU8" s="59">
        <v>0</v>
      </c>
      <c r="AV8" s="100">
        <v>1</v>
      </c>
      <c r="AW8" s="100">
        <v>1</v>
      </c>
      <c r="AX8" s="100">
        <v>1</v>
      </c>
      <c r="AY8" s="92"/>
      <c r="AZ8" s="90"/>
      <c r="BA8" s="92"/>
      <c r="BB8" s="92"/>
      <c r="BC8" s="95"/>
      <c r="BD8" s="92"/>
      <c r="BE8" s="96"/>
      <c r="BF8" s="92"/>
      <c r="BG8" s="97" t="str">
        <f t="shared" si="6"/>
        <v>description: "ОВ КЦН НН", note: "Оперативный вывод функции КЦН НН", group: "control", minValue: null, maxValue: null, step: null, units: "null", defaultValue: null, eventRegistration: 0</v>
      </c>
      <c r="BH8" s="98"/>
    </row>
    <row r="9" spans="1:16379" s="69" customFormat="1" ht="16.5" customHeight="1" x14ac:dyDescent="0.25">
      <c r="A9" s="45"/>
      <c r="B9" s="74" t="s">
        <v>196</v>
      </c>
      <c r="C9" s="46"/>
      <c r="D9" s="15"/>
      <c r="E9" s="47" t="s">
        <v>155</v>
      </c>
      <c r="F9" s="60" t="s">
        <v>156</v>
      </c>
      <c r="G9" s="60" t="s">
        <v>156</v>
      </c>
      <c r="H9" s="47"/>
      <c r="I9" s="47">
        <f t="shared" ref="I9" si="7">LEN(F9)</f>
        <v>13</v>
      </c>
      <c r="J9" s="47" t="str">
        <f t="shared" ref="J9" si="8">IF(LEN(F9)&lt;=$J$1,F9,"")</f>
        <v>Сраб БНН внеш</v>
      </c>
      <c r="K9" s="45" t="s">
        <v>157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7"/>
      <c r="AJ9" s="51"/>
      <c r="AK9" s="51"/>
      <c r="AL9" s="51"/>
      <c r="AM9" s="51"/>
      <c r="AN9" s="51"/>
      <c r="AO9" s="51"/>
      <c r="AP9" s="51"/>
      <c r="AQ9" s="51"/>
      <c r="AR9" s="59">
        <v>0</v>
      </c>
      <c r="AS9" s="59">
        <v>0</v>
      </c>
      <c r="AT9" s="59">
        <v>0</v>
      </c>
      <c r="AU9" s="59">
        <v>0</v>
      </c>
      <c r="AV9" s="59">
        <f t="shared" ref="AV9" si="9">BIN2DEC(CONCATENATE(0,0,0,0,AR9,AS9,AT9,AU9))</f>
        <v>0</v>
      </c>
      <c r="AW9" s="59">
        <v>0</v>
      </c>
      <c r="AX9" s="59">
        <v>0</v>
      </c>
      <c r="AY9" s="59"/>
      <c r="AZ9" s="49"/>
      <c r="BA9" s="59"/>
      <c r="BB9" s="59"/>
      <c r="BC9" s="52"/>
      <c r="BD9" s="59"/>
      <c r="BE9" s="53"/>
      <c r="BF9" s="59"/>
      <c r="BG9" s="54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 внеш", note: "Срабатывание внешнего БНН", group: "input", minValue: null, maxValue: null, step: null, units: "null", defaultValue: null, eventRegistration: 0</v>
      </c>
      <c r="BH9" s="55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1">BIN2DEC(CONCATENATE(0,0,0,0,AR10,AS10,AT10,AU10))</f>
        <v>0</v>
      </c>
      <c r="AW10" s="7">
        <v>0</v>
      </c>
      <c r="AX10" s="7">
        <v>0</v>
      </c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1"/>
        <v>0</v>
      </c>
      <c r="AW11" s="7">
        <v>0</v>
      </c>
      <c r="AX11" s="7">
        <v>0</v>
      </c>
      <c r="AY11" s="10"/>
      <c r="AZ11" s="2"/>
      <c r="BA11" s="2"/>
      <c r="BB11" s="2"/>
      <c r="BC11" s="2"/>
      <c r="BD11" s="2"/>
      <c r="BE11" s="2"/>
      <c r="BF11" s="2"/>
      <c r="BG11" s="21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1"/>
        <v>0</v>
      </c>
      <c r="AW12" s="7">
        <v>0</v>
      </c>
      <c r="AX12" s="7">
        <v>0</v>
      </c>
      <c r="AY12" s="10"/>
      <c r="AZ12" s="2"/>
      <c r="BA12" s="2"/>
      <c r="BB12" s="2"/>
      <c r="BC12" s="2"/>
      <c r="BD12" s="2"/>
      <c r="BE12" s="2"/>
      <c r="BF12" s="2"/>
      <c r="BG12" s="21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7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7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7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7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7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7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7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7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7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7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7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7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7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7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7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7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7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7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7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7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7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7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7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7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7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7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7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7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7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7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7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7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7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7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7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7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7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7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7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7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7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7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7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7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7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7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7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7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7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7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7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7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7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7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7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7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7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7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7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7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7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7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7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7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7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7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7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7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7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7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7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7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7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7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7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7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7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7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7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7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7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7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7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7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7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7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7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7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7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7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7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7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7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7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7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7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7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7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7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7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7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7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7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7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7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7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7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7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7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7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7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7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7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7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7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7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7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7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7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7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7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7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7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7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7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7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7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7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7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7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7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7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7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7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7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7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7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7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7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7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7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7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7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7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7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7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7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7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7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7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topLeftCell="AN1" zoomScale="80" zoomScaleNormal="80" workbookViewId="0">
      <selection activeCell="AW19" sqref="AW19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7" customWidth="1"/>
    <col min="6" max="7" width="21.28515625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25.28515625" style="57" bestFit="1" customWidth="1"/>
    <col min="11" max="11" width="29.42578125" style="57" bestFit="1" customWidth="1"/>
    <col min="12" max="12" width="8" style="57" bestFit="1" customWidth="1"/>
    <col min="13" max="13" width="14.28515625" style="57" customWidth="1" outlineLevel="1"/>
    <col min="14" max="14" width="14.85546875" style="57" customWidth="1" outlineLevel="1"/>
    <col min="15" max="15" width="8.85546875" style="57" bestFit="1" customWidth="1" outlineLevel="1"/>
    <col min="16" max="16" width="12.28515625" style="57" customWidth="1" outlineLevel="1"/>
    <col min="17" max="17" width="12.7109375" style="57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7" customWidth="1"/>
    <col min="37" max="37" width="26.28515625" style="57" customWidth="1"/>
    <col min="38" max="38" width="22.5703125" style="57" customWidth="1"/>
    <col min="39" max="40" width="21" style="57" customWidth="1"/>
    <col min="41" max="41" width="11.85546875" style="57" customWidth="1"/>
    <col min="42" max="42" width="26.5703125" style="57" bestFit="1" customWidth="1"/>
    <col min="43" max="43" width="18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2" t="s">
        <v>0</v>
      </c>
      <c r="BA1" s="83"/>
      <c r="BB1" s="83"/>
      <c r="BC1" s="83"/>
      <c r="BD1" s="83"/>
      <c r="BE1" s="83"/>
      <c r="BF1" s="83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5" t="s">
        <v>197</v>
      </c>
      <c r="AW2" s="75" t="s">
        <v>198</v>
      </c>
      <c r="AX2" s="75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1"/>
      <c r="B3" s="76" t="s">
        <v>200</v>
      </c>
      <c r="C3" s="62"/>
      <c r="D3" s="15" t="s">
        <v>158</v>
      </c>
      <c r="E3" s="60" t="s">
        <v>138</v>
      </c>
      <c r="F3" s="40" t="s">
        <v>140</v>
      </c>
      <c r="G3" s="40" t="s">
        <v>140</v>
      </c>
      <c r="H3" s="58"/>
      <c r="I3" s="60">
        <f t="shared" ref="I3:I4" si="0">LEN(F3)</f>
        <v>4</v>
      </c>
      <c r="J3" s="60" t="str">
        <f>IF(LEN(F3)&lt;=$J$1,F3,"")</f>
        <v>Ввод</v>
      </c>
      <c r="K3" s="63" t="s">
        <v>162</v>
      </c>
      <c r="L3" s="64" t="s">
        <v>54</v>
      </c>
      <c r="M3" s="65" t="s">
        <v>51</v>
      </c>
      <c r="N3" s="65" t="s">
        <v>52</v>
      </c>
      <c r="O3" s="65"/>
      <c r="P3" s="49"/>
      <c r="Q3" s="49"/>
      <c r="R3" s="65" t="s">
        <v>53</v>
      </c>
      <c r="S3" s="65" t="s">
        <v>53</v>
      </c>
      <c r="T3" s="65" t="s">
        <v>53</v>
      </c>
      <c r="U3" s="65" t="s">
        <v>53</v>
      </c>
      <c r="V3" s="62"/>
      <c r="W3" s="62"/>
      <c r="X3" s="65" t="s">
        <v>53</v>
      </c>
      <c r="Y3" s="65">
        <v>2</v>
      </c>
      <c r="Z3" s="62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6"/>
      <c r="AK3" s="56"/>
      <c r="AL3" s="56"/>
      <c r="AM3" s="56"/>
      <c r="AN3" s="56"/>
      <c r="AO3" s="56"/>
      <c r="AP3" s="56"/>
      <c r="AQ3" s="56"/>
      <c r="AR3" s="62">
        <v>0</v>
      </c>
      <c r="AS3" s="62">
        <v>1</v>
      </c>
      <c r="AT3" s="62">
        <v>0</v>
      </c>
      <c r="AU3" s="62">
        <v>1</v>
      </c>
      <c r="AV3" s="62">
        <v>1</v>
      </c>
      <c r="AW3" s="62">
        <v>1</v>
      </c>
      <c r="AX3" s="62">
        <v>1</v>
      </c>
      <c r="AY3" s="73"/>
      <c r="AZ3" s="62"/>
      <c r="BA3" s="62"/>
      <c r="BB3" s="62"/>
      <c r="BC3" s="62"/>
      <c r="BD3" s="62"/>
      <c r="BE3" s="62"/>
      <c r="BF3" s="62"/>
      <c r="BG3" s="6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x14ac:dyDescent="0.25">
      <c r="A4" s="61"/>
      <c r="B4" s="76" t="s">
        <v>200</v>
      </c>
      <c r="C4" s="62"/>
      <c r="D4" s="15" t="s">
        <v>158</v>
      </c>
      <c r="E4" s="60" t="s">
        <v>139</v>
      </c>
      <c r="F4" s="40" t="s">
        <v>137</v>
      </c>
      <c r="G4" s="40" t="s">
        <v>137</v>
      </c>
      <c r="H4" s="58"/>
      <c r="I4" s="60">
        <f t="shared" si="0"/>
        <v>17</v>
      </c>
      <c r="J4" s="60" t="str">
        <f t="shared" ref="J4" si="2">IF(LEN(F4)&lt;=$J$1,F4,"")</f>
        <v>Оперативный вывод</v>
      </c>
      <c r="K4" s="63" t="s">
        <v>163</v>
      </c>
      <c r="L4" s="64" t="s">
        <v>54</v>
      </c>
      <c r="M4" s="65" t="s">
        <v>51</v>
      </c>
      <c r="N4" s="65" t="s">
        <v>52</v>
      </c>
      <c r="O4" s="65"/>
      <c r="P4" s="49"/>
      <c r="Q4" s="49"/>
      <c r="R4" s="65" t="s">
        <v>53</v>
      </c>
      <c r="S4" s="65" t="s">
        <v>53</v>
      </c>
      <c r="T4" s="65" t="s">
        <v>53</v>
      </c>
      <c r="U4" s="65" t="s">
        <v>53</v>
      </c>
      <c r="V4" s="62"/>
      <c r="W4" s="62"/>
      <c r="X4" s="65" t="s">
        <v>53</v>
      </c>
      <c r="Y4" s="65">
        <v>2</v>
      </c>
      <c r="Z4" s="62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6"/>
      <c r="AK4" s="56"/>
      <c r="AL4" s="56"/>
      <c r="AM4" s="56"/>
      <c r="AN4" s="56"/>
      <c r="AO4" s="56"/>
      <c r="AP4" s="56"/>
      <c r="AQ4" s="56"/>
      <c r="AR4" s="62">
        <v>0</v>
      </c>
      <c r="AS4" s="62">
        <v>1</v>
      </c>
      <c r="AT4" s="62">
        <v>0</v>
      </c>
      <c r="AU4" s="62">
        <v>1</v>
      </c>
      <c r="AV4" s="62">
        <v>1</v>
      </c>
      <c r="AW4" s="62">
        <v>1</v>
      </c>
      <c r="AX4" s="62">
        <v>1</v>
      </c>
      <c r="AY4" s="73"/>
      <c r="AZ4" s="62"/>
      <c r="BA4" s="62"/>
      <c r="BB4" s="62"/>
      <c r="BC4" s="62"/>
      <c r="BD4" s="62"/>
      <c r="BE4" s="62"/>
      <c r="BF4" s="62"/>
      <c r="BG4" s="6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x14ac:dyDescent="0.25">
      <c r="A5" s="61"/>
      <c r="B5" s="76" t="s">
        <v>200</v>
      </c>
      <c r="C5" s="62"/>
      <c r="D5" s="15" t="s">
        <v>158</v>
      </c>
      <c r="E5" s="60" t="s">
        <v>159</v>
      </c>
      <c r="F5" s="40" t="s">
        <v>160</v>
      </c>
      <c r="G5" s="40" t="s">
        <v>160</v>
      </c>
      <c r="H5" s="58"/>
      <c r="I5" s="60">
        <f>LEN(F5)</f>
        <v>12</v>
      </c>
      <c r="J5" s="60" t="str">
        <f>IF(LEN(F5)&lt;=$J$1,F5,"")</f>
        <v>Пуск по Uлин</v>
      </c>
      <c r="K5" s="63" t="s">
        <v>161</v>
      </c>
      <c r="L5" s="64" t="s">
        <v>54</v>
      </c>
      <c r="M5" s="65" t="s">
        <v>51</v>
      </c>
      <c r="N5" s="65" t="s">
        <v>52</v>
      </c>
      <c r="O5" s="65"/>
      <c r="P5" s="49"/>
      <c r="Q5" s="49"/>
      <c r="R5" s="65" t="s">
        <v>53</v>
      </c>
      <c r="S5" s="65" t="s">
        <v>53</v>
      </c>
      <c r="T5" s="65" t="s">
        <v>53</v>
      </c>
      <c r="U5" s="65" t="s">
        <v>53</v>
      </c>
      <c r="V5" s="62"/>
      <c r="W5" s="62"/>
      <c r="X5" s="65" t="s">
        <v>53</v>
      </c>
      <c r="Y5" s="65">
        <v>2</v>
      </c>
      <c r="Z5" s="62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 t="s">
        <v>173</v>
      </c>
      <c r="AJ5" s="56" t="s">
        <v>175</v>
      </c>
      <c r="AK5" s="56" t="s">
        <v>132</v>
      </c>
      <c r="AL5" s="56" t="s">
        <v>64</v>
      </c>
      <c r="AM5" s="56" t="s">
        <v>105</v>
      </c>
      <c r="AN5" s="56"/>
      <c r="AO5" s="56" t="s">
        <v>67</v>
      </c>
      <c r="AP5" s="56" t="str">
        <f>CONCATENATE(AJ5, ".", AL5)</f>
        <v>RVTR1.StrUpp.stVal</v>
      </c>
      <c r="AQ5" s="56" t="s">
        <v>63</v>
      </c>
      <c r="AR5" s="62">
        <v>0</v>
      </c>
      <c r="AS5" s="62">
        <v>1</v>
      </c>
      <c r="AT5" s="62">
        <v>0</v>
      </c>
      <c r="AU5" s="62">
        <v>1</v>
      </c>
      <c r="AV5" s="62">
        <v>1</v>
      </c>
      <c r="AW5" s="62">
        <v>1</v>
      </c>
      <c r="AX5" s="62">
        <v>1</v>
      </c>
      <c r="AY5" s="73"/>
      <c r="AZ5" s="62"/>
      <c r="BA5" s="62"/>
      <c r="BB5" s="62"/>
      <c r="BC5" s="62"/>
      <c r="BD5" s="62"/>
      <c r="BE5" s="62"/>
      <c r="BF5" s="62"/>
      <c r="BG5" s="6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"status", minValue: null, maxValue: null, step: null, units: "null", defaultValue: null, eventRegistration: 2</v>
      </c>
    </row>
    <row r="6" spans="1:16379" s="38" customFormat="1" x14ac:dyDescent="0.25">
      <c r="A6" s="61"/>
      <c r="B6" s="76" t="s">
        <v>200</v>
      </c>
      <c r="C6" s="62"/>
      <c r="D6" s="15" t="s">
        <v>158</v>
      </c>
      <c r="E6" s="60" t="s">
        <v>164</v>
      </c>
      <c r="F6" s="40" t="s">
        <v>165</v>
      </c>
      <c r="G6" s="40" t="s">
        <v>165</v>
      </c>
      <c r="H6" s="58"/>
      <c r="I6" s="60">
        <f t="shared" ref="I6:I12" si="3">LEN(F6)</f>
        <v>10</v>
      </c>
      <c r="J6" s="60" t="str">
        <f>IF(LEN(F6)&lt;=$J$1,F6,"")</f>
        <v>Пуск по U2</v>
      </c>
      <c r="K6" s="63" t="s">
        <v>166</v>
      </c>
      <c r="L6" s="64" t="s">
        <v>54</v>
      </c>
      <c r="M6" s="65" t="s">
        <v>51</v>
      </c>
      <c r="N6" s="65" t="s">
        <v>52</v>
      </c>
      <c r="O6" s="65"/>
      <c r="P6" s="49"/>
      <c r="Q6" s="49"/>
      <c r="R6" s="65" t="s">
        <v>53</v>
      </c>
      <c r="S6" s="65" t="s">
        <v>53</v>
      </c>
      <c r="T6" s="65" t="s">
        <v>53</v>
      </c>
      <c r="U6" s="65" t="s">
        <v>53</v>
      </c>
      <c r="V6" s="62"/>
      <c r="W6" s="62"/>
      <c r="X6" s="65" t="s">
        <v>53</v>
      </c>
      <c r="Y6" s="65">
        <v>2</v>
      </c>
      <c r="Z6" s="62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 t="s">
        <v>173</v>
      </c>
      <c r="AJ6" s="56" t="s">
        <v>187</v>
      </c>
      <c r="AK6" s="56" t="s">
        <v>132</v>
      </c>
      <c r="AL6" s="56" t="s">
        <v>64</v>
      </c>
      <c r="AM6" s="56" t="s">
        <v>105</v>
      </c>
      <c r="AN6" s="56"/>
      <c r="AO6" s="56" t="s">
        <v>67</v>
      </c>
      <c r="AP6" s="56" t="str">
        <f>CONCATENATE(AJ6, ".", AL6)</f>
        <v>RVTR1.StrU2.stVal</v>
      </c>
      <c r="AQ6" s="56" t="s">
        <v>63</v>
      </c>
      <c r="AR6" s="62">
        <v>0</v>
      </c>
      <c r="AS6" s="62">
        <v>1</v>
      </c>
      <c r="AT6" s="62">
        <v>0</v>
      </c>
      <c r="AU6" s="62">
        <v>1</v>
      </c>
      <c r="AV6" s="62">
        <v>1</v>
      </c>
      <c r="AW6" s="62">
        <v>1</v>
      </c>
      <c r="AX6" s="62">
        <v>1</v>
      </c>
      <c r="AY6" s="73"/>
      <c r="AZ6" s="62"/>
      <c r="BA6" s="62"/>
      <c r="BB6" s="62"/>
      <c r="BC6" s="62"/>
      <c r="BD6" s="62"/>
      <c r="BE6" s="62"/>
      <c r="BF6" s="62"/>
      <c r="BG6" s="66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"status", minValue: null, maxValue: null, step: null, units: "null", defaultValue: null, eventRegistration: 2</v>
      </c>
    </row>
    <row r="7" spans="1:16379" s="38" customFormat="1" x14ac:dyDescent="0.25">
      <c r="A7" s="61"/>
      <c r="B7" s="76" t="s">
        <v>200</v>
      </c>
      <c r="C7" s="62"/>
      <c r="D7" s="15" t="s">
        <v>158</v>
      </c>
      <c r="E7" s="60" t="s">
        <v>141</v>
      </c>
      <c r="F7" s="60" t="s">
        <v>141</v>
      </c>
      <c r="G7" s="60" t="s">
        <v>141</v>
      </c>
      <c r="H7" s="62"/>
      <c r="I7" s="60">
        <f t="shared" si="3"/>
        <v>4</v>
      </c>
      <c r="J7" s="60" t="str">
        <f t="shared" ref="J7:J8" si="5">IF(LEN(F7)&lt;=$J$1,F7,"")</f>
        <v>Пуск</v>
      </c>
      <c r="K7" s="63" t="s">
        <v>167</v>
      </c>
      <c r="L7" s="64" t="s">
        <v>54</v>
      </c>
      <c r="M7" s="65" t="s">
        <v>51</v>
      </c>
      <c r="N7" s="65" t="s">
        <v>52</v>
      </c>
      <c r="O7" s="65"/>
      <c r="P7" s="49"/>
      <c r="Q7" s="49"/>
      <c r="R7" s="65" t="s">
        <v>53</v>
      </c>
      <c r="S7" s="65" t="s">
        <v>53</v>
      </c>
      <c r="T7" s="65" t="s">
        <v>53</v>
      </c>
      <c r="U7" s="65" t="s">
        <v>53</v>
      </c>
      <c r="V7" s="62"/>
      <c r="W7" s="62"/>
      <c r="X7" s="65" t="s">
        <v>53</v>
      </c>
      <c r="Y7" s="65">
        <v>2</v>
      </c>
      <c r="Z7" s="62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6"/>
      <c r="AK7" s="56"/>
      <c r="AL7" s="56"/>
      <c r="AM7" s="56"/>
      <c r="AN7" s="56"/>
      <c r="AO7" s="56"/>
      <c r="AP7" s="56"/>
      <c r="AQ7" s="56"/>
      <c r="AR7" s="62">
        <v>0</v>
      </c>
      <c r="AS7" s="62">
        <v>1</v>
      </c>
      <c r="AT7" s="62">
        <v>0</v>
      </c>
      <c r="AU7" s="62">
        <v>1</v>
      </c>
      <c r="AV7" s="62">
        <v>1</v>
      </c>
      <c r="AW7" s="62">
        <v>1</v>
      </c>
      <c r="AX7" s="62">
        <v>1</v>
      </c>
      <c r="AY7" s="73"/>
      <c r="AZ7" s="62"/>
      <c r="BA7" s="62"/>
      <c r="BB7" s="62"/>
      <c r="BC7" s="62"/>
      <c r="BD7" s="62"/>
      <c r="BE7" s="62"/>
      <c r="BF7" s="62"/>
      <c r="BG7" s="66" t="str">
        <f t="shared" si="4"/>
        <v>description: "Пуск", note: "Пуск", group: "status", minValue: null, maxValue: null, step: null, units: "null", defaultValue: null, eventRegistration: 2</v>
      </c>
    </row>
    <row r="8" spans="1:16379" s="38" customFormat="1" x14ac:dyDescent="0.25">
      <c r="A8" s="61"/>
      <c r="B8" s="76" t="s">
        <v>200</v>
      </c>
      <c r="C8" s="62"/>
      <c r="D8" s="15" t="s">
        <v>158</v>
      </c>
      <c r="E8" s="60" t="s">
        <v>146</v>
      </c>
      <c r="F8" s="60" t="s">
        <v>188</v>
      </c>
      <c r="G8" s="60" t="s">
        <v>188</v>
      </c>
      <c r="H8" s="62"/>
      <c r="I8" s="60">
        <f t="shared" si="3"/>
        <v>16</v>
      </c>
      <c r="J8" s="60" t="str">
        <f t="shared" si="5"/>
        <v>Неисправность ЦН</v>
      </c>
      <c r="K8" s="63" t="s">
        <v>168</v>
      </c>
      <c r="L8" s="64" t="s">
        <v>54</v>
      </c>
      <c r="M8" s="65" t="s">
        <v>51</v>
      </c>
      <c r="N8" s="65" t="s">
        <v>52</v>
      </c>
      <c r="O8" s="65"/>
      <c r="P8" s="49"/>
      <c r="Q8" s="49"/>
      <c r="R8" s="65" t="s">
        <v>53</v>
      </c>
      <c r="S8" s="65" t="s">
        <v>53</v>
      </c>
      <c r="T8" s="65" t="s">
        <v>53</v>
      </c>
      <c r="U8" s="65" t="s">
        <v>53</v>
      </c>
      <c r="V8" s="62"/>
      <c r="W8" s="62"/>
      <c r="X8" s="65" t="s">
        <v>53</v>
      </c>
      <c r="Y8" s="65">
        <v>2</v>
      </c>
      <c r="Z8" s="62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 t="s">
        <v>173</v>
      </c>
      <c r="AJ8" s="56" t="s">
        <v>174</v>
      </c>
      <c r="AK8" s="56" t="s">
        <v>132</v>
      </c>
      <c r="AL8" s="56" t="s">
        <v>64</v>
      </c>
      <c r="AM8" s="56" t="s">
        <v>105</v>
      </c>
      <c r="AN8" s="56"/>
      <c r="AO8" s="56" t="s">
        <v>67</v>
      </c>
      <c r="AP8" s="56" t="str">
        <f>CONCATENATE(AJ8, ".", AL8)</f>
        <v>RVTR1.Alm.stVal</v>
      </c>
      <c r="AQ8" s="56" t="s">
        <v>63</v>
      </c>
      <c r="AR8" s="62">
        <v>0</v>
      </c>
      <c r="AS8" s="62">
        <v>1</v>
      </c>
      <c r="AT8" s="62">
        <v>0</v>
      </c>
      <c r="AU8" s="62">
        <v>1</v>
      </c>
      <c r="AV8" s="62">
        <v>1</v>
      </c>
      <c r="AW8" s="62">
        <v>1</v>
      </c>
      <c r="AX8" s="62">
        <v>1</v>
      </c>
      <c r="AY8" s="73"/>
      <c r="AZ8" s="62"/>
      <c r="BA8" s="62"/>
      <c r="BB8" s="62"/>
      <c r="BC8" s="62"/>
      <c r="BD8" s="62"/>
      <c r="BE8" s="62"/>
      <c r="BF8" s="62"/>
      <c r="BG8" s="66" t="str">
        <f t="shared" si="4"/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9" spans="1:16379" s="13" customFormat="1" x14ac:dyDescent="0.25">
      <c r="A9" s="1"/>
      <c r="B9" s="76" t="s">
        <v>200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3"/>
        <v>12</v>
      </c>
      <c r="J9" s="3" t="str">
        <f t="shared" ref="J9:J12" si="6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7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8">BIN2DEC(CONCATENATE(0,0,0,0,AR9,AS9,AT9,AU9))</f>
        <v>0</v>
      </c>
      <c r="AW9" s="2">
        <v>0</v>
      </c>
      <c r="AX9" s="2">
        <v>0</v>
      </c>
      <c r="AY9" s="10"/>
      <c r="AZ9" s="2"/>
      <c r="BA9" s="2"/>
      <c r="BB9" s="2"/>
      <c r="BC9" s="2"/>
      <c r="BD9" s="2"/>
      <c r="BE9" s="2"/>
      <c r="BF9" s="2"/>
      <c r="BG9" s="12" t="str">
        <f t="shared" ref="BG9:BG12" si="9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76" t="s">
        <v>200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3"/>
        <v>14</v>
      </c>
      <c r="J10" s="3" t="str">
        <f t="shared" si="6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7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8"/>
        <v>0</v>
      </c>
      <c r="AW10" s="2">
        <v>0</v>
      </c>
      <c r="AX10" s="2">
        <v>0</v>
      </c>
      <c r="AY10" s="10"/>
      <c r="AZ10" s="2"/>
      <c r="BA10" s="2"/>
      <c r="BB10" s="2"/>
      <c r="BC10" s="2"/>
      <c r="BD10" s="2"/>
      <c r="BE10" s="2"/>
      <c r="BF10" s="2"/>
      <c r="BG10" s="12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76" t="s">
        <v>200</v>
      </c>
      <c r="C11" s="2"/>
      <c r="D11" s="16" t="s">
        <v>158</v>
      </c>
      <c r="E11" s="3" t="s">
        <v>169</v>
      </c>
      <c r="F11" s="3" t="s">
        <v>83</v>
      </c>
      <c r="G11" s="3" t="s">
        <v>83</v>
      </c>
      <c r="H11" s="2"/>
      <c r="I11" s="3">
        <f t="shared" si="3"/>
        <v>9</v>
      </c>
      <c r="J11" s="3" t="str">
        <f t="shared" si="6"/>
        <v>Поведение</v>
      </c>
      <c r="K11" s="4" t="s">
        <v>171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173</v>
      </c>
      <c r="AJ11" s="9" t="s">
        <v>176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7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8"/>
        <v>0</v>
      </c>
      <c r="AW11" s="2">
        <v>0</v>
      </c>
      <c r="AX11" s="2">
        <v>0</v>
      </c>
      <c r="AY11" s="10"/>
      <c r="AZ11" s="2"/>
      <c r="BA11" s="2"/>
      <c r="BB11" s="2"/>
      <c r="BC11" s="2"/>
      <c r="BD11" s="2"/>
      <c r="BE11" s="2"/>
      <c r="BF11" s="2"/>
      <c r="BG11" s="12" t="str">
        <f t="shared" si="9"/>
        <v>description: "Поведение", note: "Индикация поведения логического узла КЦН", group: "status",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76" t="s">
        <v>200</v>
      </c>
      <c r="C12" s="2"/>
      <c r="D12" s="16" t="s">
        <v>158</v>
      </c>
      <c r="E12" s="3" t="s">
        <v>170</v>
      </c>
      <c r="F12" s="3" t="s">
        <v>84</v>
      </c>
      <c r="G12" s="3" t="s">
        <v>84</v>
      </c>
      <c r="H12" s="2"/>
      <c r="I12" s="3">
        <f t="shared" si="3"/>
        <v>11</v>
      </c>
      <c r="J12" s="3" t="str">
        <f t="shared" si="6"/>
        <v>Исправность</v>
      </c>
      <c r="K12" s="4" t="s">
        <v>172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173</v>
      </c>
      <c r="AJ12" s="9" t="s">
        <v>177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7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8"/>
        <v>0</v>
      </c>
      <c r="AW12" s="2">
        <v>0</v>
      </c>
      <c r="AX12" s="2">
        <v>0</v>
      </c>
      <c r="AY12" s="10"/>
      <c r="AZ12" s="2"/>
      <c r="BA12" s="2"/>
      <c r="BB12" s="2"/>
      <c r="BC12" s="2"/>
      <c r="BD12" s="2"/>
      <c r="BE12" s="2"/>
      <c r="BF12" s="2"/>
      <c r="BG12" s="12" t="str">
        <f t="shared" si="9"/>
        <v>description: "Исправность", note: "Индикация исправности логического узла КЦН", group: "status",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zoomScale="80" zoomScaleNormal="80" workbookViewId="0">
      <selection activeCell="H12" sqref="H12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7" customWidth="1"/>
    <col min="6" max="6" width="20" style="57" bestFit="1" customWidth="1" outlineLevel="1"/>
    <col min="7" max="8" width="19.5703125" style="57" customWidth="1" outlineLevel="1"/>
    <col min="9" max="9" width="40.28515625" style="57" bestFit="1" customWidth="1" outlineLevel="1"/>
    <col min="10" max="10" width="7.28515625" style="57" bestFit="1" customWidth="1"/>
    <col min="11" max="11" width="20" style="57" bestFit="1" customWidth="1"/>
    <col min="12" max="12" width="27.5703125" style="57" customWidth="1"/>
    <col min="13" max="13" width="9.42578125" style="57" customWidth="1"/>
    <col min="14" max="15" width="13.5703125" style="57" customWidth="1" outlineLevel="1"/>
    <col min="16" max="16" width="8.85546875" style="57" bestFit="1" customWidth="1" outlineLevel="1"/>
    <col min="17" max="17" width="16" style="57" bestFit="1" customWidth="1" outlineLevel="1"/>
    <col min="18" max="18" width="25.140625" style="57" bestFit="1" customWidth="1" outlineLevel="1"/>
    <col min="19" max="19" width="6" style="25" bestFit="1" customWidth="1" outlineLevel="1"/>
    <col min="20" max="20" width="9.5703125" style="26" customWidth="1" outlineLevel="1"/>
    <col min="21" max="21" width="11.28515625" style="26" customWidth="1" outlineLevel="1"/>
    <col min="22" max="22" width="8.28515625" style="26" customWidth="1" outlineLevel="1"/>
    <col min="23" max="23" width="12.5703125" style="26" customWidth="1" outlineLevel="1"/>
    <col min="24" max="24" width="13.5703125" style="26" customWidth="1" outlineLevel="1"/>
    <col min="25" max="25" width="13.140625" style="26" customWidth="1" outlineLevel="1"/>
    <col min="26" max="26" width="9.7109375" style="26" customWidth="1"/>
    <col min="27" max="27" width="12.7109375" style="24" customWidth="1"/>
    <col min="28" max="28" width="14.28515625" style="24" customWidth="1"/>
    <col min="29" max="29" width="16.42578125" style="24" bestFit="1" customWidth="1"/>
    <col min="30" max="30" width="16.7109375" style="24" bestFit="1" customWidth="1"/>
    <col min="31" max="31" width="7.7109375" style="24" bestFit="1" customWidth="1"/>
    <col min="32" max="32" width="16.5703125" style="24" customWidth="1"/>
    <col min="33" max="34" width="12.7109375" style="24" customWidth="1"/>
    <col min="35" max="35" width="11.28515625" style="24" customWidth="1"/>
    <col min="36" max="36" width="15" style="24" bestFit="1" customWidth="1"/>
    <col min="37" max="37" width="24.5703125" style="57" customWidth="1"/>
    <col min="38" max="38" width="26" style="57" bestFit="1" customWidth="1"/>
    <col min="39" max="39" width="21.42578125" style="57" bestFit="1" customWidth="1"/>
    <col min="40" max="40" width="20.7109375" style="57" bestFit="1" customWidth="1"/>
    <col min="41" max="41" width="20.5703125" style="57" bestFit="1" customWidth="1"/>
    <col min="42" max="42" width="10.28515625" style="57" bestFit="1" customWidth="1"/>
    <col min="43" max="43" width="24.140625" style="57" bestFit="1" customWidth="1"/>
    <col min="44" max="44" width="17.140625" style="57" bestFit="1" customWidth="1"/>
    <col min="45" max="45" width="13.7109375" style="24" customWidth="1"/>
    <col min="46" max="46" width="15.85546875" style="24" customWidth="1"/>
    <col min="47" max="47" width="17.85546875" style="24" customWidth="1"/>
    <col min="48" max="48" width="9.140625" style="24" customWidth="1"/>
    <col min="49" max="49" width="14" style="24" customWidth="1"/>
    <col min="50" max="50" width="20.85546875" style="24" bestFit="1" customWidth="1"/>
    <col min="51" max="51" width="22.28515625" style="24" customWidth="1"/>
    <col min="52" max="52" width="2.5703125" style="26" customWidth="1"/>
    <col min="53" max="53" width="10.5703125" style="26" hidden="1" customWidth="1" outlineLevel="1"/>
    <col min="54" max="54" width="12.140625" style="26" hidden="1" customWidth="1" outlineLevel="1"/>
    <col min="55" max="55" width="13.28515625" style="39" hidden="1" customWidth="1" outlineLevel="1"/>
    <col min="56" max="56" width="13.28515625" style="26" hidden="1" customWidth="1" outlineLevel="1"/>
    <col min="57" max="57" width="13" style="39" hidden="1" customWidth="1" outlineLevel="1"/>
    <col min="58" max="58" width="11.140625" style="26" hidden="1" customWidth="1" outlineLevel="1"/>
    <col min="59" max="59" width="12.7109375" style="26" hidden="1" customWidth="1" outlineLevel="1"/>
    <col min="60" max="60" width="152.28515625" style="24" bestFit="1" customWidth="1" collapsed="1"/>
    <col min="61" max="16384" width="9.140625" style="24"/>
  </cols>
  <sheetData>
    <row r="1" spans="1:16380" x14ac:dyDescent="0.25">
      <c r="E1" s="24"/>
      <c r="K1" s="57">
        <v>19</v>
      </c>
      <c r="AB1" s="27"/>
      <c r="AC1" s="27"/>
      <c r="AD1" s="27"/>
      <c r="AE1" s="27"/>
      <c r="AF1" s="27"/>
      <c r="AG1" s="28"/>
      <c r="AH1" s="28"/>
      <c r="AI1" s="27"/>
      <c r="AJ1" s="29"/>
      <c r="AK1" s="30"/>
      <c r="AL1" s="30"/>
      <c r="AM1" s="30"/>
      <c r="AN1" s="30"/>
      <c r="AO1" s="30"/>
      <c r="AP1" s="30"/>
      <c r="AQ1" s="30"/>
      <c r="AR1" s="30"/>
      <c r="AS1" s="29"/>
      <c r="AT1" s="28"/>
      <c r="AU1" s="28"/>
      <c r="AV1" s="28"/>
      <c r="AW1" s="28"/>
      <c r="AX1" s="28"/>
      <c r="AY1" s="28"/>
      <c r="AZ1" s="58"/>
      <c r="BA1" s="82" t="s">
        <v>0</v>
      </c>
      <c r="BB1" s="83"/>
      <c r="BC1" s="83"/>
      <c r="BD1" s="83"/>
      <c r="BE1" s="83"/>
      <c r="BF1" s="83"/>
      <c r="BG1" s="83"/>
    </row>
    <row r="2" spans="1:16380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79" t="s">
        <v>205</v>
      </c>
      <c r="I2" s="31" t="s">
        <v>7</v>
      </c>
      <c r="J2" s="31" t="s">
        <v>8</v>
      </c>
      <c r="K2" s="31" t="s">
        <v>100</v>
      </c>
      <c r="L2" s="34" t="s">
        <v>9</v>
      </c>
      <c r="M2" s="34" t="s">
        <v>10</v>
      </c>
      <c r="N2" s="34" t="s">
        <v>11</v>
      </c>
      <c r="O2" s="34" t="s">
        <v>12</v>
      </c>
      <c r="P2" s="34" t="s">
        <v>98</v>
      </c>
      <c r="Q2" s="34" t="s">
        <v>13</v>
      </c>
      <c r="R2" s="34" t="s">
        <v>14</v>
      </c>
      <c r="S2" s="34" t="s">
        <v>15</v>
      </c>
      <c r="T2" s="34" t="s">
        <v>16</v>
      </c>
      <c r="U2" s="34" t="s">
        <v>17</v>
      </c>
      <c r="V2" s="34" t="s">
        <v>74</v>
      </c>
      <c r="W2" s="34" t="s">
        <v>18</v>
      </c>
      <c r="X2" s="34" t="s">
        <v>19</v>
      </c>
      <c r="Y2" s="35" t="s">
        <v>20</v>
      </c>
      <c r="Z2" s="35" t="s">
        <v>21</v>
      </c>
      <c r="AA2" s="34" t="s">
        <v>22</v>
      </c>
      <c r="AB2" s="35" t="s">
        <v>23</v>
      </c>
      <c r="AC2" s="35" t="s">
        <v>94</v>
      </c>
      <c r="AD2" s="35" t="s">
        <v>95</v>
      </c>
      <c r="AE2" s="35" t="s">
        <v>96</v>
      </c>
      <c r="AF2" s="34" t="s">
        <v>97</v>
      </c>
      <c r="AG2" s="35" t="s">
        <v>24</v>
      </c>
      <c r="AH2" s="35" t="s">
        <v>25</v>
      </c>
      <c r="AI2" s="34" t="s">
        <v>26</v>
      </c>
      <c r="AJ2" s="44" t="s">
        <v>93</v>
      </c>
      <c r="AK2" s="31" t="s">
        <v>27</v>
      </c>
      <c r="AL2" s="31" t="s">
        <v>28</v>
      </c>
      <c r="AM2" s="31" t="s">
        <v>29</v>
      </c>
      <c r="AN2" s="31" t="s">
        <v>30</v>
      </c>
      <c r="AO2" s="31" t="s">
        <v>31</v>
      </c>
      <c r="AP2" s="31" t="s">
        <v>32</v>
      </c>
      <c r="AQ2" s="31" t="s">
        <v>33</v>
      </c>
      <c r="AR2" s="31" t="s">
        <v>34</v>
      </c>
      <c r="AS2" s="34" t="s">
        <v>35</v>
      </c>
      <c r="AT2" s="34" t="s">
        <v>36</v>
      </c>
      <c r="AU2" s="34" t="s">
        <v>37</v>
      </c>
      <c r="AV2" s="34" t="s">
        <v>38</v>
      </c>
      <c r="AW2" s="34" t="s">
        <v>39</v>
      </c>
      <c r="AX2" s="34" t="s">
        <v>40</v>
      </c>
      <c r="AY2" s="34" t="s">
        <v>41</v>
      </c>
      <c r="AZ2" s="35"/>
      <c r="BA2" s="34" t="s">
        <v>42</v>
      </c>
      <c r="BB2" s="34" t="s">
        <v>43</v>
      </c>
      <c r="BC2" s="36" t="s">
        <v>44</v>
      </c>
      <c r="BD2" s="34" t="s">
        <v>45</v>
      </c>
      <c r="BE2" s="36" t="s">
        <v>46</v>
      </c>
      <c r="BF2" s="34" t="s">
        <v>47</v>
      </c>
      <c r="BG2" s="34" t="s">
        <v>48</v>
      </c>
      <c r="BH2" s="35" t="s">
        <v>49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</row>
    <row r="3" spans="1:16380" s="69" customFormat="1" x14ac:dyDescent="0.25">
      <c r="A3" s="61"/>
      <c r="B3" s="61" t="s">
        <v>85</v>
      </c>
      <c r="C3" s="65"/>
      <c r="D3" s="15" t="s">
        <v>158</v>
      </c>
      <c r="E3" s="60" t="s">
        <v>111</v>
      </c>
      <c r="F3" s="60" t="s">
        <v>106</v>
      </c>
      <c r="G3" s="60" t="s">
        <v>110</v>
      </c>
      <c r="H3" s="80" t="s">
        <v>110</v>
      </c>
      <c r="I3" s="60" t="s">
        <v>101</v>
      </c>
      <c r="J3" s="60">
        <f t="shared" ref="J3:J7" si="0">LEN(F3)</f>
        <v>12</v>
      </c>
      <c r="K3" s="60" t="str">
        <f t="shared" ref="K3:K6" si="1">IF(LEN(F3)&lt;=$K$1,F3,"")</f>
        <v>Ввод_функции</v>
      </c>
      <c r="L3" s="61" t="s">
        <v>178</v>
      </c>
      <c r="M3" s="64" t="s">
        <v>54</v>
      </c>
      <c r="N3" s="65" t="s">
        <v>52</v>
      </c>
      <c r="O3" s="65" t="s">
        <v>52</v>
      </c>
      <c r="P3" s="65"/>
      <c r="Q3" s="73">
        <v>0</v>
      </c>
      <c r="R3" s="73"/>
      <c r="S3" s="65" t="s">
        <v>53</v>
      </c>
      <c r="T3" s="65">
        <v>0</v>
      </c>
      <c r="U3" s="65">
        <v>1</v>
      </c>
      <c r="V3" s="65">
        <v>1</v>
      </c>
      <c r="W3" s="65"/>
      <c r="X3" s="65"/>
      <c r="Y3" s="65">
        <v>0</v>
      </c>
      <c r="Z3" s="65">
        <v>0</v>
      </c>
      <c r="AA3" s="63"/>
      <c r="AB3" s="59">
        <v>0</v>
      </c>
      <c r="AC3" s="59"/>
      <c r="AD3" s="59"/>
      <c r="AE3" s="59"/>
      <c r="AF3" s="59"/>
      <c r="AG3" s="59">
        <v>0</v>
      </c>
      <c r="AH3" s="59">
        <v>0</v>
      </c>
      <c r="AI3" s="59">
        <v>0</v>
      </c>
      <c r="AJ3" s="59"/>
      <c r="AK3" s="62"/>
      <c r="AL3" s="62"/>
      <c r="AM3" s="62"/>
      <c r="AN3" s="62"/>
      <c r="AO3" s="62"/>
      <c r="AP3" s="62"/>
      <c r="AQ3" s="62"/>
      <c r="AR3" s="62"/>
      <c r="AS3" s="62">
        <v>0</v>
      </c>
      <c r="AT3" s="62">
        <v>0</v>
      </c>
      <c r="AU3" s="62">
        <v>0</v>
      </c>
      <c r="AV3" s="62">
        <v>0</v>
      </c>
      <c r="AW3" s="62">
        <f t="shared" ref="AW3:AW6" si="2">BIN2DEC(CONCATENATE(0,0,0,0,AS3,AT3,AU3,AV3))</f>
        <v>0</v>
      </c>
      <c r="AX3" s="62" t="s">
        <v>102</v>
      </c>
      <c r="AY3" s="62"/>
      <c r="AZ3" s="73"/>
      <c r="BA3" s="62"/>
      <c r="BB3" s="62"/>
      <c r="BC3" s="62"/>
      <c r="BD3" s="62"/>
      <c r="BE3" s="62"/>
      <c r="BF3" s="62"/>
      <c r="BG3" s="62"/>
      <c r="BH3" s="66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9" customFormat="1" x14ac:dyDescent="0.25">
      <c r="A4" s="61"/>
      <c r="B4" s="61" t="s">
        <v>85</v>
      </c>
      <c r="C4" s="65"/>
      <c r="D4" s="15" t="s">
        <v>158</v>
      </c>
      <c r="E4" s="60" t="s">
        <v>189</v>
      </c>
      <c r="F4" s="60" t="s">
        <v>190</v>
      </c>
      <c r="G4" s="60" t="s">
        <v>191</v>
      </c>
      <c r="H4" s="80" t="s">
        <v>191</v>
      </c>
      <c r="I4" s="60" t="s">
        <v>193</v>
      </c>
      <c r="J4" s="60">
        <f t="shared" ref="J4" si="4">LEN(F4)</f>
        <v>9</v>
      </c>
      <c r="K4" s="60" t="str">
        <f t="shared" ref="K4" si="5">IF(LEN(F4)&lt;=$K$1,F4,"")</f>
        <v>Реж_пуска</v>
      </c>
      <c r="L4" s="61" t="s">
        <v>192</v>
      </c>
      <c r="M4" s="64" t="s">
        <v>54</v>
      </c>
      <c r="N4" s="65" t="s">
        <v>52</v>
      </c>
      <c r="O4" s="65" t="s">
        <v>52</v>
      </c>
      <c r="P4" s="65"/>
      <c r="Q4" s="73">
        <v>0</v>
      </c>
      <c r="R4" s="73"/>
      <c r="S4" s="65" t="s">
        <v>53</v>
      </c>
      <c r="T4" s="65">
        <v>0</v>
      </c>
      <c r="U4" s="65">
        <v>1</v>
      </c>
      <c r="V4" s="65">
        <v>1</v>
      </c>
      <c r="W4" s="65"/>
      <c r="X4" s="65"/>
      <c r="Y4" s="65">
        <v>0</v>
      </c>
      <c r="Z4" s="65">
        <v>0</v>
      </c>
      <c r="AA4" s="63"/>
      <c r="AB4" s="59">
        <v>0</v>
      </c>
      <c r="AC4" s="59"/>
      <c r="AD4" s="59"/>
      <c r="AE4" s="59"/>
      <c r="AF4" s="59"/>
      <c r="AG4" s="59">
        <v>0</v>
      </c>
      <c r="AH4" s="59">
        <v>0</v>
      </c>
      <c r="AI4" s="59">
        <v>0</v>
      </c>
      <c r="AJ4" s="59"/>
      <c r="AK4" s="62"/>
      <c r="AL4" s="62"/>
      <c r="AM4" s="62"/>
      <c r="AN4" s="62"/>
      <c r="AO4" s="62"/>
      <c r="AP4" s="62"/>
      <c r="AQ4" s="62"/>
      <c r="AR4" s="62"/>
      <c r="AS4" s="62">
        <v>0</v>
      </c>
      <c r="AT4" s="62">
        <v>0</v>
      </c>
      <c r="AU4" s="62">
        <v>0</v>
      </c>
      <c r="AV4" s="62">
        <v>0</v>
      </c>
      <c r="AW4" s="62">
        <f t="shared" ref="AW4" si="6">BIN2DEC(CONCATENATE(0,0,0,0,AS4,AT4,AU4,AV4))</f>
        <v>0</v>
      </c>
      <c r="AX4" s="62" t="s">
        <v>194</v>
      </c>
      <c r="AY4" s="62"/>
      <c r="AZ4" s="73"/>
      <c r="BA4" s="62"/>
      <c r="BB4" s="62"/>
      <c r="BC4" s="62"/>
      <c r="BD4" s="62"/>
      <c r="BE4" s="62"/>
      <c r="BF4" s="62"/>
      <c r="BG4" s="62"/>
      <c r="BH4" s="66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"Реж_пуска", note: "Режим пуска", group: "setting", minValue: 0, maxValue: 1, step: 1, units: "null", defaultValue: 0, eventRegistration: 0</v>
      </c>
    </row>
    <row r="5" spans="1:16380" s="69" customFormat="1" x14ac:dyDescent="0.25">
      <c r="A5" s="61"/>
      <c r="B5" s="61" t="s">
        <v>85</v>
      </c>
      <c r="C5" s="65"/>
      <c r="D5" s="15" t="s">
        <v>158</v>
      </c>
      <c r="E5" s="60" t="s">
        <v>125</v>
      </c>
      <c r="F5" s="60" t="s">
        <v>126</v>
      </c>
      <c r="G5" s="60" t="s">
        <v>129</v>
      </c>
      <c r="H5" s="81" t="s">
        <v>206</v>
      </c>
      <c r="I5" s="60"/>
      <c r="J5" s="60">
        <f t="shared" si="0"/>
        <v>3</v>
      </c>
      <c r="K5" s="60" t="str">
        <f t="shared" si="1"/>
        <v>Uср</v>
      </c>
      <c r="L5" s="61" t="s">
        <v>179</v>
      </c>
      <c r="M5" s="48" t="s">
        <v>118</v>
      </c>
      <c r="N5" s="65" t="s">
        <v>52</v>
      </c>
      <c r="O5" s="65" t="s">
        <v>52</v>
      </c>
      <c r="P5" s="65"/>
      <c r="Q5" s="73">
        <v>0</v>
      </c>
      <c r="R5" s="73"/>
      <c r="S5" s="65" t="s">
        <v>124</v>
      </c>
      <c r="T5" s="65">
        <v>2</v>
      </c>
      <c r="U5" s="65">
        <v>100</v>
      </c>
      <c r="V5" s="65">
        <v>1</v>
      </c>
      <c r="W5" s="65"/>
      <c r="X5" s="65"/>
      <c r="Y5" s="65">
        <v>6</v>
      </c>
      <c r="Z5" s="65">
        <v>0</v>
      </c>
      <c r="AA5" s="63"/>
      <c r="AB5" s="59">
        <v>0</v>
      </c>
      <c r="AC5" s="59"/>
      <c r="AD5" s="59"/>
      <c r="AE5" s="59"/>
      <c r="AF5" s="59"/>
      <c r="AG5" s="59">
        <v>0</v>
      </c>
      <c r="AH5" s="59">
        <v>0</v>
      </c>
      <c r="AI5" s="59">
        <v>0</v>
      </c>
      <c r="AJ5" s="67" t="s">
        <v>173</v>
      </c>
      <c r="AK5" s="56" t="s">
        <v>183</v>
      </c>
      <c r="AL5" s="56" t="s">
        <v>133</v>
      </c>
      <c r="AM5" s="56" t="s">
        <v>134</v>
      </c>
      <c r="AN5" s="56" t="s">
        <v>118</v>
      </c>
      <c r="AO5" s="56"/>
      <c r="AP5" s="56" t="s">
        <v>150</v>
      </c>
      <c r="AQ5" s="56" t="str">
        <f t="shared" ref="AQ5:AQ6" si="8">CONCATENATE(AK5, ".", AM5)</f>
        <v>RVTR1.StrValU.setMag.f</v>
      </c>
      <c r="AR5" s="56" t="s">
        <v>63</v>
      </c>
      <c r="AS5" s="62">
        <v>0</v>
      </c>
      <c r="AT5" s="62">
        <v>0</v>
      </c>
      <c r="AU5" s="62">
        <v>0</v>
      </c>
      <c r="AV5" s="62">
        <v>0</v>
      </c>
      <c r="AW5" s="62">
        <f t="shared" si="2"/>
        <v>0</v>
      </c>
      <c r="AX5" s="62"/>
      <c r="AY5" s="62"/>
      <c r="AZ5" s="73"/>
      <c r="BA5" s="62"/>
      <c r="BB5" s="62"/>
      <c r="BC5" s="62"/>
      <c r="BD5" s="62"/>
      <c r="BE5" s="62"/>
      <c r="BF5" s="62"/>
      <c r="BG5" s="62"/>
      <c r="BH5" s="66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80" s="69" customFormat="1" ht="14.25" customHeight="1" x14ac:dyDescent="0.25">
      <c r="A6" s="61"/>
      <c r="B6" s="61" t="s">
        <v>85</v>
      </c>
      <c r="C6" s="65"/>
      <c r="D6" s="15" t="s">
        <v>158</v>
      </c>
      <c r="E6" s="60" t="s">
        <v>127</v>
      </c>
      <c r="F6" s="60" t="s">
        <v>128</v>
      </c>
      <c r="G6" s="60" t="s">
        <v>130</v>
      </c>
      <c r="H6" s="81" t="s">
        <v>207</v>
      </c>
      <c r="I6" s="60"/>
      <c r="J6" s="60">
        <f t="shared" si="0"/>
        <v>4</v>
      </c>
      <c r="K6" s="60" t="str">
        <f t="shared" si="1"/>
        <v>U2ср</v>
      </c>
      <c r="L6" s="61" t="s">
        <v>180</v>
      </c>
      <c r="M6" s="48" t="s">
        <v>118</v>
      </c>
      <c r="N6" s="65" t="s">
        <v>52</v>
      </c>
      <c r="O6" s="65" t="s">
        <v>52</v>
      </c>
      <c r="P6" s="65"/>
      <c r="Q6" s="73">
        <v>0</v>
      </c>
      <c r="R6" s="73"/>
      <c r="S6" s="65" t="s">
        <v>124</v>
      </c>
      <c r="T6" s="65">
        <v>2</v>
      </c>
      <c r="U6" s="65">
        <v>50</v>
      </c>
      <c r="V6" s="65" t="s">
        <v>131</v>
      </c>
      <c r="W6" s="65"/>
      <c r="X6" s="65"/>
      <c r="Y6" s="65">
        <v>6</v>
      </c>
      <c r="Z6" s="65">
        <v>0</v>
      </c>
      <c r="AA6" s="63"/>
      <c r="AB6" s="59">
        <v>0</v>
      </c>
      <c r="AC6" s="59"/>
      <c r="AD6" s="59"/>
      <c r="AE6" s="59"/>
      <c r="AF6" s="59"/>
      <c r="AG6" s="59">
        <v>0</v>
      </c>
      <c r="AH6" s="59">
        <v>0</v>
      </c>
      <c r="AI6" s="59">
        <v>0</v>
      </c>
      <c r="AJ6" s="67" t="s">
        <v>173</v>
      </c>
      <c r="AK6" s="56" t="s">
        <v>184</v>
      </c>
      <c r="AL6" s="56" t="s">
        <v>133</v>
      </c>
      <c r="AM6" s="56" t="s">
        <v>134</v>
      </c>
      <c r="AN6" s="56" t="s">
        <v>118</v>
      </c>
      <c r="AO6" s="56"/>
      <c r="AP6" s="56" t="s">
        <v>150</v>
      </c>
      <c r="AQ6" s="56" t="str">
        <f t="shared" si="8"/>
        <v>RVTR1.StrValU2.setMag.f</v>
      </c>
      <c r="AR6" s="56" t="s">
        <v>63</v>
      </c>
      <c r="AS6" s="62">
        <v>0</v>
      </c>
      <c r="AT6" s="62">
        <v>0</v>
      </c>
      <c r="AU6" s="62">
        <v>0</v>
      </c>
      <c r="AV6" s="62">
        <v>0</v>
      </c>
      <c r="AW6" s="62">
        <f t="shared" si="2"/>
        <v>0</v>
      </c>
      <c r="AX6" s="62"/>
      <c r="AY6" s="62"/>
      <c r="AZ6" s="73"/>
      <c r="BA6" s="62"/>
      <c r="BB6" s="62"/>
      <c r="BC6" s="62"/>
      <c r="BD6" s="62"/>
      <c r="BE6" s="62"/>
      <c r="BF6" s="62"/>
      <c r="BG6" s="62"/>
      <c r="BH6" s="66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80" s="68" customFormat="1" ht="15" customHeight="1" x14ac:dyDescent="0.25">
      <c r="A7" s="61"/>
      <c r="B7" s="61" t="s">
        <v>85</v>
      </c>
      <c r="C7" s="65"/>
      <c r="D7" s="15" t="s">
        <v>158</v>
      </c>
      <c r="E7" s="60" t="s">
        <v>181</v>
      </c>
      <c r="F7" s="60" t="s">
        <v>148</v>
      </c>
      <c r="G7" s="60" t="s">
        <v>112</v>
      </c>
      <c r="H7" s="81" t="s">
        <v>112</v>
      </c>
      <c r="I7" s="60"/>
      <c r="J7" s="60">
        <f t="shared" si="0"/>
        <v>3</v>
      </c>
      <c r="K7" s="60" t="str">
        <f>IF(LEN(F7)&lt;=$K$1,F7,"")</f>
        <v>Tср</v>
      </c>
      <c r="L7" s="61" t="s">
        <v>182</v>
      </c>
      <c r="M7" s="64" t="s">
        <v>113</v>
      </c>
      <c r="N7" s="65" t="s">
        <v>52</v>
      </c>
      <c r="O7" s="65" t="s">
        <v>52</v>
      </c>
      <c r="P7" s="65"/>
      <c r="Q7" s="73">
        <v>2</v>
      </c>
      <c r="R7" s="73" t="s">
        <v>114</v>
      </c>
      <c r="S7" s="65" t="s">
        <v>115</v>
      </c>
      <c r="T7" s="65">
        <v>0</v>
      </c>
      <c r="U7" s="65">
        <v>100000</v>
      </c>
      <c r="V7" s="65" t="s">
        <v>131</v>
      </c>
      <c r="W7" s="65"/>
      <c r="X7" s="65"/>
      <c r="Y7" s="65">
        <v>10</v>
      </c>
      <c r="Z7" s="65">
        <v>0</v>
      </c>
      <c r="AA7" s="63"/>
      <c r="AB7" s="59">
        <v>0</v>
      </c>
      <c r="AC7" s="59"/>
      <c r="AD7" s="59"/>
      <c r="AE7" s="59"/>
      <c r="AF7" s="59"/>
      <c r="AG7" s="59">
        <v>0</v>
      </c>
      <c r="AH7" s="59">
        <v>0</v>
      </c>
      <c r="AI7" s="59">
        <v>0</v>
      </c>
      <c r="AJ7" s="67" t="s">
        <v>173</v>
      </c>
      <c r="AK7" s="56" t="s">
        <v>185</v>
      </c>
      <c r="AL7" s="56" t="s">
        <v>135</v>
      </c>
      <c r="AM7" s="56" t="s">
        <v>136</v>
      </c>
      <c r="AN7" s="56" t="s">
        <v>113</v>
      </c>
      <c r="AO7" s="56"/>
      <c r="AP7" s="56" t="s">
        <v>150</v>
      </c>
      <c r="AQ7" s="56" t="str">
        <f>CONCATENATE(AK7, ".", AM7)</f>
        <v>RVTR1.AlmDlTmms.setVal</v>
      </c>
      <c r="AR7" s="56" t="s">
        <v>63</v>
      </c>
      <c r="AS7" s="62">
        <v>0</v>
      </c>
      <c r="AT7" s="62">
        <v>0</v>
      </c>
      <c r="AU7" s="62">
        <v>0</v>
      </c>
      <c r="AV7" s="62">
        <v>0</v>
      </c>
      <c r="AW7" s="62">
        <f>BIN2DEC(CONCATENATE(0,0,0,0,AS7,AT7,AU7,AV7))</f>
        <v>0</v>
      </c>
      <c r="AX7" s="62"/>
      <c r="AY7" s="62"/>
      <c r="AZ7" s="73"/>
      <c r="BA7" s="62"/>
      <c r="BB7" s="62"/>
      <c r="BC7" s="62"/>
      <c r="BD7" s="62"/>
      <c r="BE7" s="62"/>
      <c r="BF7" s="62"/>
      <c r="BG7" s="62"/>
      <c r="BH7" s="66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0.1, units: "мс", defaultValue: 10, eventRegistration: 0</v>
      </c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  <c r="XEQ7" s="69"/>
      <c r="XER7" s="69"/>
      <c r="XES7" s="69"/>
      <c r="XET7" s="69"/>
      <c r="XEU7" s="69"/>
      <c r="XEV7" s="69"/>
      <c r="XEW7" s="69"/>
      <c r="XEX7" s="69"/>
      <c r="XEY7" s="69"/>
      <c r="XEZ7" s="6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4" sqref="A14"/>
    </sheetView>
  </sheetViews>
  <sheetFormatPr defaultRowHeight="15.75" x14ac:dyDescent="0.25"/>
  <cols>
    <col min="1" max="1" width="22.42578125" style="71" customWidth="1"/>
    <col min="2" max="2" width="86.7109375" style="71" customWidth="1"/>
    <col min="3" max="16384" width="9.140625" style="71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154</v>
      </c>
    </row>
    <row r="4" spans="1:2" x14ac:dyDescent="0.25">
      <c r="A4" s="41" t="s">
        <v>89</v>
      </c>
      <c r="B4" s="72">
        <v>445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186</v>
      </c>
    </row>
    <row r="7" spans="1:2" x14ac:dyDescent="0.25">
      <c r="A7" s="43" t="s">
        <v>149</v>
      </c>
      <c r="B7" s="42">
        <v>2</v>
      </c>
    </row>
    <row r="8" spans="1:2" x14ac:dyDescent="0.25">
      <c r="A8" s="77" t="s">
        <v>201</v>
      </c>
      <c r="B8" t="s">
        <v>203</v>
      </c>
    </row>
    <row r="9" spans="1:2" x14ac:dyDescent="0.25">
      <c r="A9" s="77" t="s">
        <v>202</v>
      </c>
      <c r="B9" s="77"/>
    </row>
    <row r="10" spans="1:2" x14ac:dyDescent="0.25">
      <c r="A10" s="78" t="s">
        <v>158</v>
      </c>
      <c r="B10" t="s">
        <v>204</v>
      </c>
    </row>
    <row r="11" spans="1:2" x14ac:dyDescent="0.25">
      <c r="A11" s="77" t="s">
        <v>202</v>
      </c>
      <c r="B11" s="7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2025-09-09T05:51:11Z</dcterms:modified>
</cp:coreProperties>
</file>