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<sst xmlns="http://schemas.openxmlformats.org/spreadsheetml/2006/main" count="745" uniqueCount="208">
  <si>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</si>
  <si>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</si>
  <si>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</si>
  <si>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</si>
  <si>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</si>
  <si>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</si>
  <si>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</si>
  <si>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</si>
  <si>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</si>
  <si>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</si>
  <si>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</si>
  <si>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</si>
  <si>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</si>
  <si>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</si>
  <si>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</si>
  <si>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</si>
  <si>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</si>
  <si>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</si>
  <si>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</si>
  <si>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</si>
  <si>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</si>
  <si>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</si>
  <si>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</si>
  <si>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</si>
  <si>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</si>
  <si>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</si>
  <si>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</si>
  <si>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</si>
  <si>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</si>
  <si>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</si>
  <si>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</si>
  <si>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</si>
  <si>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</si>
  <si>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</si>
  <si>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</si>
  <si>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</si>
  <si>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</si>
  <si>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</si>
  <si>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</si>
  <si>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</si>
  <si>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</si>
  <si>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</si>
  <si>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</si>
  <si>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</si>
  <si>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</si>
  <si>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</si>
  <si>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</si>
  <si>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</si>
  <si>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</si>
  <si>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</si>
  <si>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</si>
  <si>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</si>
  <si>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</si>
  <si>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</si>
  <si>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</si>
  <si>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</si>
  <si>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</si>
  <si>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</si>
  <si>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</si>
  <si>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</si>
  <si>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</si>
  <si>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</si>
  <si>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</si>
  <si>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</si>
  <si>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</si>
  <si>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</si>
  <si>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</si>
  <si>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</si>
  <si>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</si>
  <si>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</si>
  <si>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</si>
  <si>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</si>
  <si>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</si>
  <si>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</si>
  <si>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</si>
  <si>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</si>
  <si>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</si>
  <si>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</si>
  <si>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</si>
  <si>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</si>
  <si>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</si>
  <si>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</si>
  <si>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</si>
  <si>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</si>
  <si>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</si>
  <si>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</si>
  <si>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</si>
  <si>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</si>
  <si>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</si>
  <si>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</si>
  <si>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</si>
  <si>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</si>
  <si>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</si>
  <si>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</si>
  <si>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</si>
  <si>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</si>
  <si>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</si>
  <si>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</si>
  <si>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</si>
  <si>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</si>
  <si>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</si>
  <si>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</si>
  <si>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</si>
  <si>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</si>
  <si>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</si>
  <si>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</si>
  <si>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</si>
  <si>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</si>
  <si>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</si>
  <si>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</si>
  <si>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</si>
  <si>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</si>
  <si>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</si>
  <si>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</si>
  <si>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</si>
  <si>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</si>
  <si>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</si>
  <si>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</si>
  <si>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</si>
  <si>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</si>
  <si>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</si>
  <si>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</si>
  <si>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</si>
  <si>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</si>
  <si>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</si>
  <si>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</si>
  <si>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</si>
  <si>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</si>
  <si>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</si>
  <si>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</si>
  <si>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</si>
  <si>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</si>
  <si>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</si>
  <si>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</si>
  <si>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</si>
  <si>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</si>
  <si>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</si>
  <si>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</si>
  <si>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</si>
  <si>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</si>
  <si>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</si>
  <si>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</si>
  <si>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</si>
  <si>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</si>
  <si>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</si>
  <si>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</si>
  <si>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</si>
  <si>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</si>
  <si>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</si>
  <si>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</si>
  <si>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</si>
  <si>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</si>
  <si>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</si>
  <si>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</si>
  <si>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</si>
  <si>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</si>
  <si>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</si>
  <si>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</si>
  <si>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</si>
  <si>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</si>
  <si>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</si>
  <si>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</si>
  <si>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</si>
  <si>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</si>
  <si>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</si>
  <si>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</si>
  <si>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</si>
  <si>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</si>
  <si>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</si>
  <si>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</si>
  <si>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</si>
  <si>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</si>
  <si>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</si>
  <si>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</si>
  <si>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</si>
  <si>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</si>
  <si>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</si>
  <si>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</si>
  <si>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</si>
  <si>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</si>
  <si>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</si>
  <si>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</si>
  <si>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</si>
  <si>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</si>
  <si>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</si>
  <si>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</si>
  <si>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</si>
  <si>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</si>
  <si>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</si>
  <si>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</si>
  <si>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</si>
  <si>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</si>
  <si>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</si>
  <si>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</si>
  <si>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</si>
  <si>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</si>
  <si>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</si>
  <si>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</si>
  <si>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</si>
  <si>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</si>
  <si>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</si>
  <si>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</si>
  <si>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запрета АПВ</t>
  </si>
  <si>
    <t>Логика запрета АВР</t>
  </si>
  <si>
    <t>alias</t>
  </si>
  <si>
    <t>ЛО НН2</t>
  </si>
  <si>
    <t>LVTCBOFF2</t>
  </si>
  <si>
    <t>Логика отключения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</si>
</sst>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2" xfId="0" applyFont="1" applyFill="1" applyBorder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AN1"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7" t="s">
        <v>0</v>
      </c>
      <c r="BA1" s="118"/>
      <c r="BB1" s="118"/>
      <c r="BC1" s="118"/>
      <c r="BD1" s="118"/>
      <c r="BE1" s="118"/>
      <c r="BF1" s="11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192</v>
      </c>
      <c r="G3" s="42" t="s">
        <v>192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113" customFormat="1" ht="15.75" x14ac:dyDescent="0.25">
      <c r="A6" s="98"/>
      <c r="B6" s="98" t="s">
        <v>194</v>
      </c>
      <c r="C6" s="99"/>
      <c r="D6" s="100"/>
      <c r="E6" s="101" t="s">
        <v>106</v>
      </c>
      <c r="F6" s="102" t="s">
        <v>106</v>
      </c>
      <c r="G6" s="102" t="s">
        <v>106</v>
      </c>
      <c r="H6" s="101"/>
      <c r="I6" s="101">
        <f t="shared" ref="I6:I13" si="5">LEN(F6)</f>
        <v>15</v>
      </c>
      <c r="J6" s="101" t="str">
        <f t="shared" ref="J6:J13" si="6">IF(LEN(F6)&lt;=$J$1,F6,"")</f>
        <v>Вывод терминала</v>
      </c>
      <c r="K6" s="98" t="s">
        <v>107</v>
      </c>
      <c r="L6" s="103" t="s">
        <v>54</v>
      </c>
      <c r="M6" s="99" t="s">
        <v>51</v>
      </c>
      <c r="N6" s="99" t="s">
        <v>52</v>
      </c>
      <c r="O6" s="99"/>
      <c r="P6" s="104"/>
      <c r="Q6" s="104"/>
      <c r="R6" s="99" t="s">
        <v>53</v>
      </c>
      <c r="S6" s="99" t="s">
        <v>53</v>
      </c>
      <c r="T6" s="99" t="s">
        <v>53</v>
      </c>
      <c r="U6" s="99" t="s">
        <v>53</v>
      </c>
      <c r="V6" s="99"/>
      <c r="W6" s="99"/>
      <c r="X6" s="99" t="s">
        <v>53</v>
      </c>
      <c r="Y6" s="99">
        <v>0</v>
      </c>
      <c r="Z6" s="105"/>
      <c r="AA6" s="106">
        <v>0</v>
      </c>
      <c r="AB6" s="106"/>
      <c r="AC6" s="106"/>
      <c r="AD6" s="106"/>
      <c r="AE6" s="106"/>
      <c r="AF6" s="106">
        <v>0</v>
      </c>
      <c r="AG6" s="106">
        <v>0</v>
      </c>
      <c r="AH6" s="106">
        <v>0</v>
      </c>
      <c r="AI6" s="107"/>
      <c r="AJ6" s="108"/>
      <c r="AK6" s="108"/>
      <c r="AL6" s="108"/>
      <c r="AM6" s="108"/>
      <c r="AN6" s="108"/>
      <c r="AO6" s="108"/>
      <c r="AP6" s="108"/>
      <c r="AQ6" s="108"/>
      <c r="AR6" s="106">
        <v>0</v>
      </c>
      <c r="AS6" s="106">
        <v>0</v>
      </c>
      <c r="AT6" s="116">
        <v>1</v>
      </c>
      <c r="AU6" s="41">
        <v>0</v>
      </c>
      <c r="AV6" s="116">
        <v>1</v>
      </c>
      <c r="AW6" s="116">
        <v>1</v>
      </c>
      <c r="AX6" s="116">
        <v>1</v>
      </c>
      <c r="AY6" s="106"/>
      <c r="AZ6" s="104"/>
      <c r="BA6" s="106"/>
      <c r="BB6" s="106"/>
      <c r="BC6" s="109"/>
      <c r="BD6" s="106"/>
      <c r="BE6" s="110"/>
      <c r="BF6" s="106"/>
      <c r="BG6" s="111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2"/>
    </row>
    <row r="7" spans="1:16379" s="113" customFormat="1" ht="15.75" x14ac:dyDescent="0.25">
      <c r="A7" s="98"/>
      <c r="B7" s="98" t="s">
        <v>194</v>
      </c>
      <c r="C7" s="99"/>
      <c r="D7" s="114" t="s">
        <v>184</v>
      </c>
      <c r="E7" s="101" t="s">
        <v>185</v>
      </c>
      <c r="F7" s="102" t="s">
        <v>127</v>
      </c>
      <c r="G7" s="102" t="s">
        <v>127</v>
      </c>
      <c r="H7" s="101"/>
      <c r="I7" s="101">
        <f t="shared" si="5"/>
        <v>8</v>
      </c>
      <c r="J7" s="101" t="str">
        <f t="shared" si="6"/>
        <v>ОВ ЛО НН</v>
      </c>
      <c r="K7" s="98" t="s">
        <v>126</v>
      </c>
      <c r="L7" s="103" t="s">
        <v>54</v>
      </c>
      <c r="M7" s="99" t="s">
        <v>51</v>
      </c>
      <c r="N7" s="99" t="s">
        <v>52</v>
      </c>
      <c r="O7" s="99"/>
      <c r="P7" s="104"/>
      <c r="Q7" s="104"/>
      <c r="R7" s="99" t="s">
        <v>53</v>
      </c>
      <c r="S7" s="99" t="s">
        <v>53</v>
      </c>
      <c r="T7" s="99" t="s">
        <v>53</v>
      </c>
      <c r="U7" s="99" t="s">
        <v>53</v>
      </c>
      <c r="V7" s="99"/>
      <c r="W7" s="99"/>
      <c r="X7" s="99" t="s">
        <v>53</v>
      </c>
      <c r="Y7" s="99">
        <v>0</v>
      </c>
      <c r="Z7" s="105"/>
      <c r="AA7" s="106">
        <v>0</v>
      </c>
      <c r="AB7" s="106"/>
      <c r="AC7" s="106"/>
      <c r="AD7" s="106"/>
      <c r="AE7" s="106"/>
      <c r="AF7" s="106">
        <v>0</v>
      </c>
      <c r="AG7" s="106">
        <v>0</v>
      </c>
      <c r="AH7" s="106">
        <v>0</v>
      </c>
      <c r="AI7" s="107"/>
      <c r="AJ7" s="108"/>
      <c r="AK7" s="108"/>
      <c r="AL7" s="108"/>
      <c r="AM7" s="108"/>
      <c r="AN7" s="108"/>
      <c r="AO7" s="108"/>
      <c r="AP7" s="108"/>
      <c r="AQ7" s="108"/>
      <c r="AR7" s="106">
        <v>0</v>
      </c>
      <c r="AS7" s="106">
        <v>0</v>
      </c>
      <c r="AT7" s="116">
        <v>1</v>
      </c>
      <c r="AU7" s="41">
        <v>0</v>
      </c>
      <c r="AV7" s="116">
        <v>1</v>
      </c>
      <c r="AW7" s="116">
        <v>1</v>
      </c>
      <c r="AX7" s="116">
        <v>1</v>
      </c>
      <c r="AY7" s="106"/>
      <c r="AZ7" s="104"/>
      <c r="BA7" s="106"/>
      <c r="BB7" s="106"/>
      <c r="BC7" s="109"/>
      <c r="BD7" s="106"/>
      <c r="BE7" s="110"/>
      <c r="BF7" s="106"/>
      <c r="BG7" s="111" t="str">
        <f t="shared" si="7"/>
        <v>description: "ОВ ЛО НН", note: "Оперативный вывод функции ЛО НН", group: "control", minValue: null, maxValue: null, step: null, units: "null", defaultValue: null, eventRegistration: 0</v>
      </c>
      <c r="BH7" s="112"/>
    </row>
    <row r="8" spans="1:16379" s="113" customFormat="1" ht="15.75" x14ac:dyDescent="0.25">
      <c r="A8" s="98"/>
      <c r="B8" s="98" t="s">
        <v>194</v>
      </c>
      <c r="C8" s="99"/>
      <c r="D8" s="115" t="s">
        <v>131</v>
      </c>
      <c r="E8" s="101" t="s">
        <v>186</v>
      </c>
      <c r="F8" s="102" t="s">
        <v>187</v>
      </c>
      <c r="G8" s="102" t="s">
        <v>187</v>
      </c>
      <c r="H8" s="101"/>
      <c r="I8" s="101">
        <f t="shared" si="5"/>
        <v>13</v>
      </c>
      <c r="J8" s="101" t="str">
        <f t="shared" si="6"/>
        <v>ОВ ЛО НН / ЛО</v>
      </c>
      <c r="K8" s="98" t="s">
        <v>128</v>
      </c>
      <c r="L8" s="103" t="s">
        <v>54</v>
      </c>
      <c r="M8" s="99" t="s">
        <v>51</v>
      </c>
      <c r="N8" s="99" t="s">
        <v>52</v>
      </c>
      <c r="O8" s="99"/>
      <c r="P8" s="104"/>
      <c r="Q8" s="104"/>
      <c r="R8" s="99" t="s">
        <v>53</v>
      </c>
      <c r="S8" s="99" t="s">
        <v>53</v>
      </c>
      <c r="T8" s="99" t="s">
        <v>53</v>
      </c>
      <c r="U8" s="99" t="s">
        <v>53</v>
      </c>
      <c r="V8" s="99"/>
      <c r="W8" s="99"/>
      <c r="X8" s="99" t="s">
        <v>53</v>
      </c>
      <c r="Y8" s="99">
        <v>0</v>
      </c>
      <c r="Z8" s="105"/>
      <c r="AA8" s="106">
        <v>0</v>
      </c>
      <c r="AB8" s="106"/>
      <c r="AC8" s="106"/>
      <c r="AD8" s="106"/>
      <c r="AE8" s="106"/>
      <c r="AF8" s="106">
        <v>0</v>
      </c>
      <c r="AG8" s="106">
        <v>0</v>
      </c>
      <c r="AH8" s="106">
        <v>0</v>
      </c>
      <c r="AI8" s="107"/>
      <c r="AJ8" s="108"/>
      <c r="AK8" s="108"/>
      <c r="AL8" s="108"/>
      <c r="AM8" s="108"/>
      <c r="AN8" s="108"/>
      <c r="AO8" s="108"/>
      <c r="AP8" s="108"/>
      <c r="AQ8" s="108"/>
      <c r="AR8" s="106">
        <v>0</v>
      </c>
      <c r="AS8" s="106">
        <v>0</v>
      </c>
      <c r="AT8" s="116">
        <v>1</v>
      </c>
      <c r="AU8" s="41">
        <v>0</v>
      </c>
      <c r="AV8" s="116">
        <v>1</v>
      </c>
      <c r="AW8" s="116">
        <v>1</v>
      </c>
      <c r="AX8" s="116">
        <v>1</v>
      </c>
      <c r="AY8" s="106"/>
      <c r="AZ8" s="104"/>
      <c r="BA8" s="106"/>
      <c r="BB8" s="106"/>
      <c r="BC8" s="109"/>
      <c r="BD8" s="106"/>
      <c r="BE8" s="110"/>
      <c r="BF8" s="106"/>
      <c r="BG8" s="111" t="str">
        <f t="shared" si="7"/>
        <v>description: "ОВ ЛО НН / ЛО", note: "Оперативный вывод ЛО НН / ЛО", group: "control", minValue: null, maxValue: null, step: null, units: "null", defaultValue: null, eventRegistration: 0</v>
      </c>
      <c r="BH8" s="112"/>
    </row>
    <row r="9" spans="1:16379" s="113" customFormat="1" ht="15.75" x14ac:dyDescent="0.25">
      <c r="A9" s="98"/>
      <c r="B9" s="98" t="s">
        <v>194</v>
      </c>
      <c r="C9" s="99"/>
      <c r="D9" s="115" t="s">
        <v>132</v>
      </c>
      <c r="E9" s="101" t="s">
        <v>188</v>
      </c>
      <c r="F9" s="102" t="s">
        <v>189</v>
      </c>
      <c r="G9" s="102" t="s">
        <v>189</v>
      </c>
      <c r="H9" s="101"/>
      <c r="I9" s="101">
        <f t="shared" si="5"/>
        <v>15</v>
      </c>
      <c r="J9" s="101" t="str">
        <f t="shared" si="6"/>
        <v>ОВ ЛО НН / ЗАПВ</v>
      </c>
      <c r="K9" s="98" t="s">
        <v>129</v>
      </c>
      <c r="L9" s="103" t="s">
        <v>54</v>
      </c>
      <c r="M9" s="99" t="s">
        <v>51</v>
      </c>
      <c r="N9" s="99" t="s">
        <v>52</v>
      </c>
      <c r="O9" s="99"/>
      <c r="P9" s="104"/>
      <c r="Q9" s="104"/>
      <c r="R9" s="99" t="s">
        <v>53</v>
      </c>
      <c r="S9" s="99" t="s">
        <v>53</v>
      </c>
      <c r="T9" s="99" t="s">
        <v>53</v>
      </c>
      <c r="U9" s="99" t="s">
        <v>53</v>
      </c>
      <c r="V9" s="99"/>
      <c r="W9" s="99"/>
      <c r="X9" s="99" t="s">
        <v>53</v>
      </c>
      <c r="Y9" s="99">
        <v>0</v>
      </c>
      <c r="Z9" s="105"/>
      <c r="AA9" s="106">
        <v>0</v>
      </c>
      <c r="AB9" s="106"/>
      <c r="AC9" s="106"/>
      <c r="AD9" s="106"/>
      <c r="AE9" s="106"/>
      <c r="AF9" s="106">
        <v>0</v>
      </c>
      <c r="AG9" s="106">
        <v>0</v>
      </c>
      <c r="AH9" s="106">
        <v>0</v>
      </c>
      <c r="AI9" s="107"/>
      <c r="AJ9" s="108"/>
      <c r="AK9" s="108"/>
      <c r="AL9" s="108"/>
      <c r="AM9" s="108"/>
      <c r="AN9" s="108"/>
      <c r="AO9" s="108"/>
      <c r="AP9" s="108"/>
      <c r="AQ9" s="108"/>
      <c r="AR9" s="106">
        <v>0</v>
      </c>
      <c r="AS9" s="106">
        <v>0</v>
      </c>
      <c r="AT9" s="116">
        <v>1</v>
      </c>
      <c r="AU9" s="41">
        <v>0</v>
      </c>
      <c r="AV9" s="116">
        <v>1</v>
      </c>
      <c r="AW9" s="116">
        <v>1</v>
      </c>
      <c r="AX9" s="116">
        <v>1</v>
      </c>
      <c r="AY9" s="106"/>
      <c r="AZ9" s="104"/>
      <c r="BA9" s="106"/>
      <c r="BB9" s="106"/>
      <c r="BC9" s="109"/>
      <c r="BD9" s="106"/>
      <c r="BE9" s="110"/>
      <c r="BF9" s="106"/>
      <c r="BG9" s="111" t="str">
        <f t="shared" si="7"/>
        <v>description: "ОВ ЛО НН / ЗАПВ", note: "Оперативный вывод ЛО НН / ЗАПВ", group: "control", minValue: null, maxValue: null, step: null, units: "null", defaultValue: null, eventRegistration: 0</v>
      </c>
      <c r="BH9" s="112"/>
    </row>
    <row r="10" spans="1:16379" s="113" customFormat="1" ht="15.75" x14ac:dyDescent="0.25">
      <c r="A10" s="98"/>
      <c r="B10" s="98" t="s">
        <v>194</v>
      </c>
      <c r="C10" s="99"/>
      <c r="D10" s="115" t="s">
        <v>133</v>
      </c>
      <c r="E10" s="101" t="s">
        <v>190</v>
      </c>
      <c r="F10" s="102" t="s">
        <v>191</v>
      </c>
      <c r="G10" s="115" t="s">
        <v>191</v>
      </c>
      <c r="H10" s="101"/>
      <c r="I10" s="101">
        <f t="shared" si="5"/>
        <v>15</v>
      </c>
      <c r="J10" s="101" t="str">
        <f t="shared" si="6"/>
        <v>ОВ ЛО НН / ЗАВР</v>
      </c>
      <c r="K10" s="98" t="s">
        <v>130</v>
      </c>
      <c r="L10" s="103" t="s">
        <v>54</v>
      </c>
      <c r="M10" s="99" t="s">
        <v>51</v>
      </c>
      <c r="N10" s="99" t="s">
        <v>52</v>
      </c>
      <c r="O10" s="99"/>
      <c r="P10" s="104"/>
      <c r="Q10" s="104"/>
      <c r="R10" s="99" t="s">
        <v>53</v>
      </c>
      <c r="S10" s="99" t="s">
        <v>53</v>
      </c>
      <c r="T10" s="99" t="s">
        <v>53</v>
      </c>
      <c r="U10" s="99" t="s">
        <v>53</v>
      </c>
      <c r="V10" s="99"/>
      <c r="W10" s="99"/>
      <c r="X10" s="99" t="s">
        <v>53</v>
      </c>
      <c r="Y10" s="99">
        <v>0</v>
      </c>
      <c r="Z10" s="105"/>
      <c r="AA10" s="106">
        <v>0</v>
      </c>
      <c r="AB10" s="106"/>
      <c r="AC10" s="106"/>
      <c r="AD10" s="106"/>
      <c r="AE10" s="106"/>
      <c r="AF10" s="106">
        <v>0</v>
      </c>
      <c r="AG10" s="106">
        <v>0</v>
      </c>
      <c r="AH10" s="106">
        <v>0</v>
      </c>
      <c r="AI10" s="107"/>
      <c r="AJ10" s="108"/>
      <c r="AK10" s="108"/>
      <c r="AL10" s="108"/>
      <c r="AM10" s="108"/>
      <c r="AN10" s="108"/>
      <c r="AO10" s="108"/>
      <c r="AP10" s="108"/>
      <c r="AQ10" s="108"/>
      <c r="AR10" s="106">
        <v>0</v>
      </c>
      <c r="AS10" s="106">
        <v>0</v>
      </c>
      <c r="AT10" s="116">
        <v>1</v>
      </c>
      <c r="AU10" s="41">
        <v>0</v>
      </c>
      <c r="AV10" s="116">
        <v>1</v>
      </c>
      <c r="AW10" s="116">
        <v>1</v>
      </c>
      <c r="AX10" s="116">
        <v>1</v>
      </c>
      <c r="AY10" s="106"/>
      <c r="AZ10" s="104"/>
      <c r="BA10" s="106"/>
      <c r="BB10" s="106"/>
      <c r="BC10" s="109"/>
      <c r="BD10" s="106"/>
      <c r="BE10" s="110"/>
      <c r="BF10" s="106"/>
      <c r="BG10" s="111" t="str">
        <f t="shared" si="7"/>
        <v>description: "ОВ ЛО НН / ЗАВР", note: "Оперативный вывод ЛО НН / ЗАВР", group: "control", minValue: null, maxValue: null, step: null, units: "null", defaultValue: null, eventRegistration: 0</v>
      </c>
      <c r="BH10" s="112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8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8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117" t="s">
        <v>0</v>
      </c>
      <c r="BA1" s="118"/>
      <c r="BB1" s="118"/>
      <c r="BC1" s="118"/>
      <c r="BD1" s="118"/>
      <c r="BE1" s="118"/>
      <c r="BF1" s="11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195</v>
      </c>
      <c r="AW2" s="93" t="s">
        <v>196</v>
      </c>
      <c r="AX2" s="93" t="s">
        <v>197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4" t="s">
        <v>198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4" t="s">
        <v>198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4" t="s">
        <v>198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4" t="s">
        <v>198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4" t="s">
        <v>198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4" t="s">
        <v>198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198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4" t="s">
        <v>198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4" t="s">
        <v>198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4" t="s">
        <v>198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4" t="s">
        <v>198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198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4" t="s">
        <v>198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4" t="s">
        <v>198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4" t="s">
        <v>198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4" t="s">
        <v>198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4" t="s">
        <v>198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4" t="s">
        <v>198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117" t="s">
        <v>0</v>
      </c>
      <c r="BB1" s="118"/>
      <c r="BC1" s="118"/>
      <c r="BD1" s="118"/>
      <c r="BE1" s="118"/>
      <c r="BF1" s="118"/>
      <c r="BG1" s="118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6" t="s">
        <v>204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7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7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7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7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4" sqref="B14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205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206</v>
      </c>
    </row>
    <row r="7" spans="1:2" x14ac:dyDescent="0.25">
      <c r="A7" s="25" t="s">
        <v>193</v>
      </c>
      <c r="B7" s="23">
        <v>1</v>
      </c>
    </row>
    <row r="8" spans="1:2" x14ac:dyDescent="0.25">
      <c r="A8" s="95" t="s">
        <v>199</v>
      </c>
      <c r="B8" t="s">
        <v>207</v>
      </c>
    </row>
    <row r="9" spans="1:2" x14ac:dyDescent="0.25">
      <c r="A9" s="95" t="s">
        <v>200</v>
      </c>
      <c r="B9" s="95"/>
    </row>
    <row r="10" spans="1:2" x14ac:dyDescent="0.25">
      <c r="A10" s="29" t="s">
        <v>131</v>
      </c>
      <c r="B10" t="s">
        <v>201</v>
      </c>
    </row>
    <row r="11" spans="1:2" x14ac:dyDescent="0.25">
      <c r="A11" s="88" t="s">
        <v>132</v>
      </c>
      <c r="B11" t="s">
        <v>202</v>
      </c>
    </row>
    <row r="12" spans="1:2" x14ac:dyDescent="0.25">
      <c r="A12" s="86" t="s">
        <v>133</v>
      </c>
      <c r="B12" t="s">
        <v>203</v>
      </c>
    </row>
    <row r="13" spans="1:2" x14ac:dyDescent="0.25">
      <c r="A13" s="95" t="s">
        <v>200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2025-10-11T07:33:48Z</dcterms:modified>
</cp:coreProperties>
</file>