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X40" i="4" l="1"/>
  <c r="AX39" i="4"/>
  <c r="AX38" i="4"/>
  <c r="AX37" i="4"/>
  <c r="AX36" i="4"/>
  <c r="AX35" i="4"/>
  <c r="AX34" i="4"/>
  <c r="AX33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BH16" i="6" l="1"/>
  <c r="AW16" i="6"/>
  <c r="K16" i="6"/>
  <c r="J16" i="6"/>
  <c r="BH14" i="6" l="1"/>
  <c r="AW14" i="6"/>
  <c r="K14" i="6"/>
  <c r="J14" i="6"/>
  <c r="BH7" i="6" l="1"/>
  <c r="AW7" i="6"/>
  <c r="K7" i="6"/>
  <c r="J7" i="6"/>
  <c r="BH15" i="6"/>
  <c r="AW15" i="6"/>
  <c r="K15" i="6"/>
  <c r="J15" i="6"/>
  <c r="BH13" i="6"/>
  <c r="AW13" i="6"/>
  <c r="K13" i="6"/>
  <c r="J13" i="6"/>
  <c r="BH12" i="6"/>
  <c r="AW12" i="6"/>
  <c r="K12" i="6"/>
  <c r="J12" i="6"/>
  <c r="BH11" i="6"/>
  <c r="AW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6" i="6"/>
  <c r="AW6" i="6"/>
  <c r="K6" i="6"/>
  <c r="J6" i="6"/>
  <c r="BH5" i="6"/>
  <c r="AW5" i="6"/>
  <c r="K5" i="6"/>
  <c r="J5" i="6"/>
  <c r="BH4" i="6"/>
  <c r="AW4" i="6"/>
  <c r="K4" i="6"/>
  <c r="J4" i="6"/>
  <c r="AI1" i="6"/>
  <c r="BG40" i="4"/>
  <c r="AV40" i="4"/>
  <c r="J40" i="4"/>
  <c r="I40" i="4"/>
  <c r="BG39" i="4"/>
  <c r="AV39" i="4"/>
  <c r="J39" i="4"/>
  <c r="I39" i="4"/>
  <c r="BG38" i="4"/>
  <c r="AV38" i="4"/>
  <c r="J38" i="4"/>
  <c r="I38" i="4"/>
  <c r="BG37" i="4"/>
  <c r="AV37" i="4"/>
  <c r="J37" i="4"/>
  <c r="I37" i="4"/>
  <c r="BG36" i="4"/>
  <c r="AV36" i="4"/>
  <c r="J36" i="4"/>
  <c r="I36" i="4"/>
  <c r="BG35" i="4"/>
  <c r="AV35" i="4"/>
  <c r="J35" i="4"/>
  <c r="I35" i="4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J4" i="4"/>
  <c r="J5" i="4"/>
  <c r="J6" i="4"/>
  <c r="J7" i="4"/>
  <c r="J8" i="4"/>
  <c r="BG8" i="4"/>
  <c r="AV8" i="4"/>
  <c r="I8" i="4"/>
  <c r="BG7" i="4"/>
  <c r="AV7" i="4"/>
  <c r="I7" i="4"/>
  <c r="BG6" i="4"/>
  <c r="AV6" i="4"/>
  <c r="I6" i="4"/>
  <c r="BG5" i="4" l="1"/>
  <c r="AV5" i="4"/>
  <c r="I5" i="4"/>
  <c r="BG4" i="4"/>
  <c r="AV4" i="4"/>
  <c r="I4" i="4"/>
  <c r="BG3" i="4" l="1"/>
  <c r="J3" i="4"/>
  <c r="I3" i="4"/>
  <c r="BH3" i="6" l="1"/>
  <c r="AW3" i="6"/>
  <c r="K3" i="6"/>
  <c r="J3" i="6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<sst xmlns="http://schemas.openxmlformats.org/spreadsheetml/2006/main" count="898" uniqueCount="255">
  <si>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</si>
  <si>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</si>
  <si>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</si>
  <si>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</si>
  <si>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</si>
  <si>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</si>
  <si>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</si>
  <si>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</si>
  <si>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</si>
  <si>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</si>
  <si>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</si>
  <si>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</si>
  <si>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</si>
  <si>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</si>
  <si>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</si>
  <si>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</si>
  <si>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</si>
  <si>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</si>
  <si>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</si>
  <si>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</si>
  <si>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</si>
  <si>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</si>
  <si>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</si>
  <si>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</si>
  <si>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</si>
  <si>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</si>
  <si>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</si>
  <si>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</si>
  <si>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</si>
  <si>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</si>
  <si>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</si>
  <si>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</si>
  <si>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</si>
  <si>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</si>
  <si>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</si>
  <si>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</si>
  <si>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</si>
  <si>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</si>
  <si>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</si>
  <si>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</si>
  <si>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</si>
  <si>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</si>
  <si>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</si>
  <si>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</si>
  <si>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</si>
  <si>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</si>
  <si>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</si>
  <si>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</si>
  <si>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</si>
  <si>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</si>
  <si>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</si>
  <si>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</si>
  <si>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</si>
  <si>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</si>
  <si>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</si>
  <si>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step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</si>
  <si>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</si>
  <si>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</si>
  <si>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</si>
  <si>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</si>
  <si>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</si>
  <si>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</si>
  <si>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</si>
  <si>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</si>
  <si>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</si>
  <si>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</si>
  <si>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</si>
  <si>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</si>
  <si>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</si>
  <si>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</si>
  <si>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</si>
  <si>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</si>
  <si>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</si>
  <si>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</si>
  <si>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</si>
  <si>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SGF1</t>
  </si>
  <si>
    <t>SGF2</t>
  </si>
  <si>
    <t>SGF3</t>
  </si>
  <si>
    <t>SGF4</t>
  </si>
  <si>
    <t>Пуск</t>
  </si>
  <si>
    <t>SGF5</t>
  </si>
  <si>
    <t>OpOnSignalPVOC1</t>
  </si>
  <si>
    <t>OpOnSignalPVOC2</t>
  </si>
  <si>
    <t>OpOnSignalPVOC3</t>
  </si>
  <si>
    <t>OpOnSignalTTRGASLGC</t>
  </si>
  <si>
    <t>OpOnSignalOILPTRC</t>
  </si>
  <si>
    <t>OpOnSignalWINPTRC</t>
  </si>
  <si>
    <t>OpOnSignalVLVPTRC</t>
  </si>
  <si>
    <t>Неисправность выключателя</t>
  </si>
  <si>
    <t>Неисправность В</t>
  </si>
  <si>
    <t>Превышен ресурс выключателя</t>
  </si>
  <si>
    <t>Превышен ресурс В</t>
  </si>
  <si>
    <t>CBLifeExcess</t>
  </si>
  <si>
    <t>Срабатывание УРОВ</t>
  </si>
  <si>
    <t>Выключатель самопроизвольно отключен</t>
  </si>
  <si>
    <t>В самопр. отключен</t>
  </si>
  <si>
    <t>UnpromptedCBopening</t>
  </si>
  <si>
    <t>IRF</t>
  </si>
  <si>
    <t>Пуск (имп)</t>
  </si>
  <si>
    <t>CALH1_AlarmPulse</t>
  </si>
  <si>
    <t>CALH1_Alarm</t>
  </si>
  <si>
    <t>ПС</t>
  </si>
  <si>
    <t>SGF6</t>
  </si>
  <si>
    <t>SGF7</t>
  </si>
  <si>
    <t>SGF8</t>
  </si>
  <si>
    <t>SGF9</t>
  </si>
  <si>
    <t>SGF10</t>
  </si>
  <si>
    <t>SGF11</t>
  </si>
  <si>
    <t>SGF12</t>
  </si>
  <si>
    <t>FbVersion</t>
  </si>
  <si>
    <t>Контроль общего внешнего сигнала</t>
  </si>
  <si>
    <t>SGF13</t>
  </si>
  <si>
    <t>Контр_ТЗ_сигн</t>
  </si>
  <si>
    <t>Контр_ГЗ_сигн</t>
  </si>
  <si>
    <t>Контр_ТЗ_блок</t>
  </si>
  <si>
    <t>Контр_ГЗ_блок</t>
  </si>
  <si>
    <t>Контр_ОТ_сигн</t>
  </si>
  <si>
    <t>Срабатывание ТО на сигнал</t>
  </si>
  <si>
    <t>Сраб.сигн ТО</t>
  </si>
  <si>
    <t>OpOnSignalLVTOC</t>
  </si>
  <si>
    <t>Срабатывание 1 ступени МТЗ на сигнал</t>
  </si>
  <si>
    <t>Сраб.сигн МТЗ 1ст.</t>
  </si>
  <si>
    <t>Срабатывание 2 ступени МТЗ на сигнал</t>
  </si>
  <si>
    <t>Сраб.сигн МТЗ 2ст.</t>
  </si>
  <si>
    <t>Срабатывание 3 ступени МТЗ на сигнал</t>
  </si>
  <si>
    <t>Сраб.сигн МТЗ 3ст.</t>
  </si>
  <si>
    <t>Срабатывание ЛО ГЗсигн на сигнал</t>
  </si>
  <si>
    <t>Сраб.сигн ЛО ГЗсигн</t>
  </si>
  <si>
    <t>Срабатывание ЛО ГЗоткл на сигнал</t>
  </si>
  <si>
    <t>Сраб.сигн ЛО ГЗоткл</t>
  </si>
  <si>
    <t>OpOnSignalALMGASLGC</t>
  </si>
  <si>
    <t>Срабатывание ЛО ГЗ РПН на сигнал</t>
  </si>
  <si>
    <t>Сраб.сигн ЛО ГЗ РПН</t>
  </si>
  <si>
    <t>OpOnSignalLTCGASLGC</t>
  </si>
  <si>
    <t>Срабатывание ЛО ДТм</t>
  </si>
  <si>
    <t>Сраб.сигн ЛО ДТм</t>
  </si>
  <si>
    <t>Срабатывание ЛО ДТо</t>
  </si>
  <si>
    <t>Сраб.сигн ЛО ДТо</t>
  </si>
  <si>
    <t>Срабатывание ЛО РД на сигнал</t>
  </si>
  <si>
    <t>Сраб.сигн ЛО РД</t>
  </si>
  <si>
    <t>Срабатывание ЛО ПК на сигнал</t>
  </si>
  <si>
    <t>Сраб.сигн ЛО ПК</t>
  </si>
  <si>
    <t>OpOnSignalPRVLVPTRC</t>
  </si>
  <si>
    <t>Срабатывание ЛО ОК на сигнал</t>
  </si>
  <si>
    <t>Сраб.сигн ЛО ОК</t>
  </si>
  <si>
    <t>OpOnSignalSHVLVPTRC</t>
  </si>
  <si>
    <t>Срабатывание ЛО ДУм расширителя на сигнал</t>
  </si>
  <si>
    <t>Сраб.сигн ЛО ДУм Р</t>
  </si>
  <si>
    <t>OpOnSignalLEVPTRC</t>
  </si>
  <si>
    <t>Срабатывание ЗП</t>
  </si>
  <si>
    <t>Сраб. ЗП</t>
  </si>
  <si>
    <t>OpHVPTOC1</t>
  </si>
  <si>
    <t>Срабатывание ЗОП на сигнал</t>
  </si>
  <si>
    <t>Сраб.сигн ЗОП</t>
  </si>
  <si>
    <t>OpOnSignalLVNSTOC</t>
  </si>
  <si>
    <t>Неисправность цепей напряжения</t>
  </si>
  <si>
    <t>Неисправность ЦН</t>
  </si>
  <si>
    <t>AlmLVRBVTR</t>
  </si>
  <si>
    <t>Срабатывание общей логики отключения трансформатора</t>
  </si>
  <si>
    <t>Сраб. ЛО Т</t>
  </si>
  <si>
    <t>OpPTRC</t>
  </si>
  <si>
    <t>Сраб. УРОВ</t>
  </si>
  <si>
    <t>OpEx_TPBRF</t>
  </si>
  <si>
    <t>Сраб. УРОВ на себя</t>
  </si>
  <si>
    <t>OpIn_TPBRF</t>
  </si>
  <si>
    <t>FailureCB</t>
  </si>
  <si>
    <t>Сигнализация от ГЗ</t>
  </si>
  <si>
    <t>ГЗ сигн</t>
  </si>
  <si>
    <t>GASSign_ALHAPC</t>
  </si>
  <si>
    <t>Низкая изоляция ГЗ</t>
  </si>
  <si>
    <t>Низ.изол. ГЗ</t>
  </si>
  <si>
    <t>LowIsolGAS_ALHAPC</t>
  </si>
  <si>
    <t>ГЗ заблокирована</t>
  </si>
  <si>
    <t>GASBlock_ALHAPC</t>
  </si>
  <si>
    <t>Сигнализация от ТЗ</t>
  </si>
  <si>
    <t>ТЗ сигн</t>
  </si>
  <si>
    <t>TECHSign_ALHAPC</t>
  </si>
  <si>
    <t>Низкая изоляция ТЗ</t>
  </si>
  <si>
    <t>Низ.изол. ТЗ</t>
  </si>
  <si>
    <t>LowIsolTECH_ALHAPC</t>
  </si>
  <si>
    <t>ТЗ заблокирована</t>
  </si>
  <si>
    <t>TECHBlock_ALHAPC</t>
  </si>
  <si>
    <t>Сигнализация от ТС</t>
  </si>
  <si>
    <t>ТС сигн</t>
  </si>
  <si>
    <t>ALMSign_ALHAPC</t>
  </si>
  <si>
    <t>Контроль оперативного тока</t>
  </si>
  <si>
    <t>ОТ сигн</t>
  </si>
  <si>
    <t>OCSign_ALHAPC</t>
  </si>
  <si>
    <t>Контроль оперативного тока НН</t>
  </si>
  <si>
    <t>ОТ НН сигн</t>
  </si>
  <si>
    <t>OCnnSign_ALHAPC</t>
  </si>
  <si>
    <t>Внешнее отключение</t>
  </si>
  <si>
    <t>Внеш. откл</t>
  </si>
  <si>
    <t>OpExt_ALHAPC</t>
  </si>
  <si>
    <t>Выходные цепи разобраны</t>
  </si>
  <si>
    <t>Вых.цепи разобраны</t>
  </si>
  <si>
    <t>CtlCir_ALHAPC</t>
  </si>
  <si>
    <t>БИ выведены</t>
  </si>
  <si>
    <t>TestBlock_ALHAPC</t>
  </si>
  <si>
    <t>Превышение времени переключения КА</t>
  </si>
  <si>
    <t>Прев. вр. пер. КА</t>
  </si>
  <si>
    <t>SwOperExcTim</t>
  </si>
  <si>
    <t>Общий внешний сигнал от СС</t>
  </si>
  <si>
    <t>Общ. внеш. сигн. СС</t>
  </si>
  <si>
    <t>ExtSignGen</t>
  </si>
  <si>
    <t>Неисправность терминала</t>
  </si>
  <si>
    <t>Пуск (импульс)</t>
  </si>
  <si>
    <t>SGF14</t>
  </si>
  <si>
    <t>CALH1_GASSign_Ctl</t>
  </si>
  <si>
    <t>CALH1_LowIsolGAS_Ctl</t>
  </si>
  <si>
    <t>CALH1_GASBlock_Ctl</t>
  </si>
  <si>
    <t>CALH1_TECHSign_Ctl</t>
  </si>
  <si>
    <t>CALH1_LowIsolTECH_Ctl</t>
  </si>
  <si>
    <t>CALH1_TECHBlock_Ctl</t>
  </si>
  <si>
    <t>CALH1_ALMSign_Ctl</t>
  </si>
  <si>
    <t>CALH1_OCSign_Ctl</t>
  </si>
  <si>
    <t>CALH1_OCnnSign_Ctl</t>
  </si>
  <si>
    <t>CALH1_OpExt_Ctl</t>
  </si>
  <si>
    <t>CALH1_CtlCir_Ctl</t>
  </si>
  <si>
    <t>CALH1_TestBlock_Ctl</t>
  </si>
  <si>
    <t>CALH1_SwOperExcTim_Ctl</t>
  </si>
  <si>
    <t>CALH1_ExtSignGen_Ctl</t>
  </si>
  <si>
    <t>Контроль сигнала «ГЗ сигн»</t>
  </si>
  <si>
    <t>Контроль сигнала «Низ. изол. ГЗ»</t>
  </si>
  <si>
    <t>Контр_Низ_изол_ГЗ</t>
  </si>
  <si>
    <t>Контроль сигнала «ГЗ заблокирована»</t>
  </si>
  <si>
    <t>Контроль сигнала «ТЗ сигн»</t>
  </si>
  <si>
    <t>Контроль сигнала «Низ. изол. ТЗ»</t>
  </si>
  <si>
    <t>Контр_Низ_изол_ТЗ</t>
  </si>
  <si>
    <t>Контроль сигнала «ТЗ заблокирована»</t>
  </si>
  <si>
    <t>Контроль сигнала «ТС сигн»</t>
  </si>
  <si>
    <t>Контр_ТС_сигн</t>
  </si>
  <si>
    <t>Контроль сигнала «ОТ сигн»</t>
  </si>
  <si>
    <t>Контроль сигнала «ОТ НН сигн»</t>
  </si>
  <si>
    <t>Контр_ОТ_НН_сигн</t>
  </si>
  <si>
    <t>Контроль сигнала «Внеш. откл»</t>
  </si>
  <si>
    <t>Контр_Внеш_откл</t>
  </si>
  <si>
    <t>Контроль сигнала «Вых. цепи разобраны»</t>
  </si>
  <si>
    <t>Контр_Вых_цеп_разоб</t>
  </si>
  <si>
    <t>Контроль сигнала «БИ выведены»</t>
  </si>
  <si>
    <t>Контр_БИ_выведены</t>
  </si>
  <si>
    <t>Контроль сигнала «Прев. вр. пер. КА»</t>
  </si>
  <si>
    <t>Контр_Вр_пркл_КА</t>
  </si>
  <si>
    <t>Контр_общ_внеш_сигн</t>
  </si>
  <si>
    <t>control</t>
  </si>
  <si>
    <t>Logger</t>
  </si>
  <si>
    <t>Disturber</t>
  </si>
  <si>
    <t>StartDisturber</t>
  </si>
  <si>
    <t>status</t>
  </si>
  <si>
    <t>DescriptionFB</t>
  </si>
  <si>
    <t>Предупредительная сигнализация</t>
  </si>
  <si>
    <t>DescriptionFuncList</t>
  </si>
  <si>
    <t>T_LVALH</t>
  </si>
  <si>
    <t>alias</t>
  </si>
  <si>
    <t>Срабатывание УРОВ «на себя»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</si>
</sst>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2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5" borderId="2" xfId="1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/>
    </xf>
    <xf numFmtId="0" fontId="2" fillId="5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31"/>
  <sheetViews>
    <sheetView zoomScale="145" zoomScaleNormal="145" workbookViewId="0">
      <selection activeCell="E11" sqref="E11"/>
    </sheetView>
  </sheetViews>
  <sheetFormatPr defaultColWidth="9.140625" defaultRowHeight="5.65" customHeight="1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67.42578125" style="7" bestFit="1" customWidth="1"/>
    <col min="6" max="7" width="23.85546875" style="7" bestFit="1" customWidth="1" outlineLevel="1"/>
    <col min="8" max="8" width="33.140625" style="7" bestFit="1" customWidth="1" outlineLevel="1"/>
    <col min="9" max="9" width="10" style="7" customWidth="1"/>
    <col min="10" max="10" width="35.140625" style="7" bestFit="1" customWidth="1"/>
    <col min="11" max="11" width="30.28515625" style="7" bestFit="1" customWidth="1"/>
    <col min="12" max="12" width="9.42578125" style="7" customWidth="1"/>
    <col min="13" max="14" width="19" style="7" customWidth="1" outlineLevel="1"/>
    <col min="15" max="15" width="8.85546875" style="7" bestFit="1" customWidth="1" outlineLevel="1"/>
    <col min="16" max="17" width="19" style="7" customWidth="1" outlineLevel="1"/>
    <col min="18" max="18" width="8" style="8" customWidth="1" outlineLevel="1"/>
    <col min="19" max="19" width="9.5703125" style="9" customWidth="1" outlineLevel="1"/>
    <col min="20" max="20" width="12" style="9" customWidth="1" outlineLevel="1"/>
    <col min="21" max="21" width="7.140625" style="9" customWidth="1" outlineLevel="1"/>
    <col min="22" max="23" width="13.5703125" style="9" customWidth="1" outlineLevel="1"/>
    <col min="24" max="24" width="14.42578125" style="9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bestFit="1" customWidth="1"/>
    <col min="32" max="33" width="12.7109375" style="6" customWidth="1"/>
    <col min="34" max="34" width="9.28515625" style="6" bestFit="1" customWidth="1"/>
    <col min="35" max="35" width="15" style="6" bestFit="1" customWidth="1"/>
    <col min="36" max="36" width="22.85546875" style="7" customWidth="1"/>
    <col min="37" max="37" width="26" style="7" customWidth="1"/>
    <col min="38" max="38" width="21.28515625" style="7" customWidth="1"/>
    <col min="39" max="40" width="21.85546875" style="7" customWidth="1"/>
    <col min="41" max="41" width="11.28515625" style="7" customWidth="1"/>
    <col min="42" max="42" width="20.28515625" style="7" customWidth="1"/>
    <col min="43" max="43" width="17.28515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208.140625" style="6" customWidth="1" collapsed="1"/>
    <col min="60" max="16384" width="9.140625" style="6"/>
  </cols>
  <sheetData>
    <row r="1" spans="1:16379" ht="15.75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SUM(AA4:AA15)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61" t="s">
        <v>0</v>
      </c>
      <c r="BA1" s="62"/>
      <c r="BB1" s="62"/>
      <c r="BC1" s="62"/>
      <c r="BD1" s="62"/>
      <c r="BE1" s="62"/>
      <c r="BF1" s="62"/>
    </row>
    <row r="2" spans="1:16379" s="22" customFormat="1" ht="54" customHeight="1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54" t="s">
        <v>245</v>
      </c>
      <c r="AW2" s="54" t="s">
        <v>246</v>
      </c>
      <c r="AX2" s="54" t="s">
        <v>247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ht="16.5" customHeight="1" x14ac:dyDescent="0.25">
      <c r="A3" s="23"/>
      <c r="B3" s="53" t="s">
        <v>244</v>
      </c>
      <c r="C3" s="24"/>
      <c r="D3" s="2"/>
      <c r="E3" s="25" t="s">
        <v>73</v>
      </c>
      <c r="F3" s="26" t="s">
        <v>73</v>
      </c>
      <c r="G3" s="26" t="s">
        <v>73</v>
      </c>
      <c r="H3" s="25"/>
      <c r="I3" s="25">
        <f t="shared" ref="I3" si="0">LEN(F3)</f>
        <v>15</v>
      </c>
      <c r="J3" s="25" t="str">
        <f t="shared" ref="J3:J8" si="1">IF(LEN(F3)&lt;=$J$1,F3,"")</f>
        <v>Вывод терминала</v>
      </c>
      <c r="K3" s="23" t="s">
        <v>74</v>
      </c>
      <c r="L3" s="27" t="s">
        <v>54</v>
      </c>
      <c r="M3" s="24" t="s">
        <v>51</v>
      </c>
      <c r="N3" s="24" t="s">
        <v>52</v>
      </c>
      <c r="O3" s="24"/>
      <c r="P3" s="28"/>
      <c r="Q3" s="28"/>
      <c r="R3" s="24" t="s">
        <v>53</v>
      </c>
      <c r="S3" s="24" t="s">
        <v>53</v>
      </c>
      <c r="T3" s="24" t="s">
        <v>53</v>
      </c>
      <c r="U3" s="24" t="s">
        <v>53</v>
      </c>
      <c r="V3" s="24"/>
      <c r="W3" s="24"/>
      <c r="X3" s="24" t="s">
        <v>53</v>
      </c>
      <c r="Y3" s="24">
        <v>0</v>
      </c>
      <c r="Z3" s="3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33"/>
      <c r="AK3" s="33"/>
      <c r="AL3" s="33"/>
      <c r="AM3" s="33"/>
      <c r="AN3" s="33"/>
      <c r="AO3" s="33"/>
      <c r="AP3" s="33"/>
      <c r="AQ3" s="33"/>
      <c r="AR3" s="31">
        <v>0</v>
      </c>
      <c r="AS3" s="31">
        <v>0</v>
      </c>
      <c r="AT3" s="60">
        <v>1</v>
      </c>
      <c r="AU3" s="31">
        <v>0</v>
      </c>
      <c r="AV3" s="60">
        <v>1</v>
      </c>
      <c r="AW3" s="60">
        <v>1</v>
      </c>
      <c r="AX3" s="60">
        <v>1</v>
      </c>
      <c r="AY3" s="31"/>
      <c r="AZ3" s="28"/>
      <c r="BA3" s="31"/>
      <c r="BB3" s="31"/>
      <c r="BC3" s="34"/>
      <c r="BD3" s="31"/>
      <c r="BE3" s="35"/>
      <c r="BF3" s="31"/>
      <c r="BG3" s="36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7"/>
    </row>
    <row r="4" spans="1:16379" s="1" customFormat="1" ht="16.5" customHeight="1" x14ac:dyDescent="0.25">
      <c r="A4" s="23"/>
      <c r="B4" s="23" t="s">
        <v>50</v>
      </c>
      <c r="C4" s="24"/>
      <c r="D4" s="2"/>
      <c r="E4" s="25" t="s">
        <v>117</v>
      </c>
      <c r="F4" s="26" t="s">
        <v>118</v>
      </c>
      <c r="G4" s="26" t="s">
        <v>118</v>
      </c>
      <c r="H4" s="25"/>
      <c r="I4" s="25">
        <f t="shared" ref="I4:I6" si="3">LEN(F4)</f>
        <v>12</v>
      </c>
      <c r="J4" s="25" t="str">
        <f t="shared" si="1"/>
        <v>Сраб.сигн ТО</v>
      </c>
      <c r="K4" s="23" t="s">
        <v>119</v>
      </c>
      <c r="L4" s="27" t="s">
        <v>54</v>
      </c>
      <c r="M4" s="24" t="s">
        <v>51</v>
      </c>
      <c r="N4" s="24" t="s">
        <v>52</v>
      </c>
      <c r="O4" s="24"/>
      <c r="P4" s="28"/>
      <c r="Q4" s="28"/>
      <c r="R4" s="24" t="s">
        <v>53</v>
      </c>
      <c r="S4" s="24" t="s">
        <v>53</v>
      </c>
      <c r="T4" s="24" t="s">
        <v>53</v>
      </c>
      <c r="U4" s="24" t="s">
        <v>53</v>
      </c>
      <c r="V4" s="24"/>
      <c r="W4" s="24"/>
      <c r="X4" s="24" t="s">
        <v>53</v>
      </c>
      <c r="Y4" s="24">
        <v>0</v>
      </c>
      <c r="Z4" s="3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33"/>
      <c r="AK4" s="33"/>
      <c r="AL4" s="33"/>
      <c r="AM4" s="33"/>
      <c r="AN4" s="33"/>
      <c r="AO4" s="33"/>
      <c r="AP4" s="33"/>
      <c r="AQ4" s="33"/>
      <c r="AR4" s="31">
        <v>0</v>
      </c>
      <c r="AS4" s="31">
        <v>0</v>
      </c>
      <c r="AT4" s="31">
        <v>0</v>
      </c>
      <c r="AU4" s="31">
        <v>0</v>
      </c>
      <c r="AV4" s="31">
        <f t="shared" ref="AV4:AV6" si="4">BIN2DEC(CONCATENATE(0,0,0,0,AR4,AS4,AT4,AU4))</f>
        <v>0</v>
      </c>
      <c r="AW4" s="31">
        <v>0</v>
      </c>
      <c r="AX4" s="31">
        <f t="shared" ref="AX4:AX40" si="5">BIN2DEC(CONCATENATE(0,0,0,0,AT4,AU4,AV4,AW4))</f>
        <v>0</v>
      </c>
      <c r="AY4" s="31"/>
      <c r="AZ4" s="28"/>
      <c r="BA4" s="31"/>
      <c r="BB4" s="31"/>
      <c r="BC4" s="34"/>
      <c r="BD4" s="31"/>
      <c r="BE4" s="35"/>
      <c r="BF4" s="31"/>
      <c r="BG4" s="36" t="str">
        <f t="shared" ref="BG4:BG6" si="6">CONCATENATE("description: """,F4,"""", ", ", "note: """,E4,"""",", ","group: """, B4, """",", ","minValue: ", S4,", ","maxValue: ", T4,", ","step: ", U4,", ","units: """, R4, """",", ","defaultValue: ", X4,", ","eventRegistration: ", Y4,)</f>
        <v>description: "Сраб.сигн ТО", note: "Срабатывание ТО на сигнал", group: "measurement", minValue: null, maxValue: null, step: null, units: "null", defaultValue: null, eventRegistration: 0</v>
      </c>
      <c r="BH4" s="37"/>
    </row>
    <row r="5" spans="1:16379" s="1" customFormat="1" ht="16.5" customHeight="1" x14ac:dyDescent="0.25">
      <c r="A5" s="23"/>
      <c r="B5" s="23" t="s">
        <v>50</v>
      </c>
      <c r="C5" s="24"/>
      <c r="D5" s="2"/>
      <c r="E5" s="25" t="s">
        <v>120</v>
      </c>
      <c r="F5" s="26" t="s">
        <v>121</v>
      </c>
      <c r="G5" s="26" t="s">
        <v>121</v>
      </c>
      <c r="H5" s="25"/>
      <c r="I5" s="25">
        <f t="shared" si="3"/>
        <v>18</v>
      </c>
      <c r="J5" s="25" t="str">
        <f t="shared" si="1"/>
        <v>Сраб.сигн МТЗ 1ст.</v>
      </c>
      <c r="K5" s="23" t="s">
        <v>81</v>
      </c>
      <c r="L5" s="27" t="s">
        <v>54</v>
      </c>
      <c r="M5" s="24" t="s">
        <v>51</v>
      </c>
      <c r="N5" s="24" t="s">
        <v>52</v>
      </c>
      <c r="O5" s="24"/>
      <c r="P5" s="28"/>
      <c r="Q5" s="28"/>
      <c r="R5" s="24" t="s">
        <v>53</v>
      </c>
      <c r="S5" s="24" t="s">
        <v>53</v>
      </c>
      <c r="T5" s="24" t="s">
        <v>53</v>
      </c>
      <c r="U5" s="24" t="s">
        <v>53</v>
      </c>
      <c r="V5" s="24"/>
      <c r="W5" s="24"/>
      <c r="X5" s="24" t="s">
        <v>53</v>
      </c>
      <c r="Y5" s="24">
        <v>0</v>
      </c>
      <c r="Z5" s="30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2"/>
      <c r="AJ5" s="33"/>
      <c r="AK5" s="33"/>
      <c r="AL5" s="33"/>
      <c r="AM5" s="33"/>
      <c r="AN5" s="33"/>
      <c r="AO5" s="33"/>
      <c r="AP5" s="33"/>
      <c r="AQ5" s="33"/>
      <c r="AR5" s="31">
        <v>0</v>
      </c>
      <c r="AS5" s="31">
        <v>0</v>
      </c>
      <c r="AT5" s="31">
        <v>0</v>
      </c>
      <c r="AU5" s="31">
        <v>0</v>
      </c>
      <c r="AV5" s="31">
        <f t="shared" si="4"/>
        <v>0</v>
      </c>
      <c r="AW5" s="31">
        <v>0</v>
      </c>
      <c r="AX5" s="31">
        <f t="shared" si="5"/>
        <v>0</v>
      </c>
      <c r="AY5" s="31"/>
      <c r="AZ5" s="28"/>
      <c r="BA5" s="31"/>
      <c r="BB5" s="31"/>
      <c r="BC5" s="34"/>
      <c r="BD5" s="31"/>
      <c r="BE5" s="35"/>
      <c r="BF5" s="31"/>
      <c r="BG5" s="36" t="str">
        <f t="shared" si="6"/>
        <v>description: "Сраб.сигн МТЗ 1ст.", note: "Срабатывание 1 ступени МТЗ на сигнал", group: "measurement", minValue: null, maxValue: null, step: null, units: "null", defaultValue: null, eventRegistration: 0</v>
      </c>
      <c r="BH5" s="37"/>
    </row>
    <row r="6" spans="1:16379" s="1" customFormat="1" ht="16.5" customHeight="1" x14ac:dyDescent="0.25">
      <c r="A6" s="23"/>
      <c r="B6" s="23" t="s">
        <v>50</v>
      </c>
      <c r="C6" s="24"/>
      <c r="D6" s="2"/>
      <c r="E6" s="25" t="s">
        <v>122</v>
      </c>
      <c r="F6" s="26" t="s">
        <v>123</v>
      </c>
      <c r="G6" s="26" t="s">
        <v>123</v>
      </c>
      <c r="H6" s="25"/>
      <c r="I6" s="25">
        <f t="shared" si="3"/>
        <v>18</v>
      </c>
      <c r="J6" s="25" t="str">
        <f t="shared" si="1"/>
        <v>Сраб.сигн МТЗ 2ст.</v>
      </c>
      <c r="K6" s="23" t="s">
        <v>82</v>
      </c>
      <c r="L6" s="27" t="s">
        <v>54</v>
      </c>
      <c r="M6" s="24" t="s">
        <v>51</v>
      </c>
      <c r="N6" s="24" t="s">
        <v>52</v>
      </c>
      <c r="O6" s="24"/>
      <c r="P6" s="28"/>
      <c r="Q6" s="28"/>
      <c r="R6" s="24" t="s">
        <v>53</v>
      </c>
      <c r="S6" s="24" t="s">
        <v>53</v>
      </c>
      <c r="T6" s="24" t="s">
        <v>53</v>
      </c>
      <c r="U6" s="24" t="s">
        <v>53</v>
      </c>
      <c r="V6" s="24"/>
      <c r="W6" s="24"/>
      <c r="X6" s="24" t="s">
        <v>53</v>
      </c>
      <c r="Y6" s="24">
        <v>0</v>
      </c>
      <c r="Z6" s="30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2"/>
      <c r="AJ6" s="33"/>
      <c r="AK6" s="33"/>
      <c r="AL6" s="33"/>
      <c r="AM6" s="33"/>
      <c r="AN6" s="33"/>
      <c r="AO6" s="33"/>
      <c r="AP6" s="33"/>
      <c r="AQ6" s="33"/>
      <c r="AR6" s="31">
        <v>0</v>
      </c>
      <c r="AS6" s="31">
        <v>0</v>
      </c>
      <c r="AT6" s="31">
        <v>0</v>
      </c>
      <c r="AU6" s="31">
        <v>0</v>
      </c>
      <c r="AV6" s="31">
        <f t="shared" si="4"/>
        <v>0</v>
      </c>
      <c r="AW6" s="31">
        <v>0</v>
      </c>
      <c r="AX6" s="31">
        <f t="shared" si="5"/>
        <v>0</v>
      </c>
      <c r="AY6" s="31"/>
      <c r="AZ6" s="28"/>
      <c r="BA6" s="31"/>
      <c r="BB6" s="31"/>
      <c r="BC6" s="34"/>
      <c r="BD6" s="31"/>
      <c r="BE6" s="35"/>
      <c r="BF6" s="31"/>
      <c r="BG6" s="36" t="str">
        <f t="shared" si="6"/>
        <v>description: "Сраб.сигн МТЗ 2ст.", note: "Срабатывание 2 ступени МТЗ на сигнал", group: "measurement", minValue: null, maxValue: null, step: null, units: "null", defaultValue: null, eventRegistration: 0</v>
      </c>
      <c r="BH6" s="37"/>
    </row>
    <row r="7" spans="1:16379" s="1" customFormat="1" ht="16.5" customHeight="1" x14ac:dyDescent="0.25">
      <c r="A7" s="23"/>
      <c r="B7" s="23" t="s">
        <v>50</v>
      </c>
      <c r="C7" s="24"/>
      <c r="D7" s="2"/>
      <c r="E7" s="25" t="s">
        <v>124</v>
      </c>
      <c r="F7" s="26" t="s">
        <v>125</v>
      </c>
      <c r="G7" s="26" t="s">
        <v>125</v>
      </c>
      <c r="H7" s="25"/>
      <c r="I7" s="25">
        <f t="shared" ref="I7:I8" si="7">LEN(F7)</f>
        <v>18</v>
      </c>
      <c r="J7" s="25" t="str">
        <f t="shared" si="1"/>
        <v>Сраб.сигн МТЗ 3ст.</v>
      </c>
      <c r="K7" s="23" t="s">
        <v>83</v>
      </c>
      <c r="L7" s="27" t="s">
        <v>54</v>
      </c>
      <c r="M7" s="24" t="s">
        <v>51</v>
      </c>
      <c r="N7" s="24" t="s">
        <v>52</v>
      </c>
      <c r="O7" s="24"/>
      <c r="P7" s="28"/>
      <c r="Q7" s="28"/>
      <c r="R7" s="24" t="s">
        <v>53</v>
      </c>
      <c r="S7" s="24" t="s">
        <v>53</v>
      </c>
      <c r="T7" s="24" t="s">
        <v>53</v>
      </c>
      <c r="U7" s="24" t="s">
        <v>53</v>
      </c>
      <c r="V7" s="24"/>
      <c r="W7" s="24"/>
      <c r="X7" s="24" t="s">
        <v>53</v>
      </c>
      <c r="Y7" s="24">
        <v>0</v>
      </c>
      <c r="Z7" s="30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2"/>
      <c r="AJ7" s="33"/>
      <c r="AK7" s="33"/>
      <c r="AL7" s="33"/>
      <c r="AM7" s="33"/>
      <c r="AN7" s="33"/>
      <c r="AO7" s="33"/>
      <c r="AP7" s="33"/>
      <c r="AQ7" s="33"/>
      <c r="AR7" s="31">
        <v>0</v>
      </c>
      <c r="AS7" s="31">
        <v>0</v>
      </c>
      <c r="AT7" s="31">
        <v>0</v>
      </c>
      <c r="AU7" s="31">
        <v>0</v>
      </c>
      <c r="AV7" s="31">
        <f t="shared" ref="AV7:AV8" si="8">BIN2DEC(CONCATENATE(0,0,0,0,AR7,AS7,AT7,AU7))</f>
        <v>0</v>
      </c>
      <c r="AW7" s="31">
        <v>0</v>
      </c>
      <c r="AX7" s="31">
        <f t="shared" si="5"/>
        <v>0</v>
      </c>
      <c r="AY7" s="31"/>
      <c r="AZ7" s="28"/>
      <c r="BA7" s="31"/>
      <c r="BB7" s="31"/>
      <c r="BC7" s="34"/>
      <c r="BD7" s="31"/>
      <c r="BE7" s="35"/>
      <c r="BF7" s="31"/>
      <c r="BG7" s="36" t="str">
        <f t="shared" ref="BG7:BG8" si="9">CONCATENATE("description: """,F7,"""", ", ", "note: """,E7,"""",", ","group: """, B7, """",", ","minValue: ", S7,", ","maxValue: ", T7,", ","step: ", U7,", ","units: """, R7, """",", ","defaultValue: ", X7,", ","eventRegistration: ", Y7,)</f>
        <v>description: "Сраб.сигн МТЗ 3ст.", note: "Срабатывание 3 ступени МТЗ на сигнал", group: "measurement", minValue: null, maxValue: null, step: null, units: "null", defaultValue: null, eventRegistration: 0</v>
      </c>
      <c r="BH7" s="37"/>
    </row>
    <row r="8" spans="1:16379" s="1" customFormat="1" ht="16.5" customHeight="1" x14ac:dyDescent="0.25">
      <c r="A8" s="23"/>
      <c r="B8" s="23" t="s">
        <v>50</v>
      </c>
      <c r="C8" s="24"/>
      <c r="D8" s="2"/>
      <c r="E8" s="25" t="s">
        <v>126</v>
      </c>
      <c r="F8" s="26" t="s">
        <v>127</v>
      </c>
      <c r="G8" s="26" t="s">
        <v>127</v>
      </c>
      <c r="H8" s="25"/>
      <c r="I8" s="25">
        <f t="shared" si="7"/>
        <v>19</v>
      </c>
      <c r="J8" s="25" t="str">
        <f t="shared" si="1"/>
        <v>Сраб.сигн ЛО ГЗсигн</v>
      </c>
      <c r="K8" s="23" t="s">
        <v>84</v>
      </c>
      <c r="L8" s="27" t="s">
        <v>54</v>
      </c>
      <c r="M8" s="24" t="s">
        <v>51</v>
      </c>
      <c r="N8" s="24" t="s">
        <v>52</v>
      </c>
      <c r="O8" s="24"/>
      <c r="P8" s="28"/>
      <c r="Q8" s="28"/>
      <c r="R8" s="24" t="s">
        <v>53</v>
      </c>
      <c r="S8" s="24" t="s">
        <v>53</v>
      </c>
      <c r="T8" s="24" t="s">
        <v>53</v>
      </c>
      <c r="U8" s="24" t="s">
        <v>53</v>
      </c>
      <c r="V8" s="24"/>
      <c r="W8" s="24"/>
      <c r="X8" s="24" t="s">
        <v>53</v>
      </c>
      <c r="Y8" s="24">
        <v>0</v>
      </c>
      <c r="Z8" s="30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2"/>
      <c r="AJ8" s="33"/>
      <c r="AK8" s="33"/>
      <c r="AL8" s="33"/>
      <c r="AM8" s="33"/>
      <c r="AN8" s="33"/>
      <c r="AO8" s="33"/>
      <c r="AP8" s="33"/>
      <c r="AQ8" s="33"/>
      <c r="AR8" s="31">
        <v>0</v>
      </c>
      <c r="AS8" s="31">
        <v>0</v>
      </c>
      <c r="AT8" s="31">
        <v>0</v>
      </c>
      <c r="AU8" s="31">
        <v>0</v>
      </c>
      <c r="AV8" s="31">
        <f t="shared" si="8"/>
        <v>0</v>
      </c>
      <c r="AW8" s="31">
        <v>0</v>
      </c>
      <c r="AX8" s="31">
        <f t="shared" si="5"/>
        <v>0</v>
      </c>
      <c r="AY8" s="31"/>
      <c r="AZ8" s="28"/>
      <c r="BA8" s="31"/>
      <c r="BB8" s="31"/>
      <c r="BC8" s="34"/>
      <c r="BD8" s="31"/>
      <c r="BE8" s="35"/>
      <c r="BF8" s="31"/>
      <c r="BG8" s="36" t="str">
        <f t="shared" si="9"/>
        <v>description: "Сраб.сигн ЛО ГЗсигн", note: "Срабатывание ЛО ГЗсигн на сигнал", group: "measurement", minValue: null, maxValue: null, step: null, units: "null", defaultValue: null, eventRegistration: 0</v>
      </c>
      <c r="BH8" s="37"/>
    </row>
    <row r="9" spans="1:16379" s="1" customFormat="1" ht="16.5" customHeight="1" x14ac:dyDescent="0.25">
      <c r="A9" s="23"/>
      <c r="B9" s="23" t="s">
        <v>50</v>
      </c>
      <c r="C9" s="24"/>
      <c r="D9" s="2"/>
      <c r="E9" s="25" t="s">
        <v>128</v>
      </c>
      <c r="F9" s="26" t="s">
        <v>129</v>
      </c>
      <c r="G9" s="26" t="s">
        <v>129</v>
      </c>
      <c r="H9" s="25"/>
      <c r="I9" s="25">
        <f t="shared" ref="I9:I33" si="10">LEN(F9)</f>
        <v>19</v>
      </c>
      <c r="J9" s="25" t="str">
        <f t="shared" ref="J9:J33" si="11">IF(LEN(F9)&lt;=$J$1,F9,"")</f>
        <v>Сраб.сигн ЛО ГЗоткл</v>
      </c>
      <c r="K9" s="23" t="s">
        <v>130</v>
      </c>
      <c r="L9" s="27" t="s">
        <v>54</v>
      </c>
      <c r="M9" s="24" t="s">
        <v>51</v>
      </c>
      <c r="N9" s="24" t="s">
        <v>52</v>
      </c>
      <c r="O9" s="24"/>
      <c r="P9" s="28"/>
      <c r="Q9" s="28"/>
      <c r="R9" s="24" t="s">
        <v>53</v>
      </c>
      <c r="S9" s="24" t="s">
        <v>53</v>
      </c>
      <c r="T9" s="24" t="s">
        <v>53</v>
      </c>
      <c r="U9" s="24" t="s">
        <v>53</v>
      </c>
      <c r="V9" s="24"/>
      <c r="W9" s="24"/>
      <c r="X9" s="24" t="s">
        <v>53</v>
      </c>
      <c r="Y9" s="24">
        <v>0</v>
      </c>
      <c r="Z9" s="30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2"/>
      <c r="AJ9" s="33"/>
      <c r="AK9" s="33"/>
      <c r="AL9" s="33"/>
      <c r="AM9" s="33"/>
      <c r="AN9" s="33"/>
      <c r="AO9" s="33"/>
      <c r="AP9" s="33"/>
      <c r="AQ9" s="33"/>
      <c r="AR9" s="31">
        <v>0</v>
      </c>
      <c r="AS9" s="31">
        <v>0</v>
      </c>
      <c r="AT9" s="31">
        <v>0</v>
      </c>
      <c r="AU9" s="31">
        <v>0</v>
      </c>
      <c r="AV9" s="31">
        <f t="shared" ref="AV9:AV33" si="12">BIN2DEC(CONCATENATE(0,0,0,0,AR9,AS9,AT9,AU9))</f>
        <v>0</v>
      </c>
      <c r="AW9" s="31">
        <v>0</v>
      </c>
      <c r="AX9" s="31">
        <f t="shared" si="5"/>
        <v>0</v>
      </c>
      <c r="AY9" s="31"/>
      <c r="AZ9" s="28"/>
      <c r="BA9" s="31"/>
      <c r="BB9" s="31"/>
      <c r="BC9" s="34"/>
      <c r="BD9" s="31"/>
      <c r="BE9" s="35"/>
      <c r="BF9" s="31"/>
      <c r="BG9" s="36" t="str">
        <f t="shared" ref="BG9:BG33" si="13">CONCATENATE("description: """,F9,"""", ", ", "note: """,E9,"""",", ","group: """, B9, """",", ","minValue: ", S9,", ","maxValue: ", T9,", ","step: ", U9,", ","units: """, R9, """",", ","defaultValue: ", X9,", ","eventRegistration: ", Y9,)</f>
        <v>description: "Сраб.сигн ЛО ГЗоткл", note: "Срабатывание ЛО ГЗоткл на сигнал", group: "measurement", minValue: null, maxValue: null, step: null, units: "null", defaultValue: null, eventRegistration: 0</v>
      </c>
      <c r="BH9" s="37"/>
    </row>
    <row r="10" spans="1:16379" s="1" customFormat="1" ht="16.5" customHeight="1" x14ac:dyDescent="0.25">
      <c r="A10" s="23"/>
      <c r="B10" s="23" t="s">
        <v>50</v>
      </c>
      <c r="C10" s="24"/>
      <c r="D10" s="2"/>
      <c r="E10" s="25" t="s">
        <v>131</v>
      </c>
      <c r="F10" s="26" t="s">
        <v>132</v>
      </c>
      <c r="G10" s="26" t="s">
        <v>132</v>
      </c>
      <c r="H10" s="25"/>
      <c r="I10" s="25">
        <f t="shared" si="10"/>
        <v>19</v>
      </c>
      <c r="J10" s="25" t="str">
        <f t="shared" si="11"/>
        <v>Сраб.сигн ЛО ГЗ РПН</v>
      </c>
      <c r="K10" s="23" t="s">
        <v>133</v>
      </c>
      <c r="L10" s="27" t="s">
        <v>54</v>
      </c>
      <c r="M10" s="24" t="s">
        <v>51</v>
      </c>
      <c r="N10" s="24" t="s">
        <v>52</v>
      </c>
      <c r="O10" s="24"/>
      <c r="P10" s="28"/>
      <c r="Q10" s="28"/>
      <c r="R10" s="24" t="s">
        <v>53</v>
      </c>
      <c r="S10" s="24" t="s">
        <v>53</v>
      </c>
      <c r="T10" s="24" t="s">
        <v>53</v>
      </c>
      <c r="U10" s="24" t="s">
        <v>53</v>
      </c>
      <c r="V10" s="24"/>
      <c r="W10" s="24"/>
      <c r="X10" s="24" t="s">
        <v>53</v>
      </c>
      <c r="Y10" s="24">
        <v>0</v>
      </c>
      <c r="Z10" s="30"/>
      <c r="AA10" s="31">
        <v>0</v>
      </c>
      <c r="AB10" s="31"/>
      <c r="AC10" s="31"/>
      <c r="AD10" s="31"/>
      <c r="AE10" s="31"/>
      <c r="AF10" s="31">
        <v>0</v>
      </c>
      <c r="AG10" s="31">
        <v>0</v>
      </c>
      <c r="AH10" s="31">
        <v>0</v>
      </c>
      <c r="AI10" s="32"/>
      <c r="AJ10" s="33"/>
      <c r="AK10" s="33"/>
      <c r="AL10" s="33"/>
      <c r="AM10" s="33"/>
      <c r="AN10" s="33"/>
      <c r="AO10" s="33"/>
      <c r="AP10" s="33"/>
      <c r="AQ10" s="33"/>
      <c r="AR10" s="31">
        <v>0</v>
      </c>
      <c r="AS10" s="31">
        <v>0</v>
      </c>
      <c r="AT10" s="31">
        <v>0</v>
      </c>
      <c r="AU10" s="31">
        <v>0</v>
      </c>
      <c r="AV10" s="31">
        <f t="shared" si="12"/>
        <v>0</v>
      </c>
      <c r="AW10" s="31">
        <v>0</v>
      </c>
      <c r="AX10" s="31">
        <f t="shared" si="5"/>
        <v>0</v>
      </c>
      <c r="AY10" s="31"/>
      <c r="AZ10" s="28"/>
      <c r="BA10" s="31"/>
      <c r="BB10" s="31"/>
      <c r="BC10" s="34"/>
      <c r="BD10" s="31"/>
      <c r="BE10" s="35"/>
      <c r="BF10" s="31"/>
      <c r="BG10" s="36" t="str">
        <f t="shared" si="13"/>
        <v>description: "Сраб.сигн ЛО ГЗ РПН", note: "Срабатывание ЛО ГЗ РПН на сигнал", group: "measurement", minValue: null, maxValue: null, step: null, units: "null", defaultValue: null, eventRegistration: 0</v>
      </c>
      <c r="BH10" s="37"/>
    </row>
    <row r="11" spans="1:16379" s="1" customFormat="1" ht="16.5" customHeight="1" x14ac:dyDescent="0.25">
      <c r="A11" s="23"/>
      <c r="B11" s="23" t="s">
        <v>50</v>
      </c>
      <c r="C11" s="24"/>
      <c r="D11" s="2"/>
      <c r="E11" s="25" t="s">
        <v>134</v>
      </c>
      <c r="F11" s="26" t="s">
        <v>135</v>
      </c>
      <c r="G11" s="26" t="s">
        <v>135</v>
      </c>
      <c r="H11" s="25"/>
      <c r="I11" s="25">
        <f t="shared" si="10"/>
        <v>16</v>
      </c>
      <c r="J11" s="25" t="str">
        <f t="shared" si="11"/>
        <v>Сраб.сигн ЛО ДТм</v>
      </c>
      <c r="K11" s="23" t="s">
        <v>85</v>
      </c>
      <c r="L11" s="27" t="s">
        <v>54</v>
      </c>
      <c r="M11" s="24" t="s">
        <v>51</v>
      </c>
      <c r="N11" s="24" t="s">
        <v>52</v>
      </c>
      <c r="O11" s="24"/>
      <c r="P11" s="28"/>
      <c r="Q11" s="28"/>
      <c r="R11" s="24" t="s">
        <v>53</v>
      </c>
      <c r="S11" s="24" t="s">
        <v>53</v>
      </c>
      <c r="T11" s="24" t="s">
        <v>53</v>
      </c>
      <c r="U11" s="24" t="s">
        <v>53</v>
      </c>
      <c r="V11" s="24"/>
      <c r="W11" s="24"/>
      <c r="X11" s="24" t="s">
        <v>53</v>
      </c>
      <c r="Y11" s="24">
        <v>0</v>
      </c>
      <c r="Z11" s="30"/>
      <c r="AA11" s="31">
        <v>0</v>
      </c>
      <c r="AB11" s="31"/>
      <c r="AC11" s="31"/>
      <c r="AD11" s="31"/>
      <c r="AE11" s="31"/>
      <c r="AF11" s="31">
        <v>0</v>
      </c>
      <c r="AG11" s="31">
        <v>0</v>
      </c>
      <c r="AH11" s="31">
        <v>0</v>
      </c>
      <c r="AI11" s="32"/>
      <c r="AJ11" s="33"/>
      <c r="AK11" s="33"/>
      <c r="AL11" s="33"/>
      <c r="AM11" s="33"/>
      <c r="AN11" s="33"/>
      <c r="AO11" s="33"/>
      <c r="AP11" s="33"/>
      <c r="AQ11" s="33"/>
      <c r="AR11" s="31">
        <v>0</v>
      </c>
      <c r="AS11" s="31">
        <v>0</v>
      </c>
      <c r="AT11" s="31">
        <v>0</v>
      </c>
      <c r="AU11" s="31">
        <v>0</v>
      </c>
      <c r="AV11" s="31">
        <f t="shared" si="12"/>
        <v>0</v>
      </c>
      <c r="AW11" s="31">
        <v>0</v>
      </c>
      <c r="AX11" s="31">
        <f t="shared" si="5"/>
        <v>0</v>
      </c>
      <c r="AY11" s="31"/>
      <c r="AZ11" s="28"/>
      <c r="BA11" s="31"/>
      <c r="BB11" s="31"/>
      <c r="BC11" s="34"/>
      <c r="BD11" s="31"/>
      <c r="BE11" s="35"/>
      <c r="BF11" s="31"/>
      <c r="BG11" s="36" t="str">
        <f t="shared" si="13"/>
        <v>description: "Сраб.сигн ЛО ДТм", note: "Срабатывание ЛО ДТм", group: "measurement", minValue: null, maxValue: null, step: null, units: "null", defaultValue: null, eventRegistration: 0</v>
      </c>
      <c r="BH11" s="37"/>
    </row>
    <row r="12" spans="1:16379" s="1" customFormat="1" ht="16.5" customHeight="1" x14ac:dyDescent="0.25">
      <c r="A12" s="23"/>
      <c r="B12" s="23" t="s">
        <v>50</v>
      </c>
      <c r="C12" s="24"/>
      <c r="D12" s="2"/>
      <c r="E12" s="25" t="s">
        <v>136</v>
      </c>
      <c r="F12" s="26" t="s">
        <v>137</v>
      </c>
      <c r="G12" s="26" t="s">
        <v>137</v>
      </c>
      <c r="H12" s="25"/>
      <c r="I12" s="25">
        <f t="shared" si="10"/>
        <v>16</v>
      </c>
      <c r="J12" s="25" t="str">
        <f t="shared" si="11"/>
        <v>Сраб.сигн ЛО ДТо</v>
      </c>
      <c r="K12" s="23" t="s">
        <v>86</v>
      </c>
      <c r="L12" s="27" t="s">
        <v>54</v>
      </c>
      <c r="M12" s="24" t="s">
        <v>51</v>
      </c>
      <c r="N12" s="24" t="s">
        <v>52</v>
      </c>
      <c r="O12" s="24"/>
      <c r="P12" s="28"/>
      <c r="Q12" s="28"/>
      <c r="R12" s="24" t="s">
        <v>53</v>
      </c>
      <c r="S12" s="24" t="s">
        <v>53</v>
      </c>
      <c r="T12" s="24" t="s">
        <v>53</v>
      </c>
      <c r="U12" s="24" t="s">
        <v>53</v>
      </c>
      <c r="V12" s="24"/>
      <c r="W12" s="24"/>
      <c r="X12" s="24" t="s">
        <v>53</v>
      </c>
      <c r="Y12" s="24">
        <v>0</v>
      </c>
      <c r="Z12" s="30"/>
      <c r="AA12" s="31">
        <v>0</v>
      </c>
      <c r="AB12" s="31"/>
      <c r="AC12" s="31"/>
      <c r="AD12" s="31"/>
      <c r="AE12" s="31"/>
      <c r="AF12" s="31">
        <v>0</v>
      </c>
      <c r="AG12" s="31">
        <v>0</v>
      </c>
      <c r="AH12" s="31">
        <v>0</v>
      </c>
      <c r="AI12" s="32"/>
      <c r="AJ12" s="33"/>
      <c r="AK12" s="33"/>
      <c r="AL12" s="33"/>
      <c r="AM12" s="33"/>
      <c r="AN12" s="33"/>
      <c r="AO12" s="33"/>
      <c r="AP12" s="33"/>
      <c r="AQ12" s="33"/>
      <c r="AR12" s="31">
        <v>0</v>
      </c>
      <c r="AS12" s="31">
        <v>0</v>
      </c>
      <c r="AT12" s="31">
        <v>0</v>
      </c>
      <c r="AU12" s="31">
        <v>0</v>
      </c>
      <c r="AV12" s="31">
        <f t="shared" si="12"/>
        <v>0</v>
      </c>
      <c r="AW12" s="31">
        <v>0</v>
      </c>
      <c r="AX12" s="31">
        <f t="shared" si="5"/>
        <v>0</v>
      </c>
      <c r="AY12" s="31"/>
      <c r="AZ12" s="28"/>
      <c r="BA12" s="31"/>
      <c r="BB12" s="31"/>
      <c r="BC12" s="34"/>
      <c r="BD12" s="31"/>
      <c r="BE12" s="35"/>
      <c r="BF12" s="31"/>
      <c r="BG12" s="36" t="str">
        <f t="shared" si="13"/>
        <v>description: "Сраб.сигн ЛО ДТо", note: "Срабатывание ЛО ДТо", group: "measurement", minValue: null, maxValue: null, step: null, units: "null", defaultValue: null, eventRegistration: 0</v>
      </c>
      <c r="BH12" s="37"/>
    </row>
    <row r="13" spans="1:16379" s="1" customFormat="1" ht="16.5" customHeight="1" x14ac:dyDescent="0.25">
      <c r="A13" s="23"/>
      <c r="B13" s="23" t="s">
        <v>50</v>
      </c>
      <c r="C13" s="24"/>
      <c r="D13" s="2"/>
      <c r="E13" s="25" t="s">
        <v>138</v>
      </c>
      <c r="F13" s="26" t="s">
        <v>139</v>
      </c>
      <c r="G13" s="26" t="s">
        <v>139</v>
      </c>
      <c r="H13" s="25"/>
      <c r="I13" s="25">
        <f t="shared" si="10"/>
        <v>15</v>
      </c>
      <c r="J13" s="25" t="str">
        <f t="shared" si="11"/>
        <v>Сраб.сигн ЛО РД</v>
      </c>
      <c r="K13" s="23" t="s">
        <v>87</v>
      </c>
      <c r="L13" s="27" t="s">
        <v>54</v>
      </c>
      <c r="M13" s="24" t="s">
        <v>51</v>
      </c>
      <c r="N13" s="24" t="s">
        <v>52</v>
      </c>
      <c r="O13" s="24"/>
      <c r="P13" s="28"/>
      <c r="Q13" s="28"/>
      <c r="R13" s="24" t="s">
        <v>53</v>
      </c>
      <c r="S13" s="24" t="s">
        <v>53</v>
      </c>
      <c r="T13" s="24" t="s">
        <v>53</v>
      </c>
      <c r="U13" s="24" t="s">
        <v>53</v>
      </c>
      <c r="V13" s="24"/>
      <c r="W13" s="24"/>
      <c r="X13" s="24" t="s">
        <v>53</v>
      </c>
      <c r="Y13" s="24">
        <v>0</v>
      </c>
      <c r="Z13" s="30"/>
      <c r="AA13" s="31">
        <v>0</v>
      </c>
      <c r="AB13" s="31"/>
      <c r="AC13" s="31"/>
      <c r="AD13" s="31"/>
      <c r="AE13" s="31"/>
      <c r="AF13" s="31">
        <v>0</v>
      </c>
      <c r="AG13" s="31">
        <v>0</v>
      </c>
      <c r="AH13" s="31">
        <v>0</v>
      </c>
      <c r="AI13" s="32"/>
      <c r="AJ13" s="33"/>
      <c r="AK13" s="33"/>
      <c r="AL13" s="33"/>
      <c r="AM13" s="33"/>
      <c r="AN13" s="33"/>
      <c r="AO13" s="33"/>
      <c r="AP13" s="33"/>
      <c r="AQ13" s="33"/>
      <c r="AR13" s="31">
        <v>0</v>
      </c>
      <c r="AS13" s="31">
        <v>0</v>
      </c>
      <c r="AT13" s="31">
        <v>0</v>
      </c>
      <c r="AU13" s="31">
        <v>0</v>
      </c>
      <c r="AV13" s="31">
        <f t="shared" si="12"/>
        <v>0</v>
      </c>
      <c r="AW13" s="31">
        <v>0</v>
      </c>
      <c r="AX13" s="31">
        <f t="shared" si="5"/>
        <v>0</v>
      </c>
      <c r="AY13" s="31"/>
      <c r="AZ13" s="28"/>
      <c r="BA13" s="31"/>
      <c r="BB13" s="31"/>
      <c r="BC13" s="34"/>
      <c r="BD13" s="31"/>
      <c r="BE13" s="35"/>
      <c r="BF13" s="31"/>
      <c r="BG13" s="36" t="str">
        <f t="shared" si="13"/>
        <v>description: "Сраб.сигн ЛО РД", note: "Срабатывание ЛО РД на сигнал", group: "measurement", minValue: null, maxValue: null, step: null, units: "null", defaultValue: null, eventRegistration: 0</v>
      </c>
      <c r="BH13" s="37"/>
    </row>
    <row r="14" spans="1:16379" s="1" customFormat="1" ht="16.5" customHeight="1" x14ac:dyDescent="0.25">
      <c r="A14" s="23"/>
      <c r="B14" s="23" t="s">
        <v>50</v>
      </c>
      <c r="C14" s="24"/>
      <c r="D14" s="2"/>
      <c r="E14" s="25" t="s">
        <v>140</v>
      </c>
      <c r="F14" s="26" t="s">
        <v>141</v>
      </c>
      <c r="G14" s="26" t="s">
        <v>141</v>
      </c>
      <c r="H14" s="25"/>
      <c r="I14" s="25">
        <f t="shared" si="10"/>
        <v>15</v>
      </c>
      <c r="J14" s="25" t="str">
        <f t="shared" si="11"/>
        <v>Сраб.сигн ЛО ПК</v>
      </c>
      <c r="K14" s="23" t="s">
        <v>142</v>
      </c>
      <c r="L14" s="27" t="s">
        <v>54</v>
      </c>
      <c r="M14" s="24" t="s">
        <v>51</v>
      </c>
      <c r="N14" s="24" t="s">
        <v>52</v>
      </c>
      <c r="O14" s="24"/>
      <c r="P14" s="28"/>
      <c r="Q14" s="28"/>
      <c r="R14" s="24" t="s">
        <v>53</v>
      </c>
      <c r="S14" s="24" t="s">
        <v>53</v>
      </c>
      <c r="T14" s="24" t="s">
        <v>53</v>
      </c>
      <c r="U14" s="24" t="s">
        <v>53</v>
      </c>
      <c r="V14" s="24"/>
      <c r="W14" s="24"/>
      <c r="X14" s="24" t="s">
        <v>53</v>
      </c>
      <c r="Y14" s="24">
        <v>0</v>
      </c>
      <c r="Z14" s="30"/>
      <c r="AA14" s="31">
        <v>0</v>
      </c>
      <c r="AB14" s="31"/>
      <c r="AC14" s="31"/>
      <c r="AD14" s="31"/>
      <c r="AE14" s="31"/>
      <c r="AF14" s="31">
        <v>0</v>
      </c>
      <c r="AG14" s="31">
        <v>0</v>
      </c>
      <c r="AH14" s="31">
        <v>0</v>
      </c>
      <c r="AI14" s="32"/>
      <c r="AJ14" s="33"/>
      <c r="AK14" s="33"/>
      <c r="AL14" s="33"/>
      <c r="AM14" s="33"/>
      <c r="AN14" s="33"/>
      <c r="AO14" s="33"/>
      <c r="AP14" s="33"/>
      <c r="AQ14" s="33"/>
      <c r="AR14" s="31">
        <v>0</v>
      </c>
      <c r="AS14" s="31">
        <v>0</v>
      </c>
      <c r="AT14" s="31">
        <v>0</v>
      </c>
      <c r="AU14" s="31">
        <v>0</v>
      </c>
      <c r="AV14" s="31">
        <f t="shared" si="12"/>
        <v>0</v>
      </c>
      <c r="AW14" s="31">
        <v>0</v>
      </c>
      <c r="AX14" s="31">
        <f t="shared" si="5"/>
        <v>0</v>
      </c>
      <c r="AY14" s="31"/>
      <c r="AZ14" s="28"/>
      <c r="BA14" s="31"/>
      <c r="BB14" s="31"/>
      <c r="BC14" s="34"/>
      <c r="BD14" s="31"/>
      <c r="BE14" s="35"/>
      <c r="BF14" s="31"/>
      <c r="BG14" s="36" t="str">
        <f t="shared" si="13"/>
        <v>description: "Сраб.сигн ЛО ПК", note: "Срабатывание ЛО ПК на сигнал", group: "measurement", minValue: null, maxValue: null, step: null, units: "null", defaultValue: null, eventRegistration: 0</v>
      </c>
      <c r="BH14" s="37"/>
    </row>
    <row r="15" spans="1:16379" s="1" customFormat="1" ht="16.5" customHeight="1" x14ac:dyDescent="0.25">
      <c r="A15" s="23"/>
      <c r="B15" s="23" t="s">
        <v>50</v>
      </c>
      <c r="C15" s="24"/>
      <c r="D15" s="2"/>
      <c r="E15" s="25" t="s">
        <v>143</v>
      </c>
      <c r="F15" s="26" t="s">
        <v>144</v>
      </c>
      <c r="G15" s="26" t="s">
        <v>144</v>
      </c>
      <c r="H15" s="25"/>
      <c r="I15" s="25">
        <f t="shared" si="10"/>
        <v>15</v>
      </c>
      <c r="J15" s="25" t="str">
        <f t="shared" si="11"/>
        <v>Сраб.сигн ЛО ОК</v>
      </c>
      <c r="K15" s="23" t="s">
        <v>145</v>
      </c>
      <c r="L15" s="27" t="s">
        <v>54</v>
      </c>
      <c r="M15" s="24" t="s">
        <v>51</v>
      </c>
      <c r="N15" s="24" t="s">
        <v>52</v>
      </c>
      <c r="O15" s="24"/>
      <c r="P15" s="28"/>
      <c r="Q15" s="28"/>
      <c r="R15" s="24" t="s">
        <v>53</v>
      </c>
      <c r="S15" s="24" t="s">
        <v>53</v>
      </c>
      <c r="T15" s="24" t="s">
        <v>53</v>
      </c>
      <c r="U15" s="24" t="s">
        <v>53</v>
      </c>
      <c r="V15" s="24"/>
      <c r="W15" s="24"/>
      <c r="X15" s="24" t="s">
        <v>53</v>
      </c>
      <c r="Y15" s="24">
        <v>0</v>
      </c>
      <c r="Z15" s="30"/>
      <c r="AA15" s="31">
        <v>0</v>
      </c>
      <c r="AB15" s="31"/>
      <c r="AC15" s="31"/>
      <c r="AD15" s="31"/>
      <c r="AE15" s="31"/>
      <c r="AF15" s="31">
        <v>0</v>
      </c>
      <c r="AG15" s="31">
        <v>0</v>
      </c>
      <c r="AH15" s="31">
        <v>0</v>
      </c>
      <c r="AI15" s="32"/>
      <c r="AJ15" s="33"/>
      <c r="AK15" s="33"/>
      <c r="AL15" s="33"/>
      <c r="AM15" s="33"/>
      <c r="AN15" s="33"/>
      <c r="AO15" s="33"/>
      <c r="AP15" s="33"/>
      <c r="AQ15" s="33"/>
      <c r="AR15" s="31">
        <v>0</v>
      </c>
      <c r="AS15" s="31">
        <v>0</v>
      </c>
      <c r="AT15" s="31">
        <v>0</v>
      </c>
      <c r="AU15" s="31">
        <v>0</v>
      </c>
      <c r="AV15" s="31">
        <f t="shared" si="12"/>
        <v>0</v>
      </c>
      <c r="AW15" s="31">
        <v>0</v>
      </c>
      <c r="AX15" s="31">
        <f t="shared" si="5"/>
        <v>0</v>
      </c>
      <c r="AY15" s="31"/>
      <c r="AZ15" s="28"/>
      <c r="BA15" s="31"/>
      <c r="BB15" s="31"/>
      <c r="BC15" s="34"/>
      <c r="BD15" s="31"/>
      <c r="BE15" s="35"/>
      <c r="BF15" s="31"/>
      <c r="BG15" s="36" t="str">
        <f t="shared" si="13"/>
        <v>description: "Сраб.сигн ЛО ОК", note: "Срабатывание ЛО ОК на сигнал", group: "measurement", minValue: null, maxValue: null, step: null, units: "null", defaultValue: null, eventRegistration: 0</v>
      </c>
      <c r="BH15" s="37"/>
    </row>
    <row r="16" spans="1:16379" s="1" customFormat="1" ht="16.5" customHeight="1" x14ac:dyDescent="0.25">
      <c r="A16" s="23"/>
      <c r="B16" s="23" t="s">
        <v>50</v>
      </c>
      <c r="C16" s="24"/>
      <c r="D16" s="2"/>
      <c r="E16" s="25" t="s">
        <v>146</v>
      </c>
      <c r="F16" s="26" t="s">
        <v>147</v>
      </c>
      <c r="G16" s="26" t="s">
        <v>147</v>
      </c>
      <c r="H16" s="25"/>
      <c r="I16" s="25">
        <f t="shared" si="10"/>
        <v>18</v>
      </c>
      <c r="J16" s="25" t="str">
        <f t="shared" si="11"/>
        <v>Сраб.сигн ЛО ДУм Р</v>
      </c>
      <c r="K16" s="23" t="s">
        <v>148</v>
      </c>
      <c r="L16" s="27" t="s">
        <v>54</v>
      </c>
      <c r="M16" s="24" t="s">
        <v>51</v>
      </c>
      <c r="N16" s="24" t="s">
        <v>52</v>
      </c>
      <c r="O16" s="24"/>
      <c r="P16" s="28"/>
      <c r="Q16" s="28"/>
      <c r="R16" s="24" t="s">
        <v>53</v>
      </c>
      <c r="S16" s="24" t="s">
        <v>53</v>
      </c>
      <c r="T16" s="24" t="s">
        <v>53</v>
      </c>
      <c r="U16" s="24" t="s">
        <v>53</v>
      </c>
      <c r="V16" s="24"/>
      <c r="W16" s="24"/>
      <c r="X16" s="24" t="s">
        <v>53</v>
      </c>
      <c r="Y16" s="24">
        <v>0</v>
      </c>
      <c r="Z16" s="30"/>
      <c r="AA16" s="31">
        <v>0</v>
      </c>
      <c r="AB16" s="31"/>
      <c r="AC16" s="31"/>
      <c r="AD16" s="31"/>
      <c r="AE16" s="31"/>
      <c r="AF16" s="31">
        <v>0</v>
      </c>
      <c r="AG16" s="31">
        <v>0</v>
      </c>
      <c r="AH16" s="31">
        <v>0</v>
      </c>
      <c r="AI16" s="32"/>
      <c r="AJ16" s="33"/>
      <c r="AK16" s="33"/>
      <c r="AL16" s="33"/>
      <c r="AM16" s="33"/>
      <c r="AN16" s="33"/>
      <c r="AO16" s="33"/>
      <c r="AP16" s="33"/>
      <c r="AQ16" s="33"/>
      <c r="AR16" s="31">
        <v>0</v>
      </c>
      <c r="AS16" s="31">
        <v>0</v>
      </c>
      <c r="AT16" s="31">
        <v>0</v>
      </c>
      <c r="AU16" s="31">
        <v>0</v>
      </c>
      <c r="AV16" s="31">
        <f t="shared" si="12"/>
        <v>0</v>
      </c>
      <c r="AW16" s="31">
        <v>0</v>
      </c>
      <c r="AX16" s="31">
        <f t="shared" si="5"/>
        <v>0</v>
      </c>
      <c r="AY16" s="31"/>
      <c r="AZ16" s="28"/>
      <c r="BA16" s="31"/>
      <c r="BB16" s="31"/>
      <c r="BC16" s="34"/>
      <c r="BD16" s="31"/>
      <c r="BE16" s="35"/>
      <c r="BF16" s="31"/>
      <c r="BG16" s="36" t="str">
        <f t="shared" si="13"/>
        <v>description: "Сраб.сигн ЛО ДУм Р", note: "Срабатывание ЛО ДУм расширителя на сигнал", group: "measurement", minValue: null, maxValue: null, step: null, units: "null", defaultValue: null, eventRegistration: 0</v>
      </c>
      <c r="BH16" s="37"/>
    </row>
    <row r="17" spans="1:60" s="1" customFormat="1" ht="16.5" customHeight="1" x14ac:dyDescent="0.25">
      <c r="A17" s="23"/>
      <c r="B17" s="23" t="s">
        <v>50</v>
      </c>
      <c r="C17" s="24"/>
      <c r="D17" s="2"/>
      <c r="E17" s="25" t="s">
        <v>149</v>
      </c>
      <c r="F17" s="26" t="s">
        <v>150</v>
      </c>
      <c r="G17" s="26" t="s">
        <v>150</v>
      </c>
      <c r="H17" s="25"/>
      <c r="I17" s="25">
        <f t="shared" si="10"/>
        <v>8</v>
      </c>
      <c r="J17" s="25" t="str">
        <f t="shared" si="11"/>
        <v>Сраб. ЗП</v>
      </c>
      <c r="K17" s="23" t="s">
        <v>151</v>
      </c>
      <c r="L17" s="27" t="s">
        <v>54</v>
      </c>
      <c r="M17" s="24" t="s">
        <v>51</v>
      </c>
      <c r="N17" s="24" t="s">
        <v>52</v>
      </c>
      <c r="O17" s="24"/>
      <c r="P17" s="28"/>
      <c r="Q17" s="28"/>
      <c r="R17" s="24" t="s">
        <v>53</v>
      </c>
      <c r="S17" s="24" t="s">
        <v>53</v>
      </c>
      <c r="T17" s="24" t="s">
        <v>53</v>
      </c>
      <c r="U17" s="24" t="s">
        <v>53</v>
      </c>
      <c r="V17" s="24"/>
      <c r="W17" s="24"/>
      <c r="X17" s="24" t="s">
        <v>53</v>
      </c>
      <c r="Y17" s="24">
        <v>0</v>
      </c>
      <c r="Z17" s="30"/>
      <c r="AA17" s="31">
        <v>0</v>
      </c>
      <c r="AB17" s="31"/>
      <c r="AC17" s="31"/>
      <c r="AD17" s="31"/>
      <c r="AE17" s="31"/>
      <c r="AF17" s="31">
        <v>0</v>
      </c>
      <c r="AG17" s="31">
        <v>0</v>
      </c>
      <c r="AH17" s="31">
        <v>0</v>
      </c>
      <c r="AI17" s="32"/>
      <c r="AJ17" s="33"/>
      <c r="AK17" s="33"/>
      <c r="AL17" s="33"/>
      <c r="AM17" s="33"/>
      <c r="AN17" s="33"/>
      <c r="AO17" s="33"/>
      <c r="AP17" s="33"/>
      <c r="AQ17" s="33"/>
      <c r="AR17" s="31">
        <v>0</v>
      </c>
      <c r="AS17" s="31">
        <v>0</v>
      </c>
      <c r="AT17" s="31">
        <v>0</v>
      </c>
      <c r="AU17" s="31">
        <v>0</v>
      </c>
      <c r="AV17" s="31">
        <f t="shared" si="12"/>
        <v>0</v>
      </c>
      <c r="AW17" s="31">
        <v>0</v>
      </c>
      <c r="AX17" s="31">
        <f t="shared" si="5"/>
        <v>0</v>
      </c>
      <c r="AY17" s="31"/>
      <c r="AZ17" s="28"/>
      <c r="BA17" s="31"/>
      <c r="BB17" s="31"/>
      <c r="BC17" s="34"/>
      <c r="BD17" s="31"/>
      <c r="BE17" s="35"/>
      <c r="BF17" s="31"/>
      <c r="BG17" s="36" t="str">
        <f t="shared" si="13"/>
        <v>description: "Сраб. ЗП", note: "Срабатывание ЗП", group: "measurement", minValue: null, maxValue: null, step: null, units: "null", defaultValue: null, eventRegistration: 0</v>
      </c>
      <c r="BH17" s="37"/>
    </row>
    <row r="18" spans="1:60" s="1" customFormat="1" ht="16.5" customHeight="1" x14ac:dyDescent="0.25">
      <c r="A18" s="23"/>
      <c r="B18" s="23" t="s">
        <v>50</v>
      </c>
      <c r="C18" s="24"/>
      <c r="D18" s="2"/>
      <c r="E18" s="25" t="s">
        <v>152</v>
      </c>
      <c r="F18" s="26" t="s">
        <v>153</v>
      </c>
      <c r="G18" s="26" t="s">
        <v>153</v>
      </c>
      <c r="H18" s="25"/>
      <c r="I18" s="25">
        <f t="shared" si="10"/>
        <v>13</v>
      </c>
      <c r="J18" s="25" t="str">
        <f t="shared" si="11"/>
        <v>Сраб.сигн ЗОП</v>
      </c>
      <c r="K18" s="23" t="s">
        <v>154</v>
      </c>
      <c r="L18" s="27" t="s">
        <v>54</v>
      </c>
      <c r="M18" s="24" t="s">
        <v>51</v>
      </c>
      <c r="N18" s="24" t="s">
        <v>52</v>
      </c>
      <c r="O18" s="24"/>
      <c r="P18" s="28"/>
      <c r="Q18" s="28"/>
      <c r="R18" s="24" t="s">
        <v>53</v>
      </c>
      <c r="S18" s="24" t="s">
        <v>53</v>
      </c>
      <c r="T18" s="24" t="s">
        <v>53</v>
      </c>
      <c r="U18" s="24" t="s">
        <v>53</v>
      </c>
      <c r="V18" s="24"/>
      <c r="W18" s="24"/>
      <c r="X18" s="24" t="s">
        <v>53</v>
      </c>
      <c r="Y18" s="24">
        <v>0</v>
      </c>
      <c r="Z18" s="30"/>
      <c r="AA18" s="31">
        <v>0</v>
      </c>
      <c r="AB18" s="31"/>
      <c r="AC18" s="31"/>
      <c r="AD18" s="31"/>
      <c r="AE18" s="31"/>
      <c r="AF18" s="31">
        <v>0</v>
      </c>
      <c r="AG18" s="31">
        <v>0</v>
      </c>
      <c r="AH18" s="31">
        <v>0</v>
      </c>
      <c r="AI18" s="32"/>
      <c r="AJ18" s="33"/>
      <c r="AK18" s="33"/>
      <c r="AL18" s="33"/>
      <c r="AM18" s="33"/>
      <c r="AN18" s="33"/>
      <c r="AO18" s="33"/>
      <c r="AP18" s="33"/>
      <c r="AQ18" s="33"/>
      <c r="AR18" s="31">
        <v>0</v>
      </c>
      <c r="AS18" s="31">
        <v>0</v>
      </c>
      <c r="AT18" s="31">
        <v>0</v>
      </c>
      <c r="AU18" s="31">
        <v>0</v>
      </c>
      <c r="AV18" s="31">
        <f t="shared" si="12"/>
        <v>0</v>
      </c>
      <c r="AW18" s="31">
        <v>0</v>
      </c>
      <c r="AX18" s="31">
        <f t="shared" si="5"/>
        <v>0</v>
      </c>
      <c r="AY18" s="31"/>
      <c r="AZ18" s="28"/>
      <c r="BA18" s="31"/>
      <c r="BB18" s="31"/>
      <c r="BC18" s="34"/>
      <c r="BD18" s="31"/>
      <c r="BE18" s="35"/>
      <c r="BF18" s="31"/>
      <c r="BG18" s="36" t="str">
        <f t="shared" si="13"/>
        <v>description: "Сраб.сигн ЗОП", note: "Срабатывание ЗОП на сигнал", group: "measurement", minValue: null, maxValue: null, step: null, units: "null", defaultValue: null, eventRegistration: 0</v>
      </c>
      <c r="BH18" s="37"/>
    </row>
    <row r="19" spans="1:60" s="1" customFormat="1" ht="16.5" customHeight="1" x14ac:dyDescent="0.25">
      <c r="A19" s="23"/>
      <c r="B19" s="23" t="s">
        <v>50</v>
      </c>
      <c r="C19" s="24"/>
      <c r="D19" s="2"/>
      <c r="E19" s="25" t="s">
        <v>155</v>
      </c>
      <c r="F19" s="26" t="s">
        <v>156</v>
      </c>
      <c r="G19" s="26" t="s">
        <v>156</v>
      </c>
      <c r="H19" s="25"/>
      <c r="I19" s="25">
        <f t="shared" si="10"/>
        <v>16</v>
      </c>
      <c r="J19" s="25" t="str">
        <f t="shared" si="11"/>
        <v>Неисправность ЦН</v>
      </c>
      <c r="K19" s="23" t="s">
        <v>157</v>
      </c>
      <c r="L19" s="27" t="s">
        <v>54</v>
      </c>
      <c r="M19" s="24" t="s">
        <v>51</v>
      </c>
      <c r="N19" s="24" t="s">
        <v>52</v>
      </c>
      <c r="O19" s="24"/>
      <c r="P19" s="28"/>
      <c r="Q19" s="28"/>
      <c r="R19" s="24" t="s">
        <v>53</v>
      </c>
      <c r="S19" s="24" t="s">
        <v>53</v>
      </c>
      <c r="T19" s="24" t="s">
        <v>53</v>
      </c>
      <c r="U19" s="24" t="s">
        <v>53</v>
      </c>
      <c r="V19" s="24"/>
      <c r="W19" s="24"/>
      <c r="X19" s="24" t="s">
        <v>53</v>
      </c>
      <c r="Y19" s="24">
        <v>0</v>
      </c>
      <c r="Z19" s="30"/>
      <c r="AA19" s="31">
        <v>0</v>
      </c>
      <c r="AB19" s="31"/>
      <c r="AC19" s="31"/>
      <c r="AD19" s="31"/>
      <c r="AE19" s="31"/>
      <c r="AF19" s="31">
        <v>0</v>
      </c>
      <c r="AG19" s="31">
        <v>0</v>
      </c>
      <c r="AH19" s="31">
        <v>0</v>
      </c>
      <c r="AI19" s="32"/>
      <c r="AJ19" s="33"/>
      <c r="AK19" s="33"/>
      <c r="AL19" s="33"/>
      <c r="AM19" s="33"/>
      <c r="AN19" s="33"/>
      <c r="AO19" s="33"/>
      <c r="AP19" s="33"/>
      <c r="AQ19" s="33"/>
      <c r="AR19" s="31">
        <v>0</v>
      </c>
      <c r="AS19" s="31">
        <v>0</v>
      </c>
      <c r="AT19" s="31">
        <v>0</v>
      </c>
      <c r="AU19" s="31">
        <v>0</v>
      </c>
      <c r="AV19" s="31">
        <f t="shared" si="12"/>
        <v>0</v>
      </c>
      <c r="AW19" s="31">
        <v>0</v>
      </c>
      <c r="AX19" s="31">
        <f t="shared" si="5"/>
        <v>0</v>
      </c>
      <c r="AY19" s="31"/>
      <c r="AZ19" s="28"/>
      <c r="BA19" s="31"/>
      <c r="BB19" s="31"/>
      <c r="BC19" s="34"/>
      <c r="BD19" s="31"/>
      <c r="BE19" s="35"/>
      <c r="BF19" s="31"/>
      <c r="BG19" s="36" t="str">
        <f t="shared" si="13"/>
        <v>description: "Неисправность ЦН", note: "Неисправность цепей напряжения", group: "measurement", minValue: null, maxValue: null, step: null, units: "null", defaultValue: null, eventRegistration: 0</v>
      </c>
      <c r="BH19" s="37"/>
    </row>
    <row r="20" spans="1:60" s="1" customFormat="1" ht="16.5" customHeight="1" x14ac:dyDescent="0.25">
      <c r="A20" s="23"/>
      <c r="B20" s="23" t="s">
        <v>50</v>
      </c>
      <c r="C20" s="24"/>
      <c r="D20" s="2"/>
      <c r="E20" s="25" t="s">
        <v>158</v>
      </c>
      <c r="F20" s="26" t="s">
        <v>159</v>
      </c>
      <c r="G20" s="26" t="s">
        <v>159</v>
      </c>
      <c r="H20" s="25"/>
      <c r="I20" s="25">
        <f t="shared" si="10"/>
        <v>10</v>
      </c>
      <c r="J20" s="25" t="str">
        <f t="shared" si="11"/>
        <v>Сраб. ЛО Т</v>
      </c>
      <c r="K20" s="23" t="s">
        <v>160</v>
      </c>
      <c r="L20" s="27" t="s">
        <v>54</v>
      </c>
      <c r="M20" s="24" t="s">
        <v>51</v>
      </c>
      <c r="N20" s="24" t="s">
        <v>52</v>
      </c>
      <c r="O20" s="24"/>
      <c r="P20" s="28"/>
      <c r="Q20" s="28"/>
      <c r="R20" s="24" t="s">
        <v>53</v>
      </c>
      <c r="S20" s="24" t="s">
        <v>53</v>
      </c>
      <c r="T20" s="24" t="s">
        <v>53</v>
      </c>
      <c r="U20" s="24" t="s">
        <v>53</v>
      </c>
      <c r="V20" s="24"/>
      <c r="W20" s="24"/>
      <c r="X20" s="24" t="s">
        <v>53</v>
      </c>
      <c r="Y20" s="24">
        <v>0</v>
      </c>
      <c r="Z20" s="30"/>
      <c r="AA20" s="31">
        <v>0</v>
      </c>
      <c r="AB20" s="31"/>
      <c r="AC20" s="31"/>
      <c r="AD20" s="31"/>
      <c r="AE20" s="31"/>
      <c r="AF20" s="31">
        <v>0</v>
      </c>
      <c r="AG20" s="31">
        <v>0</v>
      </c>
      <c r="AH20" s="31">
        <v>0</v>
      </c>
      <c r="AI20" s="32"/>
      <c r="AJ20" s="33"/>
      <c r="AK20" s="33"/>
      <c r="AL20" s="33"/>
      <c r="AM20" s="33"/>
      <c r="AN20" s="33"/>
      <c r="AO20" s="33"/>
      <c r="AP20" s="33"/>
      <c r="AQ20" s="33"/>
      <c r="AR20" s="31">
        <v>0</v>
      </c>
      <c r="AS20" s="31">
        <v>0</v>
      </c>
      <c r="AT20" s="31">
        <v>0</v>
      </c>
      <c r="AU20" s="31">
        <v>0</v>
      </c>
      <c r="AV20" s="31">
        <f t="shared" si="12"/>
        <v>0</v>
      </c>
      <c r="AW20" s="31">
        <v>0</v>
      </c>
      <c r="AX20" s="31">
        <f t="shared" si="5"/>
        <v>0</v>
      </c>
      <c r="AY20" s="31"/>
      <c r="AZ20" s="28"/>
      <c r="BA20" s="31"/>
      <c r="BB20" s="31"/>
      <c r="BC20" s="34"/>
      <c r="BD20" s="31"/>
      <c r="BE20" s="35"/>
      <c r="BF20" s="31"/>
      <c r="BG20" s="36" t="str">
        <f t="shared" si="13"/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20" s="37"/>
    </row>
    <row r="21" spans="1:60" s="1" customFormat="1" ht="16.5" customHeight="1" x14ac:dyDescent="0.25">
      <c r="A21" s="23"/>
      <c r="B21" s="23" t="s">
        <v>50</v>
      </c>
      <c r="C21" s="24"/>
      <c r="D21" s="2"/>
      <c r="E21" s="25" t="s">
        <v>93</v>
      </c>
      <c r="F21" s="26" t="s">
        <v>161</v>
      </c>
      <c r="G21" s="26" t="s">
        <v>161</v>
      </c>
      <c r="H21" s="25"/>
      <c r="I21" s="25">
        <f t="shared" si="10"/>
        <v>10</v>
      </c>
      <c r="J21" s="25" t="str">
        <f t="shared" si="11"/>
        <v>Сраб. УРОВ</v>
      </c>
      <c r="K21" s="23" t="s">
        <v>162</v>
      </c>
      <c r="L21" s="27" t="s">
        <v>54</v>
      </c>
      <c r="M21" s="24" t="s">
        <v>51</v>
      </c>
      <c r="N21" s="24" t="s">
        <v>52</v>
      </c>
      <c r="O21" s="24"/>
      <c r="P21" s="28"/>
      <c r="Q21" s="28"/>
      <c r="R21" s="24" t="s">
        <v>53</v>
      </c>
      <c r="S21" s="24" t="s">
        <v>53</v>
      </c>
      <c r="T21" s="24" t="s">
        <v>53</v>
      </c>
      <c r="U21" s="24" t="s">
        <v>53</v>
      </c>
      <c r="V21" s="24"/>
      <c r="W21" s="24"/>
      <c r="X21" s="24" t="s">
        <v>53</v>
      </c>
      <c r="Y21" s="24">
        <v>0</v>
      </c>
      <c r="Z21" s="30"/>
      <c r="AA21" s="31">
        <v>0</v>
      </c>
      <c r="AB21" s="31"/>
      <c r="AC21" s="31"/>
      <c r="AD21" s="31"/>
      <c r="AE21" s="31"/>
      <c r="AF21" s="31">
        <v>0</v>
      </c>
      <c r="AG21" s="31">
        <v>0</v>
      </c>
      <c r="AH21" s="31">
        <v>0</v>
      </c>
      <c r="AI21" s="32"/>
      <c r="AJ21" s="33"/>
      <c r="AK21" s="33"/>
      <c r="AL21" s="33"/>
      <c r="AM21" s="33"/>
      <c r="AN21" s="33"/>
      <c r="AO21" s="33"/>
      <c r="AP21" s="33"/>
      <c r="AQ21" s="33"/>
      <c r="AR21" s="31">
        <v>0</v>
      </c>
      <c r="AS21" s="31">
        <v>0</v>
      </c>
      <c r="AT21" s="31">
        <v>0</v>
      </c>
      <c r="AU21" s="31">
        <v>0</v>
      </c>
      <c r="AV21" s="31">
        <f t="shared" si="12"/>
        <v>0</v>
      </c>
      <c r="AW21" s="31">
        <v>0</v>
      </c>
      <c r="AX21" s="31">
        <f t="shared" si="5"/>
        <v>0</v>
      </c>
      <c r="AY21" s="31"/>
      <c r="AZ21" s="28"/>
      <c r="BA21" s="31"/>
      <c r="BB21" s="31"/>
      <c r="BC21" s="34"/>
      <c r="BD21" s="31"/>
      <c r="BE21" s="35"/>
      <c r="BF21" s="31"/>
      <c r="BG21" s="36" t="str">
        <f t="shared" si="13"/>
        <v>description: "Сраб. УРОВ", note: "Срабатывание УРОВ", group: "measurement", minValue: null, maxValue: null, step: null, units: "null", defaultValue: null, eventRegistration: 0</v>
      </c>
      <c r="BH21" s="37"/>
    </row>
    <row r="22" spans="1:60" s="1" customFormat="1" ht="16.5" customHeight="1" x14ac:dyDescent="0.25">
      <c r="A22" s="23"/>
      <c r="B22" s="23" t="s">
        <v>50</v>
      </c>
      <c r="C22" s="24"/>
      <c r="D22" s="2"/>
      <c r="E22" s="58" t="s">
        <v>254</v>
      </c>
      <c r="F22" s="26" t="s">
        <v>163</v>
      </c>
      <c r="G22" s="26" t="s">
        <v>163</v>
      </c>
      <c r="H22" s="25"/>
      <c r="I22" s="25">
        <f t="shared" si="10"/>
        <v>18</v>
      </c>
      <c r="J22" s="25" t="str">
        <f t="shared" si="11"/>
        <v>Сраб. УРОВ на себя</v>
      </c>
      <c r="K22" s="23" t="s">
        <v>164</v>
      </c>
      <c r="L22" s="27" t="s">
        <v>54</v>
      </c>
      <c r="M22" s="24" t="s">
        <v>51</v>
      </c>
      <c r="N22" s="24" t="s">
        <v>52</v>
      </c>
      <c r="O22" s="24"/>
      <c r="P22" s="28"/>
      <c r="Q22" s="28"/>
      <c r="R22" s="24" t="s">
        <v>53</v>
      </c>
      <c r="S22" s="24" t="s">
        <v>53</v>
      </c>
      <c r="T22" s="24" t="s">
        <v>53</v>
      </c>
      <c r="U22" s="24" t="s">
        <v>53</v>
      </c>
      <c r="V22" s="24"/>
      <c r="W22" s="24"/>
      <c r="X22" s="24" t="s">
        <v>53</v>
      </c>
      <c r="Y22" s="24">
        <v>0</v>
      </c>
      <c r="Z22" s="30"/>
      <c r="AA22" s="31">
        <v>0</v>
      </c>
      <c r="AB22" s="31"/>
      <c r="AC22" s="31"/>
      <c r="AD22" s="31"/>
      <c r="AE22" s="31"/>
      <c r="AF22" s="31">
        <v>0</v>
      </c>
      <c r="AG22" s="31">
        <v>0</v>
      </c>
      <c r="AH22" s="31">
        <v>0</v>
      </c>
      <c r="AI22" s="32"/>
      <c r="AJ22" s="33"/>
      <c r="AK22" s="33"/>
      <c r="AL22" s="33"/>
      <c r="AM22" s="33"/>
      <c r="AN22" s="33"/>
      <c r="AO22" s="33"/>
      <c r="AP22" s="33"/>
      <c r="AQ22" s="33"/>
      <c r="AR22" s="31">
        <v>0</v>
      </c>
      <c r="AS22" s="31">
        <v>0</v>
      </c>
      <c r="AT22" s="31">
        <v>0</v>
      </c>
      <c r="AU22" s="31">
        <v>0</v>
      </c>
      <c r="AV22" s="31">
        <f t="shared" si="12"/>
        <v>0</v>
      </c>
      <c r="AW22" s="31">
        <v>0</v>
      </c>
      <c r="AX22" s="31">
        <f t="shared" si="5"/>
        <v>0</v>
      </c>
      <c r="AY22" s="31"/>
      <c r="AZ22" s="28"/>
      <c r="BA22" s="31"/>
      <c r="BB22" s="31"/>
      <c r="BC22" s="34"/>
      <c r="BD22" s="31"/>
      <c r="BE22" s="35"/>
      <c r="BF22" s="31"/>
      <c r="BG22" s="36" t="str">
        <f t="shared" si="13"/>
        <v>description: "Сраб. УРОВ на себя", note: "Срабатывание УРОВ «на себя»", group: "measurement", minValue: null, maxValue: null, step: null, units: "null", defaultValue: null, eventRegistration: 0</v>
      </c>
      <c r="BH22" s="37"/>
    </row>
    <row r="23" spans="1:60" s="1" customFormat="1" ht="16.5" customHeight="1" x14ac:dyDescent="0.25">
      <c r="A23" s="23"/>
      <c r="B23" s="23" t="s">
        <v>50</v>
      </c>
      <c r="C23" s="24"/>
      <c r="D23" s="2"/>
      <c r="E23" s="25" t="s">
        <v>90</v>
      </c>
      <c r="F23" s="26" t="s">
        <v>91</v>
      </c>
      <c r="G23" s="26" t="s">
        <v>91</v>
      </c>
      <c r="H23" s="25"/>
      <c r="I23" s="25">
        <f t="shared" si="10"/>
        <v>17</v>
      </c>
      <c r="J23" s="25" t="str">
        <f t="shared" si="11"/>
        <v>Превышен ресурс В</v>
      </c>
      <c r="K23" s="23" t="s">
        <v>92</v>
      </c>
      <c r="L23" s="27" t="s">
        <v>54</v>
      </c>
      <c r="M23" s="24" t="s">
        <v>51</v>
      </c>
      <c r="N23" s="24" t="s">
        <v>52</v>
      </c>
      <c r="O23" s="24"/>
      <c r="P23" s="28"/>
      <c r="Q23" s="28"/>
      <c r="R23" s="24" t="s">
        <v>53</v>
      </c>
      <c r="S23" s="24" t="s">
        <v>53</v>
      </c>
      <c r="T23" s="24" t="s">
        <v>53</v>
      </c>
      <c r="U23" s="24" t="s">
        <v>53</v>
      </c>
      <c r="V23" s="24"/>
      <c r="W23" s="24"/>
      <c r="X23" s="24" t="s">
        <v>53</v>
      </c>
      <c r="Y23" s="24">
        <v>0</v>
      </c>
      <c r="Z23" s="30"/>
      <c r="AA23" s="31">
        <v>0</v>
      </c>
      <c r="AB23" s="31"/>
      <c r="AC23" s="31"/>
      <c r="AD23" s="31"/>
      <c r="AE23" s="31"/>
      <c r="AF23" s="31">
        <v>0</v>
      </c>
      <c r="AG23" s="31">
        <v>0</v>
      </c>
      <c r="AH23" s="31">
        <v>0</v>
      </c>
      <c r="AI23" s="32"/>
      <c r="AJ23" s="33"/>
      <c r="AK23" s="33"/>
      <c r="AL23" s="33"/>
      <c r="AM23" s="33"/>
      <c r="AN23" s="33"/>
      <c r="AO23" s="33"/>
      <c r="AP23" s="33"/>
      <c r="AQ23" s="33"/>
      <c r="AR23" s="31">
        <v>0</v>
      </c>
      <c r="AS23" s="31">
        <v>0</v>
      </c>
      <c r="AT23" s="31">
        <v>0</v>
      </c>
      <c r="AU23" s="31">
        <v>0</v>
      </c>
      <c r="AV23" s="31">
        <f t="shared" si="12"/>
        <v>0</v>
      </c>
      <c r="AW23" s="31">
        <v>0</v>
      </c>
      <c r="AX23" s="31">
        <f t="shared" si="5"/>
        <v>0</v>
      </c>
      <c r="AY23" s="31"/>
      <c r="AZ23" s="28"/>
      <c r="BA23" s="31"/>
      <c r="BB23" s="31"/>
      <c r="BC23" s="34"/>
      <c r="BD23" s="31"/>
      <c r="BE23" s="35"/>
      <c r="BF23" s="31"/>
      <c r="BG23" s="36" t="str">
        <f t="shared" si="13"/>
        <v>description: "Превышен ресурс В", note: "Превышен ресурс выключателя", group: "measurement", minValue: null, maxValue: null, step: null, units: "null", defaultValue: null, eventRegistration: 0</v>
      </c>
      <c r="BH23" s="37"/>
    </row>
    <row r="24" spans="1:60" s="1" customFormat="1" ht="16.5" customHeight="1" x14ac:dyDescent="0.25">
      <c r="A24" s="23"/>
      <c r="B24" s="23" t="s">
        <v>50</v>
      </c>
      <c r="C24" s="24"/>
      <c r="D24" s="2"/>
      <c r="E24" s="25" t="s">
        <v>88</v>
      </c>
      <c r="F24" s="26" t="s">
        <v>89</v>
      </c>
      <c r="G24" s="26" t="s">
        <v>89</v>
      </c>
      <c r="H24" s="25"/>
      <c r="I24" s="25">
        <f t="shared" si="10"/>
        <v>15</v>
      </c>
      <c r="J24" s="25" t="str">
        <f t="shared" si="11"/>
        <v>Неисправность В</v>
      </c>
      <c r="K24" s="23" t="s">
        <v>165</v>
      </c>
      <c r="L24" s="27" t="s">
        <v>54</v>
      </c>
      <c r="M24" s="24" t="s">
        <v>51</v>
      </c>
      <c r="N24" s="24" t="s">
        <v>52</v>
      </c>
      <c r="O24" s="24"/>
      <c r="P24" s="28"/>
      <c r="Q24" s="28"/>
      <c r="R24" s="24" t="s">
        <v>53</v>
      </c>
      <c r="S24" s="24" t="s">
        <v>53</v>
      </c>
      <c r="T24" s="24" t="s">
        <v>53</v>
      </c>
      <c r="U24" s="24" t="s">
        <v>53</v>
      </c>
      <c r="V24" s="24"/>
      <c r="W24" s="24"/>
      <c r="X24" s="24" t="s">
        <v>53</v>
      </c>
      <c r="Y24" s="24">
        <v>0</v>
      </c>
      <c r="Z24" s="30"/>
      <c r="AA24" s="31">
        <v>0</v>
      </c>
      <c r="AB24" s="31"/>
      <c r="AC24" s="31"/>
      <c r="AD24" s="31"/>
      <c r="AE24" s="31"/>
      <c r="AF24" s="31">
        <v>0</v>
      </c>
      <c r="AG24" s="31">
        <v>0</v>
      </c>
      <c r="AH24" s="31">
        <v>0</v>
      </c>
      <c r="AI24" s="32"/>
      <c r="AJ24" s="33"/>
      <c r="AK24" s="33"/>
      <c r="AL24" s="33"/>
      <c r="AM24" s="33"/>
      <c r="AN24" s="33"/>
      <c r="AO24" s="33"/>
      <c r="AP24" s="33"/>
      <c r="AQ24" s="33"/>
      <c r="AR24" s="31">
        <v>0</v>
      </c>
      <c r="AS24" s="31">
        <v>0</v>
      </c>
      <c r="AT24" s="31">
        <v>0</v>
      </c>
      <c r="AU24" s="31">
        <v>0</v>
      </c>
      <c r="AV24" s="31">
        <f t="shared" si="12"/>
        <v>0</v>
      </c>
      <c r="AW24" s="31">
        <v>0</v>
      </c>
      <c r="AX24" s="31">
        <f t="shared" si="5"/>
        <v>0</v>
      </c>
      <c r="AY24" s="31"/>
      <c r="AZ24" s="28"/>
      <c r="BA24" s="31"/>
      <c r="BB24" s="31"/>
      <c r="BC24" s="34"/>
      <c r="BD24" s="31"/>
      <c r="BE24" s="35"/>
      <c r="BF24" s="31"/>
      <c r="BG24" s="36" t="str">
        <f t="shared" si="13"/>
        <v>description: "Неисправность В", note: "Неисправность выключателя", group: "measurement", minValue: null, maxValue: null, step: null, units: "null", defaultValue: null, eventRegistration: 0</v>
      </c>
      <c r="BH24" s="37"/>
    </row>
    <row r="25" spans="1:60" s="1" customFormat="1" ht="16.5" customHeight="1" x14ac:dyDescent="0.25">
      <c r="A25" s="23"/>
      <c r="B25" s="23" t="s">
        <v>50</v>
      </c>
      <c r="C25" s="24"/>
      <c r="D25" s="2"/>
      <c r="E25" s="25" t="s">
        <v>94</v>
      </c>
      <c r="F25" s="26" t="s">
        <v>95</v>
      </c>
      <c r="G25" s="26" t="s">
        <v>95</v>
      </c>
      <c r="H25" s="25"/>
      <c r="I25" s="25">
        <f t="shared" si="10"/>
        <v>18</v>
      </c>
      <c r="J25" s="25" t="str">
        <f t="shared" si="11"/>
        <v>В самопр. отключен</v>
      </c>
      <c r="K25" s="23" t="s">
        <v>96</v>
      </c>
      <c r="L25" s="27" t="s">
        <v>54</v>
      </c>
      <c r="M25" s="24" t="s">
        <v>51</v>
      </c>
      <c r="N25" s="24" t="s">
        <v>52</v>
      </c>
      <c r="O25" s="24"/>
      <c r="P25" s="28"/>
      <c r="Q25" s="28"/>
      <c r="R25" s="24" t="s">
        <v>53</v>
      </c>
      <c r="S25" s="24" t="s">
        <v>53</v>
      </c>
      <c r="T25" s="24" t="s">
        <v>53</v>
      </c>
      <c r="U25" s="24" t="s">
        <v>53</v>
      </c>
      <c r="V25" s="24"/>
      <c r="W25" s="24"/>
      <c r="X25" s="24" t="s">
        <v>53</v>
      </c>
      <c r="Y25" s="24">
        <v>0</v>
      </c>
      <c r="Z25" s="30"/>
      <c r="AA25" s="31">
        <v>0</v>
      </c>
      <c r="AB25" s="31"/>
      <c r="AC25" s="31"/>
      <c r="AD25" s="31"/>
      <c r="AE25" s="31"/>
      <c r="AF25" s="31">
        <v>0</v>
      </c>
      <c r="AG25" s="31">
        <v>0</v>
      </c>
      <c r="AH25" s="31">
        <v>0</v>
      </c>
      <c r="AI25" s="32"/>
      <c r="AJ25" s="33"/>
      <c r="AK25" s="33"/>
      <c r="AL25" s="33"/>
      <c r="AM25" s="33"/>
      <c r="AN25" s="33"/>
      <c r="AO25" s="33"/>
      <c r="AP25" s="33"/>
      <c r="AQ25" s="33"/>
      <c r="AR25" s="31">
        <v>0</v>
      </c>
      <c r="AS25" s="31">
        <v>0</v>
      </c>
      <c r="AT25" s="31">
        <v>0</v>
      </c>
      <c r="AU25" s="31">
        <v>0</v>
      </c>
      <c r="AV25" s="31">
        <f t="shared" si="12"/>
        <v>0</v>
      </c>
      <c r="AW25" s="31">
        <v>0</v>
      </c>
      <c r="AX25" s="31">
        <f t="shared" si="5"/>
        <v>0</v>
      </c>
      <c r="AY25" s="31"/>
      <c r="AZ25" s="28"/>
      <c r="BA25" s="31"/>
      <c r="BB25" s="31"/>
      <c r="BC25" s="34"/>
      <c r="BD25" s="31"/>
      <c r="BE25" s="35"/>
      <c r="BF25" s="31"/>
      <c r="BG25" s="36" t="str">
        <f t="shared" si="13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25" s="37"/>
    </row>
    <row r="26" spans="1:60" s="1" customFormat="1" ht="16.5" customHeight="1" x14ac:dyDescent="0.25">
      <c r="A26" s="23"/>
      <c r="B26" s="23" t="s">
        <v>50</v>
      </c>
      <c r="C26" s="24"/>
      <c r="D26" s="2"/>
      <c r="E26" s="25" t="s">
        <v>166</v>
      </c>
      <c r="F26" s="26" t="s">
        <v>167</v>
      </c>
      <c r="G26" s="26" t="s">
        <v>167</v>
      </c>
      <c r="H26" s="25"/>
      <c r="I26" s="25">
        <f t="shared" si="10"/>
        <v>7</v>
      </c>
      <c r="J26" s="25" t="str">
        <f t="shared" si="11"/>
        <v>ГЗ сигн</v>
      </c>
      <c r="K26" s="23" t="s">
        <v>168</v>
      </c>
      <c r="L26" s="27" t="s">
        <v>54</v>
      </c>
      <c r="M26" s="24" t="s">
        <v>51</v>
      </c>
      <c r="N26" s="24" t="s">
        <v>52</v>
      </c>
      <c r="O26" s="24"/>
      <c r="P26" s="28"/>
      <c r="Q26" s="28"/>
      <c r="R26" s="24" t="s">
        <v>53</v>
      </c>
      <c r="S26" s="24" t="s">
        <v>53</v>
      </c>
      <c r="T26" s="24" t="s">
        <v>53</v>
      </c>
      <c r="U26" s="24" t="s">
        <v>53</v>
      </c>
      <c r="V26" s="24"/>
      <c r="W26" s="24"/>
      <c r="X26" s="24" t="s">
        <v>53</v>
      </c>
      <c r="Y26" s="24">
        <v>0</v>
      </c>
      <c r="Z26" s="30"/>
      <c r="AA26" s="31">
        <v>0</v>
      </c>
      <c r="AB26" s="31"/>
      <c r="AC26" s="31"/>
      <c r="AD26" s="31"/>
      <c r="AE26" s="31"/>
      <c r="AF26" s="31">
        <v>0</v>
      </c>
      <c r="AG26" s="31">
        <v>0</v>
      </c>
      <c r="AH26" s="31">
        <v>0</v>
      </c>
      <c r="AI26" s="32"/>
      <c r="AJ26" s="33"/>
      <c r="AK26" s="33"/>
      <c r="AL26" s="33"/>
      <c r="AM26" s="33"/>
      <c r="AN26" s="33"/>
      <c r="AO26" s="33"/>
      <c r="AP26" s="33"/>
      <c r="AQ26" s="33"/>
      <c r="AR26" s="31">
        <v>0</v>
      </c>
      <c r="AS26" s="31">
        <v>0</v>
      </c>
      <c r="AT26" s="31">
        <v>0</v>
      </c>
      <c r="AU26" s="31">
        <v>0</v>
      </c>
      <c r="AV26" s="31">
        <f t="shared" si="12"/>
        <v>0</v>
      </c>
      <c r="AW26" s="31">
        <v>0</v>
      </c>
      <c r="AX26" s="31">
        <f t="shared" si="5"/>
        <v>0</v>
      </c>
      <c r="AY26" s="31"/>
      <c r="AZ26" s="28"/>
      <c r="BA26" s="31"/>
      <c r="BB26" s="31"/>
      <c r="BC26" s="34"/>
      <c r="BD26" s="31"/>
      <c r="BE26" s="35"/>
      <c r="BF26" s="31"/>
      <c r="BG26" s="36" t="str">
        <f t="shared" si="13"/>
        <v>description: "ГЗ сигн", note: "Сигнализация от ГЗ", group: "measurement", minValue: null, maxValue: null, step: null, units: "null", defaultValue: null, eventRegistration: 0</v>
      </c>
      <c r="BH26" s="37"/>
    </row>
    <row r="27" spans="1:60" s="1" customFormat="1" ht="16.5" customHeight="1" x14ac:dyDescent="0.25">
      <c r="A27" s="23"/>
      <c r="B27" s="23" t="s">
        <v>50</v>
      </c>
      <c r="C27" s="24"/>
      <c r="D27" s="2"/>
      <c r="E27" s="25" t="s">
        <v>169</v>
      </c>
      <c r="F27" s="26" t="s">
        <v>170</v>
      </c>
      <c r="G27" s="26" t="s">
        <v>170</v>
      </c>
      <c r="H27" s="25"/>
      <c r="I27" s="25">
        <f t="shared" si="10"/>
        <v>12</v>
      </c>
      <c r="J27" s="25" t="str">
        <f t="shared" si="11"/>
        <v>Низ.изол. ГЗ</v>
      </c>
      <c r="K27" s="23" t="s">
        <v>171</v>
      </c>
      <c r="L27" s="27" t="s">
        <v>54</v>
      </c>
      <c r="M27" s="24" t="s">
        <v>51</v>
      </c>
      <c r="N27" s="24" t="s">
        <v>52</v>
      </c>
      <c r="O27" s="24"/>
      <c r="P27" s="28"/>
      <c r="Q27" s="28"/>
      <c r="R27" s="24" t="s">
        <v>53</v>
      </c>
      <c r="S27" s="24" t="s">
        <v>53</v>
      </c>
      <c r="T27" s="24" t="s">
        <v>53</v>
      </c>
      <c r="U27" s="24" t="s">
        <v>53</v>
      </c>
      <c r="V27" s="24"/>
      <c r="W27" s="24"/>
      <c r="X27" s="24" t="s">
        <v>53</v>
      </c>
      <c r="Y27" s="24">
        <v>0</v>
      </c>
      <c r="Z27" s="30"/>
      <c r="AA27" s="31">
        <v>0</v>
      </c>
      <c r="AB27" s="31"/>
      <c r="AC27" s="31"/>
      <c r="AD27" s="31"/>
      <c r="AE27" s="31"/>
      <c r="AF27" s="31">
        <v>0</v>
      </c>
      <c r="AG27" s="31">
        <v>0</v>
      </c>
      <c r="AH27" s="31">
        <v>0</v>
      </c>
      <c r="AI27" s="32"/>
      <c r="AJ27" s="33"/>
      <c r="AK27" s="33"/>
      <c r="AL27" s="33"/>
      <c r="AM27" s="33"/>
      <c r="AN27" s="33"/>
      <c r="AO27" s="33"/>
      <c r="AP27" s="33"/>
      <c r="AQ27" s="33"/>
      <c r="AR27" s="31">
        <v>0</v>
      </c>
      <c r="AS27" s="31">
        <v>0</v>
      </c>
      <c r="AT27" s="31">
        <v>0</v>
      </c>
      <c r="AU27" s="31">
        <v>0</v>
      </c>
      <c r="AV27" s="31">
        <f t="shared" si="12"/>
        <v>0</v>
      </c>
      <c r="AW27" s="31">
        <v>0</v>
      </c>
      <c r="AX27" s="31">
        <f t="shared" si="5"/>
        <v>0</v>
      </c>
      <c r="AY27" s="31"/>
      <c r="AZ27" s="28"/>
      <c r="BA27" s="31"/>
      <c r="BB27" s="31"/>
      <c r="BC27" s="34"/>
      <c r="BD27" s="31"/>
      <c r="BE27" s="35"/>
      <c r="BF27" s="31"/>
      <c r="BG27" s="36" t="str">
        <f t="shared" si="13"/>
        <v>description: "Низ.изол. ГЗ", note: "Низкая изоляция ГЗ", group: "measurement", minValue: null, maxValue: null, step: null, units: "null", defaultValue: null, eventRegistration: 0</v>
      </c>
      <c r="BH27" s="37"/>
    </row>
    <row r="28" spans="1:60" s="1" customFormat="1" ht="16.5" customHeight="1" x14ac:dyDescent="0.25">
      <c r="A28" s="23"/>
      <c r="B28" s="23" t="s">
        <v>50</v>
      </c>
      <c r="C28" s="24"/>
      <c r="D28" s="2"/>
      <c r="E28" s="25" t="s">
        <v>172</v>
      </c>
      <c r="F28" s="26" t="s">
        <v>172</v>
      </c>
      <c r="G28" s="26" t="s">
        <v>172</v>
      </c>
      <c r="H28" s="25"/>
      <c r="I28" s="25">
        <f t="shared" si="10"/>
        <v>16</v>
      </c>
      <c r="J28" s="25" t="str">
        <f t="shared" si="11"/>
        <v>ГЗ заблокирована</v>
      </c>
      <c r="K28" s="23" t="s">
        <v>173</v>
      </c>
      <c r="L28" s="27" t="s">
        <v>54</v>
      </c>
      <c r="M28" s="24" t="s">
        <v>51</v>
      </c>
      <c r="N28" s="24" t="s">
        <v>52</v>
      </c>
      <c r="O28" s="24"/>
      <c r="P28" s="28"/>
      <c r="Q28" s="28"/>
      <c r="R28" s="24" t="s">
        <v>53</v>
      </c>
      <c r="S28" s="24" t="s">
        <v>53</v>
      </c>
      <c r="T28" s="24" t="s">
        <v>53</v>
      </c>
      <c r="U28" s="24" t="s">
        <v>53</v>
      </c>
      <c r="V28" s="24"/>
      <c r="W28" s="24"/>
      <c r="X28" s="24" t="s">
        <v>53</v>
      </c>
      <c r="Y28" s="24">
        <v>0</v>
      </c>
      <c r="Z28" s="30"/>
      <c r="AA28" s="31">
        <v>0</v>
      </c>
      <c r="AB28" s="31"/>
      <c r="AC28" s="31"/>
      <c r="AD28" s="31"/>
      <c r="AE28" s="31"/>
      <c r="AF28" s="31">
        <v>0</v>
      </c>
      <c r="AG28" s="31">
        <v>0</v>
      </c>
      <c r="AH28" s="31">
        <v>0</v>
      </c>
      <c r="AI28" s="32"/>
      <c r="AJ28" s="33"/>
      <c r="AK28" s="33"/>
      <c r="AL28" s="33"/>
      <c r="AM28" s="33"/>
      <c r="AN28" s="33"/>
      <c r="AO28" s="33"/>
      <c r="AP28" s="33"/>
      <c r="AQ28" s="33"/>
      <c r="AR28" s="31">
        <v>0</v>
      </c>
      <c r="AS28" s="31">
        <v>0</v>
      </c>
      <c r="AT28" s="31">
        <v>0</v>
      </c>
      <c r="AU28" s="31">
        <v>0</v>
      </c>
      <c r="AV28" s="31">
        <f t="shared" si="12"/>
        <v>0</v>
      </c>
      <c r="AW28" s="31">
        <v>0</v>
      </c>
      <c r="AX28" s="31">
        <f t="shared" si="5"/>
        <v>0</v>
      </c>
      <c r="AY28" s="31"/>
      <c r="AZ28" s="28"/>
      <c r="BA28" s="31"/>
      <c r="BB28" s="31"/>
      <c r="BC28" s="34"/>
      <c r="BD28" s="31"/>
      <c r="BE28" s="35"/>
      <c r="BF28" s="31"/>
      <c r="BG28" s="36" t="str">
        <f t="shared" si="13"/>
        <v>description: "ГЗ заблокирована", note: "ГЗ заблокирована", group: "measurement", minValue: null, maxValue: null, step: null, units: "null", defaultValue: null, eventRegistration: 0</v>
      </c>
      <c r="BH28" s="37"/>
    </row>
    <row r="29" spans="1:60" s="1" customFormat="1" ht="16.5" customHeight="1" x14ac:dyDescent="0.25">
      <c r="A29" s="23"/>
      <c r="B29" s="23" t="s">
        <v>50</v>
      </c>
      <c r="C29" s="24"/>
      <c r="D29" s="2"/>
      <c r="E29" s="25" t="s">
        <v>174</v>
      </c>
      <c r="F29" s="26" t="s">
        <v>175</v>
      </c>
      <c r="G29" s="26" t="s">
        <v>175</v>
      </c>
      <c r="H29" s="25"/>
      <c r="I29" s="25">
        <f t="shared" si="10"/>
        <v>7</v>
      </c>
      <c r="J29" s="25" t="str">
        <f t="shared" si="11"/>
        <v>ТЗ сигн</v>
      </c>
      <c r="K29" s="23" t="s">
        <v>176</v>
      </c>
      <c r="L29" s="27" t="s">
        <v>54</v>
      </c>
      <c r="M29" s="24" t="s">
        <v>51</v>
      </c>
      <c r="N29" s="24" t="s">
        <v>52</v>
      </c>
      <c r="O29" s="24"/>
      <c r="P29" s="28"/>
      <c r="Q29" s="28"/>
      <c r="R29" s="24" t="s">
        <v>53</v>
      </c>
      <c r="S29" s="24" t="s">
        <v>53</v>
      </c>
      <c r="T29" s="24" t="s">
        <v>53</v>
      </c>
      <c r="U29" s="24" t="s">
        <v>53</v>
      </c>
      <c r="V29" s="24"/>
      <c r="W29" s="24"/>
      <c r="X29" s="24" t="s">
        <v>53</v>
      </c>
      <c r="Y29" s="24">
        <v>0</v>
      </c>
      <c r="Z29" s="30"/>
      <c r="AA29" s="31">
        <v>0</v>
      </c>
      <c r="AB29" s="31"/>
      <c r="AC29" s="31"/>
      <c r="AD29" s="31"/>
      <c r="AE29" s="31"/>
      <c r="AF29" s="31">
        <v>0</v>
      </c>
      <c r="AG29" s="31">
        <v>0</v>
      </c>
      <c r="AH29" s="31">
        <v>0</v>
      </c>
      <c r="AI29" s="32"/>
      <c r="AJ29" s="33"/>
      <c r="AK29" s="33"/>
      <c r="AL29" s="33"/>
      <c r="AM29" s="33"/>
      <c r="AN29" s="33"/>
      <c r="AO29" s="33"/>
      <c r="AP29" s="33"/>
      <c r="AQ29" s="33"/>
      <c r="AR29" s="31">
        <v>0</v>
      </c>
      <c r="AS29" s="31">
        <v>0</v>
      </c>
      <c r="AT29" s="31">
        <v>0</v>
      </c>
      <c r="AU29" s="31">
        <v>0</v>
      </c>
      <c r="AV29" s="31">
        <f t="shared" si="12"/>
        <v>0</v>
      </c>
      <c r="AW29" s="31">
        <v>0</v>
      </c>
      <c r="AX29" s="31">
        <f t="shared" si="5"/>
        <v>0</v>
      </c>
      <c r="AY29" s="31"/>
      <c r="AZ29" s="28"/>
      <c r="BA29" s="31"/>
      <c r="BB29" s="31"/>
      <c r="BC29" s="34"/>
      <c r="BD29" s="31"/>
      <c r="BE29" s="35"/>
      <c r="BF29" s="31"/>
      <c r="BG29" s="36" t="str">
        <f t="shared" si="13"/>
        <v>description: "ТЗ сигн", note: "Сигнализация от ТЗ", group: "measurement", minValue: null, maxValue: null, step: null, units: "null", defaultValue: null, eventRegistration: 0</v>
      </c>
      <c r="BH29" s="37"/>
    </row>
    <row r="30" spans="1:60" s="1" customFormat="1" ht="16.5" customHeight="1" x14ac:dyDescent="0.25">
      <c r="A30" s="23"/>
      <c r="B30" s="23" t="s">
        <v>50</v>
      </c>
      <c r="C30" s="24"/>
      <c r="D30" s="2"/>
      <c r="E30" s="25" t="s">
        <v>177</v>
      </c>
      <c r="F30" s="26" t="s">
        <v>178</v>
      </c>
      <c r="G30" s="26" t="s">
        <v>178</v>
      </c>
      <c r="H30" s="25"/>
      <c r="I30" s="25">
        <f t="shared" si="10"/>
        <v>12</v>
      </c>
      <c r="J30" s="25" t="str">
        <f t="shared" si="11"/>
        <v>Низ.изол. ТЗ</v>
      </c>
      <c r="K30" s="23" t="s">
        <v>179</v>
      </c>
      <c r="L30" s="27" t="s">
        <v>54</v>
      </c>
      <c r="M30" s="24" t="s">
        <v>51</v>
      </c>
      <c r="N30" s="24" t="s">
        <v>52</v>
      </c>
      <c r="O30" s="24"/>
      <c r="P30" s="28"/>
      <c r="Q30" s="28"/>
      <c r="R30" s="24" t="s">
        <v>53</v>
      </c>
      <c r="S30" s="24" t="s">
        <v>53</v>
      </c>
      <c r="T30" s="24" t="s">
        <v>53</v>
      </c>
      <c r="U30" s="24" t="s">
        <v>53</v>
      </c>
      <c r="V30" s="24"/>
      <c r="W30" s="24"/>
      <c r="X30" s="24" t="s">
        <v>53</v>
      </c>
      <c r="Y30" s="24">
        <v>0</v>
      </c>
      <c r="Z30" s="30"/>
      <c r="AA30" s="31">
        <v>0</v>
      </c>
      <c r="AB30" s="31"/>
      <c r="AC30" s="31"/>
      <c r="AD30" s="31"/>
      <c r="AE30" s="31"/>
      <c r="AF30" s="31">
        <v>0</v>
      </c>
      <c r="AG30" s="31">
        <v>0</v>
      </c>
      <c r="AH30" s="31">
        <v>0</v>
      </c>
      <c r="AI30" s="32"/>
      <c r="AJ30" s="33"/>
      <c r="AK30" s="33"/>
      <c r="AL30" s="33"/>
      <c r="AM30" s="33"/>
      <c r="AN30" s="33"/>
      <c r="AO30" s="33"/>
      <c r="AP30" s="33"/>
      <c r="AQ30" s="33"/>
      <c r="AR30" s="31">
        <v>0</v>
      </c>
      <c r="AS30" s="31">
        <v>0</v>
      </c>
      <c r="AT30" s="31">
        <v>0</v>
      </c>
      <c r="AU30" s="31">
        <v>0</v>
      </c>
      <c r="AV30" s="31">
        <f t="shared" si="12"/>
        <v>0</v>
      </c>
      <c r="AW30" s="31">
        <v>0</v>
      </c>
      <c r="AX30" s="31">
        <f t="shared" si="5"/>
        <v>0</v>
      </c>
      <c r="AY30" s="31"/>
      <c r="AZ30" s="28"/>
      <c r="BA30" s="31"/>
      <c r="BB30" s="31"/>
      <c r="BC30" s="34"/>
      <c r="BD30" s="31"/>
      <c r="BE30" s="35"/>
      <c r="BF30" s="31"/>
      <c r="BG30" s="36" t="str">
        <f t="shared" si="13"/>
        <v>description: "Низ.изол. ТЗ", note: "Низкая изоляция ТЗ", group: "measurement", minValue: null, maxValue: null, step: null, units: "null", defaultValue: null, eventRegistration: 0</v>
      </c>
      <c r="BH30" s="37"/>
    </row>
    <row r="31" spans="1:60" s="1" customFormat="1" ht="16.5" customHeight="1" x14ac:dyDescent="0.25">
      <c r="A31" s="23"/>
      <c r="B31" s="23" t="s">
        <v>50</v>
      </c>
      <c r="C31" s="24"/>
      <c r="D31" s="2"/>
      <c r="E31" s="25" t="s">
        <v>180</v>
      </c>
      <c r="F31" s="26" t="s">
        <v>180</v>
      </c>
      <c r="G31" s="26" t="s">
        <v>180</v>
      </c>
      <c r="H31" s="25"/>
      <c r="I31" s="25">
        <f t="shared" si="10"/>
        <v>16</v>
      </c>
      <c r="J31" s="25" t="str">
        <f t="shared" si="11"/>
        <v>ТЗ заблокирована</v>
      </c>
      <c r="K31" s="23" t="s">
        <v>181</v>
      </c>
      <c r="L31" s="27" t="s">
        <v>54</v>
      </c>
      <c r="M31" s="24" t="s">
        <v>51</v>
      </c>
      <c r="N31" s="24" t="s">
        <v>52</v>
      </c>
      <c r="O31" s="24"/>
      <c r="P31" s="28"/>
      <c r="Q31" s="28"/>
      <c r="R31" s="24" t="s">
        <v>53</v>
      </c>
      <c r="S31" s="24" t="s">
        <v>53</v>
      </c>
      <c r="T31" s="24" t="s">
        <v>53</v>
      </c>
      <c r="U31" s="24" t="s">
        <v>53</v>
      </c>
      <c r="V31" s="24"/>
      <c r="W31" s="24"/>
      <c r="X31" s="24" t="s">
        <v>53</v>
      </c>
      <c r="Y31" s="24">
        <v>0</v>
      </c>
      <c r="Z31" s="30"/>
      <c r="AA31" s="31">
        <v>0</v>
      </c>
      <c r="AB31" s="31"/>
      <c r="AC31" s="31"/>
      <c r="AD31" s="31"/>
      <c r="AE31" s="31"/>
      <c r="AF31" s="31">
        <v>0</v>
      </c>
      <c r="AG31" s="31">
        <v>0</v>
      </c>
      <c r="AH31" s="31">
        <v>0</v>
      </c>
      <c r="AI31" s="32"/>
      <c r="AJ31" s="33"/>
      <c r="AK31" s="33"/>
      <c r="AL31" s="33"/>
      <c r="AM31" s="33"/>
      <c r="AN31" s="33"/>
      <c r="AO31" s="33"/>
      <c r="AP31" s="33"/>
      <c r="AQ31" s="33"/>
      <c r="AR31" s="31">
        <v>0</v>
      </c>
      <c r="AS31" s="31">
        <v>0</v>
      </c>
      <c r="AT31" s="31">
        <v>0</v>
      </c>
      <c r="AU31" s="31">
        <v>0</v>
      </c>
      <c r="AV31" s="31">
        <f t="shared" si="12"/>
        <v>0</v>
      </c>
      <c r="AW31" s="31">
        <v>0</v>
      </c>
      <c r="AX31" s="31">
        <f t="shared" si="5"/>
        <v>0</v>
      </c>
      <c r="AY31" s="31"/>
      <c r="AZ31" s="28"/>
      <c r="BA31" s="31"/>
      <c r="BB31" s="31"/>
      <c r="BC31" s="34"/>
      <c r="BD31" s="31"/>
      <c r="BE31" s="35"/>
      <c r="BF31" s="31"/>
      <c r="BG31" s="36" t="str">
        <f t="shared" si="13"/>
        <v>description: "ТЗ заблокирована", note: "ТЗ заблокирована", group: "measurement", minValue: null, maxValue: null, step: null, units: "null", defaultValue: null, eventRegistration: 0</v>
      </c>
      <c r="BH31" s="37"/>
    </row>
    <row r="32" spans="1:60" s="1" customFormat="1" ht="16.5" customHeight="1" x14ac:dyDescent="0.25">
      <c r="A32" s="23"/>
      <c r="B32" s="23" t="s">
        <v>50</v>
      </c>
      <c r="C32" s="24"/>
      <c r="D32" s="2"/>
      <c r="E32" s="25" t="s">
        <v>182</v>
      </c>
      <c r="F32" s="26" t="s">
        <v>183</v>
      </c>
      <c r="G32" s="26" t="s">
        <v>183</v>
      </c>
      <c r="H32" s="25"/>
      <c r="I32" s="25">
        <f t="shared" si="10"/>
        <v>7</v>
      </c>
      <c r="J32" s="25" t="str">
        <f t="shared" si="11"/>
        <v>ТС сигн</v>
      </c>
      <c r="K32" s="23" t="s">
        <v>184</v>
      </c>
      <c r="L32" s="27" t="s">
        <v>54</v>
      </c>
      <c r="M32" s="24" t="s">
        <v>51</v>
      </c>
      <c r="N32" s="24" t="s">
        <v>52</v>
      </c>
      <c r="O32" s="24"/>
      <c r="P32" s="28"/>
      <c r="Q32" s="28"/>
      <c r="R32" s="24" t="s">
        <v>53</v>
      </c>
      <c r="S32" s="24" t="s">
        <v>53</v>
      </c>
      <c r="T32" s="24" t="s">
        <v>53</v>
      </c>
      <c r="U32" s="24" t="s">
        <v>53</v>
      </c>
      <c r="V32" s="24"/>
      <c r="W32" s="24"/>
      <c r="X32" s="24" t="s">
        <v>53</v>
      </c>
      <c r="Y32" s="24">
        <v>0</v>
      </c>
      <c r="Z32" s="30"/>
      <c r="AA32" s="31">
        <v>0</v>
      </c>
      <c r="AB32" s="31"/>
      <c r="AC32" s="31"/>
      <c r="AD32" s="31"/>
      <c r="AE32" s="31"/>
      <c r="AF32" s="31">
        <v>0</v>
      </c>
      <c r="AG32" s="31">
        <v>0</v>
      </c>
      <c r="AH32" s="31">
        <v>0</v>
      </c>
      <c r="AI32" s="32"/>
      <c r="AJ32" s="33"/>
      <c r="AK32" s="33"/>
      <c r="AL32" s="33"/>
      <c r="AM32" s="33"/>
      <c r="AN32" s="33"/>
      <c r="AO32" s="33"/>
      <c r="AP32" s="33"/>
      <c r="AQ32" s="33"/>
      <c r="AR32" s="31">
        <v>0</v>
      </c>
      <c r="AS32" s="31">
        <v>0</v>
      </c>
      <c r="AT32" s="31">
        <v>0</v>
      </c>
      <c r="AU32" s="31">
        <v>0</v>
      </c>
      <c r="AV32" s="31">
        <f t="shared" si="12"/>
        <v>0</v>
      </c>
      <c r="AW32" s="31">
        <v>0</v>
      </c>
      <c r="AX32" s="31">
        <f t="shared" si="5"/>
        <v>0</v>
      </c>
      <c r="AY32" s="31"/>
      <c r="AZ32" s="28"/>
      <c r="BA32" s="31"/>
      <c r="BB32" s="31"/>
      <c r="BC32" s="34"/>
      <c r="BD32" s="31"/>
      <c r="BE32" s="35"/>
      <c r="BF32" s="31"/>
      <c r="BG32" s="36" t="str">
        <f t="shared" si="13"/>
        <v>description: "ТС сигн", note: "Сигнализация от ТС", group: "measurement", minValue: null, maxValue: null, step: null, units: "null", defaultValue: null, eventRegistration: 0</v>
      </c>
      <c r="BH32" s="37"/>
    </row>
    <row r="33" spans="1:60" s="1" customFormat="1" ht="16.5" customHeight="1" x14ac:dyDescent="0.25">
      <c r="A33" s="23"/>
      <c r="B33" s="23" t="s">
        <v>50</v>
      </c>
      <c r="C33" s="24"/>
      <c r="D33" s="2"/>
      <c r="E33" s="25" t="s">
        <v>185</v>
      </c>
      <c r="F33" s="26" t="s">
        <v>186</v>
      </c>
      <c r="G33" s="26" t="s">
        <v>186</v>
      </c>
      <c r="H33" s="25"/>
      <c r="I33" s="25">
        <f t="shared" si="10"/>
        <v>7</v>
      </c>
      <c r="J33" s="25" t="str">
        <f t="shared" si="11"/>
        <v>ОТ сигн</v>
      </c>
      <c r="K33" s="23" t="s">
        <v>187</v>
      </c>
      <c r="L33" s="27" t="s">
        <v>54</v>
      </c>
      <c r="M33" s="24" t="s">
        <v>51</v>
      </c>
      <c r="N33" s="24" t="s">
        <v>52</v>
      </c>
      <c r="O33" s="24"/>
      <c r="P33" s="28"/>
      <c r="Q33" s="28"/>
      <c r="R33" s="24" t="s">
        <v>53</v>
      </c>
      <c r="S33" s="24" t="s">
        <v>53</v>
      </c>
      <c r="T33" s="24" t="s">
        <v>53</v>
      </c>
      <c r="U33" s="24" t="s">
        <v>53</v>
      </c>
      <c r="V33" s="24"/>
      <c r="W33" s="24"/>
      <c r="X33" s="24" t="s">
        <v>53</v>
      </c>
      <c r="Y33" s="24">
        <v>0</v>
      </c>
      <c r="Z33" s="30"/>
      <c r="AA33" s="31">
        <v>0</v>
      </c>
      <c r="AB33" s="31"/>
      <c r="AC33" s="31"/>
      <c r="AD33" s="31"/>
      <c r="AE33" s="31"/>
      <c r="AF33" s="31">
        <v>0</v>
      </c>
      <c r="AG33" s="31">
        <v>0</v>
      </c>
      <c r="AH33" s="31">
        <v>0</v>
      </c>
      <c r="AI33" s="32"/>
      <c r="AJ33" s="33"/>
      <c r="AK33" s="33"/>
      <c r="AL33" s="33"/>
      <c r="AM33" s="33"/>
      <c r="AN33" s="33"/>
      <c r="AO33" s="33"/>
      <c r="AP33" s="33"/>
      <c r="AQ33" s="33"/>
      <c r="AR33" s="31">
        <v>0</v>
      </c>
      <c r="AS33" s="31">
        <v>0</v>
      </c>
      <c r="AT33" s="31">
        <v>0</v>
      </c>
      <c r="AU33" s="31">
        <v>0</v>
      </c>
      <c r="AV33" s="31">
        <f t="shared" si="12"/>
        <v>0</v>
      </c>
      <c r="AW33" s="31">
        <v>0</v>
      </c>
      <c r="AX33" s="31">
        <f t="shared" si="5"/>
        <v>0</v>
      </c>
      <c r="AY33" s="31"/>
      <c r="AZ33" s="28"/>
      <c r="BA33" s="31"/>
      <c r="BB33" s="31"/>
      <c r="BC33" s="34"/>
      <c r="BD33" s="31"/>
      <c r="BE33" s="35"/>
      <c r="BF33" s="31"/>
      <c r="BG33" s="36" t="str">
        <f t="shared" si="13"/>
        <v>description: "ОТ сигн", note: "Контроль оперативного тока", group: "measurement", minValue: null, maxValue: null, step: null, units: "null", defaultValue: null, eventRegistration: 0</v>
      </c>
      <c r="BH33" s="37"/>
    </row>
    <row r="34" spans="1:60" s="1" customFormat="1" ht="16.5" customHeight="1" x14ac:dyDescent="0.25">
      <c r="A34" s="23"/>
      <c r="B34" s="23" t="s">
        <v>50</v>
      </c>
      <c r="C34" s="24"/>
      <c r="D34" s="2"/>
      <c r="E34" s="25" t="s">
        <v>188</v>
      </c>
      <c r="F34" s="26" t="s">
        <v>189</v>
      </c>
      <c r="G34" s="26" t="s">
        <v>189</v>
      </c>
      <c r="H34" s="25"/>
      <c r="I34" s="25">
        <f t="shared" ref="I34:I40" si="14">LEN(F34)</f>
        <v>10</v>
      </c>
      <c r="J34" s="25" t="str">
        <f t="shared" ref="J34:J40" si="15">IF(LEN(F34)&lt;=$J$1,F34,"")</f>
        <v>ОТ НН сигн</v>
      </c>
      <c r="K34" s="23" t="s">
        <v>190</v>
      </c>
      <c r="L34" s="27" t="s">
        <v>54</v>
      </c>
      <c r="M34" s="24" t="s">
        <v>51</v>
      </c>
      <c r="N34" s="24" t="s">
        <v>52</v>
      </c>
      <c r="O34" s="24"/>
      <c r="P34" s="28"/>
      <c r="Q34" s="28"/>
      <c r="R34" s="24" t="s">
        <v>53</v>
      </c>
      <c r="S34" s="24" t="s">
        <v>53</v>
      </c>
      <c r="T34" s="24" t="s">
        <v>53</v>
      </c>
      <c r="U34" s="24" t="s">
        <v>53</v>
      </c>
      <c r="V34" s="24"/>
      <c r="W34" s="24"/>
      <c r="X34" s="24" t="s">
        <v>53</v>
      </c>
      <c r="Y34" s="24">
        <v>0</v>
      </c>
      <c r="Z34" s="30"/>
      <c r="AA34" s="31">
        <v>0</v>
      </c>
      <c r="AB34" s="31"/>
      <c r="AC34" s="31"/>
      <c r="AD34" s="31"/>
      <c r="AE34" s="31"/>
      <c r="AF34" s="31">
        <v>0</v>
      </c>
      <c r="AG34" s="31">
        <v>0</v>
      </c>
      <c r="AH34" s="31">
        <v>0</v>
      </c>
      <c r="AI34" s="32"/>
      <c r="AJ34" s="33"/>
      <c r="AK34" s="33"/>
      <c r="AL34" s="33"/>
      <c r="AM34" s="33"/>
      <c r="AN34" s="33"/>
      <c r="AO34" s="33"/>
      <c r="AP34" s="33"/>
      <c r="AQ34" s="33"/>
      <c r="AR34" s="31">
        <v>0</v>
      </c>
      <c r="AS34" s="31">
        <v>0</v>
      </c>
      <c r="AT34" s="31">
        <v>0</v>
      </c>
      <c r="AU34" s="31">
        <v>0</v>
      </c>
      <c r="AV34" s="31">
        <f t="shared" ref="AV34:AV40" si="16">BIN2DEC(CONCATENATE(0,0,0,0,AR34,AS34,AT34,AU34))</f>
        <v>0</v>
      </c>
      <c r="AW34" s="31">
        <v>0</v>
      </c>
      <c r="AX34" s="31">
        <f t="shared" si="5"/>
        <v>0</v>
      </c>
      <c r="AY34" s="31"/>
      <c r="AZ34" s="28"/>
      <c r="BA34" s="31"/>
      <c r="BB34" s="31"/>
      <c r="BC34" s="34"/>
      <c r="BD34" s="31"/>
      <c r="BE34" s="35"/>
      <c r="BF34" s="31"/>
      <c r="BG34" s="36" t="str">
        <f t="shared" ref="BG34:BG40" si="17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"ОТ НН сигн", note: "Контроль оперативного тока НН", group: "measurement", minValue: null, maxValue: null, step: null, units: "null", defaultValue: null, eventRegistration: 0</v>
      </c>
      <c r="BH34" s="37"/>
    </row>
    <row r="35" spans="1:60" s="1" customFormat="1" ht="16.5" customHeight="1" x14ac:dyDescent="0.25">
      <c r="A35" s="23"/>
      <c r="B35" s="23" t="s">
        <v>50</v>
      </c>
      <c r="C35" s="24"/>
      <c r="D35" s="2"/>
      <c r="E35" s="25" t="s">
        <v>191</v>
      </c>
      <c r="F35" s="26" t="s">
        <v>192</v>
      </c>
      <c r="G35" s="26" t="s">
        <v>192</v>
      </c>
      <c r="H35" s="25"/>
      <c r="I35" s="25">
        <f t="shared" si="14"/>
        <v>10</v>
      </c>
      <c r="J35" s="25" t="str">
        <f t="shared" si="15"/>
        <v>Внеш. откл</v>
      </c>
      <c r="K35" s="23" t="s">
        <v>193</v>
      </c>
      <c r="L35" s="27" t="s">
        <v>54</v>
      </c>
      <c r="M35" s="24" t="s">
        <v>51</v>
      </c>
      <c r="N35" s="24" t="s">
        <v>52</v>
      </c>
      <c r="O35" s="24"/>
      <c r="P35" s="28"/>
      <c r="Q35" s="28"/>
      <c r="R35" s="24" t="s">
        <v>53</v>
      </c>
      <c r="S35" s="24" t="s">
        <v>53</v>
      </c>
      <c r="T35" s="24" t="s">
        <v>53</v>
      </c>
      <c r="U35" s="24" t="s">
        <v>53</v>
      </c>
      <c r="V35" s="24"/>
      <c r="W35" s="24"/>
      <c r="X35" s="24" t="s">
        <v>53</v>
      </c>
      <c r="Y35" s="24">
        <v>0</v>
      </c>
      <c r="Z35" s="30"/>
      <c r="AA35" s="31">
        <v>0</v>
      </c>
      <c r="AB35" s="31"/>
      <c r="AC35" s="31"/>
      <c r="AD35" s="31"/>
      <c r="AE35" s="31"/>
      <c r="AF35" s="31">
        <v>0</v>
      </c>
      <c r="AG35" s="31">
        <v>0</v>
      </c>
      <c r="AH35" s="31">
        <v>0</v>
      </c>
      <c r="AI35" s="32"/>
      <c r="AJ35" s="33"/>
      <c r="AK35" s="33"/>
      <c r="AL35" s="33"/>
      <c r="AM35" s="33"/>
      <c r="AN35" s="33"/>
      <c r="AO35" s="33"/>
      <c r="AP35" s="33"/>
      <c r="AQ35" s="33"/>
      <c r="AR35" s="31">
        <v>0</v>
      </c>
      <c r="AS35" s="31">
        <v>0</v>
      </c>
      <c r="AT35" s="31">
        <v>0</v>
      </c>
      <c r="AU35" s="31">
        <v>0</v>
      </c>
      <c r="AV35" s="31">
        <f t="shared" si="16"/>
        <v>0</v>
      </c>
      <c r="AW35" s="31">
        <v>0</v>
      </c>
      <c r="AX35" s="31">
        <f t="shared" si="5"/>
        <v>0</v>
      </c>
      <c r="AY35" s="31"/>
      <c r="AZ35" s="28"/>
      <c r="BA35" s="31"/>
      <c r="BB35" s="31"/>
      <c r="BC35" s="34"/>
      <c r="BD35" s="31"/>
      <c r="BE35" s="35"/>
      <c r="BF35" s="31"/>
      <c r="BG35" s="36" t="str">
        <f t="shared" si="17"/>
        <v>description: "Внеш. откл", note: "Внешнее отключение", group: "measurement", minValue: null, maxValue: null, step: null, units: "null", defaultValue: null, eventRegistration: 0</v>
      </c>
      <c r="BH35" s="37"/>
    </row>
    <row r="36" spans="1:60" s="1" customFormat="1" ht="16.5" customHeight="1" x14ac:dyDescent="0.25">
      <c r="A36" s="23"/>
      <c r="B36" s="23" t="s">
        <v>50</v>
      </c>
      <c r="C36" s="24"/>
      <c r="D36" s="2"/>
      <c r="E36" s="25" t="s">
        <v>194</v>
      </c>
      <c r="F36" s="26" t="s">
        <v>195</v>
      </c>
      <c r="G36" s="26" t="s">
        <v>195</v>
      </c>
      <c r="H36" s="25"/>
      <c r="I36" s="25">
        <f t="shared" si="14"/>
        <v>18</v>
      </c>
      <c r="J36" s="25" t="str">
        <f t="shared" si="15"/>
        <v>Вых.цепи разобраны</v>
      </c>
      <c r="K36" s="23" t="s">
        <v>196</v>
      </c>
      <c r="L36" s="27" t="s">
        <v>54</v>
      </c>
      <c r="M36" s="24" t="s">
        <v>51</v>
      </c>
      <c r="N36" s="24" t="s">
        <v>52</v>
      </c>
      <c r="O36" s="24"/>
      <c r="P36" s="28"/>
      <c r="Q36" s="28"/>
      <c r="R36" s="24" t="s">
        <v>53</v>
      </c>
      <c r="S36" s="24" t="s">
        <v>53</v>
      </c>
      <c r="T36" s="24" t="s">
        <v>53</v>
      </c>
      <c r="U36" s="24" t="s">
        <v>53</v>
      </c>
      <c r="V36" s="24"/>
      <c r="W36" s="24"/>
      <c r="X36" s="24" t="s">
        <v>53</v>
      </c>
      <c r="Y36" s="24">
        <v>0</v>
      </c>
      <c r="Z36" s="30"/>
      <c r="AA36" s="31">
        <v>0</v>
      </c>
      <c r="AB36" s="31"/>
      <c r="AC36" s="31"/>
      <c r="AD36" s="31"/>
      <c r="AE36" s="31"/>
      <c r="AF36" s="31">
        <v>0</v>
      </c>
      <c r="AG36" s="31">
        <v>0</v>
      </c>
      <c r="AH36" s="31">
        <v>0</v>
      </c>
      <c r="AI36" s="32"/>
      <c r="AJ36" s="33"/>
      <c r="AK36" s="33"/>
      <c r="AL36" s="33"/>
      <c r="AM36" s="33"/>
      <c r="AN36" s="33"/>
      <c r="AO36" s="33"/>
      <c r="AP36" s="33"/>
      <c r="AQ36" s="33"/>
      <c r="AR36" s="31">
        <v>0</v>
      </c>
      <c r="AS36" s="31">
        <v>0</v>
      </c>
      <c r="AT36" s="31">
        <v>0</v>
      </c>
      <c r="AU36" s="31">
        <v>0</v>
      </c>
      <c r="AV36" s="31">
        <f t="shared" si="16"/>
        <v>0</v>
      </c>
      <c r="AW36" s="31">
        <v>0</v>
      </c>
      <c r="AX36" s="31">
        <f t="shared" si="5"/>
        <v>0</v>
      </c>
      <c r="AY36" s="31"/>
      <c r="AZ36" s="28"/>
      <c r="BA36" s="31"/>
      <c r="BB36" s="31"/>
      <c r="BC36" s="34"/>
      <c r="BD36" s="31"/>
      <c r="BE36" s="35"/>
      <c r="BF36" s="31"/>
      <c r="BG36" s="36" t="str">
        <f t="shared" si="17"/>
        <v>description: "Вых.цепи разобраны", note: "Выходные цепи разобраны", group: "measurement", minValue: null, maxValue: null, step: null, units: "null", defaultValue: null, eventRegistration: 0</v>
      </c>
      <c r="BH36" s="37"/>
    </row>
    <row r="37" spans="1:60" s="1" customFormat="1" ht="16.5" customHeight="1" x14ac:dyDescent="0.25">
      <c r="A37" s="23"/>
      <c r="B37" s="23" t="s">
        <v>50</v>
      </c>
      <c r="C37" s="24"/>
      <c r="D37" s="2"/>
      <c r="E37" s="25" t="s">
        <v>197</v>
      </c>
      <c r="F37" s="26" t="s">
        <v>197</v>
      </c>
      <c r="G37" s="26" t="s">
        <v>197</v>
      </c>
      <c r="H37" s="25"/>
      <c r="I37" s="25">
        <f t="shared" si="14"/>
        <v>11</v>
      </c>
      <c r="J37" s="25" t="str">
        <f t="shared" si="15"/>
        <v>БИ выведены</v>
      </c>
      <c r="K37" s="23" t="s">
        <v>198</v>
      </c>
      <c r="L37" s="27" t="s">
        <v>54</v>
      </c>
      <c r="M37" s="24" t="s">
        <v>51</v>
      </c>
      <c r="N37" s="24" t="s">
        <v>52</v>
      </c>
      <c r="O37" s="24"/>
      <c r="P37" s="28"/>
      <c r="Q37" s="28"/>
      <c r="R37" s="24" t="s">
        <v>53</v>
      </c>
      <c r="S37" s="24" t="s">
        <v>53</v>
      </c>
      <c r="T37" s="24" t="s">
        <v>53</v>
      </c>
      <c r="U37" s="24" t="s">
        <v>53</v>
      </c>
      <c r="V37" s="24"/>
      <c r="W37" s="24"/>
      <c r="X37" s="24" t="s">
        <v>53</v>
      </c>
      <c r="Y37" s="24">
        <v>0</v>
      </c>
      <c r="Z37" s="30"/>
      <c r="AA37" s="31">
        <v>0</v>
      </c>
      <c r="AB37" s="31"/>
      <c r="AC37" s="31"/>
      <c r="AD37" s="31"/>
      <c r="AE37" s="31"/>
      <c r="AF37" s="31">
        <v>0</v>
      </c>
      <c r="AG37" s="31">
        <v>0</v>
      </c>
      <c r="AH37" s="31">
        <v>0</v>
      </c>
      <c r="AI37" s="32"/>
      <c r="AJ37" s="33"/>
      <c r="AK37" s="33"/>
      <c r="AL37" s="33"/>
      <c r="AM37" s="33"/>
      <c r="AN37" s="33"/>
      <c r="AO37" s="33"/>
      <c r="AP37" s="33"/>
      <c r="AQ37" s="33"/>
      <c r="AR37" s="31">
        <v>0</v>
      </c>
      <c r="AS37" s="31">
        <v>0</v>
      </c>
      <c r="AT37" s="31">
        <v>0</v>
      </c>
      <c r="AU37" s="31">
        <v>0</v>
      </c>
      <c r="AV37" s="31">
        <f t="shared" si="16"/>
        <v>0</v>
      </c>
      <c r="AW37" s="31">
        <v>0</v>
      </c>
      <c r="AX37" s="31">
        <f t="shared" si="5"/>
        <v>0</v>
      </c>
      <c r="AY37" s="31"/>
      <c r="AZ37" s="28"/>
      <c r="BA37" s="31"/>
      <c r="BB37" s="31"/>
      <c r="BC37" s="34"/>
      <c r="BD37" s="31"/>
      <c r="BE37" s="35"/>
      <c r="BF37" s="31"/>
      <c r="BG37" s="36" t="str">
        <f t="shared" si="17"/>
        <v>description: "БИ выведены", note: "БИ выведены", group: "measurement", minValue: null, maxValue: null, step: null, units: "null", defaultValue: null, eventRegistration: 0</v>
      </c>
      <c r="BH37" s="37"/>
    </row>
    <row r="38" spans="1:60" s="1" customFormat="1" ht="16.5" customHeight="1" x14ac:dyDescent="0.25">
      <c r="A38" s="23"/>
      <c r="B38" s="23" t="s">
        <v>50</v>
      </c>
      <c r="C38" s="24"/>
      <c r="D38" s="2"/>
      <c r="E38" s="25" t="s">
        <v>199</v>
      </c>
      <c r="F38" s="26" t="s">
        <v>200</v>
      </c>
      <c r="G38" s="26" t="s">
        <v>200</v>
      </c>
      <c r="H38" s="25"/>
      <c r="I38" s="25">
        <f t="shared" si="14"/>
        <v>17</v>
      </c>
      <c r="J38" s="25" t="str">
        <f t="shared" si="15"/>
        <v>Прев. вр. пер. КА</v>
      </c>
      <c r="K38" s="23" t="s">
        <v>201</v>
      </c>
      <c r="L38" s="27" t="s">
        <v>54</v>
      </c>
      <c r="M38" s="24" t="s">
        <v>51</v>
      </c>
      <c r="N38" s="24" t="s">
        <v>52</v>
      </c>
      <c r="O38" s="24"/>
      <c r="P38" s="28"/>
      <c r="Q38" s="28"/>
      <c r="R38" s="24" t="s">
        <v>53</v>
      </c>
      <c r="S38" s="24" t="s">
        <v>53</v>
      </c>
      <c r="T38" s="24" t="s">
        <v>53</v>
      </c>
      <c r="U38" s="24" t="s">
        <v>53</v>
      </c>
      <c r="V38" s="24"/>
      <c r="W38" s="24"/>
      <c r="X38" s="24" t="s">
        <v>53</v>
      </c>
      <c r="Y38" s="24">
        <v>0</v>
      </c>
      <c r="Z38" s="30"/>
      <c r="AA38" s="31">
        <v>0</v>
      </c>
      <c r="AB38" s="31"/>
      <c r="AC38" s="31"/>
      <c r="AD38" s="31"/>
      <c r="AE38" s="31"/>
      <c r="AF38" s="31">
        <v>0</v>
      </c>
      <c r="AG38" s="31">
        <v>0</v>
      </c>
      <c r="AH38" s="31">
        <v>0</v>
      </c>
      <c r="AI38" s="32"/>
      <c r="AJ38" s="33"/>
      <c r="AK38" s="33"/>
      <c r="AL38" s="33"/>
      <c r="AM38" s="33"/>
      <c r="AN38" s="33"/>
      <c r="AO38" s="33"/>
      <c r="AP38" s="33"/>
      <c r="AQ38" s="33"/>
      <c r="AR38" s="31">
        <v>0</v>
      </c>
      <c r="AS38" s="31">
        <v>0</v>
      </c>
      <c r="AT38" s="31">
        <v>0</v>
      </c>
      <c r="AU38" s="31">
        <v>0</v>
      </c>
      <c r="AV38" s="31">
        <f t="shared" si="16"/>
        <v>0</v>
      </c>
      <c r="AW38" s="31">
        <v>0</v>
      </c>
      <c r="AX38" s="31">
        <f t="shared" si="5"/>
        <v>0</v>
      </c>
      <c r="AY38" s="31"/>
      <c r="AZ38" s="28"/>
      <c r="BA38" s="31"/>
      <c r="BB38" s="31"/>
      <c r="BC38" s="34"/>
      <c r="BD38" s="31"/>
      <c r="BE38" s="35"/>
      <c r="BF38" s="31"/>
      <c r="BG38" s="36" t="str">
        <f t="shared" si="17"/>
        <v>description: "Прев. вр. пер. КА", note: "Превышение времени переключения КА", group: "measurement", minValue: null, maxValue: null, step: null, units: "null", defaultValue: null, eventRegistration: 0</v>
      </c>
      <c r="BH38" s="37"/>
    </row>
    <row r="39" spans="1:60" s="1" customFormat="1" ht="16.5" customHeight="1" x14ac:dyDescent="0.25">
      <c r="A39" s="23"/>
      <c r="B39" s="23" t="s">
        <v>50</v>
      </c>
      <c r="C39" s="24"/>
      <c r="D39" s="2"/>
      <c r="E39" s="25" t="s">
        <v>202</v>
      </c>
      <c r="F39" s="26" t="s">
        <v>203</v>
      </c>
      <c r="G39" s="26" t="s">
        <v>203</v>
      </c>
      <c r="H39" s="25"/>
      <c r="I39" s="25">
        <f t="shared" si="14"/>
        <v>19</v>
      </c>
      <c r="J39" s="25" t="str">
        <f t="shared" si="15"/>
        <v>Общ. внеш. сигн. СС</v>
      </c>
      <c r="K39" s="23" t="s">
        <v>204</v>
      </c>
      <c r="L39" s="27" t="s">
        <v>54</v>
      </c>
      <c r="M39" s="24" t="s">
        <v>51</v>
      </c>
      <c r="N39" s="24" t="s">
        <v>52</v>
      </c>
      <c r="O39" s="24"/>
      <c r="P39" s="28"/>
      <c r="Q39" s="28"/>
      <c r="R39" s="24" t="s">
        <v>53</v>
      </c>
      <c r="S39" s="24" t="s">
        <v>53</v>
      </c>
      <c r="T39" s="24" t="s">
        <v>53</v>
      </c>
      <c r="U39" s="24" t="s">
        <v>53</v>
      </c>
      <c r="V39" s="24"/>
      <c r="W39" s="24"/>
      <c r="X39" s="24" t="s">
        <v>53</v>
      </c>
      <c r="Y39" s="24">
        <v>0</v>
      </c>
      <c r="Z39" s="30"/>
      <c r="AA39" s="31">
        <v>0</v>
      </c>
      <c r="AB39" s="31"/>
      <c r="AC39" s="31"/>
      <c r="AD39" s="31"/>
      <c r="AE39" s="31"/>
      <c r="AF39" s="31">
        <v>0</v>
      </c>
      <c r="AG39" s="31">
        <v>0</v>
      </c>
      <c r="AH39" s="31">
        <v>0</v>
      </c>
      <c r="AI39" s="32"/>
      <c r="AJ39" s="33"/>
      <c r="AK39" s="33"/>
      <c r="AL39" s="33"/>
      <c r="AM39" s="33"/>
      <c r="AN39" s="33"/>
      <c r="AO39" s="33"/>
      <c r="AP39" s="33"/>
      <c r="AQ39" s="33"/>
      <c r="AR39" s="31">
        <v>0</v>
      </c>
      <c r="AS39" s="31">
        <v>0</v>
      </c>
      <c r="AT39" s="31">
        <v>0</v>
      </c>
      <c r="AU39" s="31">
        <v>0</v>
      </c>
      <c r="AV39" s="31">
        <f t="shared" si="16"/>
        <v>0</v>
      </c>
      <c r="AW39" s="31">
        <v>0</v>
      </c>
      <c r="AX39" s="31">
        <f t="shared" si="5"/>
        <v>0</v>
      </c>
      <c r="AY39" s="31"/>
      <c r="AZ39" s="28"/>
      <c r="BA39" s="31"/>
      <c r="BB39" s="31"/>
      <c r="BC39" s="34"/>
      <c r="BD39" s="31"/>
      <c r="BE39" s="35"/>
      <c r="BF39" s="31"/>
      <c r="BG39" s="36" t="str">
        <f t="shared" si="17"/>
        <v>description: "Общ. внеш. сигн. СС", note: "Общий внешний сигнал от СС", group: "measurement", minValue: null, maxValue: null, step: null, units: "null", defaultValue: null, eventRegistration: 0</v>
      </c>
      <c r="BH39" s="37"/>
    </row>
    <row r="40" spans="1:60" s="1" customFormat="1" ht="16.5" customHeight="1" x14ac:dyDescent="0.25">
      <c r="A40" s="23"/>
      <c r="B40" s="23" t="s">
        <v>50</v>
      </c>
      <c r="C40" s="24"/>
      <c r="D40" s="2"/>
      <c r="E40" s="25" t="s">
        <v>205</v>
      </c>
      <c r="F40" s="26" t="s">
        <v>97</v>
      </c>
      <c r="G40" s="26" t="s">
        <v>97</v>
      </c>
      <c r="H40" s="25"/>
      <c r="I40" s="25">
        <f t="shared" si="14"/>
        <v>3</v>
      </c>
      <c r="J40" s="25" t="str">
        <f t="shared" si="15"/>
        <v>IRF</v>
      </c>
      <c r="K40" s="23" t="s">
        <v>97</v>
      </c>
      <c r="L40" s="27" t="s">
        <v>54</v>
      </c>
      <c r="M40" s="24" t="s">
        <v>51</v>
      </c>
      <c r="N40" s="24" t="s">
        <v>52</v>
      </c>
      <c r="O40" s="24"/>
      <c r="P40" s="28"/>
      <c r="Q40" s="28"/>
      <c r="R40" s="24" t="s">
        <v>53</v>
      </c>
      <c r="S40" s="24" t="s">
        <v>53</v>
      </c>
      <c r="T40" s="24" t="s">
        <v>53</v>
      </c>
      <c r="U40" s="24" t="s">
        <v>53</v>
      </c>
      <c r="V40" s="24"/>
      <c r="W40" s="24"/>
      <c r="X40" s="24" t="s">
        <v>53</v>
      </c>
      <c r="Y40" s="24">
        <v>0</v>
      </c>
      <c r="Z40" s="30"/>
      <c r="AA40" s="31">
        <v>0</v>
      </c>
      <c r="AB40" s="31"/>
      <c r="AC40" s="31"/>
      <c r="AD40" s="31"/>
      <c r="AE40" s="31"/>
      <c r="AF40" s="31">
        <v>0</v>
      </c>
      <c r="AG40" s="31">
        <v>0</v>
      </c>
      <c r="AH40" s="31">
        <v>0</v>
      </c>
      <c r="AI40" s="32"/>
      <c r="AJ40" s="33"/>
      <c r="AK40" s="33"/>
      <c r="AL40" s="33"/>
      <c r="AM40" s="33"/>
      <c r="AN40" s="33"/>
      <c r="AO40" s="33"/>
      <c r="AP40" s="33"/>
      <c r="AQ40" s="33"/>
      <c r="AR40" s="31">
        <v>0</v>
      </c>
      <c r="AS40" s="31">
        <v>0</v>
      </c>
      <c r="AT40" s="31">
        <v>0</v>
      </c>
      <c r="AU40" s="31">
        <v>0</v>
      </c>
      <c r="AV40" s="31">
        <f t="shared" si="16"/>
        <v>0</v>
      </c>
      <c r="AW40" s="31">
        <v>0</v>
      </c>
      <c r="AX40" s="31">
        <f t="shared" si="5"/>
        <v>0</v>
      </c>
      <c r="AY40" s="31"/>
      <c r="AZ40" s="28"/>
      <c r="BA40" s="31"/>
      <c r="BB40" s="31"/>
      <c r="BC40" s="34"/>
      <c r="BD40" s="31"/>
      <c r="BE40" s="35"/>
      <c r="BF40" s="31"/>
      <c r="BG40" s="36" t="str">
        <f t="shared" si="17"/>
        <v>description: "IRF", note: "Неисправность терминала", group: "measurement", minValue: null, maxValue: null, step: null, units: "null", defaultValue: null, eventRegistration: 0</v>
      </c>
      <c r="BH40" s="37"/>
    </row>
    <row r="41" spans="1:60" s="7" customFormat="1" ht="15.75" x14ac:dyDescent="0.25">
      <c r="A41" s="6"/>
      <c r="B41" s="6"/>
      <c r="C41" s="6"/>
      <c r="D41" s="6"/>
      <c r="R41" s="8"/>
      <c r="S41" s="9"/>
      <c r="T41" s="9"/>
      <c r="U41" s="9"/>
      <c r="V41" s="9"/>
      <c r="W41" s="9"/>
      <c r="X41" s="9"/>
      <c r="Y41" s="9"/>
      <c r="Z41" s="6"/>
      <c r="AA41" s="9"/>
      <c r="AB41" s="9"/>
      <c r="AC41" s="9"/>
      <c r="AD41" s="9"/>
      <c r="AE41" s="9"/>
      <c r="AF41" s="9"/>
      <c r="AG41" s="9"/>
      <c r="AH41" s="6"/>
      <c r="AI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46"/>
      <c r="BC41" s="9"/>
      <c r="BD41" s="46"/>
      <c r="BE41" s="9"/>
      <c r="BF41" s="9"/>
      <c r="BG41" s="6"/>
      <c r="BH41" s="6"/>
    </row>
    <row r="42" spans="1:60" s="7" customFormat="1" ht="15.75" x14ac:dyDescent="0.25">
      <c r="A42" s="6"/>
      <c r="B42" s="6"/>
      <c r="C42" s="6"/>
      <c r="D42" s="6"/>
      <c r="R42" s="8"/>
      <c r="S42" s="9"/>
      <c r="T42" s="9"/>
      <c r="U42" s="9"/>
      <c r="V42" s="9"/>
      <c r="W42" s="9"/>
      <c r="X42" s="9"/>
      <c r="Y42" s="9"/>
      <c r="Z42" s="6"/>
      <c r="AA42" s="9"/>
      <c r="AB42" s="9"/>
      <c r="AC42" s="9"/>
      <c r="AD42" s="9"/>
      <c r="AE42" s="9"/>
      <c r="AF42" s="9"/>
      <c r="AG42" s="9"/>
      <c r="AH42" s="6"/>
      <c r="AI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46"/>
      <c r="BC42" s="9"/>
      <c r="BD42" s="46"/>
      <c r="BE42" s="9"/>
      <c r="BF42" s="9"/>
      <c r="BG42" s="6"/>
      <c r="BH42" s="6"/>
    </row>
    <row r="43" spans="1:60" s="7" customFormat="1" ht="15.75" x14ac:dyDescent="0.25">
      <c r="A43" s="6"/>
      <c r="B43" s="6"/>
      <c r="C43" s="6"/>
      <c r="D43" s="6"/>
      <c r="R43" s="8"/>
      <c r="S43" s="9"/>
      <c r="T43" s="9"/>
      <c r="U43" s="9"/>
      <c r="V43" s="9"/>
      <c r="W43" s="9"/>
      <c r="X43" s="9"/>
      <c r="Y43" s="9"/>
      <c r="Z43" s="6"/>
      <c r="AA43" s="9"/>
      <c r="AB43" s="9"/>
      <c r="AC43" s="9"/>
      <c r="AD43" s="9"/>
      <c r="AE43" s="9"/>
      <c r="AF43" s="9"/>
      <c r="AG43" s="9"/>
      <c r="AH43" s="6"/>
      <c r="AI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46"/>
      <c r="BC43" s="9"/>
      <c r="BD43" s="46"/>
      <c r="BE43" s="9"/>
      <c r="BF43" s="9"/>
      <c r="BG43" s="6"/>
      <c r="BH43" s="6"/>
    </row>
    <row r="44" spans="1:60" s="7" customFormat="1" ht="15.75" x14ac:dyDescent="0.25">
      <c r="A44" s="6"/>
      <c r="B44" s="6"/>
      <c r="C44" s="6"/>
      <c r="D44" s="6"/>
      <c r="R44" s="8"/>
      <c r="S44" s="9"/>
      <c r="T44" s="9"/>
      <c r="U44" s="9"/>
      <c r="V44" s="9"/>
      <c r="W44" s="9"/>
      <c r="X44" s="9"/>
      <c r="Y44" s="9"/>
      <c r="Z44" s="6"/>
      <c r="AA44" s="9"/>
      <c r="AB44" s="9"/>
      <c r="AC44" s="9"/>
      <c r="AD44" s="9"/>
      <c r="AE44" s="9"/>
      <c r="AF44" s="9"/>
      <c r="AG44" s="9"/>
      <c r="AH44" s="6"/>
      <c r="AI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46"/>
      <c r="BC44" s="9"/>
      <c r="BD44" s="46"/>
      <c r="BE44" s="9"/>
      <c r="BF44" s="9"/>
      <c r="BG44" s="6"/>
      <c r="BH44" s="6"/>
    </row>
    <row r="45" spans="1:60" s="7" customFormat="1" ht="15.75" x14ac:dyDescent="0.25">
      <c r="A45" s="6"/>
      <c r="B45" s="6"/>
      <c r="C45" s="6"/>
      <c r="D45" s="6"/>
      <c r="R45" s="8"/>
      <c r="S45" s="9"/>
      <c r="T45" s="9"/>
      <c r="U45" s="9"/>
      <c r="V45" s="9"/>
      <c r="W45" s="9"/>
      <c r="X45" s="9"/>
      <c r="Y45" s="9"/>
      <c r="Z45" s="6"/>
      <c r="AA45" s="9"/>
      <c r="AB45" s="9"/>
      <c r="AC45" s="9"/>
      <c r="AD45" s="9"/>
      <c r="AE45" s="9"/>
      <c r="AF45" s="9"/>
      <c r="AG45" s="9"/>
      <c r="AH45" s="6"/>
      <c r="AI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46"/>
      <c r="BC45" s="9"/>
      <c r="BD45" s="46"/>
      <c r="BE45" s="9"/>
      <c r="BF45" s="9"/>
      <c r="BG45" s="6"/>
      <c r="BH45" s="6"/>
    </row>
    <row r="46" spans="1:60" s="7" customFormat="1" ht="15.75" x14ac:dyDescent="0.25">
      <c r="A46" s="6"/>
      <c r="B46" s="6"/>
      <c r="C46" s="6"/>
      <c r="D46" s="6"/>
      <c r="R46" s="8"/>
      <c r="S46" s="9"/>
      <c r="T46" s="9"/>
      <c r="U46" s="9"/>
      <c r="V46" s="9"/>
      <c r="W46" s="9"/>
      <c r="X46" s="9"/>
      <c r="Y46" s="9"/>
      <c r="Z46" s="6"/>
      <c r="AA46" s="9"/>
      <c r="AB46" s="9"/>
      <c r="AC46" s="9"/>
      <c r="AD46" s="9"/>
      <c r="AE46" s="9"/>
      <c r="AF46" s="9"/>
      <c r="AG46" s="9"/>
      <c r="AH46" s="6"/>
      <c r="AI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46"/>
      <c r="BC46" s="9"/>
      <c r="BD46" s="46"/>
      <c r="BE46" s="9"/>
      <c r="BF46" s="9"/>
      <c r="BG46" s="6"/>
      <c r="BH46" s="6"/>
    </row>
    <row r="47" spans="1:60" s="7" customFormat="1" ht="15.75" x14ac:dyDescent="0.25">
      <c r="A47" s="6"/>
      <c r="B47" s="6"/>
      <c r="C47" s="6"/>
      <c r="D47" s="6"/>
      <c r="R47" s="8"/>
      <c r="S47" s="9"/>
      <c r="T47" s="9"/>
      <c r="U47" s="9"/>
      <c r="V47" s="9"/>
      <c r="W47" s="9"/>
      <c r="X47" s="9"/>
      <c r="Y47" s="9"/>
      <c r="Z47" s="6"/>
      <c r="AA47" s="9"/>
      <c r="AB47" s="9"/>
      <c r="AC47" s="9"/>
      <c r="AD47" s="9"/>
      <c r="AE47" s="9"/>
      <c r="AF47" s="9"/>
      <c r="AG47" s="9"/>
      <c r="AH47" s="6"/>
      <c r="AI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46"/>
      <c r="BC47" s="9"/>
      <c r="BD47" s="46"/>
      <c r="BE47" s="9"/>
      <c r="BF47" s="9"/>
      <c r="BG47" s="6"/>
      <c r="BH47" s="6"/>
    </row>
    <row r="48" spans="1:60" s="7" customFormat="1" ht="15.75" x14ac:dyDescent="0.25">
      <c r="A48" s="6"/>
      <c r="B48" s="6"/>
      <c r="C48" s="6"/>
      <c r="D48" s="6"/>
      <c r="R48" s="8"/>
      <c r="S48" s="9"/>
      <c r="T48" s="9"/>
      <c r="U48" s="9"/>
      <c r="V48" s="9"/>
      <c r="W48" s="9"/>
      <c r="X48" s="9"/>
      <c r="Y48" s="9"/>
      <c r="Z48" s="6"/>
      <c r="AA48" s="9"/>
      <c r="AB48" s="9"/>
      <c r="AC48" s="9"/>
      <c r="AD48" s="9"/>
      <c r="AE48" s="9"/>
      <c r="AF48" s="9"/>
      <c r="AG48" s="9"/>
      <c r="AH48" s="6"/>
      <c r="AI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46"/>
      <c r="BC48" s="9"/>
      <c r="BD48" s="46"/>
      <c r="BE48" s="9"/>
      <c r="BF48" s="9"/>
      <c r="BG48" s="6"/>
      <c r="BH48" s="6"/>
    </row>
    <row r="49" spans="1:60" s="7" customFormat="1" ht="15.75" x14ac:dyDescent="0.25">
      <c r="A49" s="6"/>
      <c r="B49" s="6"/>
      <c r="C49" s="6"/>
      <c r="D49" s="6"/>
      <c r="R49" s="8"/>
      <c r="S49" s="9"/>
      <c r="T49" s="9"/>
      <c r="U49" s="9"/>
      <c r="V49" s="9"/>
      <c r="W49" s="9"/>
      <c r="X49" s="9"/>
      <c r="Y49" s="9"/>
      <c r="Z49" s="6"/>
      <c r="AA49" s="9"/>
      <c r="AB49" s="9"/>
      <c r="AC49" s="9"/>
      <c r="AD49" s="9"/>
      <c r="AE49" s="9"/>
      <c r="AF49" s="9"/>
      <c r="AG49" s="9"/>
      <c r="AH49" s="6"/>
      <c r="AI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46"/>
      <c r="BC49" s="9"/>
      <c r="BD49" s="46"/>
      <c r="BE49" s="9"/>
      <c r="BF49" s="9"/>
      <c r="BG49" s="6"/>
      <c r="BH49" s="6"/>
    </row>
    <row r="50" spans="1:60" s="7" customFormat="1" ht="15.75" x14ac:dyDescent="0.25">
      <c r="A50" s="6"/>
      <c r="B50" s="6"/>
      <c r="C50" s="6"/>
      <c r="D50" s="6"/>
      <c r="R50" s="8"/>
      <c r="S50" s="9"/>
      <c r="T50" s="9"/>
      <c r="U50" s="9"/>
      <c r="V50" s="9"/>
      <c r="W50" s="9"/>
      <c r="X50" s="9"/>
      <c r="Y50" s="9"/>
      <c r="Z50" s="6"/>
      <c r="AA50" s="9"/>
      <c r="AB50" s="9"/>
      <c r="AC50" s="9"/>
      <c r="AD50" s="9"/>
      <c r="AE50" s="9"/>
      <c r="AF50" s="9"/>
      <c r="AG50" s="9"/>
      <c r="AH50" s="6"/>
      <c r="AI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46"/>
      <c r="BC50" s="9"/>
      <c r="BD50" s="46"/>
      <c r="BE50" s="9"/>
      <c r="BF50" s="9"/>
      <c r="BG50" s="6"/>
      <c r="BH50" s="6"/>
    </row>
    <row r="51" spans="1:60" s="7" customFormat="1" ht="15.75" x14ac:dyDescent="0.25">
      <c r="A51" s="6"/>
      <c r="B51" s="6"/>
      <c r="C51" s="6"/>
      <c r="D51" s="6"/>
      <c r="R51" s="8"/>
      <c r="S51" s="9"/>
      <c r="T51" s="9"/>
      <c r="U51" s="9"/>
      <c r="V51" s="9"/>
      <c r="W51" s="9"/>
      <c r="X51" s="9"/>
      <c r="Y51" s="9"/>
      <c r="Z51" s="6"/>
      <c r="AA51" s="9"/>
      <c r="AB51" s="9"/>
      <c r="AC51" s="9"/>
      <c r="AD51" s="9"/>
      <c r="AE51" s="9"/>
      <c r="AF51" s="9"/>
      <c r="AG51" s="9"/>
      <c r="AH51" s="6"/>
      <c r="AI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46"/>
      <c r="BC51" s="9"/>
      <c r="BD51" s="46"/>
      <c r="BE51" s="9"/>
      <c r="BF51" s="9"/>
      <c r="BG51" s="6"/>
      <c r="BH51" s="6"/>
    </row>
    <row r="52" spans="1:60" s="7" customFormat="1" ht="15.75" x14ac:dyDescent="0.25">
      <c r="A52" s="6"/>
      <c r="B52" s="6"/>
      <c r="C52" s="6"/>
      <c r="D52" s="6"/>
      <c r="R52" s="8"/>
      <c r="S52" s="9"/>
      <c r="T52" s="9"/>
      <c r="U52" s="9"/>
      <c r="V52" s="9"/>
      <c r="W52" s="9"/>
      <c r="X52" s="9"/>
      <c r="Y52" s="9"/>
      <c r="Z52" s="6"/>
      <c r="AA52" s="9"/>
      <c r="AB52" s="9"/>
      <c r="AC52" s="9"/>
      <c r="AD52" s="9"/>
      <c r="AE52" s="9"/>
      <c r="AF52" s="9"/>
      <c r="AG52" s="9"/>
      <c r="AH52" s="6"/>
      <c r="AI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46"/>
      <c r="BC52" s="9"/>
      <c r="BD52" s="46"/>
      <c r="BE52" s="9"/>
      <c r="BF52" s="9"/>
      <c r="BG52" s="6"/>
      <c r="BH52" s="6"/>
    </row>
    <row r="53" spans="1:60" s="7" customFormat="1" ht="15.75" x14ac:dyDescent="0.25">
      <c r="A53" s="6"/>
      <c r="B53" s="6"/>
      <c r="C53" s="6"/>
      <c r="D53" s="6"/>
      <c r="R53" s="8"/>
      <c r="S53" s="9"/>
      <c r="T53" s="9"/>
      <c r="U53" s="9"/>
      <c r="V53" s="9"/>
      <c r="W53" s="9"/>
      <c r="X53" s="9"/>
      <c r="Y53" s="9"/>
      <c r="Z53" s="6"/>
      <c r="AA53" s="9"/>
      <c r="AB53" s="9"/>
      <c r="AC53" s="9"/>
      <c r="AD53" s="9"/>
      <c r="AE53" s="9"/>
      <c r="AF53" s="9"/>
      <c r="AG53" s="9"/>
      <c r="AH53" s="6"/>
      <c r="AI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46"/>
      <c r="BC53" s="9"/>
      <c r="BD53" s="46"/>
      <c r="BE53" s="9"/>
      <c r="BF53" s="9"/>
      <c r="BG53" s="6"/>
      <c r="BH53" s="6"/>
    </row>
    <row r="54" spans="1:60" s="7" customFormat="1" ht="15.75" x14ac:dyDescent="0.25">
      <c r="A54" s="6"/>
      <c r="B54" s="6"/>
      <c r="C54" s="6"/>
      <c r="D54" s="6"/>
      <c r="R54" s="8"/>
      <c r="S54" s="9"/>
      <c r="T54" s="9"/>
      <c r="U54" s="9"/>
      <c r="V54" s="9"/>
      <c r="W54" s="9"/>
      <c r="X54" s="9"/>
      <c r="Y54" s="9"/>
      <c r="Z54" s="6"/>
      <c r="AA54" s="9"/>
      <c r="AB54" s="9"/>
      <c r="AC54" s="9"/>
      <c r="AD54" s="9"/>
      <c r="AE54" s="9"/>
      <c r="AF54" s="9"/>
      <c r="AG54" s="9"/>
      <c r="AH54" s="6"/>
      <c r="AI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46"/>
      <c r="BC54" s="9"/>
      <c r="BD54" s="46"/>
      <c r="BE54" s="9"/>
      <c r="BF54" s="9"/>
      <c r="BG54" s="6"/>
      <c r="BH54" s="6"/>
    </row>
    <row r="55" spans="1:60" s="7" customFormat="1" ht="15.75" x14ac:dyDescent="0.25">
      <c r="A55" s="6"/>
      <c r="B55" s="6"/>
      <c r="C55" s="6"/>
      <c r="D55" s="6"/>
      <c r="R55" s="8"/>
      <c r="S55" s="9"/>
      <c r="T55" s="9"/>
      <c r="U55" s="9"/>
      <c r="V55" s="9"/>
      <c r="W55" s="9"/>
      <c r="X55" s="9"/>
      <c r="Y55" s="9"/>
      <c r="Z55" s="6"/>
      <c r="AA55" s="9"/>
      <c r="AB55" s="9"/>
      <c r="AC55" s="9"/>
      <c r="AD55" s="9"/>
      <c r="AE55" s="9"/>
      <c r="AF55" s="9"/>
      <c r="AG55" s="9"/>
      <c r="AH55" s="6"/>
      <c r="AI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46"/>
      <c r="BC55" s="9"/>
      <c r="BD55" s="46"/>
      <c r="BE55" s="9"/>
      <c r="BF55" s="9"/>
      <c r="BG55" s="6"/>
      <c r="BH55" s="6"/>
    </row>
    <row r="56" spans="1:60" s="7" customFormat="1" ht="15.75" x14ac:dyDescent="0.25">
      <c r="A56" s="6"/>
      <c r="B56" s="6"/>
      <c r="C56" s="6"/>
      <c r="D56" s="6"/>
      <c r="R56" s="8"/>
      <c r="S56" s="9"/>
      <c r="T56" s="9"/>
      <c r="U56" s="9"/>
      <c r="V56" s="9"/>
      <c r="W56" s="9"/>
      <c r="X56" s="9"/>
      <c r="Y56" s="9"/>
      <c r="Z56" s="6"/>
      <c r="AA56" s="9"/>
      <c r="AB56" s="9"/>
      <c r="AC56" s="9"/>
      <c r="AD56" s="9"/>
      <c r="AE56" s="9"/>
      <c r="AF56" s="9"/>
      <c r="AG56" s="9"/>
      <c r="AH56" s="6"/>
      <c r="AI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46"/>
      <c r="BC56" s="9"/>
      <c r="BD56" s="46"/>
      <c r="BE56" s="9"/>
      <c r="BF56" s="9"/>
      <c r="BG56" s="6"/>
      <c r="BH56" s="6"/>
    </row>
    <row r="57" spans="1:60" s="7" customFormat="1" ht="15.75" x14ac:dyDescent="0.25">
      <c r="A57" s="6"/>
      <c r="B57" s="6"/>
      <c r="C57" s="6"/>
      <c r="D57" s="6"/>
      <c r="R57" s="8"/>
      <c r="S57" s="9"/>
      <c r="T57" s="9"/>
      <c r="U57" s="9"/>
      <c r="V57" s="9"/>
      <c r="W57" s="9"/>
      <c r="X57" s="9"/>
      <c r="Y57" s="9"/>
      <c r="Z57" s="6"/>
      <c r="AA57" s="9"/>
      <c r="AB57" s="9"/>
      <c r="AC57" s="9"/>
      <c r="AD57" s="9"/>
      <c r="AE57" s="9"/>
      <c r="AF57" s="9"/>
      <c r="AG57" s="9"/>
      <c r="AH57" s="6"/>
      <c r="AI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46"/>
      <c r="BC57" s="9"/>
      <c r="BD57" s="46"/>
      <c r="BE57" s="9"/>
      <c r="BF57" s="9"/>
      <c r="BG57" s="6"/>
      <c r="BH57" s="6"/>
    </row>
    <row r="58" spans="1:60" s="7" customFormat="1" ht="15.75" x14ac:dyDescent="0.25">
      <c r="A58" s="6"/>
      <c r="B58" s="6"/>
      <c r="C58" s="6"/>
      <c r="D58" s="6"/>
      <c r="R58" s="8"/>
      <c r="S58" s="9"/>
      <c r="T58" s="9"/>
      <c r="U58" s="9"/>
      <c r="V58" s="9"/>
      <c r="W58" s="9"/>
      <c r="X58" s="9"/>
      <c r="Y58" s="9"/>
      <c r="Z58" s="6"/>
      <c r="AA58" s="9"/>
      <c r="AB58" s="9"/>
      <c r="AC58" s="9"/>
      <c r="AD58" s="9"/>
      <c r="AE58" s="9"/>
      <c r="AF58" s="9"/>
      <c r="AG58" s="9"/>
      <c r="AH58" s="6"/>
      <c r="AI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46"/>
      <c r="BC58" s="9"/>
      <c r="BD58" s="46"/>
      <c r="BE58" s="9"/>
      <c r="BF58" s="9"/>
      <c r="BG58" s="6"/>
      <c r="BH58" s="6"/>
    </row>
    <row r="59" spans="1:60" s="7" customFormat="1" ht="15.75" x14ac:dyDescent="0.25">
      <c r="A59" s="6"/>
      <c r="B59" s="6"/>
      <c r="C59" s="6"/>
      <c r="D59" s="6"/>
      <c r="R59" s="8"/>
      <c r="S59" s="9"/>
      <c r="T59" s="9"/>
      <c r="U59" s="9"/>
      <c r="V59" s="9"/>
      <c r="W59" s="9"/>
      <c r="X59" s="9"/>
      <c r="Y59" s="9"/>
      <c r="Z59" s="6"/>
      <c r="AA59" s="9"/>
      <c r="AB59" s="9"/>
      <c r="AC59" s="9"/>
      <c r="AD59" s="9"/>
      <c r="AE59" s="9"/>
      <c r="AF59" s="9"/>
      <c r="AG59" s="9"/>
      <c r="AH59" s="6"/>
      <c r="AI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46"/>
      <c r="BC59" s="9"/>
      <c r="BD59" s="46"/>
      <c r="BE59" s="9"/>
      <c r="BF59" s="9"/>
      <c r="BG59" s="6"/>
      <c r="BH59" s="6"/>
    </row>
    <row r="60" spans="1:60" s="7" customFormat="1" ht="15.75" x14ac:dyDescent="0.25">
      <c r="A60" s="6"/>
      <c r="B60" s="6"/>
      <c r="C60" s="6"/>
      <c r="D60" s="6"/>
      <c r="R60" s="8"/>
      <c r="S60" s="9"/>
      <c r="T60" s="9"/>
      <c r="U60" s="9"/>
      <c r="V60" s="9"/>
      <c r="W60" s="9"/>
      <c r="X60" s="9"/>
      <c r="Y60" s="9"/>
      <c r="Z60" s="6"/>
      <c r="AA60" s="9"/>
      <c r="AB60" s="9"/>
      <c r="AC60" s="9"/>
      <c r="AD60" s="9"/>
      <c r="AE60" s="9"/>
      <c r="AF60" s="9"/>
      <c r="AG60" s="9"/>
      <c r="AH60" s="6"/>
      <c r="AI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46"/>
      <c r="BC60" s="9"/>
      <c r="BD60" s="46"/>
      <c r="BE60" s="9"/>
      <c r="BF60" s="9"/>
      <c r="BG60" s="6"/>
      <c r="BH60" s="6"/>
    </row>
    <row r="61" spans="1:60" s="7" customFormat="1" ht="15.75" x14ac:dyDescent="0.25">
      <c r="A61" s="6"/>
      <c r="B61" s="6"/>
      <c r="C61" s="6"/>
      <c r="D61" s="6"/>
      <c r="R61" s="8"/>
      <c r="S61" s="9"/>
      <c r="T61" s="9"/>
      <c r="U61" s="9"/>
      <c r="V61" s="9"/>
      <c r="W61" s="9"/>
      <c r="X61" s="9"/>
      <c r="Y61" s="9"/>
      <c r="Z61" s="6"/>
      <c r="AA61" s="9"/>
      <c r="AB61" s="9"/>
      <c r="AC61" s="9"/>
      <c r="AD61" s="9"/>
      <c r="AE61" s="9"/>
      <c r="AF61" s="9"/>
      <c r="AG61" s="9"/>
      <c r="AH61" s="6"/>
      <c r="AI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46"/>
      <c r="BC61" s="9"/>
      <c r="BD61" s="46"/>
      <c r="BE61" s="9"/>
      <c r="BF61" s="9"/>
      <c r="BG61" s="6"/>
      <c r="BH61" s="6"/>
    </row>
    <row r="62" spans="1:60" s="7" customFormat="1" ht="15.75" x14ac:dyDescent="0.25">
      <c r="A62" s="6"/>
      <c r="B62" s="6"/>
      <c r="C62" s="6"/>
      <c r="D62" s="6"/>
      <c r="R62" s="8"/>
      <c r="S62" s="9"/>
      <c r="T62" s="9"/>
      <c r="U62" s="9"/>
      <c r="V62" s="9"/>
      <c r="W62" s="9"/>
      <c r="X62" s="9"/>
      <c r="Y62" s="9"/>
      <c r="Z62" s="6"/>
      <c r="AA62" s="9"/>
      <c r="AB62" s="9"/>
      <c r="AC62" s="9"/>
      <c r="AD62" s="9"/>
      <c r="AE62" s="9"/>
      <c r="AF62" s="9"/>
      <c r="AG62" s="9"/>
      <c r="AH62" s="6"/>
      <c r="AI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46"/>
      <c r="BC62" s="9"/>
      <c r="BD62" s="46"/>
      <c r="BE62" s="9"/>
      <c r="BF62" s="9"/>
      <c r="BG62" s="6"/>
      <c r="BH62" s="6"/>
    </row>
    <row r="63" spans="1:60" s="7" customFormat="1" ht="15.75" x14ac:dyDescent="0.25">
      <c r="A63" s="6"/>
      <c r="B63" s="6"/>
      <c r="C63" s="6"/>
      <c r="D63" s="6"/>
      <c r="R63" s="8"/>
      <c r="S63" s="9"/>
      <c r="T63" s="9"/>
      <c r="U63" s="9"/>
      <c r="V63" s="9"/>
      <c r="W63" s="9"/>
      <c r="X63" s="9"/>
      <c r="Y63" s="9"/>
      <c r="Z63" s="6"/>
      <c r="AA63" s="9"/>
      <c r="AB63" s="9"/>
      <c r="AC63" s="9"/>
      <c r="AD63" s="9"/>
      <c r="AE63" s="9"/>
      <c r="AF63" s="9"/>
      <c r="AG63" s="9"/>
      <c r="AH63" s="6"/>
      <c r="AI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46"/>
      <c r="BC63" s="9"/>
      <c r="BD63" s="46"/>
      <c r="BE63" s="9"/>
      <c r="BF63" s="9"/>
      <c r="BG63" s="6"/>
      <c r="BH63" s="6"/>
    </row>
    <row r="64" spans="1:60" s="7" customFormat="1" ht="15.75" x14ac:dyDescent="0.25">
      <c r="A64" s="6"/>
      <c r="B64" s="6"/>
      <c r="C64" s="6"/>
      <c r="D64" s="6"/>
      <c r="R64" s="8"/>
      <c r="S64" s="9"/>
      <c r="T64" s="9"/>
      <c r="U64" s="9"/>
      <c r="V64" s="9"/>
      <c r="W64" s="9"/>
      <c r="X64" s="9"/>
      <c r="Y64" s="9"/>
      <c r="Z64" s="6"/>
      <c r="AA64" s="9"/>
      <c r="AB64" s="9"/>
      <c r="AC64" s="9"/>
      <c r="AD64" s="9"/>
      <c r="AE64" s="9"/>
      <c r="AF64" s="9"/>
      <c r="AG64" s="9"/>
      <c r="AH64" s="6"/>
      <c r="AI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46"/>
      <c r="BC64" s="9"/>
      <c r="BD64" s="46"/>
      <c r="BE64" s="9"/>
      <c r="BF64" s="9"/>
      <c r="BG64" s="6"/>
      <c r="BH64" s="6"/>
    </row>
    <row r="65" spans="1:60" s="7" customFormat="1" ht="15.75" x14ac:dyDescent="0.25">
      <c r="A65" s="6"/>
      <c r="B65" s="6"/>
      <c r="C65" s="6"/>
      <c r="D65" s="6"/>
      <c r="R65" s="8"/>
      <c r="S65" s="9"/>
      <c r="T65" s="9"/>
      <c r="U65" s="9"/>
      <c r="V65" s="9"/>
      <c r="W65" s="9"/>
      <c r="X65" s="9"/>
      <c r="Y65" s="9"/>
      <c r="Z65" s="6"/>
      <c r="AA65" s="9"/>
      <c r="AB65" s="9"/>
      <c r="AC65" s="9"/>
      <c r="AD65" s="9"/>
      <c r="AE65" s="9"/>
      <c r="AF65" s="9"/>
      <c r="AG65" s="9"/>
      <c r="AH65" s="6"/>
      <c r="AI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46"/>
      <c r="BC65" s="9"/>
      <c r="BD65" s="46"/>
      <c r="BE65" s="9"/>
      <c r="BF65" s="9"/>
      <c r="BG65" s="6"/>
      <c r="BH65" s="6"/>
    </row>
    <row r="66" spans="1:60" s="7" customFormat="1" ht="15.75" x14ac:dyDescent="0.25">
      <c r="A66" s="6"/>
      <c r="B66" s="6"/>
      <c r="C66" s="6"/>
      <c r="D66" s="6"/>
      <c r="R66" s="8"/>
      <c r="S66" s="9"/>
      <c r="T66" s="9"/>
      <c r="U66" s="9"/>
      <c r="V66" s="9"/>
      <c r="W66" s="9"/>
      <c r="X66" s="9"/>
      <c r="Y66" s="9"/>
      <c r="Z66" s="6"/>
      <c r="AA66" s="9"/>
      <c r="AB66" s="9"/>
      <c r="AC66" s="9"/>
      <c r="AD66" s="9"/>
      <c r="AE66" s="9"/>
      <c r="AF66" s="9"/>
      <c r="AG66" s="9"/>
      <c r="AH66" s="6"/>
      <c r="AI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46"/>
      <c r="BC66" s="9"/>
      <c r="BD66" s="46"/>
      <c r="BE66" s="9"/>
      <c r="BF66" s="9"/>
      <c r="BG66" s="6"/>
      <c r="BH66" s="6"/>
    </row>
    <row r="67" spans="1:60" s="7" customFormat="1" ht="15.75" x14ac:dyDescent="0.25">
      <c r="A67" s="6"/>
      <c r="B67" s="6"/>
      <c r="C67" s="6"/>
      <c r="D67" s="6"/>
      <c r="R67" s="8"/>
      <c r="S67" s="9"/>
      <c r="T67" s="9"/>
      <c r="U67" s="9"/>
      <c r="V67" s="9"/>
      <c r="W67" s="9"/>
      <c r="X67" s="9"/>
      <c r="Y67" s="9"/>
      <c r="Z67" s="6"/>
      <c r="AA67" s="9"/>
      <c r="AB67" s="9"/>
      <c r="AC67" s="9"/>
      <c r="AD67" s="9"/>
      <c r="AE67" s="9"/>
      <c r="AF67" s="9"/>
      <c r="AG67" s="9"/>
      <c r="AH67" s="6"/>
      <c r="AI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46"/>
      <c r="BC67" s="9"/>
      <c r="BD67" s="46"/>
      <c r="BE67" s="9"/>
      <c r="BF67" s="9"/>
      <c r="BG67" s="6"/>
      <c r="BH67" s="6"/>
    </row>
    <row r="68" spans="1:60" s="7" customFormat="1" ht="15.75" x14ac:dyDescent="0.25">
      <c r="A68" s="6"/>
      <c r="B68" s="6"/>
      <c r="C68" s="6"/>
      <c r="D68" s="6"/>
      <c r="R68" s="8"/>
      <c r="S68" s="9"/>
      <c r="T68" s="9"/>
      <c r="U68" s="9"/>
      <c r="V68" s="9"/>
      <c r="W68" s="9"/>
      <c r="X68" s="9"/>
      <c r="Y68" s="9"/>
      <c r="Z68" s="6"/>
      <c r="AA68" s="9"/>
      <c r="AB68" s="9"/>
      <c r="AC68" s="9"/>
      <c r="AD68" s="9"/>
      <c r="AE68" s="9"/>
      <c r="AF68" s="9"/>
      <c r="AG68" s="9"/>
      <c r="AH68" s="6"/>
      <c r="AI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46"/>
      <c r="BC68" s="9"/>
      <c r="BD68" s="46"/>
      <c r="BE68" s="9"/>
      <c r="BF68" s="9"/>
      <c r="BG68" s="6"/>
      <c r="BH68" s="6"/>
    </row>
    <row r="69" spans="1:60" s="7" customFormat="1" ht="15.75" x14ac:dyDescent="0.25">
      <c r="A69" s="6"/>
      <c r="B69" s="6"/>
      <c r="C69" s="6"/>
      <c r="D69" s="6"/>
      <c r="R69" s="8"/>
      <c r="S69" s="9"/>
      <c r="T69" s="9"/>
      <c r="U69" s="9"/>
      <c r="V69" s="9"/>
      <c r="W69" s="9"/>
      <c r="X69" s="9"/>
      <c r="Y69" s="9"/>
      <c r="Z69" s="6"/>
      <c r="AA69" s="9"/>
      <c r="AB69" s="9"/>
      <c r="AC69" s="9"/>
      <c r="AD69" s="9"/>
      <c r="AE69" s="9"/>
      <c r="AF69" s="9"/>
      <c r="AG69" s="9"/>
      <c r="AH69" s="6"/>
      <c r="AI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46"/>
      <c r="BC69" s="9"/>
      <c r="BD69" s="46"/>
      <c r="BE69" s="9"/>
      <c r="BF69" s="9"/>
      <c r="BG69" s="6"/>
      <c r="BH69" s="6"/>
    </row>
    <row r="70" spans="1:60" s="7" customFormat="1" ht="15.75" x14ac:dyDescent="0.25">
      <c r="A70" s="6"/>
      <c r="B70" s="6"/>
      <c r="C70" s="6"/>
      <c r="D70" s="6"/>
      <c r="R70" s="8"/>
      <c r="S70" s="9"/>
      <c r="T70" s="9"/>
      <c r="U70" s="9"/>
      <c r="V70" s="9"/>
      <c r="W70" s="9"/>
      <c r="X70" s="9"/>
      <c r="Y70" s="9"/>
      <c r="Z70" s="6"/>
      <c r="AA70" s="9"/>
      <c r="AB70" s="9"/>
      <c r="AC70" s="9"/>
      <c r="AD70" s="9"/>
      <c r="AE70" s="9"/>
      <c r="AF70" s="9"/>
      <c r="AG70" s="9"/>
      <c r="AH70" s="6"/>
      <c r="AI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46"/>
      <c r="BC70" s="9"/>
      <c r="BD70" s="46"/>
      <c r="BE70" s="9"/>
      <c r="BF70" s="9"/>
      <c r="BG70" s="6"/>
      <c r="BH70" s="6"/>
    </row>
    <row r="71" spans="1:60" s="7" customFormat="1" ht="15.75" x14ac:dyDescent="0.25">
      <c r="A71" s="6"/>
      <c r="B71" s="6"/>
      <c r="C71" s="6"/>
      <c r="D71" s="6"/>
      <c r="R71" s="8"/>
      <c r="S71" s="9"/>
      <c r="T71" s="9"/>
      <c r="U71" s="9"/>
      <c r="V71" s="9"/>
      <c r="W71" s="9"/>
      <c r="X71" s="9"/>
      <c r="Y71" s="9"/>
      <c r="Z71" s="6"/>
      <c r="AA71" s="9"/>
      <c r="AB71" s="9"/>
      <c r="AC71" s="9"/>
      <c r="AD71" s="9"/>
      <c r="AE71" s="9"/>
      <c r="AF71" s="9"/>
      <c r="AG71" s="9"/>
      <c r="AH71" s="6"/>
      <c r="AI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46"/>
      <c r="BC71" s="9"/>
      <c r="BD71" s="46"/>
      <c r="BE71" s="9"/>
      <c r="BF71" s="9"/>
      <c r="BG71" s="6"/>
      <c r="BH71" s="6"/>
    </row>
    <row r="72" spans="1:60" s="7" customFormat="1" ht="15.75" x14ac:dyDescent="0.25">
      <c r="A72" s="6"/>
      <c r="B72" s="6"/>
      <c r="C72" s="6"/>
      <c r="D72" s="6"/>
      <c r="R72" s="8"/>
      <c r="S72" s="9"/>
      <c r="T72" s="9"/>
      <c r="U72" s="9"/>
      <c r="V72" s="9"/>
      <c r="W72" s="9"/>
      <c r="X72" s="9"/>
      <c r="Y72" s="9"/>
      <c r="Z72" s="6"/>
      <c r="AA72" s="9"/>
      <c r="AB72" s="9"/>
      <c r="AC72" s="9"/>
      <c r="AD72" s="9"/>
      <c r="AE72" s="9"/>
      <c r="AF72" s="9"/>
      <c r="AG72" s="9"/>
      <c r="AH72" s="6"/>
      <c r="AI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46"/>
      <c r="BC72" s="9"/>
      <c r="BD72" s="46"/>
      <c r="BE72" s="9"/>
      <c r="BF72" s="9"/>
      <c r="BG72" s="6"/>
      <c r="BH72" s="6"/>
    </row>
    <row r="73" spans="1:60" s="7" customFormat="1" ht="15.75" x14ac:dyDescent="0.25">
      <c r="A73" s="6"/>
      <c r="B73" s="6"/>
      <c r="C73" s="6"/>
      <c r="D73" s="6"/>
      <c r="R73" s="8"/>
      <c r="S73" s="9"/>
      <c r="T73" s="9"/>
      <c r="U73" s="9"/>
      <c r="V73" s="9"/>
      <c r="W73" s="9"/>
      <c r="X73" s="9"/>
      <c r="Y73" s="9"/>
      <c r="Z73" s="6"/>
      <c r="AA73" s="9"/>
      <c r="AB73" s="9"/>
      <c r="AC73" s="9"/>
      <c r="AD73" s="9"/>
      <c r="AE73" s="9"/>
      <c r="AF73" s="9"/>
      <c r="AG73" s="9"/>
      <c r="AH73" s="6"/>
      <c r="AI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46"/>
      <c r="BC73" s="9"/>
      <c r="BD73" s="46"/>
      <c r="BE73" s="9"/>
      <c r="BF73" s="9"/>
      <c r="BG73" s="6"/>
      <c r="BH73" s="6"/>
    </row>
    <row r="74" spans="1:60" s="7" customFormat="1" ht="15.75" x14ac:dyDescent="0.25">
      <c r="A74" s="6"/>
      <c r="B74" s="6"/>
      <c r="C74" s="6"/>
      <c r="D74" s="6"/>
      <c r="R74" s="8"/>
      <c r="S74" s="9"/>
      <c r="T74" s="9"/>
      <c r="U74" s="9"/>
      <c r="V74" s="9"/>
      <c r="W74" s="9"/>
      <c r="X74" s="9"/>
      <c r="Y74" s="9"/>
      <c r="Z74" s="6"/>
      <c r="AA74" s="9"/>
      <c r="AB74" s="9"/>
      <c r="AC74" s="9"/>
      <c r="AD74" s="9"/>
      <c r="AE74" s="9"/>
      <c r="AF74" s="9"/>
      <c r="AG74" s="9"/>
      <c r="AH74" s="6"/>
      <c r="AI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46"/>
      <c r="BC74" s="9"/>
      <c r="BD74" s="46"/>
      <c r="BE74" s="9"/>
      <c r="BF74" s="9"/>
      <c r="BG74" s="6"/>
      <c r="BH74" s="6"/>
    </row>
    <row r="75" spans="1:60" s="7" customFormat="1" ht="15.75" x14ac:dyDescent="0.25">
      <c r="A75" s="6"/>
      <c r="B75" s="6"/>
      <c r="C75" s="6"/>
      <c r="D75" s="6"/>
      <c r="R75" s="8"/>
      <c r="S75" s="9"/>
      <c r="T75" s="9"/>
      <c r="U75" s="9"/>
      <c r="V75" s="9"/>
      <c r="W75" s="9"/>
      <c r="X75" s="9"/>
      <c r="Y75" s="9"/>
      <c r="Z75" s="6"/>
      <c r="AA75" s="9"/>
      <c r="AB75" s="9"/>
      <c r="AC75" s="9"/>
      <c r="AD75" s="9"/>
      <c r="AE75" s="9"/>
      <c r="AF75" s="9"/>
      <c r="AG75" s="9"/>
      <c r="AH75" s="6"/>
      <c r="AI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46"/>
      <c r="BC75" s="9"/>
      <c r="BD75" s="46"/>
      <c r="BE75" s="9"/>
      <c r="BF75" s="9"/>
      <c r="BG75" s="6"/>
      <c r="BH75" s="6"/>
    </row>
    <row r="76" spans="1:60" s="7" customFormat="1" ht="15.75" x14ac:dyDescent="0.25">
      <c r="A76" s="6"/>
      <c r="B76" s="6"/>
      <c r="C76" s="6"/>
      <c r="D76" s="6"/>
      <c r="R76" s="8"/>
      <c r="S76" s="9"/>
      <c r="T76" s="9"/>
      <c r="U76" s="9"/>
      <c r="V76" s="9"/>
      <c r="W76" s="9"/>
      <c r="X76" s="9"/>
      <c r="Y76" s="9"/>
      <c r="Z76" s="6"/>
      <c r="AA76" s="9"/>
      <c r="AB76" s="9"/>
      <c r="AC76" s="9"/>
      <c r="AD76" s="9"/>
      <c r="AE76" s="9"/>
      <c r="AF76" s="9"/>
      <c r="AG76" s="9"/>
      <c r="AH76" s="6"/>
      <c r="AI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46"/>
      <c r="BC76" s="9"/>
      <c r="BD76" s="46"/>
      <c r="BE76" s="9"/>
      <c r="BF76" s="9"/>
      <c r="BG76" s="6"/>
      <c r="BH76" s="6"/>
    </row>
    <row r="77" spans="1:60" s="7" customFormat="1" ht="15.75" x14ac:dyDescent="0.25">
      <c r="A77" s="6"/>
      <c r="B77" s="6"/>
      <c r="C77" s="6"/>
      <c r="D77" s="6"/>
      <c r="R77" s="8"/>
      <c r="S77" s="9"/>
      <c r="T77" s="9"/>
      <c r="U77" s="9"/>
      <c r="V77" s="9"/>
      <c r="W77" s="9"/>
      <c r="X77" s="9"/>
      <c r="Y77" s="9"/>
      <c r="Z77" s="6"/>
      <c r="AA77" s="9"/>
      <c r="AB77" s="9"/>
      <c r="AC77" s="9"/>
      <c r="AD77" s="9"/>
      <c r="AE77" s="9"/>
      <c r="AF77" s="9"/>
      <c r="AG77" s="9"/>
      <c r="AH77" s="6"/>
      <c r="AI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46"/>
      <c r="BC77" s="9"/>
      <c r="BD77" s="46"/>
      <c r="BE77" s="9"/>
      <c r="BF77" s="9"/>
      <c r="BG77" s="6"/>
      <c r="BH77" s="6"/>
    </row>
    <row r="78" spans="1:60" s="7" customFormat="1" ht="15.75" x14ac:dyDescent="0.25">
      <c r="A78" s="6"/>
      <c r="B78" s="6"/>
      <c r="C78" s="6"/>
      <c r="D78" s="6"/>
      <c r="R78" s="8"/>
      <c r="S78" s="9"/>
      <c r="T78" s="9"/>
      <c r="U78" s="9"/>
      <c r="V78" s="9"/>
      <c r="W78" s="9"/>
      <c r="X78" s="9"/>
      <c r="Y78" s="9"/>
      <c r="Z78" s="6"/>
      <c r="AA78" s="9"/>
      <c r="AB78" s="9"/>
      <c r="AC78" s="9"/>
      <c r="AD78" s="9"/>
      <c r="AE78" s="9"/>
      <c r="AF78" s="9"/>
      <c r="AG78" s="9"/>
      <c r="AH78" s="6"/>
      <c r="AI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46"/>
      <c r="BC78" s="9"/>
      <c r="BD78" s="46"/>
      <c r="BE78" s="9"/>
      <c r="BF78" s="9"/>
      <c r="BG78" s="6"/>
      <c r="BH78" s="6"/>
    </row>
    <row r="79" spans="1:60" s="7" customFormat="1" ht="15.75" x14ac:dyDescent="0.25">
      <c r="A79" s="6"/>
      <c r="B79" s="6"/>
      <c r="C79" s="6"/>
      <c r="D79" s="6"/>
      <c r="R79" s="8"/>
      <c r="S79" s="9"/>
      <c r="T79" s="9"/>
      <c r="U79" s="9"/>
      <c r="V79" s="9"/>
      <c r="W79" s="9"/>
      <c r="X79" s="9"/>
      <c r="Y79" s="9"/>
      <c r="Z79" s="6"/>
      <c r="AA79" s="9"/>
      <c r="AB79" s="9"/>
      <c r="AC79" s="9"/>
      <c r="AD79" s="9"/>
      <c r="AE79" s="9"/>
      <c r="AF79" s="9"/>
      <c r="AG79" s="9"/>
      <c r="AH79" s="6"/>
      <c r="AI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46"/>
      <c r="BC79" s="9"/>
      <c r="BD79" s="46"/>
      <c r="BE79" s="9"/>
      <c r="BF79" s="9"/>
      <c r="BG79" s="6"/>
      <c r="BH79" s="6"/>
    </row>
    <row r="80" spans="1:60" s="7" customFormat="1" ht="15.75" x14ac:dyDescent="0.25">
      <c r="A80" s="6"/>
      <c r="B80" s="6"/>
      <c r="C80" s="6"/>
      <c r="D80" s="6"/>
      <c r="R80" s="8"/>
      <c r="S80" s="9"/>
      <c r="T80" s="9"/>
      <c r="U80" s="9"/>
      <c r="V80" s="9"/>
      <c r="W80" s="9"/>
      <c r="X80" s="9"/>
      <c r="Y80" s="9"/>
      <c r="Z80" s="6"/>
      <c r="AA80" s="9"/>
      <c r="AB80" s="9"/>
      <c r="AC80" s="9"/>
      <c r="AD80" s="9"/>
      <c r="AE80" s="9"/>
      <c r="AF80" s="9"/>
      <c r="AG80" s="9"/>
      <c r="AH80" s="6"/>
      <c r="AI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46"/>
      <c r="BC80" s="9"/>
      <c r="BD80" s="46"/>
      <c r="BE80" s="9"/>
      <c r="BF80" s="9"/>
      <c r="BG80" s="6"/>
      <c r="BH80" s="6"/>
    </row>
    <row r="81" spans="1:60" s="7" customFormat="1" ht="15.75" x14ac:dyDescent="0.25">
      <c r="A81" s="6"/>
      <c r="B81" s="6"/>
      <c r="C81" s="6"/>
      <c r="D81" s="6"/>
      <c r="R81" s="8"/>
      <c r="S81" s="9"/>
      <c r="T81" s="9"/>
      <c r="U81" s="9"/>
      <c r="V81" s="9"/>
      <c r="W81" s="9"/>
      <c r="X81" s="9"/>
      <c r="Y81" s="9"/>
      <c r="Z81" s="6"/>
      <c r="AA81" s="9"/>
      <c r="AB81" s="9"/>
      <c r="AC81" s="9"/>
      <c r="AD81" s="9"/>
      <c r="AE81" s="9"/>
      <c r="AF81" s="9"/>
      <c r="AG81" s="9"/>
      <c r="AH81" s="6"/>
      <c r="AI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46"/>
      <c r="BC81" s="9"/>
      <c r="BD81" s="46"/>
      <c r="BE81" s="9"/>
      <c r="BF81" s="9"/>
      <c r="BG81" s="6"/>
      <c r="BH81" s="6"/>
    </row>
    <row r="82" spans="1:60" s="7" customFormat="1" ht="15.75" x14ac:dyDescent="0.25">
      <c r="A82" s="6"/>
      <c r="B82" s="6"/>
      <c r="C82" s="6"/>
      <c r="D82" s="6"/>
      <c r="R82" s="8"/>
      <c r="S82" s="9"/>
      <c r="T82" s="9"/>
      <c r="U82" s="9"/>
      <c r="V82" s="9"/>
      <c r="W82" s="9"/>
      <c r="X82" s="9"/>
      <c r="Y82" s="9"/>
      <c r="Z82" s="6"/>
      <c r="AA82" s="9"/>
      <c r="AB82" s="9"/>
      <c r="AC82" s="9"/>
      <c r="AD82" s="9"/>
      <c r="AE82" s="9"/>
      <c r="AF82" s="9"/>
      <c r="AG82" s="9"/>
      <c r="AH82" s="6"/>
      <c r="AI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46"/>
      <c r="BC82" s="9"/>
      <c r="BD82" s="46"/>
      <c r="BE82" s="9"/>
      <c r="BF82" s="9"/>
      <c r="BG82" s="6"/>
      <c r="BH82" s="6"/>
    </row>
    <row r="83" spans="1:60" s="7" customFormat="1" ht="15.75" x14ac:dyDescent="0.25">
      <c r="A83" s="6"/>
      <c r="B83" s="6"/>
      <c r="C83" s="6"/>
      <c r="D83" s="6"/>
      <c r="R83" s="8"/>
      <c r="S83" s="9"/>
      <c r="T83" s="9"/>
      <c r="U83" s="9"/>
      <c r="V83" s="9"/>
      <c r="W83" s="9"/>
      <c r="X83" s="9"/>
      <c r="Y83" s="9"/>
      <c r="Z83" s="6"/>
      <c r="AA83" s="9"/>
      <c r="AB83" s="9"/>
      <c r="AC83" s="9"/>
      <c r="AD83" s="9"/>
      <c r="AE83" s="9"/>
      <c r="AF83" s="9"/>
      <c r="AG83" s="9"/>
      <c r="AH83" s="6"/>
      <c r="AI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46"/>
      <c r="BC83" s="9"/>
      <c r="BD83" s="46"/>
      <c r="BE83" s="9"/>
      <c r="BF83" s="9"/>
      <c r="BG83" s="6"/>
      <c r="BH83" s="6"/>
    </row>
    <row r="84" spans="1:60" s="7" customFormat="1" ht="15.75" x14ac:dyDescent="0.25">
      <c r="A84" s="6"/>
      <c r="B84" s="6"/>
      <c r="C84" s="6"/>
      <c r="D84" s="6"/>
      <c r="R84" s="8"/>
      <c r="S84" s="9"/>
      <c r="T84" s="9"/>
      <c r="U84" s="9"/>
      <c r="V84" s="9"/>
      <c r="W84" s="9"/>
      <c r="X84" s="9"/>
      <c r="Y84" s="9"/>
      <c r="Z84" s="6"/>
      <c r="AA84" s="9"/>
      <c r="AB84" s="9"/>
      <c r="AC84" s="9"/>
      <c r="AD84" s="9"/>
      <c r="AE84" s="9"/>
      <c r="AF84" s="9"/>
      <c r="AG84" s="9"/>
      <c r="AH84" s="6"/>
      <c r="AI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46"/>
      <c r="BC84" s="9"/>
      <c r="BD84" s="46"/>
      <c r="BE84" s="9"/>
      <c r="BF84" s="9"/>
      <c r="BG84" s="6"/>
      <c r="BH84" s="6"/>
    </row>
    <row r="85" spans="1:60" s="7" customFormat="1" ht="15.75" x14ac:dyDescent="0.25">
      <c r="A85" s="6"/>
      <c r="B85" s="6"/>
      <c r="C85" s="6"/>
      <c r="D85" s="6"/>
      <c r="R85" s="8"/>
      <c r="S85" s="9"/>
      <c r="T85" s="9"/>
      <c r="U85" s="9"/>
      <c r="V85" s="9"/>
      <c r="W85" s="9"/>
      <c r="X85" s="9"/>
      <c r="Y85" s="9"/>
      <c r="Z85" s="6"/>
      <c r="AA85" s="9"/>
      <c r="AB85" s="9"/>
      <c r="AC85" s="9"/>
      <c r="AD85" s="9"/>
      <c r="AE85" s="9"/>
      <c r="AF85" s="9"/>
      <c r="AG85" s="9"/>
      <c r="AH85" s="6"/>
      <c r="AI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46"/>
      <c r="BC85" s="9"/>
      <c r="BD85" s="46"/>
      <c r="BE85" s="9"/>
      <c r="BF85" s="9"/>
      <c r="BG85" s="6"/>
      <c r="BH85" s="6"/>
    </row>
    <row r="86" spans="1:60" s="7" customFormat="1" ht="15.75" x14ac:dyDescent="0.25">
      <c r="A86" s="6"/>
      <c r="B86" s="6"/>
      <c r="C86" s="6"/>
      <c r="D86" s="6"/>
      <c r="R86" s="8"/>
      <c r="S86" s="9"/>
      <c r="T86" s="9"/>
      <c r="U86" s="9"/>
      <c r="V86" s="9"/>
      <c r="W86" s="9"/>
      <c r="X86" s="9"/>
      <c r="Y86" s="9"/>
      <c r="Z86" s="6"/>
      <c r="AA86" s="9"/>
      <c r="AB86" s="9"/>
      <c r="AC86" s="9"/>
      <c r="AD86" s="9"/>
      <c r="AE86" s="9"/>
      <c r="AF86" s="9"/>
      <c r="AG86" s="9"/>
      <c r="AH86" s="6"/>
      <c r="AI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46"/>
      <c r="BC86" s="9"/>
      <c r="BD86" s="46"/>
      <c r="BE86" s="9"/>
      <c r="BF86" s="9"/>
      <c r="BG86" s="6"/>
      <c r="BH86" s="6"/>
    </row>
    <row r="87" spans="1:60" s="7" customFormat="1" ht="15.75" x14ac:dyDescent="0.25">
      <c r="A87" s="6"/>
      <c r="B87" s="6"/>
      <c r="C87" s="6"/>
      <c r="D87" s="6"/>
      <c r="R87" s="8"/>
      <c r="S87" s="9"/>
      <c r="T87" s="9"/>
      <c r="U87" s="9"/>
      <c r="V87" s="9"/>
      <c r="W87" s="9"/>
      <c r="X87" s="9"/>
      <c r="Y87" s="9"/>
      <c r="Z87" s="6"/>
      <c r="AA87" s="9"/>
      <c r="AB87" s="9"/>
      <c r="AC87" s="9"/>
      <c r="AD87" s="9"/>
      <c r="AE87" s="9"/>
      <c r="AF87" s="9"/>
      <c r="AG87" s="9"/>
      <c r="AH87" s="6"/>
      <c r="AI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46"/>
      <c r="BC87" s="9"/>
      <c r="BD87" s="46"/>
      <c r="BE87" s="9"/>
      <c r="BF87" s="9"/>
      <c r="BG87" s="6"/>
      <c r="BH87" s="6"/>
    </row>
    <row r="88" spans="1:60" s="7" customFormat="1" ht="15.75" x14ac:dyDescent="0.25">
      <c r="A88" s="6"/>
      <c r="B88" s="6"/>
      <c r="C88" s="6"/>
      <c r="D88" s="6"/>
      <c r="R88" s="8"/>
      <c r="S88" s="9"/>
      <c r="T88" s="9"/>
      <c r="U88" s="9"/>
      <c r="V88" s="9"/>
      <c r="W88" s="9"/>
      <c r="X88" s="9"/>
      <c r="Y88" s="9"/>
      <c r="Z88" s="6"/>
      <c r="AA88" s="9"/>
      <c r="AB88" s="9"/>
      <c r="AC88" s="9"/>
      <c r="AD88" s="9"/>
      <c r="AE88" s="9"/>
      <c r="AF88" s="9"/>
      <c r="AG88" s="9"/>
      <c r="AH88" s="6"/>
      <c r="AI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46"/>
      <c r="BC88" s="9"/>
      <c r="BD88" s="46"/>
      <c r="BE88" s="9"/>
      <c r="BF88" s="9"/>
      <c r="BG88" s="6"/>
      <c r="BH88" s="6"/>
    </row>
    <row r="89" spans="1:60" s="7" customFormat="1" ht="15.75" x14ac:dyDescent="0.25">
      <c r="A89" s="6"/>
      <c r="B89" s="6"/>
      <c r="C89" s="6"/>
      <c r="D89" s="6"/>
      <c r="R89" s="8"/>
      <c r="S89" s="9"/>
      <c r="T89" s="9"/>
      <c r="U89" s="9"/>
      <c r="V89" s="9"/>
      <c r="W89" s="9"/>
      <c r="X89" s="9"/>
      <c r="Y89" s="9"/>
      <c r="Z89" s="6"/>
      <c r="AA89" s="9"/>
      <c r="AB89" s="9"/>
      <c r="AC89" s="9"/>
      <c r="AD89" s="9"/>
      <c r="AE89" s="9"/>
      <c r="AF89" s="9"/>
      <c r="AG89" s="9"/>
      <c r="AH89" s="6"/>
      <c r="AI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46"/>
      <c r="BC89" s="9"/>
      <c r="BD89" s="46"/>
      <c r="BE89" s="9"/>
      <c r="BF89" s="9"/>
      <c r="BG89" s="6"/>
      <c r="BH89" s="6"/>
    </row>
    <row r="90" spans="1:60" s="7" customFormat="1" ht="15.75" x14ac:dyDescent="0.25">
      <c r="A90" s="6"/>
      <c r="B90" s="6"/>
      <c r="C90" s="6"/>
      <c r="D90" s="6"/>
      <c r="R90" s="8"/>
      <c r="S90" s="9"/>
      <c r="T90" s="9"/>
      <c r="U90" s="9"/>
      <c r="V90" s="9"/>
      <c r="W90" s="9"/>
      <c r="X90" s="9"/>
      <c r="Y90" s="9"/>
      <c r="Z90" s="6"/>
      <c r="AA90" s="9"/>
      <c r="AB90" s="9"/>
      <c r="AC90" s="9"/>
      <c r="AD90" s="9"/>
      <c r="AE90" s="9"/>
      <c r="AF90" s="9"/>
      <c r="AG90" s="9"/>
      <c r="AH90" s="6"/>
      <c r="AI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46"/>
      <c r="BC90" s="9"/>
      <c r="BD90" s="46"/>
      <c r="BE90" s="9"/>
      <c r="BF90" s="9"/>
      <c r="BG90" s="6"/>
      <c r="BH90" s="6"/>
    </row>
    <row r="91" spans="1:60" s="7" customFormat="1" ht="15.75" x14ac:dyDescent="0.25">
      <c r="A91" s="6"/>
      <c r="B91" s="6"/>
      <c r="C91" s="6"/>
      <c r="D91" s="6"/>
      <c r="R91" s="8"/>
      <c r="S91" s="9"/>
      <c r="T91" s="9"/>
      <c r="U91" s="9"/>
      <c r="V91" s="9"/>
      <c r="W91" s="9"/>
      <c r="X91" s="9"/>
      <c r="Y91" s="9"/>
      <c r="Z91" s="6"/>
      <c r="AA91" s="9"/>
      <c r="AB91" s="9"/>
      <c r="AC91" s="9"/>
      <c r="AD91" s="9"/>
      <c r="AE91" s="9"/>
      <c r="AF91" s="9"/>
      <c r="AG91" s="9"/>
      <c r="AH91" s="6"/>
      <c r="AI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46"/>
      <c r="BC91" s="9"/>
      <c r="BD91" s="46"/>
      <c r="BE91" s="9"/>
      <c r="BF91" s="9"/>
      <c r="BG91" s="6"/>
      <c r="BH91" s="6"/>
    </row>
    <row r="92" spans="1:60" s="7" customFormat="1" ht="15.75" x14ac:dyDescent="0.25">
      <c r="A92" s="6"/>
      <c r="B92" s="6"/>
      <c r="C92" s="6"/>
      <c r="D92" s="6"/>
      <c r="R92" s="8"/>
      <c r="S92" s="9"/>
      <c r="T92" s="9"/>
      <c r="U92" s="9"/>
      <c r="V92" s="9"/>
      <c r="W92" s="9"/>
      <c r="X92" s="9"/>
      <c r="Y92" s="9"/>
      <c r="Z92" s="6"/>
      <c r="AA92" s="9"/>
      <c r="AB92" s="9"/>
      <c r="AC92" s="9"/>
      <c r="AD92" s="9"/>
      <c r="AE92" s="9"/>
      <c r="AF92" s="9"/>
      <c r="AG92" s="9"/>
      <c r="AH92" s="6"/>
      <c r="AI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46"/>
      <c r="BC92" s="9"/>
      <c r="BD92" s="46"/>
      <c r="BE92" s="9"/>
      <c r="BF92" s="9"/>
      <c r="BG92" s="6"/>
      <c r="BH92" s="6"/>
    </row>
    <row r="93" spans="1:60" s="7" customFormat="1" ht="15.75" x14ac:dyDescent="0.25">
      <c r="A93" s="6"/>
      <c r="B93" s="6"/>
      <c r="C93" s="6"/>
      <c r="D93" s="6"/>
      <c r="R93" s="8"/>
      <c r="S93" s="9"/>
      <c r="T93" s="9"/>
      <c r="U93" s="9"/>
      <c r="V93" s="9"/>
      <c r="W93" s="9"/>
      <c r="X93" s="9"/>
      <c r="Y93" s="9"/>
      <c r="Z93" s="6"/>
      <c r="AA93" s="9"/>
      <c r="AB93" s="9"/>
      <c r="AC93" s="9"/>
      <c r="AD93" s="9"/>
      <c r="AE93" s="9"/>
      <c r="AF93" s="9"/>
      <c r="AG93" s="9"/>
      <c r="AH93" s="6"/>
      <c r="AI93" s="9"/>
      <c r="AR93" s="6"/>
      <c r="AS93" s="6"/>
      <c r="AT93" s="6"/>
      <c r="AU93" s="6"/>
      <c r="AV93" s="6"/>
      <c r="AW93" s="6"/>
      <c r="AX93" s="6"/>
      <c r="AY93" s="9"/>
      <c r="AZ93" s="9"/>
      <c r="BA93" s="9"/>
      <c r="BB93" s="46"/>
      <c r="BC93" s="9"/>
      <c r="BD93" s="46"/>
      <c r="BE93" s="9"/>
      <c r="BF93" s="9"/>
      <c r="BG93" s="6"/>
      <c r="BH93" s="6"/>
    </row>
    <row r="94" spans="1:60" s="7" customFormat="1" ht="15.75" x14ac:dyDescent="0.25">
      <c r="A94" s="6"/>
      <c r="B94" s="6"/>
      <c r="C94" s="6"/>
      <c r="D94" s="6"/>
      <c r="R94" s="8"/>
      <c r="S94" s="9"/>
      <c r="T94" s="9"/>
      <c r="U94" s="9"/>
      <c r="V94" s="9"/>
      <c r="W94" s="9"/>
      <c r="X94" s="9"/>
      <c r="Y94" s="9"/>
      <c r="Z94" s="6"/>
      <c r="AA94" s="9"/>
      <c r="AB94" s="9"/>
      <c r="AC94" s="9"/>
      <c r="AD94" s="9"/>
      <c r="AE94" s="9"/>
      <c r="AF94" s="9"/>
      <c r="AG94" s="9"/>
      <c r="AH94" s="6"/>
      <c r="AI94" s="6"/>
      <c r="AR94" s="6"/>
      <c r="AS94" s="6"/>
      <c r="AT94" s="6"/>
      <c r="AU94" s="6"/>
      <c r="AV94" s="6"/>
      <c r="AW94" s="6"/>
      <c r="AX94" s="6"/>
      <c r="AY94" s="9"/>
      <c r="AZ94" s="9"/>
      <c r="BA94" s="9"/>
      <c r="BB94" s="46"/>
      <c r="BC94" s="9"/>
      <c r="BD94" s="46"/>
      <c r="BE94" s="9"/>
      <c r="BF94" s="9"/>
      <c r="BG94" s="6"/>
      <c r="BH94" s="6"/>
    </row>
    <row r="95" spans="1:60" s="7" customFormat="1" ht="15.75" x14ac:dyDescent="0.25">
      <c r="A95" s="6"/>
      <c r="B95" s="6"/>
      <c r="C95" s="6"/>
      <c r="D95" s="6"/>
      <c r="R95" s="8"/>
      <c r="S95" s="9"/>
      <c r="T95" s="9"/>
      <c r="U95" s="9"/>
      <c r="V95" s="9"/>
      <c r="W95" s="9"/>
      <c r="X95" s="9"/>
      <c r="Y95" s="9"/>
      <c r="Z95" s="6"/>
      <c r="AA95" s="9"/>
      <c r="AB95" s="9"/>
      <c r="AC95" s="9"/>
      <c r="AD95" s="9"/>
      <c r="AE95" s="9"/>
      <c r="AF95" s="9"/>
      <c r="AG95" s="9"/>
      <c r="AH95" s="6"/>
      <c r="AI95" s="6"/>
      <c r="AR95" s="6"/>
      <c r="AS95" s="6"/>
      <c r="AT95" s="6"/>
      <c r="AU95" s="6"/>
      <c r="AV95" s="6"/>
      <c r="AW95" s="6"/>
      <c r="AX95" s="6"/>
      <c r="AY95" s="9"/>
      <c r="AZ95" s="9"/>
      <c r="BA95" s="9"/>
      <c r="BB95" s="46"/>
      <c r="BC95" s="9"/>
      <c r="BD95" s="46"/>
      <c r="BE95" s="9"/>
      <c r="BF95" s="9"/>
      <c r="BG95" s="6"/>
      <c r="BH95" s="6"/>
    </row>
    <row r="96" spans="1:60" s="7" customFormat="1" ht="15.75" x14ac:dyDescent="0.25">
      <c r="A96" s="6"/>
      <c r="B96" s="6"/>
      <c r="C96" s="6"/>
      <c r="D96" s="6"/>
      <c r="R96" s="8"/>
      <c r="S96" s="9"/>
      <c r="T96" s="9"/>
      <c r="U96" s="9"/>
      <c r="V96" s="9"/>
      <c r="W96" s="9"/>
      <c r="X96" s="9"/>
      <c r="Y96" s="9"/>
      <c r="Z96" s="6"/>
      <c r="AA96" s="9"/>
      <c r="AB96" s="9"/>
      <c r="AC96" s="9"/>
      <c r="AD96" s="9"/>
      <c r="AE96" s="9"/>
      <c r="AF96" s="9"/>
      <c r="AG96" s="9"/>
      <c r="AH96" s="6"/>
      <c r="AI96" s="6"/>
      <c r="AR96" s="6"/>
      <c r="AS96" s="6"/>
      <c r="AT96" s="6"/>
      <c r="AU96" s="6"/>
      <c r="AV96" s="6"/>
      <c r="AW96" s="6"/>
      <c r="AX96" s="6"/>
      <c r="AY96" s="9"/>
      <c r="AZ96" s="9"/>
      <c r="BA96" s="9"/>
      <c r="BB96" s="46"/>
      <c r="BC96" s="9"/>
      <c r="BD96" s="46"/>
      <c r="BE96" s="9"/>
      <c r="BF96" s="9"/>
      <c r="BG96" s="6"/>
      <c r="BH96" s="6"/>
    </row>
    <row r="97" spans="1:60" s="7" customFormat="1" ht="15.75" x14ac:dyDescent="0.25">
      <c r="A97" s="6"/>
      <c r="B97" s="6"/>
      <c r="C97" s="6"/>
      <c r="D97" s="6"/>
      <c r="R97" s="8"/>
      <c r="S97" s="9"/>
      <c r="T97" s="9"/>
      <c r="U97" s="9"/>
      <c r="V97" s="9"/>
      <c r="W97" s="9"/>
      <c r="X97" s="9"/>
      <c r="Y97" s="9"/>
      <c r="Z97" s="6"/>
      <c r="AA97" s="9"/>
      <c r="AB97" s="9"/>
      <c r="AC97" s="9"/>
      <c r="AD97" s="9"/>
      <c r="AE97" s="9"/>
      <c r="AF97" s="9"/>
      <c r="AG97" s="9"/>
      <c r="AH97" s="6"/>
      <c r="AI97" s="6"/>
      <c r="AR97" s="6"/>
      <c r="AS97" s="6"/>
      <c r="AT97" s="6"/>
      <c r="AU97" s="6"/>
      <c r="AV97" s="6"/>
      <c r="AW97" s="6"/>
      <c r="AX97" s="6"/>
      <c r="AY97" s="9"/>
      <c r="AZ97" s="9"/>
      <c r="BA97" s="9"/>
      <c r="BB97" s="46"/>
      <c r="BC97" s="9"/>
      <c r="BD97" s="46"/>
      <c r="BE97" s="9"/>
      <c r="BF97" s="9"/>
      <c r="BG97" s="6"/>
      <c r="BH97" s="6"/>
    </row>
    <row r="98" spans="1:60" s="7" customFormat="1" ht="15.75" x14ac:dyDescent="0.25">
      <c r="A98" s="6"/>
      <c r="B98" s="6"/>
      <c r="C98" s="6"/>
      <c r="D98" s="6"/>
      <c r="R98" s="8"/>
      <c r="S98" s="9"/>
      <c r="T98" s="9"/>
      <c r="U98" s="9"/>
      <c r="V98" s="9"/>
      <c r="W98" s="9"/>
      <c r="X98" s="9"/>
      <c r="Y98" s="9"/>
      <c r="Z98" s="6"/>
      <c r="AA98" s="9"/>
      <c r="AB98" s="9"/>
      <c r="AC98" s="9"/>
      <c r="AD98" s="9"/>
      <c r="AE98" s="9"/>
      <c r="AF98" s="9"/>
      <c r="AG98" s="9"/>
      <c r="AH98" s="6"/>
      <c r="AI98" s="6"/>
      <c r="AR98" s="6"/>
      <c r="AS98" s="6"/>
      <c r="AT98" s="6"/>
      <c r="AU98" s="6"/>
      <c r="AV98" s="6"/>
      <c r="AW98" s="6"/>
      <c r="AX98" s="6"/>
      <c r="AY98" s="9"/>
      <c r="AZ98" s="9"/>
      <c r="BA98" s="9"/>
      <c r="BB98" s="46"/>
      <c r="BC98" s="9"/>
      <c r="BD98" s="46"/>
      <c r="BE98" s="9"/>
      <c r="BF98" s="9"/>
      <c r="BG98" s="6"/>
      <c r="BH98" s="6"/>
    </row>
    <row r="99" spans="1:60" s="7" customFormat="1" ht="15.75" x14ac:dyDescent="0.25">
      <c r="A99" s="6"/>
      <c r="B99" s="6"/>
      <c r="C99" s="6"/>
      <c r="D99" s="6"/>
      <c r="R99" s="8"/>
      <c r="S99" s="9"/>
      <c r="T99" s="9"/>
      <c r="U99" s="9"/>
      <c r="V99" s="9"/>
      <c r="W99" s="9"/>
      <c r="X99" s="9"/>
      <c r="Y99" s="9"/>
      <c r="Z99" s="6"/>
      <c r="AA99" s="9"/>
      <c r="AB99" s="9"/>
      <c r="AC99" s="9"/>
      <c r="AD99" s="9"/>
      <c r="AE99" s="9"/>
      <c r="AF99" s="9"/>
      <c r="AG99" s="9"/>
      <c r="AH99" s="6"/>
      <c r="AI99" s="6"/>
      <c r="AR99" s="6"/>
      <c r="AS99" s="6"/>
      <c r="AT99" s="6"/>
      <c r="AU99" s="6"/>
      <c r="AV99" s="6"/>
      <c r="AW99" s="6"/>
      <c r="AX99" s="6"/>
      <c r="AY99" s="9"/>
      <c r="AZ99" s="9"/>
      <c r="BA99" s="9"/>
      <c r="BB99" s="46"/>
      <c r="BC99" s="9"/>
      <c r="BD99" s="46"/>
      <c r="BE99" s="9"/>
      <c r="BF99" s="9"/>
      <c r="BG99" s="6"/>
      <c r="BH99" s="6"/>
    </row>
    <row r="100" spans="1:60" s="7" customFormat="1" ht="15.75" x14ac:dyDescent="0.25">
      <c r="A100" s="6"/>
      <c r="B100" s="6"/>
      <c r="C100" s="6"/>
      <c r="D100" s="6"/>
      <c r="R100" s="8"/>
      <c r="S100" s="9"/>
      <c r="T100" s="9"/>
      <c r="U100" s="9"/>
      <c r="V100" s="9"/>
      <c r="W100" s="9"/>
      <c r="X100" s="9"/>
      <c r="Y100" s="9"/>
      <c r="Z100" s="6"/>
      <c r="AA100" s="9"/>
      <c r="AB100" s="9"/>
      <c r="AC100" s="9"/>
      <c r="AD100" s="9"/>
      <c r="AE100" s="9"/>
      <c r="AF100" s="9"/>
      <c r="AG100" s="9"/>
      <c r="AH100" s="6"/>
      <c r="AI100" s="6"/>
      <c r="AR100" s="6"/>
      <c r="AS100" s="6"/>
      <c r="AT100" s="6"/>
      <c r="AU100" s="6"/>
      <c r="AV100" s="6"/>
      <c r="AW100" s="6"/>
      <c r="AX100" s="6"/>
      <c r="AY100" s="9"/>
      <c r="AZ100" s="9"/>
      <c r="BA100" s="9"/>
      <c r="BB100" s="46"/>
      <c r="BC100" s="9"/>
      <c r="BD100" s="46"/>
      <c r="BE100" s="9"/>
      <c r="BF100" s="9"/>
      <c r="BG100" s="6"/>
      <c r="BH100" s="6"/>
    </row>
    <row r="101" spans="1:60" s="7" customFormat="1" ht="15.75" x14ac:dyDescent="0.25">
      <c r="A101" s="6"/>
      <c r="B101" s="6"/>
      <c r="C101" s="6"/>
      <c r="D101" s="6"/>
      <c r="R101" s="8"/>
      <c r="S101" s="9"/>
      <c r="T101" s="9"/>
      <c r="U101" s="9"/>
      <c r="V101" s="9"/>
      <c r="W101" s="9"/>
      <c r="X101" s="9"/>
      <c r="Y101" s="9"/>
      <c r="Z101" s="6"/>
      <c r="AA101" s="9"/>
      <c r="AB101" s="9"/>
      <c r="AC101" s="9"/>
      <c r="AD101" s="9"/>
      <c r="AE101" s="9"/>
      <c r="AF101" s="9"/>
      <c r="AG101" s="9"/>
      <c r="AH101" s="6"/>
      <c r="AI101" s="6"/>
      <c r="AR101" s="6"/>
      <c r="AS101" s="6"/>
      <c r="AT101" s="6"/>
      <c r="AU101" s="6"/>
      <c r="AV101" s="6"/>
      <c r="AW101" s="6"/>
      <c r="AX101" s="6"/>
      <c r="AY101" s="9"/>
      <c r="AZ101" s="9"/>
      <c r="BA101" s="9"/>
      <c r="BB101" s="46"/>
      <c r="BC101" s="9"/>
      <c r="BD101" s="46"/>
      <c r="BE101" s="9"/>
      <c r="BF101" s="9"/>
      <c r="BG101" s="6"/>
      <c r="BH101" s="6"/>
    </row>
    <row r="102" spans="1:60" s="7" customFormat="1" ht="15.75" x14ac:dyDescent="0.25">
      <c r="A102" s="6"/>
      <c r="B102" s="6"/>
      <c r="C102" s="6"/>
      <c r="D102" s="6"/>
      <c r="R102" s="8"/>
      <c r="S102" s="9"/>
      <c r="T102" s="9"/>
      <c r="U102" s="9"/>
      <c r="V102" s="9"/>
      <c r="W102" s="9"/>
      <c r="X102" s="9"/>
      <c r="Y102" s="9"/>
      <c r="Z102" s="6"/>
      <c r="AA102" s="9"/>
      <c r="AB102" s="9"/>
      <c r="AC102" s="9"/>
      <c r="AD102" s="9"/>
      <c r="AE102" s="9"/>
      <c r="AF102" s="9"/>
      <c r="AG102" s="9"/>
      <c r="AH102" s="6"/>
      <c r="AI102" s="6"/>
      <c r="AR102" s="6"/>
      <c r="AS102" s="6"/>
      <c r="AT102" s="6"/>
      <c r="AU102" s="6"/>
      <c r="AV102" s="6"/>
      <c r="AW102" s="6"/>
      <c r="AX102" s="6"/>
      <c r="AY102" s="9"/>
      <c r="AZ102" s="9"/>
      <c r="BA102" s="9"/>
      <c r="BB102" s="46"/>
      <c r="BC102" s="9"/>
      <c r="BD102" s="46"/>
      <c r="BE102" s="9"/>
      <c r="BF102" s="9"/>
      <c r="BG102" s="6"/>
      <c r="BH102" s="6"/>
    </row>
    <row r="103" spans="1:60" s="7" customFormat="1" ht="15.75" x14ac:dyDescent="0.25">
      <c r="A103" s="6"/>
      <c r="B103" s="6"/>
      <c r="C103" s="6"/>
      <c r="D103" s="6"/>
      <c r="R103" s="8"/>
      <c r="S103" s="9"/>
      <c r="T103" s="9"/>
      <c r="U103" s="9"/>
      <c r="V103" s="9"/>
      <c r="W103" s="9"/>
      <c r="X103" s="9"/>
      <c r="Y103" s="9"/>
      <c r="Z103" s="6"/>
      <c r="AA103" s="9"/>
      <c r="AB103" s="9"/>
      <c r="AC103" s="9"/>
      <c r="AD103" s="9"/>
      <c r="AE103" s="9"/>
      <c r="AF103" s="9"/>
      <c r="AG103" s="9"/>
      <c r="AH103" s="6"/>
      <c r="AI103" s="6"/>
      <c r="AR103" s="6"/>
      <c r="AS103" s="6"/>
      <c r="AT103" s="6"/>
      <c r="AU103" s="6"/>
      <c r="AV103" s="6"/>
      <c r="AW103" s="6"/>
      <c r="AX103" s="6"/>
      <c r="AY103" s="9"/>
      <c r="AZ103" s="9"/>
      <c r="BA103" s="9"/>
      <c r="BB103" s="46"/>
      <c r="BC103" s="9"/>
      <c r="BD103" s="46"/>
      <c r="BE103" s="9"/>
      <c r="BF103" s="9"/>
      <c r="BG103" s="6"/>
      <c r="BH103" s="6"/>
    </row>
    <row r="104" spans="1:60" s="7" customFormat="1" ht="15.75" x14ac:dyDescent="0.25">
      <c r="A104" s="6"/>
      <c r="B104" s="6"/>
      <c r="C104" s="6"/>
      <c r="D104" s="6"/>
      <c r="R104" s="8"/>
      <c r="S104" s="9"/>
      <c r="T104" s="9"/>
      <c r="U104" s="9"/>
      <c r="V104" s="9"/>
      <c r="W104" s="9"/>
      <c r="X104" s="9"/>
      <c r="Y104" s="9"/>
      <c r="Z104" s="6"/>
      <c r="AA104" s="9"/>
      <c r="AB104" s="9"/>
      <c r="AC104" s="9"/>
      <c r="AD104" s="9"/>
      <c r="AE104" s="9"/>
      <c r="AF104" s="9"/>
      <c r="AG104" s="9"/>
      <c r="AH104" s="6"/>
      <c r="AI104" s="6"/>
      <c r="AR104" s="6"/>
      <c r="AS104" s="6"/>
      <c r="AT104" s="6"/>
      <c r="AU104" s="6"/>
      <c r="AV104" s="6"/>
      <c r="AW104" s="6"/>
      <c r="AX104" s="6"/>
      <c r="AY104" s="9"/>
      <c r="AZ104" s="9"/>
      <c r="BA104" s="9"/>
      <c r="BB104" s="46"/>
      <c r="BC104" s="9"/>
      <c r="BD104" s="46"/>
      <c r="BE104" s="9"/>
      <c r="BF104" s="9"/>
      <c r="BG104" s="6"/>
      <c r="BH104" s="6"/>
    </row>
    <row r="105" spans="1:60" s="7" customFormat="1" ht="15.75" x14ac:dyDescent="0.25">
      <c r="A105" s="6"/>
      <c r="B105" s="6"/>
      <c r="C105" s="6"/>
      <c r="D105" s="6"/>
      <c r="R105" s="8"/>
      <c r="S105" s="9"/>
      <c r="T105" s="9"/>
      <c r="U105" s="9"/>
      <c r="V105" s="9"/>
      <c r="W105" s="9"/>
      <c r="X105" s="9"/>
      <c r="Y105" s="9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R105" s="6"/>
      <c r="AS105" s="6"/>
      <c r="AT105" s="6"/>
      <c r="AU105" s="6"/>
      <c r="AV105" s="6"/>
      <c r="AW105" s="6"/>
      <c r="AX105" s="6"/>
      <c r="AY105" s="9"/>
      <c r="AZ105" s="9"/>
      <c r="BA105" s="9"/>
      <c r="BB105" s="46"/>
      <c r="BC105" s="9"/>
      <c r="BD105" s="46"/>
      <c r="BE105" s="9"/>
      <c r="BF105" s="9"/>
      <c r="BG105" s="6"/>
      <c r="BH105" s="6"/>
    </row>
    <row r="106" spans="1:60" s="7" customFormat="1" ht="15.75" x14ac:dyDescent="0.25">
      <c r="A106" s="6"/>
      <c r="B106" s="6"/>
      <c r="C106" s="6"/>
      <c r="D106" s="6"/>
      <c r="R106" s="8"/>
      <c r="S106" s="9"/>
      <c r="T106" s="9"/>
      <c r="U106" s="9"/>
      <c r="V106" s="9"/>
      <c r="W106" s="9"/>
      <c r="X106" s="9"/>
      <c r="Y106" s="9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R106" s="6"/>
      <c r="AS106" s="6"/>
      <c r="AT106" s="6"/>
      <c r="AU106" s="6"/>
      <c r="AV106" s="6"/>
      <c r="AW106" s="6"/>
      <c r="AX106" s="6"/>
      <c r="AY106" s="9"/>
      <c r="AZ106" s="9"/>
      <c r="BA106" s="9"/>
      <c r="BB106" s="46"/>
      <c r="BC106" s="9"/>
      <c r="BD106" s="46"/>
      <c r="BE106" s="9"/>
      <c r="BF106" s="9"/>
      <c r="BG106" s="6"/>
      <c r="BH106" s="6"/>
    </row>
    <row r="107" spans="1:60" s="7" customFormat="1" ht="15.75" x14ac:dyDescent="0.25">
      <c r="A107" s="6"/>
      <c r="B107" s="6"/>
      <c r="C107" s="6"/>
      <c r="D107" s="6"/>
      <c r="R107" s="8"/>
      <c r="S107" s="9"/>
      <c r="T107" s="9"/>
      <c r="U107" s="9"/>
      <c r="V107" s="9"/>
      <c r="W107" s="9"/>
      <c r="X107" s="9"/>
      <c r="Y107" s="9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R107" s="6"/>
      <c r="AS107" s="6"/>
      <c r="AT107" s="6"/>
      <c r="AU107" s="6"/>
      <c r="AV107" s="6"/>
      <c r="AW107" s="6"/>
      <c r="AX107" s="6"/>
      <c r="AY107" s="9"/>
      <c r="AZ107" s="9"/>
      <c r="BA107" s="9"/>
      <c r="BB107" s="46"/>
      <c r="BC107" s="9"/>
      <c r="BD107" s="46"/>
      <c r="BE107" s="9"/>
      <c r="BF107" s="9"/>
      <c r="BG107" s="6"/>
      <c r="BH107" s="6"/>
    </row>
    <row r="108" spans="1:60" s="7" customFormat="1" ht="15.75" x14ac:dyDescent="0.25">
      <c r="A108" s="6"/>
      <c r="B108" s="6"/>
      <c r="C108" s="6"/>
      <c r="D108" s="6"/>
      <c r="R108" s="8"/>
      <c r="S108" s="9"/>
      <c r="T108" s="9"/>
      <c r="U108" s="9"/>
      <c r="V108" s="9"/>
      <c r="W108" s="9"/>
      <c r="X108" s="9"/>
      <c r="Y108" s="9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R108" s="6"/>
      <c r="AS108" s="6"/>
      <c r="AT108" s="6"/>
      <c r="AU108" s="6"/>
      <c r="AV108" s="6"/>
      <c r="AW108" s="6"/>
      <c r="AX108" s="6"/>
      <c r="AY108" s="9"/>
      <c r="AZ108" s="9"/>
      <c r="BA108" s="9"/>
      <c r="BB108" s="46"/>
      <c r="BC108" s="9"/>
      <c r="BD108" s="46"/>
      <c r="BE108" s="9"/>
      <c r="BF108" s="9"/>
      <c r="BG108" s="6"/>
      <c r="BH108" s="6"/>
    </row>
    <row r="109" spans="1:60" s="7" customFormat="1" ht="15.75" x14ac:dyDescent="0.25">
      <c r="A109" s="6"/>
      <c r="B109" s="6"/>
      <c r="C109" s="6"/>
      <c r="D109" s="6"/>
      <c r="R109" s="8"/>
      <c r="S109" s="9"/>
      <c r="T109" s="9"/>
      <c r="U109" s="9"/>
      <c r="V109" s="9"/>
      <c r="W109" s="9"/>
      <c r="X109" s="9"/>
      <c r="Y109" s="9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R109" s="6"/>
      <c r="AS109" s="6"/>
      <c r="AT109" s="6"/>
      <c r="AU109" s="6"/>
      <c r="AV109" s="6"/>
      <c r="AW109" s="6"/>
      <c r="AX109" s="6"/>
      <c r="AY109" s="9"/>
      <c r="AZ109" s="9"/>
      <c r="BA109" s="9"/>
      <c r="BB109" s="46"/>
      <c r="BC109" s="9"/>
      <c r="BD109" s="46"/>
      <c r="BE109" s="9"/>
      <c r="BF109" s="9"/>
      <c r="BG109" s="6"/>
      <c r="BH109" s="6"/>
    </row>
    <row r="110" spans="1:60" s="7" customFormat="1" ht="15.75" x14ac:dyDescent="0.25">
      <c r="A110" s="6"/>
      <c r="B110" s="6"/>
      <c r="C110" s="6"/>
      <c r="D110" s="6"/>
      <c r="R110" s="8"/>
      <c r="S110" s="9"/>
      <c r="T110" s="9"/>
      <c r="U110" s="9"/>
      <c r="V110" s="9"/>
      <c r="W110" s="9"/>
      <c r="X110" s="9"/>
      <c r="Y110" s="9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R110" s="6"/>
      <c r="AS110" s="6"/>
      <c r="AT110" s="6"/>
      <c r="AU110" s="6"/>
      <c r="AV110" s="6"/>
      <c r="AW110" s="6"/>
      <c r="AX110" s="6"/>
      <c r="AY110" s="9"/>
      <c r="AZ110" s="9"/>
      <c r="BA110" s="9"/>
      <c r="BB110" s="46"/>
      <c r="BC110" s="9"/>
      <c r="BD110" s="46"/>
      <c r="BE110" s="9"/>
      <c r="BF110" s="9"/>
      <c r="BG110" s="6"/>
      <c r="BH110" s="6"/>
    </row>
    <row r="111" spans="1:60" s="7" customFormat="1" ht="15.75" x14ac:dyDescent="0.25">
      <c r="A111" s="6"/>
      <c r="B111" s="6"/>
      <c r="C111" s="6"/>
      <c r="D111" s="6"/>
      <c r="R111" s="8"/>
      <c r="S111" s="9"/>
      <c r="T111" s="9"/>
      <c r="U111" s="9"/>
      <c r="V111" s="9"/>
      <c r="W111" s="9"/>
      <c r="X111" s="9"/>
      <c r="Y111" s="9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R111" s="6"/>
      <c r="AS111" s="6"/>
      <c r="AT111" s="6"/>
      <c r="AU111" s="6"/>
      <c r="AV111" s="6"/>
      <c r="AW111" s="6"/>
      <c r="AX111" s="6"/>
      <c r="AY111" s="9"/>
      <c r="AZ111" s="9"/>
      <c r="BA111" s="9"/>
      <c r="BB111" s="46"/>
      <c r="BC111" s="9"/>
      <c r="BD111" s="46"/>
      <c r="BE111" s="9"/>
      <c r="BF111" s="9"/>
      <c r="BG111" s="6"/>
      <c r="BH111" s="6"/>
    </row>
    <row r="112" spans="1:60" s="7" customFormat="1" ht="15.75" x14ac:dyDescent="0.25">
      <c r="A112" s="6"/>
      <c r="B112" s="6"/>
      <c r="C112" s="6"/>
      <c r="D112" s="6"/>
      <c r="R112" s="8"/>
      <c r="S112" s="9"/>
      <c r="T112" s="9"/>
      <c r="U112" s="9"/>
      <c r="V112" s="9"/>
      <c r="W112" s="9"/>
      <c r="X112" s="9"/>
      <c r="Y112" s="9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R112" s="6"/>
      <c r="AS112" s="6"/>
      <c r="AT112" s="6"/>
      <c r="AU112" s="6"/>
      <c r="AV112" s="6"/>
      <c r="AW112" s="6"/>
      <c r="AX112" s="6"/>
      <c r="AY112" s="9"/>
      <c r="AZ112" s="9"/>
      <c r="BA112" s="9"/>
      <c r="BB112" s="46"/>
      <c r="BC112" s="9"/>
      <c r="BD112" s="46"/>
      <c r="BE112" s="9"/>
      <c r="BF112" s="9"/>
      <c r="BG112" s="6"/>
      <c r="BH112" s="6"/>
    </row>
    <row r="113" spans="1:60" s="7" customFormat="1" ht="15.75" x14ac:dyDescent="0.25">
      <c r="A113" s="6"/>
      <c r="B113" s="6"/>
      <c r="C113" s="6"/>
      <c r="D113" s="6"/>
      <c r="R113" s="8"/>
      <c r="S113" s="9"/>
      <c r="T113" s="9"/>
      <c r="U113" s="9"/>
      <c r="V113" s="9"/>
      <c r="W113" s="9"/>
      <c r="X113" s="9"/>
      <c r="Y113" s="9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R113" s="6"/>
      <c r="AS113" s="6"/>
      <c r="AT113" s="6"/>
      <c r="AU113" s="6"/>
      <c r="AV113" s="6"/>
      <c r="AW113" s="6"/>
      <c r="AX113" s="6"/>
      <c r="AY113" s="9"/>
      <c r="AZ113" s="9"/>
      <c r="BA113" s="9"/>
      <c r="BB113" s="46"/>
      <c r="BC113" s="9"/>
      <c r="BD113" s="46"/>
      <c r="BE113" s="9"/>
      <c r="BF113" s="9"/>
      <c r="BG113" s="6"/>
      <c r="BH113" s="6"/>
    </row>
    <row r="114" spans="1:60" s="7" customFormat="1" ht="15.75" x14ac:dyDescent="0.25">
      <c r="A114" s="6"/>
      <c r="B114" s="6"/>
      <c r="C114" s="6"/>
      <c r="D114" s="6"/>
      <c r="R114" s="8"/>
      <c r="S114" s="9"/>
      <c r="T114" s="9"/>
      <c r="U114" s="9"/>
      <c r="V114" s="9"/>
      <c r="W114" s="9"/>
      <c r="X114" s="9"/>
      <c r="Y114" s="9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R114" s="6"/>
      <c r="AS114" s="6"/>
      <c r="AT114" s="6"/>
      <c r="AU114" s="6"/>
      <c r="AV114" s="6"/>
      <c r="AW114" s="6"/>
      <c r="AX114" s="6"/>
      <c r="AY114" s="9"/>
      <c r="AZ114" s="9"/>
      <c r="BA114" s="9"/>
      <c r="BB114" s="46"/>
      <c r="BC114" s="9"/>
      <c r="BD114" s="46"/>
      <c r="BE114" s="9"/>
      <c r="BF114" s="9"/>
      <c r="BG114" s="6"/>
      <c r="BH114" s="6"/>
    </row>
    <row r="115" spans="1:60" s="7" customFormat="1" ht="15.75" x14ac:dyDescent="0.25">
      <c r="A115" s="6"/>
      <c r="B115" s="6"/>
      <c r="C115" s="6"/>
      <c r="D115" s="6"/>
      <c r="R115" s="8"/>
      <c r="S115" s="9"/>
      <c r="T115" s="9"/>
      <c r="U115" s="9"/>
      <c r="V115" s="9"/>
      <c r="W115" s="9"/>
      <c r="X115" s="9"/>
      <c r="Y115" s="9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R115" s="6"/>
      <c r="AS115" s="6"/>
      <c r="AT115" s="6"/>
      <c r="AU115" s="6"/>
      <c r="AV115" s="6"/>
      <c r="AW115" s="6"/>
      <c r="AX115" s="6"/>
      <c r="AY115" s="9"/>
      <c r="AZ115" s="9"/>
      <c r="BA115" s="9"/>
      <c r="BB115" s="46"/>
      <c r="BC115" s="9"/>
      <c r="BD115" s="46"/>
      <c r="BE115" s="9"/>
      <c r="BF115" s="9"/>
      <c r="BG115" s="6"/>
      <c r="BH115" s="6"/>
    </row>
    <row r="116" spans="1:60" s="7" customFormat="1" ht="15.75" x14ac:dyDescent="0.25">
      <c r="A116" s="6"/>
      <c r="B116" s="6"/>
      <c r="C116" s="6"/>
      <c r="D116" s="6"/>
      <c r="R116" s="8"/>
      <c r="S116" s="9"/>
      <c r="T116" s="9"/>
      <c r="U116" s="9"/>
      <c r="V116" s="9"/>
      <c r="W116" s="9"/>
      <c r="X116" s="9"/>
      <c r="Y116" s="9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R116" s="6"/>
      <c r="AS116" s="6"/>
      <c r="AT116" s="6"/>
      <c r="AU116" s="6"/>
      <c r="AV116" s="6"/>
      <c r="AW116" s="6"/>
      <c r="AX116" s="6"/>
      <c r="AY116" s="9"/>
      <c r="AZ116" s="9"/>
      <c r="BA116" s="9"/>
      <c r="BB116" s="46"/>
      <c r="BC116" s="9"/>
      <c r="BD116" s="46"/>
      <c r="BE116" s="9"/>
      <c r="BF116" s="9"/>
      <c r="BG116" s="6"/>
      <c r="BH116" s="6"/>
    </row>
    <row r="117" spans="1:60" s="7" customFormat="1" ht="15.75" x14ac:dyDescent="0.25">
      <c r="A117" s="6"/>
      <c r="B117" s="6"/>
      <c r="C117" s="6"/>
      <c r="D117" s="6"/>
      <c r="R117" s="8"/>
      <c r="S117" s="9"/>
      <c r="T117" s="9"/>
      <c r="U117" s="9"/>
      <c r="V117" s="9"/>
      <c r="W117" s="9"/>
      <c r="X117" s="9"/>
      <c r="Y117" s="9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R117" s="6"/>
      <c r="AS117" s="6"/>
      <c r="AT117" s="6"/>
      <c r="AU117" s="6"/>
      <c r="AV117" s="6"/>
      <c r="AW117" s="6"/>
      <c r="AX117" s="6"/>
      <c r="AY117" s="9"/>
      <c r="AZ117" s="9"/>
      <c r="BA117" s="9"/>
      <c r="BB117" s="46"/>
      <c r="BC117" s="9"/>
      <c r="BD117" s="46"/>
      <c r="BE117" s="9"/>
      <c r="BF117" s="9"/>
      <c r="BG117" s="6"/>
      <c r="BH117" s="6"/>
    </row>
    <row r="118" spans="1:60" s="7" customFormat="1" ht="15.75" x14ac:dyDescent="0.25">
      <c r="A118" s="6"/>
      <c r="B118" s="6"/>
      <c r="C118" s="6"/>
      <c r="D118" s="6"/>
      <c r="R118" s="8"/>
      <c r="S118" s="9"/>
      <c r="T118" s="9"/>
      <c r="U118" s="9"/>
      <c r="V118" s="9"/>
      <c r="W118" s="9"/>
      <c r="X118" s="9"/>
      <c r="Y118" s="9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R118" s="6"/>
      <c r="AS118" s="6"/>
      <c r="AT118" s="6"/>
      <c r="AU118" s="6"/>
      <c r="AV118" s="6"/>
      <c r="AW118" s="6"/>
      <c r="AX118" s="6"/>
      <c r="AY118" s="9"/>
      <c r="AZ118" s="9"/>
      <c r="BA118" s="9"/>
      <c r="BB118" s="46"/>
      <c r="BC118" s="9"/>
      <c r="BD118" s="46"/>
      <c r="BE118" s="9"/>
      <c r="BF118" s="9"/>
      <c r="BG118" s="6"/>
      <c r="BH118" s="6"/>
    </row>
    <row r="119" spans="1:60" s="7" customFormat="1" ht="15.75" x14ac:dyDescent="0.25">
      <c r="A119" s="6"/>
      <c r="B119" s="6"/>
      <c r="C119" s="6"/>
      <c r="D119" s="6"/>
      <c r="R119" s="8"/>
      <c r="S119" s="9"/>
      <c r="T119" s="9"/>
      <c r="U119" s="9"/>
      <c r="V119" s="9"/>
      <c r="W119" s="9"/>
      <c r="X119" s="9"/>
      <c r="Y119" s="9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R119" s="6"/>
      <c r="AS119" s="6"/>
      <c r="AT119" s="6"/>
      <c r="AU119" s="6"/>
      <c r="AV119" s="6"/>
      <c r="AW119" s="6"/>
      <c r="AX119" s="6"/>
      <c r="AY119" s="9"/>
      <c r="AZ119" s="9"/>
      <c r="BA119" s="9"/>
      <c r="BB119" s="46"/>
      <c r="BC119" s="9"/>
      <c r="BD119" s="46"/>
      <c r="BE119" s="9"/>
      <c r="BF119" s="9"/>
      <c r="BG119" s="6"/>
      <c r="BH119" s="6"/>
    </row>
    <row r="120" spans="1:60" s="7" customFormat="1" ht="15.75" x14ac:dyDescent="0.25">
      <c r="A120" s="6"/>
      <c r="B120" s="6"/>
      <c r="C120" s="6"/>
      <c r="D120" s="6"/>
      <c r="R120" s="8"/>
      <c r="S120" s="9"/>
      <c r="T120" s="9"/>
      <c r="U120" s="9"/>
      <c r="V120" s="9"/>
      <c r="W120" s="9"/>
      <c r="X120" s="9"/>
      <c r="Y120" s="9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R120" s="6"/>
      <c r="AS120" s="6"/>
      <c r="AT120" s="6"/>
      <c r="AU120" s="6"/>
      <c r="AV120" s="6"/>
      <c r="AW120" s="6"/>
      <c r="AX120" s="6"/>
      <c r="AY120" s="9"/>
      <c r="AZ120" s="9"/>
      <c r="BA120" s="9"/>
      <c r="BB120" s="46"/>
      <c r="BC120" s="9"/>
      <c r="BD120" s="46"/>
      <c r="BE120" s="9"/>
      <c r="BF120" s="9"/>
      <c r="BG120" s="6"/>
      <c r="BH120" s="6"/>
    </row>
    <row r="121" spans="1:60" s="7" customFormat="1" ht="15.75" x14ac:dyDescent="0.25">
      <c r="A121" s="6"/>
      <c r="B121" s="6"/>
      <c r="C121" s="6"/>
      <c r="D121" s="6"/>
      <c r="R121" s="8"/>
      <c r="S121" s="9"/>
      <c r="T121" s="9"/>
      <c r="U121" s="9"/>
      <c r="V121" s="9"/>
      <c r="W121" s="9"/>
      <c r="X121" s="9"/>
      <c r="Y121" s="9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R121" s="6"/>
      <c r="AS121" s="6"/>
      <c r="AT121" s="6"/>
      <c r="AU121" s="6"/>
      <c r="AV121" s="6"/>
      <c r="AW121" s="6"/>
      <c r="AX121" s="6"/>
      <c r="AY121" s="9"/>
      <c r="AZ121" s="9"/>
      <c r="BA121" s="9"/>
      <c r="BB121" s="46"/>
      <c r="BC121" s="9"/>
      <c r="BD121" s="46"/>
      <c r="BE121" s="9"/>
      <c r="BF121" s="9"/>
      <c r="BG121" s="6"/>
      <c r="BH121" s="6"/>
    </row>
    <row r="122" spans="1:60" s="7" customFormat="1" ht="15.75" x14ac:dyDescent="0.25">
      <c r="A122" s="6"/>
      <c r="B122" s="6"/>
      <c r="C122" s="6"/>
      <c r="D122" s="6"/>
      <c r="R122" s="8"/>
      <c r="S122" s="9"/>
      <c r="T122" s="9"/>
      <c r="U122" s="9"/>
      <c r="V122" s="9"/>
      <c r="W122" s="9"/>
      <c r="X122" s="9"/>
      <c r="Y122" s="9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R122" s="6"/>
      <c r="AS122" s="6"/>
      <c r="AT122" s="6"/>
      <c r="AU122" s="6"/>
      <c r="AV122" s="6"/>
      <c r="AW122" s="6"/>
      <c r="AX122" s="6"/>
      <c r="AY122" s="9"/>
      <c r="AZ122" s="9"/>
      <c r="BA122" s="9"/>
      <c r="BB122" s="46"/>
      <c r="BC122" s="9"/>
      <c r="BD122" s="46"/>
      <c r="BE122" s="9"/>
      <c r="BF122" s="9"/>
      <c r="BG122" s="6"/>
      <c r="BH122" s="6"/>
    </row>
    <row r="123" spans="1:60" s="7" customFormat="1" ht="15.75" x14ac:dyDescent="0.25">
      <c r="A123" s="6"/>
      <c r="B123" s="6"/>
      <c r="C123" s="6"/>
      <c r="D123" s="6"/>
      <c r="R123" s="8"/>
      <c r="S123" s="9"/>
      <c r="T123" s="9"/>
      <c r="U123" s="9"/>
      <c r="V123" s="9"/>
      <c r="W123" s="9"/>
      <c r="X123" s="9"/>
      <c r="Y123" s="9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R123" s="6"/>
      <c r="AS123" s="6"/>
      <c r="AT123" s="6"/>
      <c r="AU123" s="6"/>
      <c r="AV123" s="6"/>
      <c r="AW123" s="6"/>
      <c r="AX123" s="6"/>
      <c r="AY123" s="9"/>
      <c r="AZ123" s="9"/>
      <c r="BA123" s="9"/>
      <c r="BB123" s="46"/>
      <c r="BC123" s="9"/>
      <c r="BD123" s="46"/>
      <c r="BE123" s="9"/>
      <c r="BF123" s="9"/>
      <c r="BG123" s="6"/>
      <c r="BH123" s="6"/>
    </row>
    <row r="124" spans="1:60" s="7" customFormat="1" ht="15.75" x14ac:dyDescent="0.25">
      <c r="A124" s="6"/>
      <c r="B124" s="6"/>
      <c r="C124" s="6"/>
      <c r="D124" s="6"/>
      <c r="R124" s="8"/>
      <c r="S124" s="9"/>
      <c r="T124" s="9"/>
      <c r="U124" s="9"/>
      <c r="V124" s="9"/>
      <c r="W124" s="9"/>
      <c r="X124" s="9"/>
      <c r="Y124" s="9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R124" s="6"/>
      <c r="AS124" s="6"/>
      <c r="AT124" s="6"/>
      <c r="AU124" s="6"/>
      <c r="AV124" s="6"/>
      <c r="AW124" s="6"/>
      <c r="AX124" s="6"/>
      <c r="AY124" s="9"/>
      <c r="AZ124" s="9"/>
      <c r="BA124" s="9"/>
      <c r="BB124" s="46"/>
      <c r="BC124" s="9"/>
      <c r="BD124" s="46"/>
      <c r="BE124" s="9"/>
      <c r="BF124" s="9"/>
      <c r="BG124" s="6"/>
      <c r="BH124" s="6"/>
    </row>
    <row r="125" spans="1:60" s="7" customFormat="1" ht="15.75" x14ac:dyDescent="0.25">
      <c r="A125" s="6"/>
      <c r="B125" s="6"/>
      <c r="C125" s="6"/>
      <c r="D125" s="6"/>
      <c r="R125" s="8"/>
      <c r="S125" s="9"/>
      <c r="T125" s="9"/>
      <c r="U125" s="9"/>
      <c r="V125" s="9"/>
      <c r="W125" s="9"/>
      <c r="X125" s="9"/>
      <c r="Y125" s="9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R125" s="6"/>
      <c r="AS125" s="6"/>
      <c r="AT125" s="6"/>
      <c r="AU125" s="6"/>
      <c r="AV125" s="6"/>
      <c r="AW125" s="6"/>
      <c r="AX125" s="6"/>
      <c r="AY125" s="9"/>
      <c r="AZ125" s="9"/>
      <c r="BA125" s="9"/>
      <c r="BB125" s="46"/>
      <c r="BC125" s="9"/>
      <c r="BD125" s="46"/>
      <c r="BE125" s="9"/>
      <c r="BF125" s="9"/>
      <c r="BG125" s="6"/>
      <c r="BH125" s="6"/>
    </row>
    <row r="126" spans="1:60" s="7" customFormat="1" ht="15.75" x14ac:dyDescent="0.25">
      <c r="A126" s="6"/>
      <c r="B126" s="6"/>
      <c r="C126" s="6"/>
      <c r="D126" s="6"/>
      <c r="R126" s="8"/>
      <c r="S126" s="9"/>
      <c r="T126" s="9"/>
      <c r="U126" s="9"/>
      <c r="V126" s="9"/>
      <c r="W126" s="9"/>
      <c r="X126" s="9"/>
      <c r="Y126" s="9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R126" s="6"/>
      <c r="AS126" s="6"/>
      <c r="AT126" s="6"/>
      <c r="AU126" s="6"/>
      <c r="AV126" s="6"/>
      <c r="AW126" s="6"/>
      <c r="AX126" s="6"/>
      <c r="AY126" s="9"/>
      <c r="AZ126" s="9"/>
      <c r="BA126" s="9"/>
      <c r="BB126" s="46"/>
      <c r="BC126" s="9"/>
      <c r="BD126" s="46"/>
      <c r="BE126" s="9"/>
      <c r="BF126" s="9"/>
      <c r="BG126" s="6"/>
      <c r="BH126" s="6"/>
    </row>
    <row r="127" spans="1:60" s="7" customFormat="1" ht="15.75" x14ac:dyDescent="0.25">
      <c r="A127" s="6"/>
      <c r="B127" s="6"/>
      <c r="C127" s="6"/>
      <c r="D127" s="6"/>
      <c r="R127" s="8"/>
      <c r="S127" s="9"/>
      <c r="T127" s="9"/>
      <c r="U127" s="9"/>
      <c r="V127" s="9"/>
      <c r="W127" s="9"/>
      <c r="X127" s="9"/>
      <c r="Y127" s="9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R127" s="6"/>
      <c r="AS127" s="6"/>
      <c r="AT127" s="6"/>
      <c r="AU127" s="6"/>
      <c r="AV127" s="6"/>
      <c r="AW127" s="6"/>
      <c r="AX127" s="6"/>
      <c r="AY127" s="9"/>
      <c r="AZ127" s="9"/>
      <c r="BA127" s="9"/>
      <c r="BB127" s="46"/>
      <c r="BC127" s="9"/>
      <c r="BD127" s="46"/>
      <c r="BE127" s="9"/>
      <c r="BF127" s="9"/>
      <c r="BG127" s="6"/>
      <c r="BH127" s="6"/>
    </row>
    <row r="128" spans="1:60" s="7" customFormat="1" ht="15.75" x14ac:dyDescent="0.25">
      <c r="A128" s="6"/>
      <c r="B128" s="6"/>
      <c r="C128" s="6"/>
      <c r="D128" s="6"/>
      <c r="R128" s="8"/>
      <c r="S128" s="9"/>
      <c r="T128" s="9"/>
      <c r="U128" s="9"/>
      <c r="V128" s="9"/>
      <c r="W128" s="9"/>
      <c r="X128" s="9"/>
      <c r="Y128" s="9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R128" s="6"/>
      <c r="AS128" s="6"/>
      <c r="AT128" s="6"/>
      <c r="AU128" s="6"/>
      <c r="AV128" s="6"/>
      <c r="AW128" s="6"/>
      <c r="AX128" s="6"/>
      <c r="AY128" s="9"/>
      <c r="AZ128" s="9"/>
      <c r="BA128" s="9"/>
      <c r="BB128" s="46"/>
      <c r="BC128" s="9"/>
      <c r="BD128" s="46"/>
      <c r="BE128" s="9"/>
      <c r="BF128" s="9"/>
      <c r="BG128" s="6"/>
      <c r="BH128" s="6"/>
    </row>
    <row r="129" spans="1:60" s="7" customFormat="1" ht="15.75" x14ac:dyDescent="0.25">
      <c r="A129" s="6"/>
      <c r="B129" s="6"/>
      <c r="C129" s="6"/>
      <c r="D129" s="6"/>
      <c r="R129" s="8"/>
      <c r="S129" s="9"/>
      <c r="T129" s="9"/>
      <c r="U129" s="9"/>
      <c r="V129" s="9"/>
      <c r="W129" s="9"/>
      <c r="X129" s="9"/>
      <c r="Y129" s="9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R129" s="6"/>
      <c r="AS129" s="6"/>
      <c r="AT129" s="6"/>
      <c r="AU129" s="6"/>
      <c r="AV129" s="6"/>
      <c r="AW129" s="6"/>
      <c r="AX129" s="6"/>
      <c r="AY129" s="9"/>
      <c r="AZ129" s="9"/>
      <c r="BA129" s="9"/>
      <c r="BB129" s="46"/>
      <c r="BC129" s="9"/>
      <c r="BD129" s="46"/>
      <c r="BE129" s="9"/>
      <c r="BF129" s="9"/>
      <c r="BG129" s="6"/>
      <c r="BH129" s="6"/>
    </row>
    <row r="130" spans="1:60" s="7" customFormat="1" ht="15.75" x14ac:dyDescent="0.25">
      <c r="A130" s="6"/>
      <c r="B130" s="6"/>
      <c r="C130" s="6"/>
      <c r="D130" s="6"/>
      <c r="R130" s="8"/>
      <c r="S130" s="9"/>
      <c r="T130" s="9"/>
      <c r="U130" s="9"/>
      <c r="V130" s="9"/>
      <c r="W130" s="9"/>
      <c r="X130" s="9"/>
      <c r="Y130" s="9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R130" s="6"/>
      <c r="AS130" s="6"/>
      <c r="AT130" s="6"/>
      <c r="AU130" s="6"/>
      <c r="AV130" s="6"/>
      <c r="AW130" s="6"/>
      <c r="AX130" s="6"/>
      <c r="AY130" s="9"/>
      <c r="AZ130" s="9"/>
      <c r="BA130" s="9"/>
      <c r="BB130" s="46"/>
      <c r="BC130" s="9"/>
      <c r="BD130" s="46"/>
      <c r="BE130" s="9"/>
      <c r="BF130" s="9"/>
      <c r="BG130" s="6"/>
      <c r="BH130" s="6"/>
    </row>
    <row r="131" spans="1:60" s="7" customFormat="1" ht="15.75" x14ac:dyDescent="0.25">
      <c r="A131" s="6"/>
      <c r="B131" s="6"/>
      <c r="C131" s="6"/>
      <c r="D131" s="6"/>
      <c r="R131" s="8"/>
      <c r="S131" s="9"/>
      <c r="T131" s="9"/>
      <c r="U131" s="9"/>
      <c r="V131" s="9"/>
      <c r="W131" s="9"/>
      <c r="X131" s="9"/>
      <c r="Y131" s="9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R131" s="6"/>
      <c r="AS131" s="6"/>
      <c r="AT131" s="6"/>
      <c r="AU131" s="6"/>
      <c r="AV131" s="6"/>
      <c r="AW131" s="6"/>
      <c r="AX131" s="6"/>
      <c r="AY131" s="9"/>
      <c r="AZ131" s="9"/>
      <c r="BA131" s="9"/>
      <c r="BB131" s="46"/>
      <c r="BC131" s="9"/>
      <c r="BD131" s="46"/>
      <c r="BE131" s="9"/>
      <c r="BF131" s="9"/>
      <c r="BG131" s="6"/>
      <c r="BH131" s="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topLeftCell="A4" zoomScale="80" zoomScaleNormal="80" workbookViewId="0">
      <selection activeCell="AW15" sqref="AW14:AW15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53.85546875" style="7" customWidth="1"/>
    <col min="6" max="7" width="20.28515625" style="7" bestFit="1" customWidth="1" outlineLevel="1"/>
    <col min="8" max="8" width="33.140625" style="7" bestFit="1" customWidth="1" outlineLevel="1"/>
    <col min="9" max="9" width="15.7109375" style="7" customWidth="1"/>
    <col min="10" max="10" width="24.5703125" style="7" customWidth="1"/>
    <col min="11" max="11" width="29.140625" style="7" bestFit="1" customWidth="1"/>
    <col min="12" max="12" width="9.42578125" style="7" customWidth="1"/>
    <col min="13" max="13" width="14.28515625" style="7" customWidth="1" outlineLevel="1"/>
    <col min="14" max="14" width="14.85546875" style="7" customWidth="1" outlineLevel="1"/>
    <col min="15" max="15" width="8.85546875" style="7" bestFit="1" customWidth="1" outlineLevel="1"/>
    <col min="16" max="16" width="12.28515625" style="7" customWidth="1" outlineLevel="1"/>
    <col min="17" max="17" width="12.7109375" style="7" customWidth="1" outlineLevel="1"/>
    <col min="18" max="18" width="7.5703125" style="8" customWidth="1" outlineLevel="1"/>
    <col min="19" max="19" width="9.5703125" style="9" customWidth="1" outlineLevel="1"/>
    <col min="20" max="20" width="10.140625" style="9" bestFit="1" customWidth="1" outlineLevel="1"/>
    <col min="21" max="21" width="5.28515625" style="9" bestFit="1" customWidth="1" outlineLevel="1"/>
    <col min="22" max="23" width="11.5703125" style="9" bestFit="1" customWidth="1" outlineLevel="1"/>
    <col min="24" max="24" width="13.140625" style="9" bestFit="1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12.85546875" style="6" customWidth="1"/>
    <col min="32" max="33" width="12.7109375" style="6" customWidth="1"/>
    <col min="34" max="34" width="9.28515625" style="6" bestFit="1" customWidth="1"/>
    <col min="35" max="35" width="15.28515625" style="6" bestFit="1" customWidth="1"/>
    <col min="36" max="36" width="24.5703125" style="7" customWidth="1"/>
    <col min="37" max="37" width="26.28515625" style="7" customWidth="1"/>
    <col min="38" max="38" width="22.5703125" style="7" customWidth="1"/>
    <col min="39" max="40" width="21" style="7" customWidth="1"/>
    <col min="41" max="41" width="11.85546875" style="7" customWidth="1"/>
    <col min="42" max="42" width="26.5703125" style="7" bestFit="1" customWidth="1"/>
    <col min="43" max="43" width="18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3.140625" style="6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61" t="s">
        <v>0</v>
      </c>
      <c r="BA1" s="62"/>
      <c r="BB1" s="62"/>
      <c r="BC1" s="62"/>
      <c r="BD1" s="62"/>
      <c r="BE1" s="62"/>
      <c r="BF1" s="62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8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54" t="s">
        <v>245</v>
      </c>
      <c r="AW2" s="54" t="s">
        <v>246</v>
      </c>
      <c r="AX2" s="54" t="s">
        <v>247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45" customFormat="1" x14ac:dyDescent="0.25">
      <c r="A3" s="38"/>
      <c r="B3" s="55" t="s">
        <v>248</v>
      </c>
      <c r="C3" s="39"/>
      <c r="D3" s="5" t="s">
        <v>101</v>
      </c>
      <c r="E3" s="26" t="s">
        <v>206</v>
      </c>
      <c r="F3" s="47" t="s">
        <v>98</v>
      </c>
      <c r="G3" s="47" t="s">
        <v>98</v>
      </c>
      <c r="H3" s="13"/>
      <c r="I3" s="26">
        <f t="shared" ref="I3:I4" si="0">LEN(F3)</f>
        <v>10</v>
      </c>
      <c r="J3" s="26" t="str">
        <f>IF(LEN(F3)&lt;=$J$1,F3,"")</f>
        <v>Пуск (имп)</v>
      </c>
      <c r="K3" s="40" t="s">
        <v>99</v>
      </c>
      <c r="L3" s="41" t="s">
        <v>54</v>
      </c>
      <c r="M3" s="42" t="s">
        <v>51</v>
      </c>
      <c r="N3" s="42" t="s">
        <v>52</v>
      </c>
      <c r="O3" s="42"/>
      <c r="P3" s="28"/>
      <c r="Q3" s="28"/>
      <c r="R3" s="42" t="s">
        <v>53</v>
      </c>
      <c r="S3" s="42" t="s">
        <v>53</v>
      </c>
      <c r="T3" s="42" t="s">
        <v>53</v>
      </c>
      <c r="U3" s="42" t="s">
        <v>53</v>
      </c>
      <c r="V3" s="39"/>
      <c r="W3" s="39"/>
      <c r="X3" s="42" t="s">
        <v>53</v>
      </c>
      <c r="Y3" s="42">
        <v>2</v>
      </c>
      <c r="Z3" s="39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43"/>
      <c r="AK3" s="43"/>
      <c r="AL3" s="43"/>
      <c r="AM3" s="43"/>
      <c r="AN3" s="43"/>
      <c r="AO3" s="43"/>
      <c r="AP3" s="43"/>
      <c r="AQ3" s="43"/>
      <c r="AR3" s="39">
        <v>0</v>
      </c>
      <c r="AS3" s="39">
        <v>1</v>
      </c>
      <c r="AT3" s="39">
        <v>0</v>
      </c>
      <c r="AU3" s="39">
        <v>1</v>
      </c>
      <c r="AV3" s="39">
        <v>1</v>
      </c>
      <c r="AW3" s="39">
        <v>1</v>
      </c>
      <c r="AX3" s="39">
        <v>1</v>
      </c>
      <c r="AY3" s="44"/>
      <c r="AZ3" s="39"/>
      <c r="BA3" s="39"/>
      <c r="BB3" s="39"/>
      <c r="BC3" s="39"/>
      <c r="BD3" s="39"/>
      <c r="BE3" s="39"/>
      <c r="BF3" s="39"/>
      <c r="BG3" s="2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(импульс)", group: "status", minValue: null, maxValue: null, step: null, units: "null", defaultValue: null, eventRegistration: 2</v>
      </c>
    </row>
    <row r="4" spans="1:16379" s="45" customFormat="1" x14ac:dyDescent="0.25">
      <c r="A4" s="38"/>
      <c r="B4" s="55" t="s">
        <v>248</v>
      </c>
      <c r="C4" s="39"/>
      <c r="D4" s="5" t="s">
        <v>101</v>
      </c>
      <c r="E4" s="26" t="s">
        <v>79</v>
      </c>
      <c r="F4" s="47" t="s">
        <v>79</v>
      </c>
      <c r="G4" s="47" t="s">
        <v>79</v>
      </c>
      <c r="H4" s="13"/>
      <c r="I4" s="26">
        <f t="shared" si="0"/>
        <v>4</v>
      </c>
      <c r="J4" s="26" t="str">
        <f t="shared" ref="J4" si="2">IF(LEN(F4)&lt;=$J$1,F4,"")</f>
        <v>Пуск</v>
      </c>
      <c r="K4" s="40" t="s">
        <v>100</v>
      </c>
      <c r="L4" s="41" t="s">
        <v>54</v>
      </c>
      <c r="M4" s="42" t="s">
        <v>51</v>
      </c>
      <c r="N4" s="42" t="s">
        <v>52</v>
      </c>
      <c r="O4" s="42"/>
      <c r="P4" s="28"/>
      <c r="Q4" s="28"/>
      <c r="R4" s="42" t="s">
        <v>53</v>
      </c>
      <c r="S4" s="42" t="s">
        <v>53</v>
      </c>
      <c r="T4" s="42" t="s">
        <v>53</v>
      </c>
      <c r="U4" s="42" t="s">
        <v>53</v>
      </c>
      <c r="V4" s="39"/>
      <c r="W4" s="39"/>
      <c r="X4" s="42" t="s">
        <v>53</v>
      </c>
      <c r="Y4" s="42">
        <v>2</v>
      </c>
      <c r="Z4" s="39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43"/>
      <c r="AK4" s="43"/>
      <c r="AL4" s="43"/>
      <c r="AM4" s="43"/>
      <c r="AN4" s="43"/>
      <c r="AO4" s="43"/>
      <c r="AP4" s="43"/>
      <c r="AQ4" s="43"/>
      <c r="AR4" s="39">
        <v>0</v>
      </c>
      <c r="AS4" s="39">
        <v>1</v>
      </c>
      <c r="AT4" s="39">
        <v>0</v>
      </c>
      <c r="AU4" s="39">
        <v>1</v>
      </c>
      <c r="AV4" s="39">
        <v>1</v>
      </c>
      <c r="AW4" s="39">
        <v>1</v>
      </c>
      <c r="AX4" s="39">
        <v>1</v>
      </c>
      <c r="AY4" s="44"/>
      <c r="AZ4" s="39"/>
      <c r="BA4" s="39"/>
      <c r="BB4" s="39"/>
      <c r="BC4" s="39"/>
      <c r="BD4" s="39"/>
      <c r="BE4" s="39"/>
      <c r="BF4" s="39"/>
      <c r="BG4" s="29" t="str">
        <f t="shared" si="1"/>
        <v>description: "Пуск", note: "Пуск", group: "status",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6"/>
  <sheetViews>
    <sheetView tabSelected="1" zoomScale="80" zoomScaleNormal="80" workbookViewId="0">
      <selection activeCell="G8" sqref="G8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1.5703125" style="6" customWidth="1"/>
    <col min="5" max="5" width="58.42578125" style="7" customWidth="1"/>
    <col min="6" max="8" width="23.7109375" style="7" customWidth="1" outlineLevel="1"/>
    <col min="9" max="9" width="40.28515625" style="7" bestFit="1" customWidth="1" outlineLevel="1"/>
    <col min="10" max="10" width="7.28515625" style="7" bestFit="1" customWidth="1"/>
    <col min="11" max="11" width="25.28515625" style="7" bestFit="1" customWidth="1"/>
    <col min="12" max="12" width="29.42578125" style="7" bestFit="1" customWidth="1"/>
    <col min="13" max="13" width="9.42578125" style="7" customWidth="1"/>
    <col min="14" max="15" width="14.28515625" style="7" customWidth="1" outlineLevel="1"/>
    <col min="16" max="16" width="8.85546875" style="7" bestFit="1" customWidth="1" outlineLevel="1"/>
    <col min="17" max="17" width="16" style="7" bestFit="1" customWidth="1" outlineLevel="1"/>
    <col min="18" max="18" width="17.140625" style="7" bestFit="1" customWidth="1" outlineLevel="1"/>
    <col min="19" max="19" width="9.140625" style="8" customWidth="1" outlineLevel="1"/>
    <col min="20" max="20" width="9.5703125" style="9" customWidth="1" outlineLevel="1"/>
    <col min="21" max="21" width="11.28515625" style="9" customWidth="1" outlineLevel="1"/>
    <col min="22" max="22" width="8.28515625" style="9" customWidth="1" outlineLevel="1"/>
    <col min="23" max="23" width="12.5703125" style="9" customWidth="1" outlineLevel="1"/>
    <col min="24" max="24" width="13.5703125" style="9" customWidth="1" outlineLevel="1"/>
    <col min="25" max="25" width="13.140625" style="9" customWidth="1" outlineLevel="1"/>
    <col min="26" max="26" width="9.7109375" style="9" customWidth="1"/>
    <col min="27" max="27" width="12.7109375" style="6" customWidth="1"/>
    <col min="28" max="28" width="14.28515625" style="6" customWidth="1"/>
    <col min="29" max="29" width="16.42578125" style="6" bestFit="1" customWidth="1"/>
    <col min="30" max="30" width="16.7109375" style="6" bestFit="1" customWidth="1"/>
    <col min="31" max="31" width="7.7109375" style="6" bestFit="1" customWidth="1"/>
    <col min="32" max="32" width="33" style="6" customWidth="1"/>
    <col min="33" max="34" width="12.7109375" style="6" customWidth="1"/>
    <col min="35" max="35" width="12.85546875" style="6" customWidth="1"/>
    <col min="36" max="36" width="15.85546875" style="6" bestFit="1" customWidth="1"/>
    <col min="37" max="37" width="24.5703125" style="7" customWidth="1"/>
    <col min="38" max="38" width="26.42578125" style="7" customWidth="1"/>
    <col min="39" max="39" width="22.85546875" style="7" customWidth="1"/>
    <col min="40" max="41" width="24.5703125" style="7" customWidth="1"/>
    <col min="42" max="42" width="15.85546875" style="7" customWidth="1"/>
    <col min="43" max="43" width="29.5703125" style="7" bestFit="1" customWidth="1"/>
    <col min="44" max="44" width="19.140625" style="7" customWidth="1"/>
    <col min="45" max="45" width="13.7109375" style="6" customWidth="1"/>
    <col min="46" max="46" width="15.85546875" style="6" customWidth="1"/>
    <col min="47" max="47" width="17.85546875" style="6" customWidth="1"/>
    <col min="48" max="48" width="9.140625" style="6" customWidth="1"/>
    <col min="49" max="49" width="14" style="6" customWidth="1"/>
    <col min="50" max="50" width="21" style="6" bestFit="1" customWidth="1"/>
    <col min="51" max="51" width="22.28515625" style="6" customWidth="1"/>
    <col min="52" max="52" width="2.5703125" style="9" customWidth="1"/>
    <col min="53" max="53" width="10.5703125" style="9" hidden="1" customWidth="1" outlineLevel="1"/>
    <col min="54" max="54" width="12.140625" style="9" hidden="1" customWidth="1" outlineLevel="1"/>
    <col min="55" max="55" width="13.28515625" style="46" hidden="1" customWidth="1" outlineLevel="1"/>
    <col min="56" max="56" width="13.28515625" style="9" hidden="1" customWidth="1" outlineLevel="1"/>
    <col min="57" max="57" width="13" style="46" hidden="1" customWidth="1" outlineLevel="1"/>
    <col min="58" max="58" width="11.140625" style="9" hidden="1" customWidth="1" outlineLevel="1"/>
    <col min="59" max="59" width="12.7109375" style="9" hidden="1" customWidth="1" outlineLevel="1"/>
    <col min="60" max="60" width="185.28515625" style="6" bestFit="1" customWidth="1" collapsed="1"/>
    <col min="61" max="16384" width="9.140625" style="6"/>
  </cols>
  <sheetData>
    <row r="1" spans="1:16380" x14ac:dyDescent="0.25">
      <c r="E1" s="6"/>
      <c r="K1" s="7">
        <v>19</v>
      </c>
      <c r="AB1" s="10"/>
      <c r="AC1" s="10"/>
      <c r="AD1" s="10"/>
      <c r="AE1" s="10"/>
      <c r="AF1" s="10"/>
      <c r="AG1" s="11"/>
      <c r="AH1" s="11"/>
      <c r="AI1" s="10">
        <f>SUM(AB3:AB4)</f>
        <v>0</v>
      </c>
      <c r="AJ1" s="48"/>
      <c r="AK1" s="12"/>
      <c r="AL1" s="12"/>
      <c r="AM1" s="12"/>
      <c r="AN1" s="12"/>
      <c r="AO1" s="12"/>
      <c r="AP1" s="12"/>
      <c r="AQ1" s="12"/>
      <c r="AR1" s="12"/>
      <c r="AS1" s="48"/>
      <c r="AT1" s="11"/>
      <c r="AU1" s="11"/>
      <c r="AV1" s="11"/>
      <c r="AW1" s="11"/>
      <c r="AX1" s="11"/>
      <c r="AY1" s="11"/>
      <c r="AZ1" s="13"/>
      <c r="BA1" s="61" t="s">
        <v>0</v>
      </c>
      <c r="BB1" s="62"/>
      <c r="BC1" s="62"/>
      <c r="BD1" s="62"/>
      <c r="BE1" s="62"/>
      <c r="BF1" s="62"/>
      <c r="BG1" s="62"/>
    </row>
    <row r="2" spans="1:16380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59" t="s">
        <v>253</v>
      </c>
      <c r="I2" s="14" t="s">
        <v>7</v>
      </c>
      <c r="J2" s="14" t="s">
        <v>8</v>
      </c>
      <c r="K2" s="14" t="s">
        <v>70</v>
      </c>
      <c r="L2" s="18" t="s">
        <v>9</v>
      </c>
      <c r="M2" s="18" t="s">
        <v>10</v>
      </c>
      <c r="N2" s="18" t="s">
        <v>11</v>
      </c>
      <c r="O2" s="18" t="s">
        <v>12</v>
      </c>
      <c r="P2" s="18" t="s">
        <v>68</v>
      </c>
      <c r="Q2" s="18" t="s">
        <v>13</v>
      </c>
      <c r="R2" s="18" t="s">
        <v>14</v>
      </c>
      <c r="S2" s="18" t="s">
        <v>15</v>
      </c>
      <c r="T2" s="18" t="s">
        <v>16</v>
      </c>
      <c r="U2" s="18" t="s">
        <v>17</v>
      </c>
      <c r="V2" s="18" t="s">
        <v>55</v>
      </c>
      <c r="W2" s="18" t="s">
        <v>18</v>
      </c>
      <c r="X2" s="18" t="s">
        <v>19</v>
      </c>
      <c r="Y2" s="19" t="s">
        <v>20</v>
      </c>
      <c r="Z2" s="19" t="s">
        <v>21</v>
      </c>
      <c r="AA2" s="18" t="s">
        <v>22</v>
      </c>
      <c r="AB2" s="19" t="s">
        <v>23</v>
      </c>
      <c r="AC2" s="19" t="s">
        <v>64</v>
      </c>
      <c r="AD2" s="19" t="s">
        <v>65</v>
      </c>
      <c r="AE2" s="19" t="s">
        <v>66</v>
      </c>
      <c r="AF2" s="19" t="s">
        <v>67</v>
      </c>
      <c r="AG2" s="19" t="s">
        <v>24</v>
      </c>
      <c r="AH2" s="19" t="s">
        <v>25</v>
      </c>
      <c r="AI2" s="18" t="s">
        <v>26</v>
      </c>
      <c r="AJ2" s="20" t="s">
        <v>63</v>
      </c>
      <c r="AK2" s="14" t="s">
        <v>27</v>
      </c>
      <c r="AL2" s="14" t="s">
        <v>28</v>
      </c>
      <c r="AM2" s="14" t="s">
        <v>29</v>
      </c>
      <c r="AN2" s="14" t="s">
        <v>30</v>
      </c>
      <c r="AO2" s="14" t="s">
        <v>31</v>
      </c>
      <c r="AP2" s="14" t="s">
        <v>32</v>
      </c>
      <c r="AQ2" s="14" t="s">
        <v>33</v>
      </c>
      <c r="AR2" s="14" t="s">
        <v>34</v>
      </c>
      <c r="AS2" s="18" t="s">
        <v>35</v>
      </c>
      <c r="AT2" s="18" t="s">
        <v>36</v>
      </c>
      <c r="AU2" s="18" t="s">
        <v>37</v>
      </c>
      <c r="AV2" s="18" t="s">
        <v>38</v>
      </c>
      <c r="AW2" s="18" t="s">
        <v>39</v>
      </c>
      <c r="AX2" s="18" t="s">
        <v>40</v>
      </c>
      <c r="AY2" s="18" t="s">
        <v>41</v>
      </c>
      <c r="AZ2" s="19"/>
      <c r="BA2" s="18" t="s">
        <v>42</v>
      </c>
      <c r="BB2" s="18" t="s">
        <v>43</v>
      </c>
      <c r="BC2" s="21" t="s">
        <v>44</v>
      </c>
      <c r="BD2" s="18" t="s">
        <v>45</v>
      </c>
      <c r="BE2" s="21" t="s">
        <v>46</v>
      </c>
      <c r="BF2" s="18" t="s">
        <v>47</v>
      </c>
      <c r="BG2" s="18" t="s">
        <v>48</v>
      </c>
      <c r="BH2" s="19" t="s">
        <v>49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</row>
    <row r="3" spans="1:16380" s="1" customFormat="1" x14ac:dyDescent="0.25">
      <c r="A3" s="38"/>
      <c r="B3" s="38" t="s">
        <v>56</v>
      </c>
      <c r="C3" s="42"/>
      <c r="D3" s="5" t="s">
        <v>101</v>
      </c>
      <c r="E3" s="26" t="s">
        <v>222</v>
      </c>
      <c r="F3" s="26" t="s">
        <v>113</v>
      </c>
      <c r="G3" s="26" t="s">
        <v>75</v>
      </c>
      <c r="H3" s="26" t="s">
        <v>75</v>
      </c>
      <c r="I3" s="26" t="s">
        <v>71</v>
      </c>
      <c r="J3" s="26">
        <f>LEN(F3)</f>
        <v>13</v>
      </c>
      <c r="K3" s="26" t="str">
        <f>IF(LEN(F3)&lt;=$K$1,F3,"")</f>
        <v>Контр_ГЗ_сигн</v>
      </c>
      <c r="L3" s="38" t="s">
        <v>208</v>
      </c>
      <c r="M3" s="41" t="s">
        <v>54</v>
      </c>
      <c r="N3" s="42" t="s">
        <v>52</v>
      </c>
      <c r="O3" s="42" t="s">
        <v>52</v>
      </c>
      <c r="P3" s="42"/>
      <c r="Q3" s="44">
        <v>0</v>
      </c>
      <c r="R3" s="44"/>
      <c r="S3" s="42" t="s">
        <v>53</v>
      </c>
      <c r="T3" s="42">
        <v>0</v>
      </c>
      <c r="U3" s="42">
        <v>1</v>
      </c>
      <c r="V3" s="42">
        <v>1</v>
      </c>
      <c r="W3" s="42"/>
      <c r="X3" s="42"/>
      <c r="Y3" s="42">
        <v>0</v>
      </c>
      <c r="Z3" s="42">
        <v>0</v>
      </c>
      <c r="AA3" s="40"/>
      <c r="AB3" s="31">
        <v>0</v>
      </c>
      <c r="AC3" s="31"/>
      <c r="AD3" s="31"/>
      <c r="AE3" s="31"/>
      <c r="AF3" s="31"/>
      <c r="AG3" s="31">
        <v>0</v>
      </c>
      <c r="AH3" s="31">
        <v>0</v>
      </c>
      <c r="AI3" s="31">
        <v>0</v>
      </c>
      <c r="AJ3" s="31"/>
      <c r="AK3" s="39"/>
      <c r="AL3" s="39"/>
      <c r="AM3" s="39"/>
      <c r="AN3" s="39"/>
      <c r="AO3" s="39"/>
      <c r="AP3" s="39"/>
      <c r="AQ3" s="39"/>
      <c r="AR3" s="39"/>
      <c r="AS3" s="39">
        <v>0</v>
      </c>
      <c r="AT3" s="39">
        <v>0</v>
      </c>
      <c r="AU3" s="39">
        <v>0</v>
      </c>
      <c r="AV3" s="39">
        <v>0</v>
      </c>
      <c r="AW3" s="39">
        <f>BIN2DEC(CONCATENATE(0,0,0,0,AS3,AT3,AU3,AV3))</f>
        <v>0</v>
      </c>
      <c r="AX3" s="39" t="s">
        <v>72</v>
      </c>
      <c r="AY3" s="39"/>
      <c r="AZ3" s="44"/>
      <c r="BA3" s="39"/>
      <c r="BB3" s="39"/>
      <c r="BC3" s="39"/>
      <c r="BD3" s="39"/>
      <c r="BE3" s="39"/>
      <c r="BF3" s="39"/>
      <c r="BG3" s="39"/>
      <c r="BH3" s="29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"Контр_ГЗ_сигн", note: "Контроль сигнала «ГЗ сигн»", group: "setting", minValue: 0, maxValue: 1, step: 1, units: "null", defaultValue: 0, eventRegistration: 0</v>
      </c>
    </row>
    <row r="4" spans="1:16380" s="1" customFormat="1" x14ac:dyDescent="0.25">
      <c r="A4" s="38"/>
      <c r="B4" s="38" t="s">
        <v>56</v>
      </c>
      <c r="C4" s="42"/>
      <c r="D4" s="5" t="s">
        <v>101</v>
      </c>
      <c r="E4" s="26" t="s">
        <v>223</v>
      </c>
      <c r="F4" s="26" t="s">
        <v>224</v>
      </c>
      <c r="G4" s="26" t="s">
        <v>76</v>
      </c>
      <c r="H4" s="26" t="s">
        <v>76</v>
      </c>
      <c r="I4" s="26" t="s">
        <v>71</v>
      </c>
      <c r="J4" s="26">
        <f>LEN(F4)</f>
        <v>17</v>
      </c>
      <c r="K4" s="26" t="str">
        <f>IF(LEN(F4)&lt;=$K$1,F4,"")</f>
        <v>Контр_Низ_изол_ГЗ</v>
      </c>
      <c r="L4" s="38" t="s">
        <v>209</v>
      </c>
      <c r="M4" s="41" t="s">
        <v>54</v>
      </c>
      <c r="N4" s="42" t="s">
        <v>52</v>
      </c>
      <c r="O4" s="42" t="s">
        <v>52</v>
      </c>
      <c r="P4" s="42"/>
      <c r="Q4" s="44">
        <v>0</v>
      </c>
      <c r="R4" s="44"/>
      <c r="S4" s="42" t="s">
        <v>53</v>
      </c>
      <c r="T4" s="42">
        <v>0</v>
      </c>
      <c r="U4" s="42">
        <v>1</v>
      </c>
      <c r="V4" s="42">
        <v>1</v>
      </c>
      <c r="W4" s="42"/>
      <c r="X4" s="42"/>
      <c r="Y4" s="42">
        <v>0</v>
      </c>
      <c r="Z4" s="42">
        <v>0</v>
      </c>
      <c r="AA4" s="40"/>
      <c r="AB4" s="31">
        <v>0</v>
      </c>
      <c r="AC4" s="31"/>
      <c r="AD4" s="31"/>
      <c r="AE4" s="31"/>
      <c r="AF4" s="31"/>
      <c r="AG4" s="31">
        <v>0</v>
      </c>
      <c r="AH4" s="31">
        <v>0</v>
      </c>
      <c r="AI4" s="31">
        <v>0</v>
      </c>
      <c r="AJ4" s="31"/>
      <c r="AK4" s="39"/>
      <c r="AL4" s="39"/>
      <c r="AM4" s="39"/>
      <c r="AN4" s="39"/>
      <c r="AO4" s="39"/>
      <c r="AP4" s="39"/>
      <c r="AQ4" s="39"/>
      <c r="AR4" s="39"/>
      <c r="AS4" s="39">
        <v>0</v>
      </c>
      <c r="AT4" s="39">
        <v>0</v>
      </c>
      <c r="AU4" s="39">
        <v>0</v>
      </c>
      <c r="AV4" s="39">
        <v>0</v>
      </c>
      <c r="AW4" s="39">
        <f>BIN2DEC(CONCATENATE(0,0,0,0,AS4,AT4,AU4,AV4))</f>
        <v>0</v>
      </c>
      <c r="AX4" s="39" t="s">
        <v>72</v>
      </c>
      <c r="AY4" s="39"/>
      <c r="AZ4" s="44"/>
      <c r="BA4" s="39"/>
      <c r="BB4" s="39"/>
      <c r="BC4" s="39"/>
      <c r="BD4" s="39"/>
      <c r="BE4" s="39"/>
      <c r="BF4" s="39"/>
      <c r="BG4" s="39"/>
      <c r="BH4" s="29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"Контр_Низ_изол_ГЗ", note: "Контроль сигнала «Низ. изол. ГЗ»", group: "setting", minValue: 0, maxValue: 1, step: 1, units: "null", defaultValue: 0, eventRegistration: 0</v>
      </c>
    </row>
    <row r="5" spans="1:16380" s="1" customFormat="1" x14ac:dyDescent="0.25">
      <c r="A5" s="38"/>
      <c r="B5" s="38" t="s">
        <v>56</v>
      </c>
      <c r="C5" s="42"/>
      <c r="D5" s="5" t="s">
        <v>101</v>
      </c>
      <c r="E5" s="26" t="s">
        <v>225</v>
      </c>
      <c r="F5" s="26" t="s">
        <v>115</v>
      </c>
      <c r="G5" s="26" t="s">
        <v>77</v>
      </c>
      <c r="H5" s="26" t="s">
        <v>77</v>
      </c>
      <c r="I5" s="26" t="s">
        <v>71</v>
      </c>
      <c r="J5" s="26">
        <f t="shared" ref="J5:J15" si="0">LEN(F5)</f>
        <v>13</v>
      </c>
      <c r="K5" s="26" t="str">
        <f t="shared" ref="K5:K15" si="1">IF(LEN(F5)&lt;=$K$1,F5,"")</f>
        <v>Контр_ГЗ_блок</v>
      </c>
      <c r="L5" s="38" t="s">
        <v>210</v>
      </c>
      <c r="M5" s="41" t="s">
        <v>54</v>
      </c>
      <c r="N5" s="42" t="s">
        <v>52</v>
      </c>
      <c r="O5" s="42" t="s">
        <v>52</v>
      </c>
      <c r="P5" s="42"/>
      <c r="Q5" s="44">
        <v>0</v>
      </c>
      <c r="R5" s="44"/>
      <c r="S5" s="42" t="s">
        <v>53</v>
      </c>
      <c r="T5" s="42">
        <v>0</v>
      </c>
      <c r="U5" s="42">
        <v>1</v>
      </c>
      <c r="V5" s="42">
        <v>1</v>
      </c>
      <c r="W5" s="42"/>
      <c r="X5" s="42"/>
      <c r="Y5" s="42">
        <v>0</v>
      </c>
      <c r="Z5" s="42">
        <v>0</v>
      </c>
      <c r="AA5" s="40"/>
      <c r="AB5" s="31">
        <v>0</v>
      </c>
      <c r="AC5" s="31"/>
      <c r="AD5" s="31"/>
      <c r="AE5" s="31"/>
      <c r="AF5" s="31"/>
      <c r="AG5" s="31">
        <v>0</v>
      </c>
      <c r="AH5" s="31">
        <v>0</v>
      </c>
      <c r="AI5" s="31">
        <v>0</v>
      </c>
      <c r="AJ5" s="31"/>
      <c r="AK5" s="39"/>
      <c r="AL5" s="39"/>
      <c r="AM5" s="39"/>
      <c r="AN5" s="39"/>
      <c r="AO5" s="39"/>
      <c r="AP5" s="39"/>
      <c r="AQ5" s="39"/>
      <c r="AR5" s="39"/>
      <c r="AS5" s="39">
        <v>0</v>
      </c>
      <c r="AT5" s="39">
        <v>0</v>
      </c>
      <c r="AU5" s="39">
        <v>0</v>
      </c>
      <c r="AV5" s="39">
        <v>0</v>
      </c>
      <c r="AW5" s="39">
        <f t="shared" ref="AW5:AW15" si="2">BIN2DEC(CONCATENATE(0,0,0,0,AS5,AT5,AU5,AV5))</f>
        <v>0</v>
      </c>
      <c r="AX5" s="39" t="s">
        <v>72</v>
      </c>
      <c r="AY5" s="39"/>
      <c r="AZ5" s="44"/>
      <c r="BA5" s="39"/>
      <c r="BB5" s="39"/>
      <c r="BC5" s="39"/>
      <c r="BD5" s="39"/>
      <c r="BE5" s="39"/>
      <c r="BF5" s="39"/>
      <c r="BG5" s="39"/>
      <c r="BH5" s="29" t="str">
        <f t="shared" ref="BH5:BH15" si="3">CONCATENATE("description: """,F5,"""", ", ", "note: """,E5,"""",", ","group: """, B5, """",", ","minValue: ", T5,", ","maxValue: ", U5,", ","step: ", V5,", ","units: """, S5, """",", ","defaultValue: ", Y5,", ","eventRegistration: ", Z5,)</f>
        <v>description: "Контр_ГЗ_блок", note: "Контроль сигнала «ГЗ заблокирована»", group: "setting", minValue: 0, maxValue: 1, step: 1, units: "null", defaultValue: 0, eventRegistration: 0</v>
      </c>
    </row>
    <row r="6" spans="1:16380" s="1" customFormat="1" x14ac:dyDescent="0.25">
      <c r="A6" s="38"/>
      <c r="B6" s="38" t="s">
        <v>56</v>
      </c>
      <c r="C6" s="42"/>
      <c r="D6" s="5" t="s">
        <v>101</v>
      </c>
      <c r="E6" s="26" t="s">
        <v>226</v>
      </c>
      <c r="F6" s="26" t="s">
        <v>112</v>
      </c>
      <c r="G6" s="26" t="s">
        <v>78</v>
      </c>
      <c r="H6" s="26" t="s">
        <v>78</v>
      </c>
      <c r="I6" s="26" t="s">
        <v>71</v>
      </c>
      <c r="J6" s="26">
        <f t="shared" si="0"/>
        <v>13</v>
      </c>
      <c r="K6" s="26" t="str">
        <f t="shared" si="1"/>
        <v>Контр_ТЗ_сигн</v>
      </c>
      <c r="L6" s="38" t="s">
        <v>211</v>
      </c>
      <c r="M6" s="41" t="s">
        <v>54</v>
      </c>
      <c r="N6" s="42" t="s">
        <v>52</v>
      </c>
      <c r="O6" s="42" t="s">
        <v>52</v>
      </c>
      <c r="P6" s="42"/>
      <c r="Q6" s="44">
        <v>0</v>
      </c>
      <c r="R6" s="44"/>
      <c r="S6" s="42" t="s">
        <v>53</v>
      </c>
      <c r="T6" s="42">
        <v>0</v>
      </c>
      <c r="U6" s="42">
        <v>1</v>
      </c>
      <c r="V6" s="42">
        <v>1</v>
      </c>
      <c r="W6" s="42"/>
      <c r="X6" s="42"/>
      <c r="Y6" s="42">
        <v>0</v>
      </c>
      <c r="Z6" s="42">
        <v>0</v>
      </c>
      <c r="AA6" s="40"/>
      <c r="AB6" s="31">
        <v>0</v>
      </c>
      <c r="AC6" s="31"/>
      <c r="AD6" s="31"/>
      <c r="AE6" s="31"/>
      <c r="AF6" s="31"/>
      <c r="AG6" s="31">
        <v>0</v>
      </c>
      <c r="AH6" s="31">
        <v>0</v>
      </c>
      <c r="AI6" s="31">
        <v>0</v>
      </c>
      <c r="AJ6" s="31"/>
      <c r="AK6" s="39"/>
      <c r="AL6" s="39"/>
      <c r="AM6" s="39"/>
      <c r="AN6" s="39"/>
      <c r="AO6" s="39"/>
      <c r="AP6" s="39"/>
      <c r="AQ6" s="39"/>
      <c r="AR6" s="39"/>
      <c r="AS6" s="39">
        <v>0</v>
      </c>
      <c r="AT6" s="39">
        <v>0</v>
      </c>
      <c r="AU6" s="39">
        <v>0</v>
      </c>
      <c r="AV6" s="39">
        <v>0</v>
      </c>
      <c r="AW6" s="39">
        <f t="shared" si="2"/>
        <v>0</v>
      </c>
      <c r="AX6" s="39" t="s">
        <v>72</v>
      </c>
      <c r="AY6" s="39"/>
      <c r="AZ6" s="44"/>
      <c r="BA6" s="39"/>
      <c r="BB6" s="39"/>
      <c r="BC6" s="39"/>
      <c r="BD6" s="39"/>
      <c r="BE6" s="39"/>
      <c r="BF6" s="39"/>
      <c r="BG6" s="39"/>
      <c r="BH6" s="29" t="str">
        <f t="shared" si="3"/>
        <v>description: "Контр_ТЗ_сигн", note: "Контроль сигнала «ТЗ сигн»", group: "setting", minValue: 0, maxValue: 1, step: 1, units: "null", defaultValue: 0, eventRegistration: 0</v>
      </c>
    </row>
    <row r="7" spans="1:16380" s="1" customFormat="1" x14ac:dyDescent="0.25">
      <c r="A7" s="38"/>
      <c r="B7" s="38" t="s">
        <v>56</v>
      </c>
      <c r="C7" s="42"/>
      <c r="D7" s="5" t="s">
        <v>101</v>
      </c>
      <c r="E7" s="26" t="s">
        <v>227</v>
      </c>
      <c r="F7" s="26" t="s">
        <v>228</v>
      </c>
      <c r="G7" s="26" t="s">
        <v>80</v>
      </c>
      <c r="H7" s="26" t="s">
        <v>80</v>
      </c>
      <c r="I7" s="26" t="s">
        <v>71</v>
      </c>
      <c r="J7" s="26">
        <f t="shared" ref="J7" si="4">LEN(F7)</f>
        <v>17</v>
      </c>
      <c r="K7" s="26" t="str">
        <f t="shared" ref="K7" si="5">IF(LEN(F7)&lt;=$K$1,F7,"")</f>
        <v>Контр_Низ_изол_ТЗ</v>
      </c>
      <c r="L7" s="38" t="s">
        <v>212</v>
      </c>
      <c r="M7" s="41" t="s">
        <v>54</v>
      </c>
      <c r="N7" s="42" t="s">
        <v>52</v>
      </c>
      <c r="O7" s="42" t="s">
        <v>52</v>
      </c>
      <c r="P7" s="42"/>
      <c r="Q7" s="44">
        <v>0</v>
      </c>
      <c r="R7" s="44"/>
      <c r="S7" s="42" t="s">
        <v>53</v>
      </c>
      <c r="T7" s="42">
        <v>0</v>
      </c>
      <c r="U7" s="42">
        <v>1</v>
      </c>
      <c r="V7" s="42">
        <v>1</v>
      </c>
      <c r="W7" s="42"/>
      <c r="X7" s="42"/>
      <c r="Y7" s="42">
        <v>0</v>
      </c>
      <c r="Z7" s="42">
        <v>0</v>
      </c>
      <c r="AA7" s="40"/>
      <c r="AB7" s="31">
        <v>0</v>
      </c>
      <c r="AC7" s="31"/>
      <c r="AD7" s="31"/>
      <c r="AE7" s="31"/>
      <c r="AF7" s="31"/>
      <c r="AG7" s="31">
        <v>0</v>
      </c>
      <c r="AH7" s="31">
        <v>0</v>
      </c>
      <c r="AI7" s="31">
        <v>0</v>
      </c>
      <c r="AJ7" s="31"/>
      <c r="AK7" s="39"/>
      <c r="AL7" s="39"/>
      <c r="AM7" s="39"/>
      <c r="AN7" s="39"/>
      <c r="AO7" s="39"/>
      <c r="AP7" s="39"/>
      <c r="AQ7" s="39"/>
      <c r="AR7" s="39"/>
      <c r="AS7" s="39">
        <v>0</v>
      </c>
      <c r="AT7" s="39">
        <v>0</v>
      </c>
      <c r="AU7" s="39">
        <v>0</v>
      </c>
      <c r="AV7" s="39">
        <v>0</v>
      </c>
      <c r="AW7" s="39">
        <f t="shared" ref="AW7" si="6">BIN2DEC(CONCATENATE(0,0,0,0,AS7,AT7,AU7,AV7))</f>
        <v>0</v>
      </c>
      <c r="AX7" s="39" t="s">
        <v>72</v>
      </c>
      <c r="AY7" s="39"/>
      <c r="AZ7" s="44"/>
      <c r="BA7" s="39"/>
      <c r="BB7" s="39"/>
      <c r="BC7" s="39"/>
      <c r="BD7" s="39"/>
      <c r="BE7" s="39"/>
      <c r="BF7" s="39"/>
      <c r="BG7" s="39"/>
      <c r="BH7" s="29" t="str">
        <f t="shared" ref="BH7" si="7">CONCATENATE("description: """,F7,"""", ", ", "note: """,E7,"""",", ","group: """, B7, """",", ","minValue: ", T7,", ","maxValue: ", U7,", ","step: ", V7,", ","units: """, S7, """",", ","defaultValue: ", Y7,", ","eventRegistration: ", Z7,)</f>
        <v>description: "Контр_Низ_изол_ТЗ", note: "Контроль сигнала «Низ. изол. ТЗ»", group: "setting", minValue: 0, maxValue: 1, step: 1, units: "null", defaultValue: 0, eventRegistration: 0</v>
      </c>
    </row>
    <row r="8" spans="1:16380" s="1" customFormat="1" x14ac:dyDescent="0.25">
      <c r="A8" s="38"/>
      <c r="B8" s="38" t="s">
        <v>56</v>
      </c>
      <c r="C8" s="42"/>
      <c r="D8" s="5" t="s">
        <v>101</v>
      </c>
      <c r="E8" s="26" t="s">
        <v>229</v>
      </c>
      <c r="F8" s="26" t="s">
        <v>114</v>
      </c>
      <c r="G8" s="26" t="s">
        <v>102</v>
      </c>
      <c r="H8" s="26" t="s">
        <v>102</v>
      </c>
      <c r="I8" s="26" t="s">
        <v>71</v>
      </c>
      <c r="J8" s="26">
        <f t="shared" si="0"/>
        <v>13</v>
      </c>
      <c r="K8" s="26" t="str">
        <f t="shared" si="1"/>
        <v>Контр_ТЗ_блок</v>
      </c>
      <c r="L8" s="38" t="s">
        <v>213</v>
      </c>
      <c r="M8" s="41" t="s">
        <v>54</v>
      </c>
      <c r="N8" s="42" t="s">
        <v>52</v>
      </c>
      <c r="O8" s="42" t="s">
        <v>52</v>
      </c>
      <c r="P8" s="42"/>
      <c r="Q8" s="44">
        <v>0</v>
      </c>
      <c r="R8" s="44"/>
      <c r="S8" s="42" t="s">
        <v>53</v>
      </c>
      <c r="T8" s="42">
        <v>0</v>
      </c>
      <c r="U8" s="42">
        <v>1</v>
      </c>
      <c r="V8" s="42">
        <v>1</v>
      </c>
      <c r="W8" s="42"/>
      <c r="X8" s="42"/>
      <c r="Y8" s="42">
        <v>0</v>
      </c>
      <c r="Z8" s="42">
        <v>0</v>
      </c>
      <c r="AA8" s="40"/>
      <c r="AB8" s="31">
        <v>0</v>
      </c>
      <c r="AC8" s="31"/>
      <c r="AD8" s="31"/>
      <c r="AE8" s="31"/>
      <c r="AF8" s="31"/>
      <c r="AG8" s="31">
        <v>0</v>
      </c>
      <c r="AH8" s="31">
        <v>0</v>
      </c>
      <c r="AI8" s="31">
        <v>0</v>
      </c>
      <c r="AJ8" s="31"/>
      <c r="AK8" s="39"/>
      <c r="AL8" s="39"/>
      <c r="AM8" s="39"/>
      <c r="AN8" s="39"/>
      <c r="AO8" s="39"/>
      <c r="AP8" s="39"/>
      <c r="AQ8" s="39"/>
      <c r="AR8" s="39"/>
      <c r="AS8" s="39">
        <v>0</v>
      </c>
      <c r="AT8" s="39">
        <v>0</v>
      </c>
      <c r="AU8" s="39">
        <v>0</v>
      </c>
      <c r="AV8" s="39">
        <v>0</v>
      </c>
      <c r="AW8" s="39">
        <f t="shared" si="2"/>
        <v>0</v>
      </c>
      <c r="AX8" s="39" t="s">
        <v>72</v>
      </c>
      <c r="AY8" s="39"/>
      <c r="AZ8" s="44"/>
      <c r="BA8" s="39"/>
      <c r="BB8" s="39"/>
      <c r="BC8" s="39"/>
      <c r="BD8" s="39"/>
      <c r="BE8" s="39"/>
      <c r="BF8" s="39"/>
      <c r="BG8" s="39"/>
      <c r="BH8" s="29" t="str">
        <f t="shared" si="3"/>
        <v>description: "Контр_ТЗ_блок", note: "Контроль сигнала «ТЗ заблокирована»", group: "setting", minValue: 0, maxValue: 1, step: 1, units: "null", defaultValue: 0, eventRegistration: 0</v>
      </c>
    </row>
    <row r="9" spans="1:16380" s="1" customFormat="1" x14ac:dyDescent="0.25">
      <c r="A9" s="38"/>
      <c r="B9" s="38" t="s">
        <v>56</v>
      </c>
      <c r="C9" s="42"/>
      <c r="D9" s="5" t="s">
        <v>101</v>
      </c>
      <c r="E9" s="26" t="s">
        <v>230</v>
      </c>
      <c r="F9" s="26" t="s">
        <v>231</v>
      </c>
      <c r="G9" s="26" t="s">
        <v>103</v>
      </c>
      <c r="H9" s="26" t="s">
        <v>103</v>
      </c>
      <c r="I9" s="26" t="s">
        <v>71</v>
      </c>
      <c r="J9" s="26">
        <f t="shared" si="0"/>
        <v>13</v>
      </c>
      <c r="K9" s="26" t="str">
        <f t="shared" si="1"/>
        <v>Контр_ТС_сигн</v>
      </c>
      <c r="L9" s="38" t="s">
        <v>214</v>
      </c>
      <c r="M9" s="41" t="s">
        <v>54</v>
      </c>
      <c r="N9" s="42" t="s">
        <v>52</v>
      </c>
      <c r="O9" s="42" t="s">
        <v>52</v>
      </c>
      <c r="P9" s="42"/>
      <c r="Q9" s="44">
        <v>0</v>
      </c>
      <c r="R9" s="44"/>
      <c r="S9" s="42" t="s">
        <v>53</v>
      </c>
      <c r="T9" s="42">
        <v>0</v>
      </c>
      <c r="U9" s="42">
        <v>1</v>
      </c>
      <c r="V9" s="42">
        <v>1</v>
      </c>
      <c r="W9" s="42"/>
      <c r="X9" s="42"/>
      <c r="Y9" s="42">
        <v>0</v>
      </c>
      <c r="Z9" s="42">
        <v>0</v>
      </c>
      <c r="AA9" s="40"/>
      <c r="AB9" s="31">
        <v>0</v>
      </c>
      <c r="AC9" s="31"/>
      <c r="AD9" s="31"/>
      <c r="AE9" s="31"/>
      <c r="AF9" s="31"/>
      <c r="AG9" s="31">
        <v>0</v>
      </c>
      <c r="AH9" s="31">
        <v>0</v>
      </c>
      <c r="AI9" s="31">
        <v>0</v>
      </c>
      <c r="AJ9" s="31"/>
      <c r="AK9" s="39"/>
      <c r="AL9" s="39"/>
      <c r="AM9" s="39"/>
      <c r="AN9" s="39"/>
      <c r="AO9" s="39"/>
      <c r="AP9" s="39"/>
      <c r="AQ9" s="39"/>
      <c r="AR9" s="39"/>
      <c r="AS9" s="39">
        <v>0</v>
      </c>
      <c r="AT9" s="39">
        <v>0</v>
      </c>
      <c r="AU9" s="39">
        <v>0</v>
      </c>
      <c r="AV9" s="39">
        <v>0</v>
      </c>
      <c r="AW9" s="39">
        <f t="shared" si="2"/>
        <v>0</v>
      </c>
      <c r="AX9" s="39" t="s">
        <v>72</v>
      </c>
      <c r="AY9" s="39"/>
      <c r="AZ9" s="44"/>
      <c r="BA9" s="39"/>
      <c r="BB9" s="39"/>
      <c r="BC9" s="39"/>
      <c r="BD9" s="39"/>
      <c r="BE9" s="39"/>
      <c r="BF9" s="39"/>
      <c r="BG9" s="39"/>
      <c r="BH9" s="29" t="str">
        <f t="shared" si="3"/>
        <v>description: "Контр_ТС_сигн", note: "Контроль сигнала «ТС сигн»", group: "setting", minValue: 0, maxValue: 1, step: 1, units: "null", defaultValue: 0, eventRegistration: 0</v>
      </c>
    </row>
    <row r="10" spans="1:16380" s="1" customFormat="1" x14ac:dyDescent="0.25">
      <c r="A10" s="38"/>
      <c r="B10" s="38" t="s">
        <v>56</v>
      </c>
      <c r="C10" s="42"/>
      <c r="D10" s="5" t="s">
        <v>101</v>
      </c>
      <c r="E10" s="26" t="s">
        <v>232</v>
      </c>
      <c r="F10" s="26" t="s">
        <v>116</v>
      </c>
      <c r="G10" s="26" t="s">
        <v>104</v>
      </c>
      <c r="H10" s="26" t="s">
        <v>104</v>
      </c>
      <c r="I10" s="26" t="s">
        <v>71</v>
      </c>
      <c r="J10" s="26">
        <f t="shared" si="0"/>
        <v>13</v>
      </c>
      <c r="K10" s="26" t="str">
        <f t="shared" si="1"/>
        <v>Контр_ОТ_сигн</v>
      </c>
      <c r="L10" s="38" t="s">
        <v>215</v>
      </c>
      <c r="M10" s="41" t="s">
        <v>54</v>
      </c>
      <c r="N10" s="42" t="s">
        <v>52</v>
      </c>
      <c r="O10" s="42" t="s">
        <v>52</v>
      </c>
      <c r="P10" s="42"/>
      <c r="Q10" s="44">
        <v>0</v>
      </c>
      <c r="R10" s="44"/>
      <c r="S10" s="42" t="s">
        <v>53</v>
      </c>
      <c r="T10" s="42">
        <v>0</v>
      </c>
      <c r="U10" s="42">
        <v>1</v>
      </c>
      <c r="V10" s="42">
        <v>1</v>
      </c>
      <c r="W10" s="42"/>
      <c r="X10" s="42"/>
      <c r="Y10" s="42">
        <v>0</v>
      </c>
      <c r="Z10" s="42">
        <v>0</v>
      </c>
      <c r="AA10" s="40"/>
      <c r="AB10" s="31">
        <v>0</v>
      </c>
      <c r="AC10" s="31"/>
      <c r="AD10" s="31"/>
      <c r="AE10" s="31"/>
      <c r="AF10" s="31"/>
      <c r="AG10" s="31">
        <v>0</v>
      </c>
      <c r="AH10" s="31">
        <v>0</v>
      </c>
      <c r="AI10" s="31">
        <v>0</v>
      </c>
      <c r="AJ10" s="31"/>
      <c r="AK10" s="39"/>
      <c r="AL10" s="39"/>
      <c r="AM10" s="39"/>
      <c r="AN10" s="39"/>
      <c r="AO10" s="39"/>
      <c r="AP10" s="39"/>
      <c r="AQ10" s="39"/>
      <c r="AR10" s="39"/>
      <c r="AS10" s="39">
        <v>0</v>
      </c>
      <c r="AT10" s="39">
        <v>0</v>
      </c>
      <c r="AU10" s="39">
        <v>0</v>
      </c>
      <c r="AV10" s="39">
        <v>0</v>
      </c>
      <c r="AW10" s="39">
        <f t="shared" si="2"/>
        <v>0</v>
      </c>
      <c r="AX10" s="39" t="s">
        <v>72</v>
      </c>
      <c r="AY10" s="39"/>
      <c r="AZ10" s="44"/>
      <c r="BA10" s="39"/>
      <c r="BB10" s="39"/>
      <c r="BC10" s="39"/>
      <c r="BD10" s="39"/>
      <c r="BE10" s="39"/>
      <c r="BF10" s="39"/>
      <c r="BG10" s="39"/>
      <c r="BH10" s="29" t="str">
        <f t="shared" si="3"/>
        <v>description: "Контр_ОТ_сигн", note: "Контроль сигнала «ОТ сигн»", group: "setting", minValue: 0, maxValue: 1, step: 1, units: "null", defaultValue: 0, eventRegistration: 0</v>
      </c>
    </row>
    <row r="11" spans="1:16380" s="1" customFormat="1" x14ac:dyDescent="0.25">
      <c r="A11" s="38"/>
      <c r="B11" s="38" t="s">
        <v>56</v>
      </c>
      <c r="C11" s="42"/>
      <c r="D11" s="5" t="s">
        <v>101</v>
      </c>
      <c r="E11" s="26" t="s">
        <v>233</v>
      </c>
      <c r="F11" s="26" t="s">
        <v>234</v>
      </c>
      <c r="G11" s="26" t="s">
        <v>105</v>
      </c>
      <c r="H11" s="26" t="s">
        <v>105</v>
      </c>
      <c r="I11" s="26" t="s">
        <v>71</v>
      </c>
      <c r="J11" s="26">
        <f t="shared" si="0"/>
        <v>16</v>
      </c>
      <c r="K11" s="26" t="str">
        <f t="shared" si="1"/>
        <v>Контр_ОТ_НН_сигн</v>
      </c>
      <c r="L11" s="38" t="s">
        <v>216</v>
      </c>
      <c r="M11" s="41" t="s">
        <v>54</v>
      </c>
      <c r="N11" s="42" t="s">
        <v>52</v>
      </c>
      <c r="O11" s="42" t="s">
        <v>52</v>
      </c>
      <c r="P11" s="42"/>
      <c r="Q11" s="44">
        <v>0</v>
      </c>
      <c r="R11" s="44"/>
      <c r="S11" s="42" t="s">
        <v>53</v>
      </c>
      <c r="T11" s="42">
        <v>0</v>
      </c>
      <c r="U11" s="42">
        <v>1</v>
      </c>
      <c r="V11" s="42">
        <v>1</v>
      </c>
      <c r="W11" s="42"/>
      <c r="X11" s="42"/>
      <c r="Y11" s="42">
        <v>0</v>
      </c>
      <c r="Z11" s="42">
        <v>0</v>
      </c>
      <c r="AA11" s="40"/>
      <c r="AB11" s="31">
        <v>0</v>
      </c>
      <c r="AC11" s="31"/>
      <c r="AD11" s="31"/>
      <c r="AE11" s="31"/>
      <c r="AF11" s="31"/>
      <c r="AG11" s="31">
        <v>0</v>
      </c>
      <c r="AH11" s="31">
        <v>0</v>
      </c>
      <c r="AI11" s="31">
        <v>0</v>
      </c>
      <c r="AJ11" s="31"/>
      <c r="AK11" s="39"/>
      <c r="AL11" s="39"/>
      <c r="AM11" s="39"/>
      <c r="AN11" s="39"/>
      <c r="AO11" s="39"/>
      <c r="AP11" s="39"/>
      <c r="AQ11" s="39"/>
      <c r="AR11" s="39"/>
      <c r="AS11" s="39">
        <v>0</v>
      </c>
      <c r="AT11" s="39">
        <v>0</v>
      </c>
      <c r="AU11" s="39">
        <v>0</v>
      </c>
      <c r="AV11" s="39">
        <v>0</v>
      </c>
      <c r="AW11" s="39">
        <f t="shared" si="2"/>
        <v>0</v>
      </c>
      <c r="AX11" s="39" t="s">
        <v>72</v>
      </c>
      <c r="AY11" s="39"/>
      <c r="AZ11" s="44"/>
      <c r="BA11" s="39"/>
      <c r="BB11" s="39"/>
      <c r="BC11" s="39"/>
      <c r="BD11" s="39"/>
      <c r="BE11" s="39"/>
      <c r="BF11" s="39"/>
      <c r="BG11" s="39"/>
      <c r="BH11" s="29" t="str">
        <f t="shared" si="3"/>
        <v>description: "Контр_ОТ_НН_сигн", note: "Контроль сигнала «ОТ НН сигн»", group: "setting", minValue: 0, maxValue: 1, step: 1, units: "null", defaultValue: 0, eventRegistration: 0</v>
      </c>
    </row>
    <row r="12" spans="1:16380" s="1" customFormat="1" x14ac:dyDescent="0.25">
      <c r="A12" s="38"/>
      <c r="B12" s="38" t="s">
        <v>56</v>
      </c>
      <c r="C12" s="42"/>
      <c r="D12" s="5" t="s">
        <v>101</v>
      </c>
      <c r="E12" s="26" t="s">
        <v>235</v>
      </c>
      <c r="F12" s="26" t="s">
        <v>236</v>
      </c>
      <c r="G12" s="26" t="s">
        <v>106</v>
      </c>
      <c r="H12" s="26" t="s">
        <v>106</v>
      </c>
      <c r="I12" s="26" t="s">
        <v>71</v>
      </c>
      <c r="J12" s="26">
        <f t="shared" si="0"/>
        <v>15</v>
      </c>
      <c r="K12" s="26" t="str">
        <f t="shared" si="1"/>
        <v>Контр_Внеш_откл</v>
      </c>
      <c r="L12" s="38" t="s">
        <v>217</v>
      </c>
      <c r="M12" s="41" t="s">
        <v>54</v>
      </c>
      <c r="N12" s="42" t="s">
        <v>52</v>
      </c>
      <c r="O12" s="42" t="s">
        <v>52</v>
      </c>
      <c r="P12" s="42"/>
      <c r="Q12" s="44">
        <v>0</v>
      </c>
      <c r="R12" s="44"/>
      <c r="S12" s="42" t="s">
        <v>53</v>
      </c>
      <c r="T12" s="42">
        <v>0</v>
      </c>
      <c r="U12" s="42">
        <v>1</v>
      </c>
      <c r="V12" s="42">
        <v>1</v>
      </c>
      <c r="W12" s="42"/>
      <c r="X12" s="42"/>
      <c r="Y12" s="42">
        <v>0</v>
      </c>
      <c r="Z12" s="42">
        <v>0</v>
      </c>
      <c r="AA12" s="40"/>
      <c r="AB12" s="31">
        <v>0</v>
      </c>
      <c r="AC12" s="31"/>
      <c r="AD12" s="31"/>
      <c r="AE12" s="31"/>
      <c r="AF12" s="31"/>
      <c r="AG12" s="31">
        <v>0</v>
      </c>
      <c r="AH12" s="31">
        <v>0</v>
      </c>
      <c r="AI12" s="31">
        <v>0</v>
      </c>
      <c r="AJ12" s="31"/>
      <c r="AK12" s="39"/>
      <c r="AL12" s="39"/>
      <c r="AM12" s="39"/>
      <c r="AN12" s="39"/>
      <c r="AO12" s="39"/>
      <c r="AP12" s="39"/>
      <c r="AQ12" s="39"/>
      <c r="AR12" s="39"/>
      <c r="AS12" s="39">
        <v>0</v>
      </c>
      <c r="AT12" s="39">
        <v>0</v>
      </c>
      <c r="AU12" s="39">
        <v>0</v>
      </c>
      <c r="AV12" s="39">
        <v>0</v>
      </c>
      <c r="AW12" s="39">
        <f t="shared" si="2"/>
        <v>0</v>
      </c>
      <c r="AX12" s="39" t="s">
        <v>72</v>
      </c>
      <c r="AY12" s="39"/>
      <c r="AZ12" s="44"/>
      <c r="BA12" s="39"/>
      <c r="BB12" s="39"/>
      <c r="BC12" s="39"/>
      <c r="BD12" s="39"/>
      <c r="BE12" s="39"/>
      <c r="BF12" s="39"/>
      <c r="BG12" s="39"/>
      <c r="BH12" s="29" t="str">
        <f t="shared" si="3"/>
        <v>description: "Контр_Внеш_откл", note: "Контроль сигнала «Внеш. откл»", group: "setting", minValue: 0, maxValue: 1, step: 1, units: "null", defaultValue: 0, eventRegistration: 0</v>
      </c>
    </row>
    <row r="13" spans="1:16380" s="1" customFormat="1" ht="16.5" customHeight="1" x14ac:dyDescent="0.25">
      <c r="A13" s="38"/>
      <c r="B13" s="38" t="s">
        <v>56</v>
      </c>
      <c r="C13" s="42"/>
      <c r="D13" s="5" t="s">
        <v>101</v>
      </c>
      <c r="E13" s="26" t="s">
        <v>237</v>
      </c>
      <c r="F13" s="26" t="s">
        <v>238</v>
      </c>
      <c r="G13" s="26" t="s">
        <v>107</v>
      </c>
      <c r="H13" s="26" t="s">
        <v>107</v>
      </c>
      <c r="I13" s="26" t="s">
        <v>71</v>
      </c>
      <c r="J13" s="26">
        <f t="shared" si="0"/>
        <v>19</v>
      </c>
      <c r="K13" s="26" t="str">
        <f t="shared" si="1"/>
        <v>Контр_Вых_цеп_разоб</v>
      </c>
      <c r="L13" s="38" t="s">
        <v>218</v>
      </c>
      <c r="M13" s="41" t="s">
        <v>54</v>
      </c>
      <c r="N13" s="42" t="s">
        <v>52</v>
      </c>
      <c r="O13" s="42" t="s">
        <v>52</v>
      </c>
      <c r="P13" s="42"/>
      <c r="Q13" s="44">
        <v>0</v>
      </c>
      <c r="R13" s="44"/>
      <c r="S13" s="42" t="s">
        <v>53</v>
      </c>
      <c r="T13" s="42">
        <v>0</v>
      </c>
      <c r="U13" s="42">
        <v>1</v>
      </c>
      <c r="V13" s="42">
        <v>1</v>
      </c>
      <c r="W13" s="42"/>
      <c r="X13" s="42"/>
      <c r="Y13" s="42">
        <v>0</v>
      </c>
      <c r="Z13" s="42">
        <v>0</v>
      </c>
      <c r="AA13" s="40"/>
      <c r="AB13" s="31">
        <v>0</v>
      </c>
      <c r="AC13" s="31"/>
      <c r="AD13" s="31"/>
      <c r="AE13" s="31"/>
      <c r="AF13" s="31"/>
      <c r="AG13" s="31">
        <v>0</v>
      </c>
      <c r="AH13" s="31">
        <v>0</v>
      </c>
      <c r="AI13" s="31">
        <v>0</v>
      </c>
      <c r="AJ13" s="31"/>
      <c r="AK13" s="39"/>
      <c r="AL13" s="39"/>
      <c r="AM13" s="39"/>
      <c r="AN13" s="39"/>
      <c r="AO13" s="39"/>
      <c r="AP13" s="39"/>
      <c r="AQ13" s="39"/>
      <c r="AR13" s="39"/>
      <c r="AS13" s="39">
        <v>0</v>
      </c>
      <c r="AT13" s="39">
        <v>0</v>
      </c>
      <c r="AU13" s="39">
        <v>0</v>
      </c>
      <c r="AV13" s="39">
        <v>0</v>
      </c>
      <c r="AW13" s="39">
        <f t="shared" si="2"/>
        <v>0</v>
      </c>
      <c r="AX13" s="39" t="s">
        <v>72</v>
      </c>
      <c r="AY13" s="39"/>
      <c r="AZ13" s="44"/>
      <c r="BA13" s="39"/>
      <c r="BB13" s="39"/>
      <c r="BC13" s="39"/>
      <c r="BD13" s="39"/>
      <c r="BE13" s="39"/>
      <c r="BF13" s="39"/>
      <c r="BG13" s="39"/>
      <c r="BH13" s="29" t="str">
        <f t="shared" si="3"/>
        <v>description: "Контр_Вых_цеп_разоб", note: "Контроль сигнала «Вых. цепи разобраны»", group: "setting", minValue: 0, maxValue: 1, step: 1, units: "null", defaultValue: 0, eventRegistration: 0</v>
      </c>
    </row>
    <row r="14" spans="1:16380" s="1" customFormat="1" ht="16.5" customHeight="1" x14ac:dyDescent="0.25">
      <c r="A14" s="38"/>
      <c r="B14" s="38" t="s">
        <v>56</v>
      </c>
      <c r="C14" s="42"/>
      <c r="D14" s="5" t="s">
        <v>101</v>
      </c>
      <c r="E14" s="26" t="s">
        <v>239</v>
      </c>
      <c r="F14" s="26" t="s">
        <v>240</v>
      </c>
      <c r="G14" s="26" t="s">
        <v>108</v>
      </c>
      <c r="H14" s="26" t="s">
        <v>108</v>
      </c>
      <c r="I14" s="26" t="s">
        <v>71</v>
      </c>
      <c r="J14" s="26">
        <f t="shared" ref="J14" si="8">LEN(F14)</f>
        <v>17</v>
      </c>
      <c r="K14" s="26" t="str">
        <f t="shared" ref="K14" si="9">IF(LEN(F14)&lt;=$K$1,F14,"")</f>
        <v>Контр_БИ_выведены</v>
      </c>
      <c r="L14" s="38" t="s">
        <v>219</v>
      </c>
      <c r="M14" s="41" t="s">
        <v>54</v>
      </c>
      <c r="N14" s="42" t="s">
        <v>52</v>
      </c>
      <c r="O14" s="42" t="s">
        <v>52</v>
      </c>
      <c r="P14" s="42"/>
      <c r="Q14" s="44">
        <v>0</v>
      </c>
      <c r="R14" s="44"/>
      <c r="S14" s="42" t="s">
        <v>53</v>
      </c>
      <c r="T14" s="42">
        <v>0</v>
      </c>
      <c r="U14" s="42">
        <v>1</v>
      </c>
      <c r="V14" s="42">
        <v>1</v>
      </c>
      <c r="W14" s="42"/>
      <c r="X14" s="42"/>
      <c r="Y14" s="42">
        <v>0</v>
      </c>
      <c r="Z14" s="42">
        <v>0</v>
      </c>
      <c r="AA14" s="40"/>
      <c r="AB14" s="31">
        <v>0</v>
      </c>
      <c r="AC14" s="31"/>
      <c r="AD14" s="31"/>
      <c r="AE14" s="31"/>
      <c r="AF14" s="31"/>
      <c r="AG14" s="31">
        <v>0</v>
      </c>
      <c r="AH14" s="31">
        <v>0</v>
      </c>
      <c r="AI14" s="31">
        <v>0</v>
      </c>
      <c r="AJ14" s="31"/>
      <c r="AK14" s="39"/>
      <c r="AL14" s="39"/>
      <c r="AM14" s="39"/>
      <c r="AN14" s="39"/>
      <c r="AO14" s="39"/>
      <c r="AP14" s="39"/>
      <c r="AQ14" s="39"/>
      <c r="AR14" s="39"/>
      <c r="AS14" s="39">
        <v>0</v>
      </c>
      <c r="AT14" s="39">
        <v>0</v>
      </c>
      <c r="AU14" s="39">
        <v>0</v>
      </c>
      <c r="AV14" s="39">
        <v>0</v>
      </c>
      <c r="AW14" s="39">
        <f t="shared" ref="AW14" si="10">BIN2DEC(CONCATENATE(0,0,0,0,AS14,AT14,AU14,AV14))</f>
        <v>0</v>
      </c>
      <c r="AX14" s="39" t="s">
        <v>72</v>
      </c>
      <c r="AY14" s="39"/>
      <c r="AZ14" s="44"/>
      <c r="BA14" s="39"/>
      <c r="BB14" s="39"/>
      <c r="BC14" s="39"/>
      <c r="BD14" s="39"/>
      <c r="BE14" s="39"/>
      <c r="BF14" s="39"/>
      <c r="BG14" s="39"/>
      <c r="BH14" s="29" t="str">
        <f t="shared" ref="BH14" si="11">CONCATENATE("description: """,F14,"""", ", ", "note: """,E14,"""",", ","group: """, B14, """",", ","minValue: ", T14,", ","maxValue: ", U14,", ","step: ", V14,", ","units: """, S14, """",", ","defaultValue: ", Y14,", ","eventRegistration: ", Z14,)</f>
        <v>description: "Контр_БИ_выведены", note: "Контроль сигнала «БИ выведены»", group: "setting", minValue: 0, maxValue: 1, step: 1, units: "null", defaultValue: 0, eventRegistration: 0</v>
      </c>
    </row>
    <row r="15" spans="1:16380" s="1" customFormat="1" ht="16.5" customHeight="1" x14ac:dyDescent="0.25">
      <c r="A15" s="38"/>
      <c r="B15" s="38" t="s">
        <v>56</v>
      </c>
      <c r="C15" s="42"/>
      <c r="D15" s="5" t="s">
        <v>101</v>
      </c>
      <c r="E15" s="26" t="s">
        <v>241</v>
      </c>
      <c r="F15" s="26" t="s">
        <v>242</v>
      </c>
      <c r="G15" s="26" t="s">
        <v>111</v>
      </c>
      <c r="H15" s="26" t="s">
        <v>111</v>
      </c>
      <c r="I15" s="26" t="s">
        <v>71</v>
      </c>
      <c r="J15" s="26">
        <f t="shared" si="0"/>
        <v>16</v>
      </c>
      <c r="K15" s="26" t="str">
        <f t="shared" si="1"/>
        <v>Контр_Вр_пркл_КА</v>
      </c>
      <c r="L15" s="38" t="s">
        <v>220</v>
      </c>
      <c r="M15" s="41" t="s">
        <v>54</v>
      </c>
      <c r="N15" s="42" t="s">
        <v>52</v>
      </c>
      <c r="O15" s="42" t="s">
        <v>52</v>
      </c>
      <c r="P15" s="42"/>
      <c r="Q15" s="44">
        <v>0</v>
      </c>
      <c r="R15" s="44"/>
      <c r="S15" s="42" t="s">
        <v>53</v>
      </c>
      <c r="T15" s="42">
        <v>0</v>
      </c>
      <c r="U15" s="42">
        <v>1</v>
      </c>
      <c r="V15" s="42">
        <v>1</v>
      </c>
      <c r="W15" s="42"/>
      <c r="X15" s="42"/>
      <c r="Y15" s="42">
        <v>0</v>
      </c>
      <c r="Z15" s="42">
        <v>0</v>
      </c>
      <c r="AA15" s="40"/>
      <c r="AB15" s="31">
        <v>0</v>
      </c>
      <c r="AC15" s="31"/>
      <c r="AD15" s="31"/>
      <c r="AE15" s="31"/>
      <c r="AF15" s="31"/>
      <c r="AG15" s="31">
        <v>0</v>
      </c>
      <c r="AH15" s="31">
        <v>0</v>
      </c>
      <c r="AI15" s="31">
        <v>0</v>
      </c>
      <c r="AJ15" s="31"/>
      <c r="AK15" s="39"/>
      <c r="AL15" s="39"/>
      <c r="AM15" s="39"/>
      <c r="AN15" s="39"/>
      <c r="AO15" s="39"/>
      <c r="AP15" s="39"/>
      <c r="AQ15" s="39"/>
      <c r="AR15" s="39"/>
      <c r="AS15" s="39">
        <v>0</v>
      </c>
      <c r="AT15" s="39">
        <v>0</v>
      </c>
      <c r="AU15" s="39">
        <v>0</v>
      </c>
      <c r="AV15" s="39">
        <v>0</v>
      </c>
      <c r="AW15" s="39">
        <f t="shared" si="2"/>
        <v>0</v>
      </c>
      <c r="AX15" s="39" t="s">
        <v>72</v>
      </c>
      <c r="AY15" s="39"/>
      <c r="AZ15" s="44"/>
      <c r="BA15" s="39"/>
      <c r="BB15" s="39"/>
      <c r="BC15" s="39"/>
      <c r="BD15" s="39"/>
      <c r="BE15" s="39"/>
      <c r="BF15" s="39"/>
      <c r="BG15" s="39"/>
      <c r="BH15" s="29" t="str">
        <f t="shared" si="3"/>
        <v>description: "Контр_Вр_пркл_КА", note: "Контроль сигнала «Прев. вр. пер. КА»", group: "setting", minValue: 0, maxValue: 1, step: 1, units: "null", defaultValue: 0, eventRegistration: 0</v>
      </c>
    </row>
    <row r="16" spans="1:16380" s="1" customFormat="1" ht="16.5" customHeight="1" x14ac:dyDescent="0.25">
      <c r="A16" s="38"/>
      <c r="B16" s="38" t="s">
        <v>56</v>
      </c>
      <c r="C16" s="42"/>
      <c r="D16" s="5" t="s">
        <v>101</v>
      </c>
      <c r="E16" s="26" t="s">
        <v>110</v>
      </c>
      <c r="F16" s="26" t="s">
        <v>243</v>
      </c>
      <c r="G16" s="26" t="s">
        <v>207</v>
      </c>
      <c r="H16" s="26" t="s">
        <v>207</v>
      </c>
      <c r="I16" s="26" t="s">
        <v>71</v>
      </c>
      <c r="J16" s="26">
        <f t="shared" ref="J16" si="12">LEN(F16)</f>
        <v>19</v>
      </c>
      <c r="K16" s="26" t="str">
        <f t="shared" ref="K16" si="13">IF(LEN(F16)&lt;=$K$1,F16,"")</f>
        <v>Контр_общ_внеш_сигн</v>
      </c>
      <c r="L16" s="38" t="s">
        <v>221</v>
      </c>
      <c r="M16" s="41" t="s">
        <v>54</v>
      </c>
      <c r="N16" s="42" t="s">
        <v>52</v>
      </c>
      <c r="O16" s="42" t="s">
        <v>52</v>
      </c>
      <c r="P16" s="42"/>
      <c r="Q16" s="44">
        <v>0</v>
      </c>
      <c r="R16" s="44"/>
      <c r="S16" s="42" t="s">
        <v>53</v>
      </c>
      <c r="T16" s="42">
        <v>0</v>
      </c>
      <c r="U16" s="42">
        <v>1</v>
      </c>
      <c r="V16" s="42">
        <v>1</v>
      </c>
      <c r="W16" s="42"/>
      <c r="X16" s="42"/>
      <c r="Y16" s="42">
        <v>0</v>
      </c>
      <c r="Z16" s="42">
        <v>0</v>
      </c>
      <c r="AA16" s="40"/>
      <c r="AB16" s="31">
        <v>0</v>
      </c>
      <c r="AC16" s="31"/>
      <c r="AD16" s="31"/>
      <c r="AE16" s="31"/>
      <c r="AF16" s="31"/>
      <c r="AG16" s="31">
        <v>0</v>
      </c>
      <c r="AH16" s="31">
        <v>0</v>
      </c>
      <c r="AI16" s="31">
        <v>0</v>
      </c>
      <c r="AJ16" s="31"/>
      <c r="AK16" s="39"/>
      <c r="AL16" s="39"/>
      <c r="AM16" s="39"/>
      <c r="AN16" s="39"/>
      <c r="AO16" s="39"/>
      <c r="AP16" s="39"/>
      <c r="AQ16" s="39"/>
      <c r="AR16" s="39"/>
      <c r="AS16" s="39">
        <v>0</v>
      </c>
      <c r="AT16" s="39">
        <v>0</v>
      </c>
      <c r="AU16" s="39">
        <v>0</v>
      </c>
      <c r="AV16" s="39">
        <v>0</v>
      </c>
      <c r="AW16" s="39">
        <f t="shared" ref="AW16" si="14">BIN2DEC(CONCATENATE(0,0,0,0,AS16,AT16,AU16,AV16))</f>
        <v>0</v>
      </c>
      <c r="AX16" s="39" t="s">
        <v>72</v>
      </c>
      <c r="AY16" s="39"/>
      <c r="AZ16" s="44"/>
      <c r="BA16" s="39"/>
      <c r="BB16" s="39"/>
      <c r="BC16" s="39"/>
      <c r="BD16" s="39"/>
      <c r="BE16" s="39"/>
      <c r="BF16" s="39"/>
      <c r="BG16" s="39"/>
      <c r="BH16" s="29" t="str">
        <f t="shared" ref="BH16" si="15">CONCATENATE("description: """,F16,"""", ", ", "note: """,E16,"""",", ","group: """, B16, """",", ","minValue: ", T16,", ","maxValue: ", U16,", ","step: ", V16,", ","units: """, S16, """",", ","defaultValue: ", Y16,", ","eventRegistration: ", Z16,)</f>
        <v>description: "Контр_общ_внеш_сигн", note: "Контроль общего внешнего сигнала",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E15" sqref="E15"/>
    </sheetView>
  </sheetViews>
  <sheetFormatPr defaultRowHeight="15.75" x14ac:dyDescent="0.25"/>
  <cols>
    <col min="1" max="1" width="22.42578125" style="3" customWidth="1"/>
    <col min="2" max="2" width="16" style="3" bestFit="1" customWidth="1"/>
    <col min="3" max="16384" width="9.140625" style="3"/>
  </cols>
  <sheetData>
    <row r="2" spans="1:2" x14ac:dyDescent="0.25">
      <c r="A2" s="14" t="s">
        <v>57</v>
      </c>
      <c r="B2" s="14" t="s">
        <v>58</v>
      </c>
    </row>
    <row r="3" spans="1:2" x14ac:dyDescent="0.25">
      <c r="A3" s="49" t="s">
        <v>59</v>
      </c>
      <c r="B3" s="4" t="s">
        <v>101</v>
      </c>
    </row>
    <row r="4" spans="1:2" x14ac:dyDescent="0.25">
      <c r="A4" s="49" t="s">
        <v>60</v>
      </c>
      <c r="B4" s="51">
        <v>580</v>
      </c>
    </row>
    <row r="5" spans="1:2" x14ac:dyDescent="0.25">
      <c r="A5" s="49" t="s">
        <v>61</v>
      </c>
      <c r="B5" s="50" t="s">
        <v>52</v>
      </c>
    </row>
    <row r="6" spans="1:2" x14ac:dyDescent="0.25">
      <c r="A6" s="52" t="s">
        <v>62</v>
      </c>
      <c r="B6" s="50" t="s">
        <v>252</v>
      </c>
    </row>
    <row r="7" spans="1:2" x14ac:dyDescent="0.25">
      <c r="A7" s="52" t="s">
        <v>109</v>
      </c>
      <c r="B7" s="50">
        <v>1</v>
      </c>
    </row>
    <row r="8" spans="1:2" x14ac:dyDescent="0.25">
      <c r="A8" s="56" t="s">
        <v>249</v>
      </c>
      <c r="B8" t="s">
        <v>250</v>
      </c>
    </row>
    <row r="9" spans="1:2" x14ac:dyDescent="0.25">
      <c r="A9" s="56" t="s">
        <v>251</v>
      </c>
      <c r="B9" s="56"/>
    </row>
    <row r="10" spans="1:2" x14ac:dyDescent="0.25">
      <c r="A10" s="57" t="s">
        <v>101</v>
      </c>
      <c r="B10" t="s">
        <v>250</v>
      </c>
    </row>
    <row r="11" spans="1:2" x14ac:dyDescent="0.25">
      <c r="A11" s="56" t="s">
        <v>251</v>
      </c>
      <c r="B11" s="5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2025-10-17T05:28:45Z</dcterms:modified>
</cp:coreProperties>
</file>