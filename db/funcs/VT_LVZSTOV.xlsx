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9" i="4" l="1"/>
  <c r="AX8" i="4"/>
  <c r="AX7" i="4"/>
  <c r="AX6" i="4"/>
  <c r="AX3" i="4"/>
  <c r="J7" i="4" l="1"/>
  <c r="J8" i="4"/>
  <c r="J9" i="4"/>
  <c r="BH6" i="6" l="1"/>
  <c r="AW6" i="6"/>
  <c r="AQ6" i="6"/>
  <c r="K6" i="6"/>
  <c r="J6" i="6"/>
  <c r="K4" i="6"/>
  <c r="BH4" i="6"/>
  <c r="AW4" i="6"/>
  <c r="AQ4" i="6"/>
  <c r="J4" i="6"/>
  <c r="BG7" i="5" l="1"/>
  <c r="AP7" i="5"/>
  <c r="J7" i="5"/>
  <c r="I7" i="5"/>
  <c r="I6" i="4" l="1"/>
  <c r="J6" i="4"/>
  <c r="AV6" i="4"/>
  <c r="BG6" i="4"/>
  <c r="AW3" i="6" l="1"/>
  <c r="BG11" i="5" l="1"/>
  <c r="BG10" i="5"/>
  <c r="BG9" i="5"/>
  <c r="BG8" i="5"/>
  <c r="BG4" i="4" l="1"/>
  <c r="J4" i="4"/>
  <c r="I4" i="4"/>
  <c r="BG5" i="4"/>
  <c r="J5" i="4"/>
  <c r="I5" i="4"/>
  <c r="BG4" i="5" l="1"/>
  <c r="J4" i="5"/>
  <c r="I4" i="5"/>
  <c r="BG6" i="5" l="1"/>
  <c r="J6" i="5"/>
  <c r="I6" i="5"/>
  <c r="AV8" i="5" l="1"/>
  <c r="AV9" i="5"/>
  <c r="AV10" i="5"/>
  <c r="AV11" i="5"/>
  <c r="BG9" i="4"/>
  <c r="AV9" i="4"/>
  <c r="I9" i="4"/>
  <c r="BG8" i="4"/>
  <c r="AV8" i="4"/>
  <c r="I8" i="4"/>
  <c r="BG7" i="4"/>
  <c r="AV7" i="4"/>
  <c r="AP7" i="4"/>
  <c r="I7" i="4"/>
  <c r="BG3" i="4"/>
  <c r="AV3" i="4"/>
  <c r="J3" i="4"/>
  <c r="I3" i="4"/>
  <c r="AP11" i="5"/>
  <c r="J11" i="5"/>
  <c r="I11" i="5"/>
  <c r="AP10" i="5"/>
  <c r="J10" i="5"/>
  <c r="I10" i="5"/>
  <c r="AP9" i="5"/>
  <c r="J9" i="5"/>
  <c r="I9" i="5"/>
  <c r="AP8" i="5"/>
  <c r="J8" i="5"/>
  <c r="I8" i="5"/>
  <c r="BG5" i="5"/>
  <c r="AP6" i="5"/>
  <c r="J5" i="5"/>
  <c r="I5" i="5"/>
  <c r="BG3" i="5"/>
  <c r="J3" i="5"/>
  <c r="I3" i="5"/>
  <c r="BH5" i="6"/>
  <c r="AW5" i="6"/>
  <c r="K5" i="6"/>
  <c r="J5" i="6"/>
  <c r="BH3" i="6"/>
  <c r="K3" i="6"/>
  <c r="J3" i="6"/>
  <c r="AI1" i="6" l="1"/>
  <c r="AH1" i="5"/>
  <c r="AH1" i="4"/>
</calcChain>
</file>

<file path=xl/sharedStrings.xml><?xml version="1.0" encoding="utf-8"?>
<sst xmlns="http://schemas.openxmlformats.org/spreadsheetml/2006/main" count="527" uniqueCount="189">
  <si>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</si>
  <si>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</si>
  <si>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</si>
  <si>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</si>
  <si>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</si>
  <si>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</si>
  <si>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</si>
  <si>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</si>
  <si>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</si>
  <si>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</si>
  <si>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</si>
  <si>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</si>
  <si>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</si>
  <si>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</si>
  <si>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</si>
  <si>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</si>
  <si>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</si>
  <si>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</si>
  <si>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</si>
  <si>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</si>
  <si>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</si>
  <si>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</si>
  <si>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</si>
  <si>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</si>
  <si>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</si>
  <si>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</si>
  <si>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</si>
  <si>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</si>
  <si>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</si>
  <si>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</si>
  <si>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</si>
  <si>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</si>
  <si>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</si>
  <si>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</si>
  <si>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</si>
  <si>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</si>
  <si>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</si>
  <si>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</si>
  <si>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</si>
  <si>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</si>
  <si>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</si>
  <si>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</si>
  <si>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</si>
  <si>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</si>
  <si>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</si>
  <si>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</si>
  <si>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</si>
  <si>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</si>
  <si>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</si>
  <si>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</si>
  <si>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</si>
  <si>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</si>
  <si>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</si>
  <si>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</si>
  <si>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</si>
  <si>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</si>
  <si>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</si>
  <si>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</si>
  <si>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</si>
  <si>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</si>
  <si>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</si>
  <si>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</si>
  <si>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</si>
  <si>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</si>
  <si>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</si>
  <si>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</si>
  <si>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</si>
  <si>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</si>
  <si>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</si>
  <si>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</si>
  <si>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</si>
  <si>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</si>
  <si>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</si>
  <si>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</si>
  <si>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</si>
  <si>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</si>
  <si>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</si>
  <si>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</si>
  <si>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</si>
  <si>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</si>
  <si>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</si>
  <si>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</si>
  <si>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</si>
  <si>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</si>
  <si>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</si>
  <si>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</si>
  <si>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</si>
  <si>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</si>
  <si>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</si>
  <si>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</si>
  <si>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</si>
  <si>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</si>
  <si>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</si>
  <si>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</si>
  <si>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</si>
  <si>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</si>
  <si>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</si>
  <si>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</si>
  <si>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В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</si>
  <si>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</si>
  <si>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</si>
  <si>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</si>
  <si>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</si>
  <si>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</si>
  <si>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</si>
  <si>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</si>
  <si>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</si>
  <si>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</si>
  <si>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</si>
  <si>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</si>
  <si>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</si>
  <si>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</si>
  <si>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</si>
  <si>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</si>
  <si>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</si>
  <si>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Срабатывание БНН</t>
  </si>
  <si>
    <t>BlkV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</si>
  <si>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</si>
  <si>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</si>
  <si>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</si>
  <si>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</si>
  <si>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</si>
  <si>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</si>
  <si>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</si>
  <si>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</si>
  <si>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Действующее значение 1 гармоники напряжения НП</t>
  </si>
  <si>
    <t>3U0 (1 гарм)</t>
  </si>
  <si>
    <t>mag3U0</t>
  </si>
  <si>
    <t>Сраб БНН</t>
  </si>
  <si>
    <t>ИО 3U0&gt;</t>
  </si>
  <si>
    <t>Срабатывание</t>
  </si>
  <si>
    <t>ACT</t>
  </si>
  <si>
    <t>Режим контроля от БНН</t>
  </si>
  <si>
    <t>Реж_БНН</t>
  </si>
  <si>
    <t>Напряжение срабатывания НП</t>
  </si>
  <si>
    <t>3U0ср</t>
  </si>
  <si>
    <t>3U0&gt;</t>
  </si>
  <si>
    <t>2.0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</si>
  <si>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</si>
  <si>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</si>
  <si>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</si>
  <si>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</si>
  <si>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</si>
  <si>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</si>
  <si>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</si>
  <si>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</si>
  <si>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0 - Без контроля, 1 - С контролем</t>
  </si>
  <si>
    <t>WithoutWithControl</t>
  </si>
  <si>
    <t>SGF1</t>
  </si>
  <si>
    <t>SGF2</t>
  </si>
  <si>
    <t>СЗЗ</t>
  </si>
  <si>
    <t>Оперативный вывод функции СЗЗ</t>
  </si>
  <si>
    <t>ОВ СЗЗ</t>
  </si>
  <si>
    <t>LVZSTOV_operOutFunction</t>
  </si>
  <si>
    <t>Пуск ИО напряжения НП 3U0&gt;</t>
  </si>
  <si>
    <t>Пуск СЗЗ</t>
  </si>
  <si>
    <t>Срабатывание СЗЗ</t>
  </si>
  <si>
    <t>Индикация поведения логического узла СЗЗ</t>
  </si>
  <si>
    <t>Индикация исправности логического узла СЗЗ</t>
  </si>
  <si>
    <t>LVZSPTOV</t>
  </si>
  <si>
    <t>SG</t>
  </si>
  <si>
    <t>FbVersion</t>
  </si>
  <si>
    <t>ZSPTOV1_FuncEnabled</t>
  </si>
  <si>
    <t>ZSPTOV1_FuncOperDisabled</t>
  </si>
  <si>
    <t>ZSPTOV1_DE_3U0</t>
  </si>
  <si>
    <t>ZSPTOV1_Str</t>
  </si>
  <si>
    <t>ZSPTOV1_Op</t>
  </si>
  <si>
    <t>ZSPTOV1_Beh</t>
  </si>
  <si>
    <t>ZSPTOV1_Health</t>
  </si>
  <si>
    <t>ZSPTOV1_EnaDis</t>
  </si>
  <si>
    <t>ZSPTOV1_VolFailBlk</t>
  </si>
  <si>
    <t>ZSPTOV1_StrVal3U0</t>
  </si>
  <si>
    <t>ZSPTOV1_Top</t>
  </si>
  <si>
    <t>ZSPTOV1.Str</t>
  </si>
  <si>
    <t>ZSPTOV1.Op</t>
  </si>
  <si>
    <t>ZSPTOV1.Beh</t>
  </si>
  <si>
    <t>ZSPTOV1.Health</t>
  </si>
  <si>
    <t>ZSPTOV1.StrVal3U0</t>
  </si>
  <si>
    <t>ZSPTOV1.OpDlTmms</t>
  </si>
  <si>
    <t>VT_LVZSTOV</t>
  </si>
  <si>
    <t>DescriptionFB</t>
  </si>
  <si>
    <t>DescriptionFuncList</t>
  </si>
  <si>
    <t>Сигнализация замыкания на землю</t>
  </si>
  <si>
    <t>alias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</si>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</sst>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9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6"/>
  <sheetViews>
    <sheetView tabSelected="1" topLeftCell="AP1" zoomScale="90" zoomScaleNormal="90" workbookViewId="0">
      <selection activeCell="AV13" sqref="AV13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8.42578125" style="36" customWidth="1"/>
    <col min="3" max="3" width="19.7109375" style="36" customWidth="1"/>
    <col min="4" max="4" width="15.5703125" style="36" bestFit="1" customWidth="1"/>
    <col min="5" max="5" width="66" style="37" customWidth="1"/>
    <col min="6" max="7" width="24.42578125" style="37" customWidth="1" outlineLevel="1"/>
    <col min="8" max="8" width="31.28515625" style="37" bestFit="1" customWidth="1" outlineLevel="1"/>
    <col min="9" max="9" width="6.7109375" style="37" bestFit="1" customWidth="1"/>
    <col min="10" max="10" width="31" style="37" bestFit="1" customWidth="1"/>
    <col min="11" max="11" width="25.140625" style="37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9.28515625" style="1" customWidth="1" outlineLevel="1"/>
    <col min="19" max="19" width="11.140625" style="38" customWidth="1" outlineLevel="1"/>
    <col min="20" max="20" width="11.42578125" style="38" customWidth="1" outlineLevel="1"/>
    <col min="21" max="21" width="9.425781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bestFit="1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29.7109375" style="36" customWidth="1"/>
    <col min="32" max="33" width="12.7109375" style="36" customWidth="1"/>
    <col min="34" max="34" width="8.7109375" style="36" customWidth="1"/>
    <col min="35" max="35" width="15" style="36" bestFit="1" customWidth="1"/>
    <col min="36" max="36" width="22.85546875" style="37" customWidth="1"/>
    <col min="37" max="37" width="25.7109375" style="37" customWidth="1"/>
    <col min="38" max="38" width="21.28515625" style="37" customWidth="1"/>
    <col min="39" max="40" width="21.85546875" style="37" customWidth="1"/>
    <col min="41" max="41" width="11.28515625" style="37" customWidth="1"/>
    <col min="42" max="42" width="19.85546875" style="37" bestFit="1" customWidth="1"/>
    <col min="43" max="43" width="17.5703125" style="37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3.5703125" style="38" hidden="1" customWidth="1" outlineLevel="1"/>
    <col min="54" max="54" width="13.28515625" style="26" hidden="1" customWidth="1" outlineLevel="1"/>
    <col min="55" max="55" width="13.28515625" style="38" hidden="1" customWidth="1" outlineLevel="1"/>
    <col min="56" max="56" width="13" style="26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81.85546875" style="36" bestFit="1" customWidth="1" collapsed="1"/>
    <col min="60" max="16384" width="9.140625" style="36"/>
  </cols>
  <sheetData>
    <row r="1" spans="1:16379" ht="15.75" x14ac:dyDescent="0.25">
      <c r="E1" s="36"/>
      <c r="J1" s="37">
        <v>19</v>
      </c>
      <c r="AA1" s="39"/>
      <c r="AB1" s="39"/>
      <c r="AC1" s="39"/>
      <c r="AD1" s="39"/>
      <c r="AE1" s="39"/>
      <c r="AF1" s="2"/>
      <c r="AG1" s="2"/>
      <c r="AH1" s="39">
        <f>SUM(AA3:AA53)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74" t="s">
        <v>0</v>
      </c>
      <c r="BA1" s="75"/>
      <c r="BB1" s="75"/>
      <c r="BC1" s="75"/>
      <c r="BD1" s="75"/>
      <c r="BE1" s="75"/>
      <c r="BF1" s="75"/>
    </row>
    <row r="2" spans="1:16379" s="7" customFormat="1" ht="54" customHeight="1" x14ac:dyDescent="0.25">
      <c r="A2" s="40" t="s">
        <v>1</v>
      </c>
      <c r="B2" s="48" t="s">
        <v>2</v>
      </c>
      <c r="C2" s="32" t="s">
        <v>3</v>
      </c>
      <c r="D2" s="32" t="s">
        <v>93</v>
      </c>
      <c r="E2" s="40" t="s">
        <v>4</v>
      </c>
      <c r="F2" s="40" t="s">
        <v>106</v>
      </c>
      <c r="G2" s="40" t="s">
        <v>5</v>
      </c>
      <c r="H2" s="40" t="s">
        <v>6</v>
      </c>
      <c r="I2" s="40" t="s">
        <v>7</v>
      </c>
      <c r="J2" s="40" t="s">
        <v>107</v>
      </c>
      <c r="K2" s="41" t="s">
        <v>8</v>
      </c>
      <c r="L2" s="41" t="s">
        <v>9</v>
      </c>
      <c r="M2" s="41" t="s">
        <v>10</v>
      </c>
      <c r="N2" s="41" t="s">
        <v>11</v>
      </c>
      <c r="O2" s="41" t="s">
        <v>105</v>
      </c>
      <c r="P2" s="41" t="s">
        <v>12</v>
      </c>
      <c r="Q2" s="41" t="s">
        <v>13</v>
      </c>
      <c r="R2" s="41" t="s">
        <v>14</v>
      </c>
      <c r="S2" s="41" t="s">
        <v>15</v>
      </c>
      <c r="T2" s="41" t="s">
        <v>16</v>
      </c>
      <c r="U2" s="41" t="s">
        <v>60</v>
      </c>
      <c r="V2" s="41" t="s">
        <v>17</v>
      </c>
      <c r="W2" s="41" t="s">
        <v>18</v>
      </c>
      <c r="X2" s="42" t="s">
        <v>19</v>
      </c>
      <c r="Y2" s="42" t="s">
        <v>20</v>
      </c>
      <c r="Z2" s="41" t="s">
        <v>21</v>
      </c>
      <c r="AA2" s="42" t="s">
        <v>22</v>
      </c>
      <c r="AB2" s="42" t="s">
        <v>101</v>
      </c>
      <c r="AC2" s="42" t="s">
        <v>102</v>
      </c>
      <c r="AD2" s="42" t="s">
        <v>103</v>
      </c>
      <c r="AE2" s="42" t="s">
        <v>104</v>
      </c>
      <c r="AF2" s="42" t="s">
        <v>23</v>
      </c>
      <c r="AG2" s="42" t="s">
        <v>24</v>
      </c>
      <c r="AH2" s="41" t="s">
        <v>25</v>
      </c>
      <c r="AI2" s="34" t="s">
        <v>99</v>
      </c>
      <c r="AJ2" s="40" t="s">
        <v>26</v>
      </c>
      <c r="AK2" s="40" t="s">
        <v>27</v>
      </c>
      <c r="AL2" s="40" t="s">
        <v>28</v>
      </c>
      <c r="AM2" s="40" t="s">
        <v>29</v>
      </c>
      <c r="AN2" s="40" t="s">
        <v>30</v>
      </c>
      <c r="AO2" s="40" t="s">
        <v>31</v>
      </c>
      <c r="AP2" s="40" t="s">
        <v>32</v>
      </c>
      <c r="AQ2" s="40" t="s">
        <v>33</v>
      </c>
      <c r="AR2" s="41" t="s">
        <v>34</v>
      </c>
      <c r="AS2" s="41" t="s">
        <v>35</v>
      </c>
      <c r="AT2" s="41" t="s">
        <v>36</v>
      </c>
      <c r="AU2" s="41" t="s">
        <v>37</v>
      </c>
      <c r="AV2" s="57" t="s">
        <v>185</v>
      </c>
      <c r="AW2" s="57" t="s">
        <v>186</v>
      </c>
      <c r="AX2" s="57" t="s">
        <v>187</v>
      </c>
      <c r="AY2" s="42"/>
      <c r="AZ2" s="41" t="s">
        <v>41</v>
      </c>
      <c r="BA2" s="41" t="s">
        <v>42</v>
      </c>
      <c r="BB2" s="6" t="s">
        <v>43</v>
      </c>
      <c r="BC2" s="41" t="s">
        <v>44</v>
      </c>
      <c r="BD2" s="6" t="s">
        <v>45</v>
      </c>
      <c r="BE2" s="41" t="s">
        <v>46</v>
      </c>
      <c r="BF2" s="41" t="s">
        <v>47</v>
      </c>
      <c r="BG2" s="42" t="s">
        <v>48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49" customFormat="1" ht="15.75" customHeight="1" x14ac:dyDescent="0.25">
      <c r="A3" s="17"/>
      <c r="B3" s="17" t="s">
        <v>56</v>
      </c>
      <c r="C3" s="43"/>
      <c r="D3" s="31"/>
      <c r="E3" s="18" t="s">
        <v>125</v>
      </c>
      <c r="F3" s="10" t="s">
        <v>126</v>
      </c>
      <c r="G3" s="10" t="s">
        <v>126</v>
      </c>
      <c r="H3" s="18"/>
      <c r="I3" s="18">
        <f t="shared" ref="I3:I4" si="0">LEN(F3)</f>
        <v>12</v>
      </c>
      <c r="J3" s="18" t="str">
        <f t="shared" ref="J3:J4" si="1">IF(LEN(F3)&lt;=$J$1,F3,"")</f>
        <v>3U0 (1 гарм)</v>
      </c>
      <c r="K3" s="17" t="s">
        <v>127</v>
      </c>
      <c r="L3" s="19" t="s">
        <v>59</v>
      </c>
      <c r="M3" s="43" t="s">
        <v>49</v>
      </c>
      <c r="N3" s="43" t="s">
        <v>50</v>
      </c>
      <c r="O3" s="43"/>
      <c r="P3" s="20"/>
      <c r="Q3" s="20"/>
      <c r="R3" s="43" t="s">
        <v>98</v>
      </c>
      <c r="S3" s="43" t="s">
        <v>58</v>
      </c>
      <c r="T3" s="43" t="s">
        <v>58</v>
      </c>
      <c r="U3" s="43" t="s">
        <v>58</v>
      </c>
      <c r="V3" s="43"/>
      <c r="W3" s="43"/>
      <c r="X3" s="43" t="s">
        <v>58</v>
      </c>
      <c r="Y3" s="43">
        <v>0</v>
      </c>
      <c r="Z3" s="21"/>
      <c r="AA3" s="44">
        <v>0</v>
      </c>
      <c r="AB3" s="44">
        <v>0</v>
      </c>
      <c r="AC3" s="44">
        <v>0</v>
      </c>
      <c r="AD3" s="44">
        <v>0</v>
      </c>
      <c r="AE3" s="44">
        <v>0</v>
      </c>
      <c r="AF3" s="44">
        <v>0</v>
      </c>
      <c r="AG3" s="44">
        <v>0</v>
      </c>
      <c r="AH3" s="44">
        <v>0</v>
      </c>
      <c r="AI3" s="35"/>
      <c r="AJ3" s="22"/>
      <c r="AK3" s="22"/>
      <c r="AL3" s="22"/>
      <c r="AM3" s="22"/>
      <c r="AN3" s="22"/>
      <c r="AO3" s="22"/>
      <c r="AP3" s="22"/>
      <c r="AQ3" s="22"/>
      <c r="AR3" s="44">
        <v>0</v>
      </c>
      <c r="AS3" s="44">
        <v>0</v>
      </c>
      <c r="AT3" s="44">
        <v>0</v>
      </c>
      <c r="AU3" s="44">
        <v>0</v>
      </c>
      <c r="AV3" s="44">
        <f t="shared" ref="AV3:AV9" si="2">BIN2DEC(CONCATENATE(0,0,0,0,AR3,AS3,AT3,AU3))</f>
        <v>0</v>
      </c>
      <c r="AW3" s="44">
        <v>0</v>
      </c>
      <c r="AX3" s="44">
        <f t="shared" ref="AX3" si="3">BIN2DEC(CONCATENATE(0,0,0,0,AT3,AU3,AV3,AW3))</f>
        <v>0</v>
      </c>
      <c r="AY3" s="44"/>
      <c r="AZ3" s="20"/>
      <c r="BA3" s="44"/>
      <c r="BB3" s="44"/>
      <c r="BC3" s="46"/>
      <c r="BD3" s="44"/>
      <c r="BE3" s="47"/>
      <c r="BF3" s="44"/>
      <c r="BG3" s="24" t="str">
        <f t="shared" ref="BG3:BG4" si="4">CONCATENATE("description: """,F3,"""", ", ", "note: """,E3,"""",", ","group: """, B3, """",", ","minValue: ", S3,", ","maxValue: ", T3,", ","step: ", U3,", ","units: """, R3, """",", ","defaultValue: ", X3,", ","eventRegistration: ", Y3,)</f>
        <v>description: "3U0 (1 гарм)", note: "Действующее значение 1 гармоники напряжения НП", group: "measurement", minValue: null, maxValue: null, step: null, units: "В", defaultValue: null, eventRegistration: 0</v>
      </c>
      <c r="BH3" s="25"/>
    </row>
    <row r="4" spans="1:16379" s="72" customFormat="1" ht="15.75" customHeight="1" x14ac:dyDescent="0.25">
      <c r="A4" s="58"/>
      <c r="B4" s="58" t="s">
        <v>188</v>
      </c>
      <c r="C4" s="59"/>
      <c r="D4" s="60"/>
      <c r="E4" s="61" t="s">
        <v>117</v>
      </c>
      <c r="F4" s="61" t="s">
        <v>117</v>
      </c>
      <c r="G4" s="61" t="s">
        <v>117</v>
      </c>
      <c r="H4" s="61"/>
      <c r="I4" s="61">
        <f t="shared" si="0"/>
        <v>15</v>
      </c>
      <c r="J4" s="61" t="str">
        <f t="shared" si="1"/>
        <v>Вывод терминала</v>
      </c>
      <c r="K4" s="58" t="s">
        <v>118</v>
      </c>
      <c r="L4" s="62" t="s">
        <v>57</v>
      </c>
      <c r="M4" s="59" t="s">
        <v>49</v>
      </c>
      <c r="N4" s="59" t="s">
        <v>50</v>
      </c>
      <c r="O4" s="59"/>
      <c r="P4" s="63"/>
      <c r="Q4" s="63"/>
      <c r="R4" s="59" t="s">
        <v>58</v>
      </c>
      <c r="S4" s="59" t="s">
        <v>58</v>
      </c>
      <c r="T4" s="59" t="s">
        <v>58</v>
      </c>
      <c r="U4" s="59" t="s">
        <v>58</v>
      </c>
      <c r="V4" s="59"/>
      <c r="W4" s="59"/>
      <c r="X4" s="59" t="s">
        <v>58</v>
      </c>
      <c r="Y4" s="59">
        <v>0</v>
      </c>
      <c r="Z4" s="64"/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r="AI4" s="66"/>
      <c r="AJ4" s="67"/>
      <c r="AK4" s="67"/>
      <c r="AL4" s="67"/>
      <c r="AM4" s="67"/>
      <c r="AN4" s="67"/>
      <c r="AO4" s="67"/>
      <c r="AP4" s="67"/>
      <c r="AQ4" s="67"/>
      <c r="AR4" s="65">
        <v>0</v>
      </c>
      <c r="AS4" s="65">
        <v>0</v>
      </c>
      <c r="AT4" s="73">
        <v>1</v>
      </c>
      <c r="AU4" s="44">
        <v>0</v>
      </c>
      <c r="AV4" s="73">
        <v>1</v>
      </c>
      <c r="AW4" s="73">
        <v>1</v>
      </c>
      <c r="AX4" s="73">
        <v>1</v>
      </c>
      <c r="AY4" s="65"/>
      <c r="AZ4" s="63"/>
      <c r="BA4" s="65"/>
      <c r="BB4" s="65"/>
      <c r="BC4" s="68"/>
      <c r="BD4" s="65"/>
      <c r="BE4" s="69"/>
      <c r="BF4" s="65"/>
      <c r="BG4" s="70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4" s="71"/>
    </row>
    <row r="5" spans="1:16379" s="72" customFormat="1" ht="15.75" customHeight="1" x14ac:dyDescent="0.25">
      <c r="A5" s="58"/>
      <c r="B5" s="58" t="s">
        <v>188</v>
      </c>
      <c r="C5" s="59"/>
      <c r="D5" s="60" t="s">
        <v>150</v>
      </c>
      <c r="E5" s="61" t="s">
        <v>151</v>
      </c>
      <c r="F5" s="61" t="s">
        <v>152</v>
      </c>
      <c r="G5" s="61" t="s">
        <v>152</v>
      </c>
      <c r="H5" s="61"/>
      <c r="I5" s="61">
        <f t="shared" ref="I5:I6" si="5">LEN(F5)</f>
        <v>6</v>
      </c>
      <c r="J5" s="61" t="str">
        <f t="shared" ref="J5:J9" si="6">IF(LEN(F5)&lt;=$J$1,F5,"")</f>
        <v>ОВ СЗЗ</v>
      </c>
      <c r="K5" s="58" t="s">
        <v>153</v>
      </c>
      <c r="L5" s="62" t="s">
        <v>57</v>
      </c>
      <c r="M5" s="59" t="s">
        <v>49</v>
      </c>
      <c r="N5" s="59" t="s">
        <v>50</v>
      </c>
      <c r="O5" s="59"/>
      <c r="P5" s="63"/>
      <c r="Q5" s="63"/>
      <c r="R5" s="59" t="s">
        <v>58</v>
      </c>
      <c r="S5" s="59" t="s">
        <v>58</v>
      </c>
      <c r="T5" s="59" t="s">
        <v>58</v>
      </c>
      <c r="U5" s="59" t="s">
        <v>58</v>
      </c>
      <c r="V5" s="59"/>
      <c r="W5" s="59"/>
      <c r="X5" s="59" t="s">
        <v>58</v>
      </c>
      <c r="Y5" s="59">
        <v>0</v>
      </c>
      <c r="Z5" s="64"/>
      <c r="AA5" s="65">
        <v>0</v>
      </c>
      <c r="AB5" s="65">
        <v>0</v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6"/>
      <c r="AJ5" s="67"/>
      <c r="AK5" s="67"/>
      <c r="AL5" s="67"/>
      <c r="AM5" s="67"/>
      <c r="AN5" s="67"/>
      <c r="AO5" s="67"/>
      <c r="AP5" s="67"/>
      <c r="AQ5" s="67"/>
      <c r="AR5" s="65">
        <v>0</v>
      </c>
      <c r="AS5" s="65">
        <v>0</v>
      </c>
      <c r="AT5" s="73">
        <v>1</v>
      </c>
      <c r="AU5" s="44">
        <v>0</v>
      </c>
      <c r="AV5" s="73">
        <v>1</v>
      </c>
      <c r="AW5" s="73">
        <v>1</v>
      </c>
      <c r="AX5" s="73">
        <v>1</v>
      </c>
      <c r="AY5" s="65"/>
      <c r="AZ5" s="63"/>
      <c r="BA5" s="65"/>
      <c r="BB5" s="65"/>
      <c r="BC5" s="68"/>
      <c r="BD5" s="65"/>
      <c r="BE5" s="69"/>
      <c r="BF5" s="65"/>
      <c r="BG5" s="70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"ОВ СЗЗ", note: "Оперативный вывод функции СЗЗ", group: "control", minValue: null, maxValue: null, step: null, units: "null", defaultValue: null, eventRegistration: 0</v>
      </c>
      <c r="BH5" s="71"/>
    </row>
    <row r="6" spans="1:16379" s="49" customFormat="1" ht="15.75" customHeight="1" x14ac:dyDescent="0.25">
      <c r="A6" s="17"/>
      <c r="B6" s="17" t="s">
        <v>56</v>
      </c>
      <c r="C6" s="43"/>
      <c r="D6" s="31"/>
      <c r="E6" s="18" t="s">
        <v>115</v>
      </c>
      <c r="F6" s="10" t="s">
        <v>128</v>
      </c>
      <c r="G6" s="10" t="s">
        <v>128</v>
      </c>
      <c r="H6" s="18"/>
      <c r="I6" s="18">
        <f t="shared" si="5"/>
        <v>8</v>
      </c>
      <c r="J6" s="18" t="str">
        <f t="shared" si="6"/>
        <v>Сраб БНН</v>
      </c>
      <c r="K6" s="17" t="s">
        <v>116</v>
      </c>
      <c r="L6" s="19" t="s">
        <v>57</v>
      </c>
      <c r="M6" s="43" t="s">
        <v>49</v>
      </c>
      <c r="N6" s="43" t="s">
        <v>50</v>
      </c>
      <c r="O6" s="43"/>
      <c r="P6" s="20"/>
      <c r="Q6" s="20"/>
      <c r="R6" s="43" t="s">
        <v>58</v>
      </c>
      <c r="S6" s="43" t="s">
        <v>58</v>
      </c>
      <c r="T6" s="43" t="s">
        <v>58</v>
      </c>
      <c r="U6" s="43" t="s">
        <v>58</v>
      </c>
      <c r="V6" s="43"/>
      <c r="W6" s="43"/>
      <c r="X6" s="43" t="s">
        <v>58</v>
      </c>
      <c r="Y6" s="43">
        <v>0</v>
      </c>
      <c r="Z6" s="21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22"/>
      <c r="AK6" s="22"/>
      <c r="AL6" s="22"/>
      <c r="AM6" s="22"/>
      <c r="AN6" s="22"/>
      <c r="AO6" s="22"/>
      <c r="AP6" s="22"/>
      <c r="AQ6" s="22"/>
      <c r="AR6" s="44">
        <v>0</v>
      </c>
      <c r="AS6" s="44">
        <v>0</v>
      </c>
      <c r="AT6" s="44">
        <v>0</v>
      </c>
      <c r="AU6" s="44">
        <v>0</v>
      </c>
      <c r="AV6" s="44">
        <f t="shared" ref="AV6" si="8">BIN2DEC(CONCATENATE(0,0,0,0,AR6,AS6,AT6,AU6))</f>
        <v>0</v>
      </c>
      <c r="AW6" s="44">
        <v>0</v>
      </c>
      <c r="AX6" s="44">
        <f t="shared" ref="AX6:AX9" si="9">BIN2DEC(CONCATENATE(0,0,0,0,AT6,AU6,AV6,AW6))</f>
        <v>0</v>
      </c>
      <c r="AY6" s="44"/>
      <c r="AZ6" s="20"/>
      <c r="BA6" s="44"/>
      <c r="BB6" s="44"/>
      <c r="BC6" s="46"/>
      <c r="BD6" s="44"/>
      <c r="BE6" s="47"/>
      <c r="BF6" s="44"/>
      <c r="BG6" s="24" t="str">
        <f t="shared" si="7"/>
        <v>description: "Сраб БНН", note: "Срабатывание БНН", group: "measurement", minValue: null, maxValue: null, step: null, units: "null", defaultValue: null, eventRegistration: 0</v>
      </c>
      <c r="BH6" s="25"/>
    </row>
    <row r="7" spans="1:16379" s="16" customFormat="1" ht="15.75" x14ac:dyDescent="0.25">
      <c r="A7" s="8"/>
      <c r="B7" s="17" t="s">
        <v>56</v>
      </c>
      <c r="C7" s="9"/>
      <c r="D7" s="5"/>
      <c r="E7" s="10" t="s">
        <v>74</v>
      </c>
      <c r="F7" s="10" t="s">
        <v>75</v>
      </c>
      <c r="G7" s="10" t="s">
        <v>75</v>
      </c>
      <c r="H7" s="5"/>
      <c r="I7" s="18">
        <f>LEN(F7)</f>
        <v>10</v>
      </c>
      <c r="J7" s="18" t="str">
        <f t="shared" si="6"/>
        <v>Насл.режим</v>
      </c>
      <c r="K7" s="11" t="s">
        <v>86</v>
      </c>
      <c r="L7" s="27" t="s">
        <v>96</v>
      </c>
      <c r="M7" s="43" t="s">
        <v>49</v>
      </c>
      <c r="N7" s="43" t="s">
        <v>50</v>
      </c>
      <c r="O7" s="43"/>
      <c r="P7" s="9"/>
      <c r="Q7" s="9"/>
      <c r="R7" s="43" t="s">
        <v>58</v>
      </c>
      <c r="S7" s="43" t="s">
        <v>58</v>
      </c>
      <c r="T7" s="43" t="s">
        <v>58</v>
      </c>
      <c r="U7" s="43" t="s">
        <v>58</v>
      </c>
      <c r="V7" s="9"/>
      <c r="W7" s="9"/>
      <c r="X7" s="43" t="s">
        <v>58</v>
      </c>
      <c r="Y7" s="45">
        <v>0</v>
      </c>
      <c r="Z7" s="9"/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35" t="s">
        <v>100</v>
      </c>
      <c r="AJ7" s="12" t="s">
        <v>122</v>
      </c>
      <c r="AK7" s="12" t="s">
        <v>83</v>
      </c>
      <c r="AL7" s="12" t="s">
        <v>84</v>
      </c>
      <c r="AM7" s="12" t="s">
        <v>85</v>
      </c>
      <c r="AN7" s="12"/>
      <c r="AO7" s="12" t="s">
        <v>69</v>
      </c>
      <c r="AP7" s="12" t="str">
        <f>CONCATENATE(AJ7, ".", AL7)</f>
        <v>LLN0.GrRef.setSrcRef</v>
      </c>
      <c r="AQ7" s="12" t="s">
        <v>55</v>
      </c>
      <c r="AR7" s="44">
        <v>0</v>
      </c>
      <c r="AS7" s="44">
        <v>0</v>
      </c>
      <c r="AT7" s="44">
        <v>0</v>
      </c>
      <c r="AU7" s="44">
        <v>0</v>
      </c>
      <c r="AV7" s="44">
        <f t="shared" si="2"/>
        <v>0</v>
      </c>
      <c r="AW7" s="44">
        <v>0</v>
      </c>
      <c r="AX7" s="44">
        <f t="shared" si="9"/>
        <v>0</v>
      </c>
      <c r="AY7" s="28"/>
      <c r="AZ7" s="9"/>
      <c r="BA7" s="9"/>
      <c r="BB7" s="9"/>
      <c r="BC7" s="9"/>
      <c r="BD7" s="9"/>
      <c r="BE7" s="9"/>
      <c r="BF7" s="9"/>
      <c r="BG7" s="24" t="str">
        <f t="shared" ref="BG7:BG9" si="10">CONCATENATE("description: """,F7,"""", ", ", "note: """,E7,"""",", ","group: """, B7, """",", ","minValue: ", S7,", ","maxValue: ", T7,", ","step: ", U7,", ","units: """, R7, """",", ","defaultValue: ", X7,", ","eventRegistration: ", Y7,)</f>
        <v>description: "Насл.режим", note: "Наследуемый режим работы", group: "measurement", minValue: null, maxValue: null, step: null, units: "null", defaultValue: null, eventRegistration: 0</v>
      </c>
    </row>
    <row r="8" spans="1:16379" s="16" customFormat="1" ht="15.75" x14ac:dyDescent="0.25">
      <c r="A8" s="8"/>
      <c r="B8" s="17" t="s">
        <v>56</v>
      </c>
      <c r="C8" s="9"/>
      <c r="D8" s="5"/>
      <c r="E8" s="10" t="s">
        <v>76</v>
      </c>
      <c r="F8" s="10" t="s">
        <v>77</v>
      </c>
      <c r="G8" s="10" t="s">
        <v>77</v>
      </c>
      <c r="H8" s="5"/>
      <c r="I8" s="18">
        <f>LEN(F8)</f>
        <v>8</v>
      </c>
      <c r="J8" s="18" t="str">
        <f t="shared" si="6"/>
        <v>Ош.крит.</v>
      </c>
      <c r="K8" s="11" t="s">
        <v>78</v>
      </c>
      <c r="L8" s="19" t="s">
        <v>57</v>
      </c>
      <c r="M8" s="43" t="s">
        <v>49</v>
      </c>
      <c r="N8" s="43" t="s">
        <v>50</v>
      </c>
      <c r="O8" s="43"/>
      <c r="P8" s="9"/>
      <c r="Q8" s="9"/>
      <c r="R8" s="43" t="s">
        <v>58</v>
      </c>
      <c r="S8" s="43" t="s">
        <v>58</v>
      </c>
      <c r="T8" s="43" t="s">
        <v>58</v>
      </c>
      <c r="U8" s="43" t="s">
        <v>58</v>
      </c>
      <c r="V8" s="9"/>
      <c r="W8" s="9"/>
      <c r="X8" s="43" t="s">
        <v>58</v>
      </c>
      <c r="Y8" s="45">
        <v>0</v>
      </c>
      <c r="Z8" s="9"/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33"/>
      <c r="AJ8" s="12"/>
      <c r="AK8" s="12"/>
      <c r="AL8" s="12"/>
      <c r="AM8" s="12"/>
      <c r="AN8" s="12"/>
      <c r="AO8" s="12"/>
      <c r="AP8" s="12"/>
      <c r="AQ8" s="12"/>
      <c r="AR8" s="44">
        <v>0</v>
      </c>
      <c r="AS8" s="44">
        <v>0</v>
      </c>
      <c r="AT8" s="44">
        <v>0</v>
      </c>
      <c r="AU8" s="44">
        <v>0</v>
      </c>
      <c r="AV8" s="44">
        <f t="shared" si="2"/>
        <v>0</v>
      </c>
      <c r="AW8" s="44">
        <v>0</v>
      </c>
      <c r="AX8" s="44">
        <f t="shared" si="9"/>
        <v>0</v>
      </c>
      <c r="AY8" s="13"/>
      <c r="AZ8" s="14"/>
      <c r="BA8" s="14"/>
      <c r="BB8" s="14"/>
      <c r="BC8" s="14"/>
      <c r="BD8" s="14"/>
      <c r="BE8" s="14"/>
      <c r="BF8" s="14"/>
      <c r="BG8" s="24" t="str">
        <f t="shared" si="1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9" spans="1:16379" s="16" customFormat="1" ht="15.75" x14ac:dyDescent="0.25">
      <c r="A9" s="8"/>
      <c r="B9" s="17" t="s">
        <v>56</v>
      </c>
      <c r="C9" s="9"/>
      <c r="D9" s="5"/>
      <c r="E9" s="10" t="s">
        <v>79</v>
      </c>
      <c r="F9" s="10" t="s">
        <v>80</v>
      </c>
      <c r="G9" s="10" t="s">
        <v>80</v>
      </c>
      <c r="H9" s="5"/>
      <c r="I9" s="18">
        <f>LEN(F9)</f>
        <v>6</v>
      </c>
      <c r="J9" s="18" t="str">
        <f t="shared" si="6"/>
        <v>Ошибка</v>
      </c>
      <c r="K9" s="11" t="s">
        <v>81</v>
      </c>
      <c r="L9" s="19" t="s">
        <v>57</v>
      </c>
      <c r="M9" s="43" t="s">
        <v>49</v>
      </c>
      <c r="N9" s="43" t="s">
        <v>50</v>
      </c>
      <c r="O9" s="43"/>
      <c r="P9" s="9"/>
      <c r="Q9" s="9"/>
      <c r="R9" s="43" t="s">
        <v>58</v>
      </c>
      <c r="S9" s="43" t="s">
        <v>58</v>
      </c>
      <c r="T9" s="43" t="s">
        <v>58</v>
      </c>
      <c r="U9" s="43" t="s">
        <v>58</v>
      </c>
      <c r="V9" s="9"/>
      <c r="W9" s="9"/>
      <c r="X9" s="43" t="s">
        <v>58</v>
      </c>
      <c r="Y9" s="45">
        <v>0</v>
      </c>
      <c r="Z9" s="9"/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33"/>
      <c r="AJ9" s="12"/>
      <c r="AK9" s="12"/>
      <c r="AL9" s="12"/>
      <c r="AM9" s="12"/>
      <c r="AN9" s="12"/>
      <c r="AO9" s="12"/>
      <c r="AP9" s="12"/>
      <c r="AQ9" s="12"/>
      <c r="AR9" s="44">
        <v>0</v>
      </c>
      <c r="AS9" s="44">
        <v>0</v>
      </c>
      <c r="AT9" s="44">
        <v>0</v>
      </c>
      <c r="AU9" s="44">
        <v>0</v>
      </c>
      <c r="AV9" s="44">
        <f t="shared" si="2"/>
        <v>0</v>
      </c>
      <c r="AW9" s="44">
        <v>0</v>
      </c>
      <c r="AX9" s="44">
        <f t="shared" si="9"/>
        <v>0</v>
      </c>
      <c r="AY9" s="13"/>
      <c r="AZ9" s="14"/>
      <c r="BA9" s="14"/>
      <c r="BB9" s="14"/>
      <c r="BC9" s="14"/>
      <c r="BD9" s="14"/>
      <c r="BE9" s="14"/>
      <c r="BF9" s="14"/>
      <c r="BG9" s="24" t="str">
        <f t="shared" si="10"/>
        <v>description: "Ошибка", note: "Наличие некритической ошибки", group: "measurement", minValue: null, maxValue: null, step: null, units: "null", defaultValue: null, eventRegistration: 0</v>
      </c>
    </row>
    <row r="10" spans="1:16379" s="37" customFormat="1" ht="15.75" x14ac:dyDescent="0.25">
      <c r="A10" s="36"/>
      <c r="B10" s="36"/>
      <c r="C10" s="36"/>
      <c r="D10" s="36"/>
      <c r="R10" s="1"/>
      <c r="S10" s="38"/>
      <c r="T10" s="38"/>
      <c r="U10" s="38"/>
      <c r="V10" s="38"/>
      <c r="W10" s="38"/>
      <c r="X10" s="38"/>
      <c r="Y10" s="38"/>
      <c r="Z10" s="36"/>
      <c r="AA10" s="38"/>
      <c r="AB10" s="38"/>
      <c r="AC10" s="38"/>
      <c r="AD10" s="38"/>
      <c r="AE10" s="38"/>
      <c r="AF10" s="38"/>
      <c r="AG10" s="38"/>
      <c r="AH10" s="36"/>
      <c r="AI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26"/>
      <c r="BC10" s="38"/>
      <c r="BD10" s="26"/>
      <c r="BE10" s="38"/>
      <c r="BF10" s="38"/>
      <c r="BG10" s="36"/>
      <c r="BH10" s="36"/>
    </row>
    <row r="11" spans="1:16379" s="37" customFormat="1" ht="15.75" x14ac:dyDescent="0.25">
      <c r="A11" s="36"/>
      <c r="B11" s="36"/>
      <c r="C11" s="36"/>
      <c r="D11" s="36"/>
      <c r="R11" s="1"/>
      <c r="S11" s="38"/>
      <c r="T11" s="38"/>
      <c r="U11" s="38"/>
      <c r="V11" s="38"/>
      <c r="W11" s="38"/>
      <c r="X11" s="38"/>
      <c r="Y11" s="38"/>
      <c r="Z11" s="36"/>
      <c r="AA11" s="38"/>
      <c r="AB11" s="38"/>
      <c r="AC11" s="38"/>
      <c r="AD11" s="38"/>
      <c r="AE11" s="38"/>
      <c r="AF11" s="38"/>
      <c r="AG11" s="38"/>
      <c r="AH11" s="36"/>
      <c r="AI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26"/>
      <c r="BC11" s="38"/>
      <c r="BD11" s="26"/>
      <c r="BE11" s="38"/>
      <c r="BF11" s="38"/>
      <c r="BG11" s="36"/>
      <c r="BH11" s="36"/>
    </row>
    <row r="12" spans="1:16379" s="37" customFormat="1" ht="15.75" x14ac:dyDescent="0.25">
      <c r="A12" s="36"/>
      <c r="B12" s="36"/>
      <c r="C12" s="36"/>
      <c r="D12" s="36"/>
      <c r="R12" s="1"/>
      <c r="S12" s="38"/>
      <c r="T12" s="38"/>
      <c r="U12" s="38"/>
      <c r="V12" s="38"/>
      <c r="W12" s="38"/>
      <c r="X12" s="38"/>
      <c r="Y12" s="38"/>
      <c r="Z12" s="36"/>
      <c r="AA12" s="38"/>
      <c r="AB12" s="38"/>
      <c r="AC12" s="38"/>
      <c r="AD12" s="38"/>
      <c r="AE12" s="38"/>
      <c r="AF12" s="38"/>
      <c r="AG12" s="38"/>
      <c r="AH12" s="36"/>
      <c r="AI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26"/>
      <c r="BC12" s="38"/>
      <c r="BD12" s="26"/>
      <c r="BE12" s="38"/>
      <c r="BF12" s="38"/>
      <c r="BG12" s="36"/>
      <c r="BH12" s="36"/>
    </row>
    <row r="13" spans="1:16379" s="37" customFormat="1" ht="15.75" x14ac:dyDescent="0.25">
      <c r="A13" s="36"/>
      <c r="B13" s="36"/>
      <c r="C13" s="36"/>
      <c r="D13" s="36"/>
      <c r="R13" s="1"/>
      <c r="S13" s="38"/>
      <c r="T13" s="38"/>
      <c r="U13" s="38"/>
      <c r="V13" s="38"/>
      <c r="W13" s="38"/>
      <c r="X13" s="38"/>
      <c r="Y13" s="38"/>
      <c r="Z13" s="36"/>
      <c r="AA13" s="38"/>
      <c r="AB13" s="38"/>
      <c r="AC13" s="38"/>
      <c r="AD13" s="38"/>
      <c r="AE13" s="38"/>
      <c r="AF13" s="38"/>
      <c r="AG13" s="38"/>
      <c r="AH13" s="36"/>
      <c r="AI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26"/>
      <c r="BC13" s="38"/>
      <c r="BD13" s="26"/>
      <c r="BE13" s="38"/>
      <c r="BF13" s="38"/>
      <c r="BG13" s="36"/>
      <c r="BH13" s="36"/>
    </row>
    <row r="14" spans="1:16379" s="37" customFormat="1" ht="15.75" x14ac:dyDescent="0.25">
      <c r="A14" s="36"/>
      <c r="B14" s="36"/>
      <c r="C14" s="36"/>
      <c r="D14" s="36"/>
      <c r="R14" s="1"/>
      <c r="S14" s="38"/>
      <c r="T14" s="38"/>
      <c r="U14" s="38"/>
      <c r="V14" s="38"/>
      <c r="W14" s="38"/>
      <c r="X14" s="38"/>
      <c r="Y14" s="38"/>
      <c r="Z14" s="36"/>
      <c r="AA14" s="38"/>
      <c r="AB14" s="38"/>
      <c r="AC14" s="38"/>
      <c r="AD14" s="38"/>
      <c r="AE14" s="38"/>
      <c r="AF14" s="38"/>
      <c r="AG14" s="38"/>
      <c r="AH14" s="36"/>
      <c r="AI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26"/>
      <c r="BC14" s="38"/>
      <c r="BD14" s="26"/>
      <c r="BE14" s="38"/>
      <c r="BF14" s="38"/>
      <c r="BG14" s="36"/>
      <c r="BH14" s="36"/>
    </row>
    <row r="15" spans="1:16379" s="37" customFormat="1" ht="15.75" x14ac:dyDescent="0.25">
      <c r="A15" s="36"/>
      <c r="B15" s="36"/>
      <c r="C15" s="36"/>
      <c r="D15" s="36"/>
      <c r="R15" s="1"/>
      <c r="S15" s="38"/>
      <c r="T15" s="38"/>
      <c r="U15" s="38"/>
      <c r="V15" s="38"/>
      <c r="W15" s="38"/>
      <c r="X15" s="38"/>
      <c r="Y15" s="38"/>
      <c r="Z15" s="36"/>
      <c r="AA15" s="38"/>
      <c r="AB15" s="38"/>
      <c r="AC15" s="38"/>
      <c r="AD15" s="38"/>
      <c r="AE15" s="38"/>
      <c r="AF15" s="38"/>
      <c r="AG15" s="38"/>
      <c r="AH15" s="36"/>
      <c r="AI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26"/>
      <c r="BC15" s="38"/>
      <c r="BD15" s="26"/>
      <c r="BE15" s="38"/>
      <c r="BF15" s="38"/>
      <c r="BG15" s="36"/>
      <c r="BH15" s="36"/>
    </row>
    <row r="16" spans="1:16379" s="37" customFormat="1" ht="15.75" x14ac:dyDescent="0.25">
      <c r="A16" s="36"/>
      <c r="B16" s="36"/>
      <c r="C16" s="36"/>
      <c r="D16" s="36"/>
      <c r="R16" s="1"/>
      <c r="S16" s="38"/>
      <c r="T16" s="38"/>
      <c r="U16" s="38"/>
      <c r="V16" s="38"/>
      <c r="W16" s="38"/>
      <c r="X16" s="38"/>
      <c r="Y16" s="38"/>
      <c r="Z16" s="36"/>
      <c r="AA16" s="38"/>
      <c r="AB16" s="38"/>
      <c r="AC16" s="38"/>
      <c r="AD16" s="38"/>
      <c r="AE16" s="38"/>
      <c r="AF16" s="38"/>
      <c r="AG16" s="38"/>
      <c r="AH16" s="36"/>
      <c r="AI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26"/>
      <c r="BC16" s="38"/>
      <c r="BD16" s="26"/>
      <c r="BE16" s="38"/>
      <c r="BF16" s="38"/>
      <c r="BG16" s="36"/>
      <c r="BH16" s="36"/>
    </row>
    <row r="17" spans="1:60" s="37" customFormat="1" ht="15.75" x14ac:dyDescent="0.25">
      <c r="A17" s="36"/>
      <c r="B17" s="36"/>
      <c r="C17" s="36"/>
      <c r="D17" s="36"/>
      <c r="R17" s="1"/>
      <c r="S17" s="38"/>
      <c r="T17" s="38"/>
      <c r="U17" s="38"/>
      <c r="V17" s="38"/>
      <c r="W17" s="38"/>
      <c r="X17" s="38"/>
      <c r="Y17" s="38"/>
      <c r="Z17" s="36"/>
      <c r="AA17" s="38"/>
      <c r="AB17" s="38"/>
      <c r="AC17" s="38"/>
      <c r="AD17" s="38"/>
      <c r="AE17" s="38"/>
      <c r="AF17" s="38"/>
      <c r="AG17" s="38"/>
      <c r="AH17" s="36"/>
      <c r="AI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26"/>
      <c r="BC17" s="38"/>
      <c r="BD17" s="26"/>
      <c r="BE17" s="38"/>
      <c r="BF17" s="38"/>
      <c r="BG17" s="36"/>
      <c r="BH17" s="36"/>
    </row>
    <row r="18" spans="1:60" s="37" customFormat="1" ht="15.75" x14ac:dyDescent="0.25">
      <c r="A18" s="36"/>
      <c r="B18" s="36"/>
      <c r="C18" s="36"/>
      <c r="D18" s="36"/>
      <c r="R18" s="1"/>
      <c r="S18" s="38"/>
      <c r="T18" s="38"/>
      <c r="U18" s="38"/>
      <c r="V18" s="38"/>
      <c r="W18" s="38"/>
      <c r="X18" s="38"/>
      <c r="Y18" s="38"/>
      <c r="Z18" s="36"/>
      <c r="AA18" s="38"/>
      <c r="AB18" s="38"/>
      <c r="AC18" s="38"/>
      <c r="AD18" s="38"/>
      <c r="AE18" s="38"/>
      <c r="AF18" s="38"/>
      <c r="AG18" s="38"/>
      <c r="AH18" s="36"/>
      <c r="AI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26"/>
      <c r="BC18" s="38"/>
      <c r="BD18" s="26"/>
      <c r="BE18" s="38"/>
      <c r="BF18" s="38"/>
      <c r="BG18" s="36"/>
      <c r="BH18" s="36"/>
    </row>
    <row r="19" spans="1:60" s="37" customFormat="1" ht="15.75" x14ac:dyDescent="0.25">
      <c r="A19" s="36"/>
      <c r="B19" s="36"/>
      <c r="C19" s="36"/>
      <c r="D19" s="36"/>
      <c r="R19" s="1"/>
      <c r="S19" s="38"/>
      <c r="T19" s="38"/>
      <c r="U19" s="38"/>
      <c r="V19" s="38"/>
      <c r="W19" s="38"/>
      <c r="X19" s="38"/>
      <c r="Y19" s="38"/>
      <c r="Z19" s="36"/>
      <c r="AA19" s="38"/>
      <c r="AB19" s="38"/>
      <c r="AC19" s="38"/>
      <c r="AD19" s="38"/>
      <c r="AE19" s="38"/>
      <c r="AF19" s="38"/>
      <c r="AG19" s="38"/>
      <c r="AH19" s="36"/>
      <c r="AI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26"/>
      <c r="BC19" s="38"/>
      <c r="BD19" s="26"/>
      <c r="BE19" s="38"/>
      <c r="BF19" s="38"/>
      <c r="BG19" s="36"/>
      <c r="BH19" s="36"/>
    </row>
    <row r="20" spans="1:60" s="37" customFormat="1" ht="15.75" x14ac:dyDescent="0.25">
      <c r="A20" s="36"/>
      <c r="B20" s="36"/>
      <c r="C20" s="36"/>
      <c r="D20" s="36"/>
      <c r="R20" s="1"/>
      <c r="S20" s="38"/>
      <c r="T20" s="38"/>
      <c r="U20" s="38"/>
      <c r="V20" s="38"/>
      <c r="W20" s="38"/>
      <c r="X20" s="38"/>
      <c r="Y20" s="38"/>
      <c r="Z20" s="36"/>
      <c r="AA20" s="38"/>
      <c r="AB20" s="38"/>
      <c r="AC20" s="38"/>
      <c r="AD20" s="38"/>
      <c r="AE20" s="38"/>
      <c r="AF20" s="38"/>
      <c r="AG20" s="38"/>
      <c r="AH20" s="36"/>
      <c r="AI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26"/>
      <c r="BC20" s="38"/>
      <c r="BD20" s="26"/>
      <c r="BE20" s="38"/>
      <c r="BF20" s="38"/>
      <c r="BG20" s="36"/>
      <c r="BH20" s="36"/>
    </row>
    <row r="21" spans="1:60" s="37" customFormat="1" ht="15.75" x14ac:dyDescent="0.25">
      <c r="A21" s="36"/>
      <c r="B21" s="36"/>
      <c r="C21" s="36"/>
      <c r="D21" s="36"/>
      <c r="R21" s="1"/>
      <c r="S21" s="38"/>
      <c r="T21" s="38"/>
      <c r="U21" s="38"/>
      <c r="V21" s="38"/>
      <c r="W21" s="38"/>
      <c r="X21" s="38"/>
      <c r="Y21" s="38"/>
      <c r="Z21" s="36"/>
      <c r="AA21" s="38"/>
      <c r="AB21" s="38"/>
      <c r="AC21" s="38"/>
      <c r="AD21" s="38"/>
      <c r="AE21" s="38"/>
      <c r="AF21" s="38"/>
      <c r="AG21" s="38"/>
      <c r="AH21" s="36"/>
      <c r="AI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26"/>
      <c r="BC21" s="38"/>
      <c r="BD21" s="26"/>
      <c r="BE21" s="38"/>
      <c r="BF21" s="38"/>
      <c r="BG21" s="36"/>
      <c r="BH21" s="36"/>
    </row>
    <row r="22" spans="1:60" s="37" customFormat="1" ht="15.75" x14ac:dyDescent="0.25">
      <c r="A22" s="36"/>
      <c r="B22" s="36"/>
      <c r="C22" s="36"/>
      <c r="D22" s="36"/>
      <c r="R22" s="1"/>
      <c r="S22" s="38"/>
      <c r="T22" s="38"/>
      <c r="U22" s="38"/>
      <c r="V22" s="38"/>
      <c r="W22" s="38"/>
      <c r="X22" s="38"/>
      <c r="Y22" s="38"/>
      <c r="Z22" s="36"/>
      <c r="AA22" s="38"/>
      <c r="AB22" s="38"/>
      <c r="AC22" s="38"/>
      <c r="AD22" s="38"/>
      <c r="AE22" s="38"/>
      <c r="AF22" s="38"/>
      <c r="AG22" s="38"/>
      <c r="AH22" s="36"/>
      <c r="AI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26"/>
      <c r="BC22" s="38"/>
      <c r="BD22" s="26"/>
      <c r="BE22" s="38"/>
      <c r="BF22" s="38"/>
      <c r="BG22" s="36"/>
      <c r="BH22" s="36"/>
    </row>
    <row r="23" spans="1:60" s="37" customFormat="1" ht="15.75" x14ac:dyDescent="0.25">
      <c r="A23" s="36"/>
      <c r="B23" s="36"/>
      <c r="C23" s="36"/>
      <c r="D23" s="36"/>
      <c r="R23" s="1"/>
      <c r="S23" s="38"/>
      <c r="T23" s="38"/>
      <c r="U23" s="38"/>
      <c r="V23" s="38"/>
      <c r="W23" s="38"/>
      <c r="X23" s="38"/>
      <c r="Y23" s="38"/>
      <c r="Z23" s="36"/>
      <c r="AA23" s="38"/>
      <c r="AB23" s="38"/>
      <c r="AC23" s="38"/>
      <c r="AD23" s="38"/>
      <c r="AE23" s="38"/>
      <c r="AF23" s="38"/>
      <c r="AG23" s="38"/>
      <c r="AH23" s="36"/>
      <c r="AI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26"/>
      <c r="BC23" s="38"/>
      <c r="BD23" s="26"/>
      <c r="BE23" s="38"/>
      <c r="BF23" s="38"/>
      <c r="BG23" s="36"/>
      <c r="BH23" s="36"/>
    </row>
    <row r="24" spans="1:60" s="37" customFormat="1" ht="15.75" x14ac:dyDescent="0.25">
      <c r="A24" s="36"/>
      <c r="B24" s="36"/>
      <c r="C24" s="36"/>
      <c r="D24" s="36"/>
      <c r="R24" s="1"/>
      <c r="S24" s="38"/>
      <c r="T24" s="38"/>
      <c r="U24" s="38"/>
      <c r="V24" s="38"/>
      <c r="W24" s="38"/>
      <c r="X24" s="38"/>
      <c r="Y24" s="38"/>
      <c r="Z24" s="36"/>
      <c r="AA24" s="38"/>
      <c r="AB24" s="38"/>
      <c r="AC24" s="38"/>
      <c r="AD24" s="38"/>
      <c r="AE24" s="38"/>
      <c r="AF24" s="38"/>
      <c r="AG24" s="38"/>
      <c r="AH24" s="36"/>
      <c r="AI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26"/>
      <c r="BC24" s="38"/>
      <c r="BD24" s="26"/>
      <c r="BE24" s="38"/>
      <c r="BF24" s="38"/>
      <c r="BG24" s="36"/>
      <c r="BH24" s="36"/>
    </row>
    <row r="25" spans="1:60" s="37" customFormat="1" ht="15.75" x14ac:dyDescent="0.25">
      <c r="A25" s="36"/>
      <c r="B25" s="36"/>
      <c r="C25" s="36"/>
      <c r="D25" s="36"/>
      <c r="R25" s="1"/>
      <c r="S25" s="38"/>
      <c r="T25" s="38"/>
      <c r="U25" s="38"/>
      <c r="V25" s="38"/>
      <c r="W25" s="38"/>
      <c r="X25" s="38"/>
      <c r="Y25" s="38"/>
      <c r="Z25" s="36"/>
      <c r="AA25" s="38"/>
      <c r="AB25" s="38"/>
      <c r="AC25" s="38"/>
      <c r="AD25" s="38"/>
      <c r="AE25" s="38"/>
      <c r="AF25" s="38"/>
      <c r="AG25" s="38"/>
      <c r="AH25" s="36"/>
      <c r="AI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26"/>
      <c r="BC25" s="38"/>
      <c r="BD25" s="26"/>
      <c r="BE25" s="38"/>
      <c r="BF25" s="38"/>
      <c r="BG25" s="36"/>
      <c r="BH25" s="36"/>
    </row>
    <row r="26" spans="1:60" s="37" customFormat="1" ht="15.75" x14ac:dyDescent="0.25">
      <c r="A26" s="36"/>
      <c r="B26" s="36"/>
      <c r="C26" s="36"/>
      <c r="D26" s="36"/>
      <c r="R26" s="1"/>
      <c r="S26" s="38"/>
      <c r="T26" s="38"/>
      <c r="U26" s="38"/>
      <c r="V26" s="38"/>
      <c r="W26" s="38"/>
      <c r="X26" s="38"/>
      <c r="Y26" s="38"/>
      <c r="Z26" s="36"/>
      <c r="AA26" s="38"/>
      <c r="AB26" s="38"/>
      <c r="AC26" s="38"/>
      <c r="AD26" s="38"/>
      <c r="AE26" s="38"/>
      <c r="AF26" s="38"/>
      <c r="AG26" s="38"/>
      <c r="AH26" s="36"/>
      <c r="AI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26"/>
      <c r="BC26" s="38"/>
      <c r="BD26" s="26"/>
      <c r="BE26" s="38"/>
      <c r="BF26" s="38"/>
      <c r="BG26" s="36"/>
      <c r="BH26" s="36"/>
    </row>
    <row r="27" spans="1:60" s="37" customFormat="1" ht="15.75" x14ac:dyDescent="0.25">
      <c r="A27" s="36"/>
      <c r="B27" s="36"/>
      <c r="C27" s="36"/>
      <c r="D27" s="36"/>
      <c r="R27" s="1"/>
      <c r="S27" s="38"/>
      <c r="T27" s="38"/>
      <c r="U27" s="38"/>
      <c r="V27" s="38"/>
      <c r="W27" s="38"/>
      <c r="X27" s="38"/>
      <c r="Y27" s="38"/>
      <c r="Z27" s="36"/>
      <c r="AA27" s="38"/>
      <c r="AB27" s="38"/>
      <c r="AC27" s="38"/>
      <c r="AD27" s="38"/>
      <c r="AE27" s="38"/>
      <c r="AF27" s="38"/>
      <c r="AG27" s="38"/>
      <c r="AH27" s="36"/>
      <c r="AI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26"/>
      <c r="BC27" s="38"/>
      <c r="BD27" s="26"/>
      <c r="BE27" s="38"/>
      <c r="BF27" s="38"/>
      <c r="BG27" s="36"/>
      <c r="BH27" s="36"/>
    </row>
    <row r="28" spans="1:60" s="37" customFormat="1" ht="15.75" x14ac:dyDescent="0.25">
      <c r="A28" s="36"/>
      <c r="B28" s="36"/>
      <c r="C28" s="36"/>
      <c r="D28" s="36"/>
      <c r="R28" s="1"/>
      <c r="S28" s="38"/>
      <c r="T28" s="38"/>
      <c r="U28" s="38"/>
      <c r="V28" s="38"/>
      <c r="W28" s="38"/>
      <c r="X28" s="38"/>
      <c r="Y28" s="38"/>
      <c r="Z28" s="36"/>
      <c r="AA28" s="38"/>
      <c r="AB28" s="38"/>
      <c r="AC28" s="38"/>
      <c r="AD28" s="38"/>
      <c r="AE28" s="38"/>
      <c r="AF28" s="38"/>
      <c r="AG28" s="38"/>
      <c r="AH28" s="36"/>
      <c r="AI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26"/>
      <c r="BC28" s="38"/>
      <c r="BD28" s="26"/>
      <c r="BE28" s="38"/>
      <c r="BF28" s="38"/>
      <c r="BG28" s="36"/>
      <c r="BH28" s="36"/>
    </row>
    <row r="29" spans="1:60" s="37" customFormat="1" ht="15.75" x14ac:dyDescent="0.25">
      <c r="A29" s="36"/>
      <c r="B29" s="36"/>
      <c r="C29" s="36"/>
      <c r="D29" s="36"/>
      <c r="R29" s="1"/>
      <c r="S29" s="38"/>
      <c r="T29" s="38"/>
      <c r="U29" s="38"/>
      <c r="V29" s="38"/>
      <c r="W29" s="38"/>
      <c r="X29" s="38"/>
      <c r="Y29" s="38"/>
      <c r="Z29" s="36"/>
      <c r="AA29" s="38"/>
      <c r="AB29" s="38"/>
      <c r="AC29" s="38"/>
      <c r="AD29" s="38"/>
      <c r="AE29" s="38"/>
      <c r="AF29" s="38"/>
      <c r="AG29" s="38"/>
      <c r="AH29" s="36"/>
      <c r="AI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26"/>
      <c r="BC29" s="38"/>
      <c r="BD29" s="26"/>
      <c r="BE29" s="38"/>
      <c r="BF29" s="38"/>
      <c r="BG29" s="36"/>
      <c r="BH29" s="36"/>
    </row>
    <row r="30" spans="1:60" s="37" customFormat="1" ht="15.75" x14ac:dyDescent="0.25">
      <c r="A30" s="36"/>
      <c r="B30" s="36"/>
      <c r="C30" s="36"/>
      <c r="D30" s="36"/>
      <c r="R30" s="1"/>
      <c r="S30" s="38"/>
      <c r="T30" s="38"/>
      <c r="U30" s="38"/>
      <c r="V30" s="38"/>
      <c r="W30" s="38"/>
      <c r="X30" s="38"/>
      <c r="Y30" s="38"/>
      <c r="Z30" s="36"/>
      <c r="AA30" s="38"/>
      <c r="AB30" s="38"/>
      <c r="AC30" s="38"/>
      <c r="AD30" s="38"/>
      <c r="AE30" s="38"/>
      <c r="AF30" s="38"/>
      <c r="AG30" s="38"/>
      <c r="AH30" s="36"/>
      <c r="AI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26"/>
      <c r="BC30" s="38"/>
      <c r="BD30" s="26"/>
      <c r="BE30" s="38"/>
      <c r="BF30" s="38"/>
      <c r="BG30" s="36"/>
      <c r="BH30" s="36"/>
    </row>
    <row r="31" spans="1:60" s="37" customFormat="1" ht="15.75" x14ac:dyDescent="0.25">
      <c r="A31" s="36"/>
      <c r="B31" s="36"/>
      <c r="C31" s="36"/>
      <c r="D31" s="36"/>
      <c r="R31" s="1"/>
      <c r="S31" s="38"/>
      <c r="T31" s="38"/>
      <c r="U31" s="38"/>
      <c r="V31" s="38"/>
      <c r="W31" s="38"/>
      <c r="X31" s="38"/>
      <c r="Y31" s="38"/>
      <c r="Z31" s="36"/>
      <c r="AA31" s="38"/>
      <c r="AB31" s="38"/>
      <c r="AC31" s="38"/>
      <c r="AD31" s="38"/>
      <c r="AE31" s="38"/>
      <c r="AF31" s="38"/>
      <c r="AG31" s="38"/>
      <c r="AH31" s="36"/>
      <c r="AI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26"/>
      <c r="BC31" s="38"/>
      <c r="BD31" s="26"/>
      <c r="BE31" s="38"/>
      <c r="BF31" s="38"/>
      <c r="BG31" s="36"/>
      <c r="BH31" s="36"/>
    </row>
    <row r="32" spans="1:60" s="37" customFormat="1" ht="15.75" x14ac:dyDescent="0.25">
      <c r="A32" s="36"/>
      <c r="B32" s="36"/>
      <c r="C32" s="36"/>
      <c r="D32" s="36"/>
      <c r="R32" s="1"/>
      <c r="S32" s="38"/>
      <c r="T32" s="38"/>
      <c r="U32" s="38"/>
      <c r="V32" s="38"/>
      <c r="W32" s="38"/>
      <c r="X32" s="38"/>
      <c r="Y32" s="38"/>
      <c r="Z32" s="36"/>
      <c r="AA32" s="38"/>
      <c r="AB32" s="38"/>
      <c r="AC32" s="38"/>
      <c r="AD32" s="38"/>
      <c r="AE32" s="38"/>
      <c r="AF32" s="38"/>
      <c r="AG32" s="38"/>
      <c r="AH32" s="36"/>
      <c r="AI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26"/>
      <c r="BC32" s="38"/>
      <c r="BD32" s="26"/>
      <c r="BE32" s="38"/>
      <c r="BF32" s="38"/>
      <c r="BG32" s="36"/>
      <c r="BH32" s="36"/>
    </row>
    <row r="33" spans="1:60" s="37" customFormat="1" ht="15.75" x14ac:dyDescent="0.25">
      <c r="A33" s="36"/>
      <c r="B33" s="36"/>
      <c r="C33" s="36"/>
      <c r="D33" s="36"/>
      <c r="R33" s="1"/>
      <c r="S33" s="38"/>
      <c r="T33" s="38"/>
      <c r="U33" s="38"/>
      <c r="V33" s="38"/>
      <c r="W33" s="38"/>
      <c r="X33" s="38"/>
      <c r="Y33" s="38"/>
      <c r="Z33" s="36"/>
      <c r="AA33" s="38"/>
      <c r="AB33" s="38"/>
      <c r="AC33" s="38"/>
      <c r="AD33" s="38"/>
      <c r="AE33" s="38"/>
      <c r="AF33" s="38"/>
      <c r="AG33" s="38"/>
      <c r="AH33" s="36"/>
      <c r="AI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26"/>
      <c r="BC33" s="38"/>
      <c r="BD33" s="26"/>
      <c r="BE33" s="38"/>
      <c r="BF33" s="38"/>
      <c r="BG33" s="36"/>
      <c r="BH33" s="36"/>
    </row>
    <row r="34" spans="1:60" s="37" customFormat="1" ht="15.75" x14ac:dyDescent="0.25">
      <c r="A34" s="36"/>
      <c r="B34" s="36"/>
      <c r="C34" s="36"/>
      <c r="D34" s="36"/>
      <c r="R34" s="1"/>
      <c r="S34" s="38"/>
      <c r="T34" s="38"/>
      <c r="U34" s="38"/>
      <c r="V34" s="38"/>
      <c r="W34" s="38"/>
      <c r="X34" s="38"/>
      <c r="Y34" s="38"/>
      <c r="Z34" s="36"/>
      <c r="AA34" s="38"/>
      <c r="AB34" s="38"/>
      <c r="AC34" s="38"/>
      <c r="AD34" s="38"/>
      <c r="AE34" s="38"/>
      <c r="AF34" s="38"/>
      <c r="AG34" s="38"/>
      <c r="AH34" s="36"/>
      <c r="AI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26"/>
      <c r="BC34" s="38"/>
      <c r="BD34" s="26"/>
      <c r="BE34" s="38"/>
      <c r="BF34" s="38"/>
      <c r="BG34" s="36"/>
      <c r="BH34" s="36"/>
    </row>
    <row r="35" spans="1:60" s="37" customFormat="1" ht="15.75" x14ac:dyDescent="0.25">
      <c r="A35" s="36"/>
      <c r="B35" s="36"/>
      <c r="C35" s="36"/>
      <c r="D35" s="36"/>
      <c r="R35" s="1"/>
      <c r="S35" s="38"/>
      <c r="T35" s="38"/>
      <c r="U35" s="38"/>
      <c r="V35" s="38"/>
      <c r="W35" s="38"/>
      <c r="X35" s="38"/>
      <c r="Y35" s="38"/>
      <c r="Z35" s="36"/>
      <c r="AA35" s="38"/>
      <c r="AB35" s="38"/>
      <c r="AC35" s="38"/>
      <c r="AD35" s="38"/>
      <c r="AE35" s="38"/>
      <c r="AF35" s="38"/>
      <c r="AG35" s="38"/>
      <c r="AH35" s="36"/>
      <c r="AI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26"/>
      <c r="BC35" s="38"/>
      <c r="BD35" s="26"/>
      <c r="BE35" s="38"/>
      <c r="BF35" s="38"/>
      <c r="BG35" s="36"/>
      <c r="BH35" s="36"/>
    </row>
    <row r="36" spans="1:60" s="37" customFormat="1" ht="15.75" x14ac:dyDescent="0.25">
      <c r="A36" s="36"/>
      <c r="B36" s="36"/>
      <c r="C36" s="36"/>
      <c r="D36" s="36"/>
      <c r="R36" s="1"/>
      <c r="S36" s="38"/>
      <c r="T36" s="38"/>
      <c r="U36" s="38"/>
      <c r="V36" s="38"/>
      <c r="W36" s="38"/>
      <c r="X36" s="38"/>
      <c r="Y36" s="38"/>
      <c r="Z36" s="36"/>
      <c r="AA36" s="38"/>
      <c r="AB36" s="38"/>
      <c r="AC36" s="38"/>
      <c r="AD36" s="38"/>
      <c r="AE36" s="38"/>
      <c r="AF36" s="38"/>
      <c r="AG36" s="38"/>
      <c r="AH36" s="36"/>
      <c r="AI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26"/>
      <c r="BC36" s="38"/>
      <c r="BD36" s="26"/>
      <c r="BE36" s="38"/>
      <c r="BF36" s="38"/>
      <c r="BG36" s="36"/>
      <c r="BH36" s="36"/>
    </row>
    <row r="37" spans="1:60" s="37" customFormat="1" ht="15.75" x14ac:dyDescent="0.25">
      <c r="A37" s="36"/>
      <c r="B37" s="36"/>
      <c r="C37" s="36"/>
      <c r="D37" s="36"/>
      <c r="R37" s="1"/>
      <c r="S37" s="38"/>
      <c r="T37" s="38"/>
      <c r="U37" s="38"/>
      <c r="V37" s="38"/>
      <c r="W37" s="38"/>
      <c r="X37" s="38"/>
      <c r="Y37" s="38"/>
      <c r="Z37" s="36"/>
      <c r="AA37" s="38"/>
      <c r="AB37" s="38"/>
      <c r="AC37" s="38"/>
      <c r="AD37" s="38"/>
      <c r="AE37" s="38"/>
      <c r="AF37" s="38"/>
      <c r="AG37" s="38"/>
      <c r="AH37" s="36"/>
      <c r="AI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26"/>
      <c r="BC37" s="38"/>
      <c r="BD37" s="26"/>
      <c r="BE37" s="38"/>
      <c r="BF37" s="38"/>
      <c r="BG37" s="36"/>
      <c r="BH37" s="36"/>
    </row>
    <row r="38" spans="1:60" s="37" customFormat="1" ht="15.75" x14ac:dyDescent="0.25">
      <c r="A38" s="36"/>
      <c r="B38" s="36"/>
      <c r="C38" s="36"/>
      <c r="D38" s="36"/>
      <c r="R38" s="1"/>
      <c r="S38" s="38"/>
      <c r="T38" s="38"/>
      <c r="U38" s="38"/>
      <c r="V38" s="38"/>
      <c r="W38" s="38"/>
      <c r="X38" s="38"/>
      <c r="Y38" s="38"/>
      <c r="Z38" s="36"/>
      <c r="AA38" s="38"/>
      <c r="AB38" s="38"/>
      <c r="AC38" s="38"/>
      <c r="AD38" s="38"/>
      <c r="AE38" s="38"/>
      <c r="AF38" s="38"/>
      <c r="AG38" s="38"/>
      <c r="AH38" s="36"/>
      <c r="AI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26"/>
      <c r="BC38" s="38"/>
      <c r="BD38" s="26"/>
      <c r="BE38" s="38"/>
      <c r="BF38" s="38"/>
      <c r="BG38" s="36"/>
      <c r="BH38" s="36"/>
    </row>
    <row r="39" spans="1:60" s="37" customFormat="1" ht="15.75" x14ac:dyDescent="0.25">
      <c r="A39" s="36"/>
      <c r="B39" s="36"/>
      <c r="C39" s="36"/>
      <c r="D39" s="36"/>
      <c r="R39" s="1"/>
      <c r="S39" s="38"/>
      <c r="T39" s="38"/>
      <c r="U39" s="38"/>
      <c r="V39" s="38"/>
      <c r="W39" s="38"/>
      <c r="X39" s="38"/>
      <c r="Y39" s="38"/>
      <c r="Z39" s="36"/>
      <c r="AA39" s="38"/>
      <c r="AB39" s="38"/>
      <c r="AC39" s="38"/>
      <c r="AD39" s="38"/>
      <c r="AE39" s="38"/>
      <c r="AF39" s="38"/>
      <c r="AG39" s="38"/>
      <c r="AH39" s="36"/>
      <c r="AI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26"/>
      <c r="BC39" s="38"/>
      <c r="BD39" s="26"/>
      <c r="BE39" s="38"/>
      <c r="BF39" s="38"/>
      <c r="BG39" s="36"/>
      <c r="BH39" s="36"/>
    </row>
    <row r="40" spans="1:60" s="37" customFormat="1" ht="15.75" x14ac:dyDescent="0.25">
      <c r="A40" s="36"/>
      <c r="B40" s="36"/>
      <c r="C40" s="36"/>
      <c r="D40" s="36"/>
      <c r="R40" s="1"/>
      <c r="S40" s="38"/>
      <c r="T40" s="38"/>
      <c r="U40" s="38"/>
      <c r="V40" s="38"/>
      <c r="W40" s="38"/>
      <c r="X40" s="38"/>
      <c r="Y40" s="38"/>
      <c r="Z40" s="36"/>
      <c r="AA40" s="38"/>
      <c r="AB40" s="38"/>
      <c r="AC40" s="38"/>
      <c r="AD40" s="38"/>
      <c r="AE40" s="38"/>
      <c r="AF40" s="38"/>
      <c r="AG40" s="38"/>
      <c r="AH40" s="36"/>
      <c r="AI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26"/>
      <c r="BC40" s="38"/>
      <c r="BD40" s="26"/>
      <c r="BE40" s="38"/>
      <c r="BF40" s="38"/>
      <c r="BG40" s="36"/>
      <c r="BH40" s="36"/>
    </row>
    <row r="41" spans="1:60" s="37" customFormat="1" ht="15.75" x14ac:dyDescent="0.25">
      <c r="A41" s="36"/>
      <c r="B41" s="36"/>
      <c r="C41" s="36"/>
      <c r="D41" s="36"/>
      <c r="R41" s="1"/>
      <c r="S41" s="38"/>
      <c r="T41" s="38"/>
      <c r="U41" s="38"/>
      <c r="V41" s="38"/>
      <c r="W41" s="38"/>
      <c r="X41" s="38"/>
      <c r="Y41" s="38"/>
      <c r="Z41" s="36"/>
      <c r="AA41" s="38"/>
      <c r="AB41" s="38"/>
      <c r="AC41" s="38"/>
      <c r="AD41" s="38"/>
      <c r="AE41" s="38"/>
      <c r="AF41" s="38"/>
      <c r="AG41" s="38"/>
      <c r="AH41" s="36"/>
      <c r="AI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26"/>
      <c r="BC41" s="38"/>
      <c r="BD41" s="26"/>
      <c r="BE41" s="38"/>
      <c r="BF41" s="38"/>
      <c r="BG41" s="36"/>
      <c r="BH41" s="36"/>
    </row>
    <row r="42" spans="1:60" s="37" customFormat="1" ht="15.75" x14ac:dyDescent="0.25">
      <c r="A42" s="36"/>
      <c r="B42" s="36"/>
      <c r="C42" s="36"/>
      <c r="D42" s="36"/>
      <c r="R42" s="1"/>
      <c r="S42" s="38"/>
      <c r="T42" s="38"/>
      <c r="U42" s="38"/>
      <c r="V42" s="38"/>
      <c r="W42" s="38"/>
      <c r="X42" s="38"/>
      <c r="Y42" s="38"/>
      <c r="Z42" s="36"/>
      <c r="AA42" s="38"/>
      <c r="AB42" s="38"/>
      <c r="AC42" s="38"/>
      <c r="AD42" s="38"/>
      <c r="AE42" s="38"/>
      <c r="AF42" s="38"/>
      <c r="AG42" s="38"/>
      <c r="AH42" s="36"/>
      <c r="AI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26"/>
      <c r="BC42" s="38"/>
      <c r="BD42" s="26"/>
      <c r="BE42" s="38"/>
      <c r="BF42" s="38"/>
      <c r="BG42" s="36"/>
      <c r="BH42" s="36"/>
    </row>
    <row r="43" spans="1:60" s="37" customFormat="1" ht="15.75" x14ac:dyDescent="0.25">
      <c r="A43" s="36"/>
      <c r="B43" s="36"/>
      <c r="C43" s="36"/>
      <c r="D43" s="36"/>
      <c r="R43" s="1"/>
      <c r="S43" s="38"/>
      <c r="T43" s="38"/>
      <c r="U43" s="38"/>
      <c r="V43" s="38"/>
      <c r="W43" s="38"/>
      <c r="X43" s="38"/>
      <c r="Y43" s="38"/>
      <c r="Z43" s="36"/>
      <c r="AA43" s="38"/>
      <c r="AB43" s="38"/>
      <c r="AC43" s="38"/>
      <c r="AD43" s="38"/>
      <c r="AE43" s="38"/>
      <c r="AF43" s="38"/>
      <c r="AG43" s="38"/>
      <c r="AH43" s="36"/>
      <c r="AI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26"/>
      <c r="BC43" s="38"/>
      <c r="BD43" s="26"/>
      <c r="BE43" s="38"/>
      <c r="BF43" s="38"/>
      <c r="BG43" s="36"/>
      <c r="BH43" s="36"/>
    </row>
    <row r="44" spans="1:60" s="37" customFormat="1" ht="15.75" x14ac:dyDescent="0.25">
      <c r="A44" s="36"/>
      <c r="B44" s="36"/>
      <c r="C44" s="36"/>
      <c r="D44" s="36"/>
      <c r="R44" s="1"/>
      <c r="S44" s="38"/>
      <c r="T44" s="38"/>
      <c r="U44" s="38"/>
      <c r="V44" s="38"/>
      <c r="W44" s="38"/>
      <c r="X44" s="38"/>
      <c r="Y44" s="38"/>
      <c r="Z44" s="36"/>
      <c r="AA44" s="38"/>
      <c r="AB44" s="38"/>
      <c r="AC44" s="38"/>
      <c r="AD44" s="38"/>
      <c r="AE44" s="38"/>
      <c r="AF44" s="38"/>
      <c r="AG44" s="38"/>
      <c r="AH44" s="36"/>
      <c r="AI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26"/>
      <c r="BC44" s="38"/>
      <c r="BD44" s="26"/>
      <c r="BE44" s="38"/>
      <c r="BF44" s="38"/>
      <c r="BG44" s="36"/>
      <c r="BH44" s="36"/>
    </row>
    <row r="45" spans="1:60" s="37" customFormat="1" ht="15.75" x14ac:dyDescent="0.25">
      <c r="A45" s="36"/>
      <c r="B45" s="36"/>
      <c r="C45" s="36"/>
      <c r="D45" s="36"/>
      <c r="R45" s="1"/>
      <c r="S45" s="38"/>
      <c r="T45" s="38"/>
      <c r="U45" s="38"/>
      <c r="V45" s="38"/>
      <c r="W45" s="38"/>
      <c r="X45" s="38"/>
      <c r="Y45" s="38"/>
      <c r="Z45" s="36"/>
      <c r="AA45" s="38"/>
      <c r="AB45" s="38"/>
      <c r="AC45" s="38"/>
      <c r="AD45" s="38"/>
      <c r="AE45" s="38"/>
      <c r="AF45" s="38"/>
      <c r="AG45" s="38"/>
      <c r="AH45" s="36"/>
      <c r="AI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26"/>
      <c r="BC45" s="38"/>
      <c r="BD45" s="26"/>
      <c r="BE45" s="38"/>
      <c r="BF45" s="38"/>
      <c r="BG45" s="36"/>
      <c r="BH45" s="36"/>
    </row>
    <row r="46" spans="1:60" s="37" customFormat="1" ht="15.75" x14ac:dyDescent="0.25">
      <c r="A46" s="36"/>
      <c r="B46" s="36"/>
      <c r="C46" s="36"/>
      <c r="D46" s="36"/>
      <c r="R46" s="1"/>
      <c r="S46" s="38"/>
      <c r="T46" s="38"/>
      <c r="U46" s="38"/>
      <c r="V46" s="38"/>
      <c r="W46" s="38"/>
      <c r="X46" s="38"/>
      <c r="Y46" s="38"/>
      <c r="Z46" s="36"/>
      <c r="AA46" s="38"/>
      <c r="AB46" s="38"/>
      <c r="AC46" s="38"/>
      <c r="AD46" s="38"/>
      <c r="AE46" s="38"/>
      <c r="AF46" s="38"/>
      <c r="AG46" s="38"/>
      <c r="AH46" s="36"/>
      <c r="AI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26"/>
      <c r="BC46" s="38"/>
      <c r="BD46" s="26"/>
      <c r="BE46" s="38"/>
      <c r="BF46" s="38"/>
      <c r="BG46" s="36"/>
      <c r="BH46" s="36"/>
    </row>
    <row r="47" spans="1:60" s="37" customFormat="1" ht="15.75" x14ac:dyDescent="0.25">
      <c r="A47" s="36"/>
      <c r="B47" s="36"/>
      <c r="C47" s="36"/>
      <c r="D47" s="36"/>
      <c r="R47" s="1"/>
      <c r="S47" s="38"/>
      <c r="T47" s="38"/>
      <c r="U47" s="38"/>
      <c r="V47" s="38"/>
      <c r="W47" s="38"/>
      <c r="X47" s="38"/>
      <c r="Y47" s="38"/>
      <c r="Z47" s="36"/>
      <c r="AA47" s="38"/>
      <c r="AB47" s="38"/>
      <c r="AC47" s="38"/>
      <c r="AD47" s="38"/>
      <c r="AE47" s="38"/>
      <c r="AF47" s="38"/>
      <c r="AG47" s="38"/>
      <c r="AH47" s="36"/>
      <c r="AI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26"/>
      <c r="BC47" s="38"/>
      <c r="BD47" s="26"/>
      <c r="BE47" s="38"/>
      <c r="BF47" s="38"/>
      <c r="BG47" s="36"/>
      <c r="BH47" s="36"/>
    </row>
    <row r="48" spans="1:60" s="37" customFormat="1" ht="15.75" x14ac:dyDescent="0.25">
      <c r="A48" s="36"/>
      <c r="B48" s="36"/>
      <c r="C48" s="36"/>
      <c r="D48" s="36"/>
      <c r="R48" s="1"/>
      <c r="S48" s="38"/>
      <c r="T48" s="38"/>
      <c r="U48" s="38"/>
      <c r="V48" s="38"/>
      <c r="W48" s="38"/>
      <c r="X48" s="38"/>
      <c r="Y48" s="38"/>
      <c r="Z48" s="36"/>
      <c r="AA48" s="38"/>
      <c r="AB48" s="38"/>
      <c r="AC48" s="38"/>
      <c r="AD48" s="38"/>
      <c r="AE48" s="38"/>
      <c r="AF48" s="38"/>
      <c r="AG48" s="38"/>
      <c r="AH48" s="36"/>
      <c r="AI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26"/>
      <c r="BC48" s="38"/>
      <c r="BD48" s="26"/>
      <c r="BE48" s="38"/>
      <c r="BF48" s="38"/>
      <c r="BG48" s="36"/>
      <c r="BH48" s="36"/>
    </row>
    <row r="49" spans="1:60" s="37" customFormat="1" ht="15.75" x14ac:dyDescent="0.25">
      <c r="A49" s="36"/>
      <c r="B49" s="36"/>
      <c r="C49" s="36"/>
      <c r="D49" s="36"/>
      <c r="R49" s="1"/>
      <c r="S49" s="38"/>
      <c r="T49" s="38"/>
      <c r="U49" s="38"/>
      <c r="V49" s="38"/>
      <c r="W49" s="38"/>
      <c r="X49" s="38"/>
      <c r="Y49" s="38"/>
      <c r="Z49" s="36"/>
      <c r="AA49" s="38"/>
      <c r="AB49" s="38"/>
      <c r="AC49" s="38"/>
      <c r="AD49" s="38"/>
      <c r="AE49" s="38"/>
      <c r="AF49" s="38"/>
      <c r="AG49" s="38"/>
      <c r="AH49" s="36"/>
      <c r="AI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26"/>
      <c r="BC49" s="38"/>
      <c r="BD49" s="26"/>
      <c r="BE49" s="38"/>
      <c r="BF49" s="38"/>
      <c r="BG49" s="36"/>
      <c r="BH49" s="36"/>
    </row>
    <row r="50" spans="1:60" s="37" customFormat="1" ht="15.75" x14ac:dyDescent="0.25">
      <c r="A50" s="36"/>
      <c r="B50" s="36"/>
      <c r="C50" s="36"/>
      <c r="D50" s="36"/>
      <c r="R50" s="1"/>
      <c r="S50" s="38"/>
      <c r="T50" s="38"/>
      <c r="U50" s="38"/>
      <c r="V50" s="38"/>
      <c r="W50" s="38"/>
      <c r="X50" s="38"/>
      <c r="Y50" s="38"/>
      <c r="Z50" s="36"/>
      <c r="AA50" s="38"/>
      <c r="AB50" s="38"/>
      <c r="AC50" s="38"/>
      <c r="AD50" s="38"/>
      <c r="AE50" s="38"/>
      <c r="AF50" s="38"/>
      <c r="AG50" s="38"/>
      <c r="AH50" s="36"/>
      <c r="AI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26"/>
      <c r="BC50" s="38"/>
      <c r="BD50" s="26"/>
      <c r="BE50" s="38"/>
      <c r="BF50" s="38"/>
      <c r="BG50" s="36"/>
      <c r="BH50" s="36"/>
    </row>
    <row r="51" spans="1:60" s="37" customFormat="1" ht="15.75" x14ac:dyDescent="0.25">
      <c r="A51" s="36"/>
      <c r="B51" s="36"/>
      <c r="C51" s="36"/>
      <c r="D51" s="36"/>
      <c r="R51" s="1"/>
      <c r="S51" s="38"/>
      <c r="T51" s="38"/>
      <c r="U51" s="38"/>
      <c r="V51" s="38"/>
      <c r="W51" s="38"/>
      <c r="X51" s="38"/>
      <c r="Y51" s="38"/>
      <c r="Z51" s="36"/>
      <c r="AA51" s="38"/>
      <c r="AB51" s="38"/>
      <c r="AC51" s="38"/>
      <c r="AD51" s="38"/>
      <c r="AE51" s="38"/>
      <c r="AF51" s="38"/>
      <c r="AG51" s="38"/>
      <c r="AH51" s="36"/>
      <c r="AI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26"/>
      <c r="BC51" s="38"/>
      <c r="BD51" s="26"/>
      <c r="BE51" s="38"/>
      <c r="BF51" s="38"/>
      <c r="BG51" s="36"/>
      <c r="BH51" s="36"/>
    </row>
    <row r="52" spans="1:60" s="37" customFormat="1" ht="15.75" x14ac:dyDescent="0.25">
      <c r="A52" s="36"/>
      <c r="B52" s="36"/>
      <c r="C52" s="36"/>
      <c r="D52" s="36"/>
      <c r="R52" s="1"/>
      <c r="S52" s="38"/>
      <c r="T52" s="38"/>
      <c r="U52" s="38"/>
      <c r="V52" s="38"/>
      <c r="W52" s="38"/>
      <c r="X52" s="38"/>
      <c r="Y52" s="38"/>
      <c r="Z52" s="36"/>
      <c r="AA52" s="38"/>
      <c r="AB52" s="38"/>
      <c r="AC52" s="38"/>
      <c r="AD52" s="38"/>
      <c r="AE52" s="38"/>
      <c r="AF52" s="38"/>
      <c r="AG52" s="38"/>
      <c r="AH52" s="36"/>
      <c r="AI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26"/>
      <c r="BC52" s="38"/>
      <c r="BD52" s="26"/>
      <c r="BE52" s="38"/>
      <c r="BF52" s="38"/>
      <c r="BG52" s="36"/>
      <c r="BH52" s="36"/>
    </row>
    <row r="53" spans="1:60" s="37" customFormat="1" ht="15.75" x14ac:dyDescent="0.25">
      <c r="A53" s="36"/>
      <c r="B53" s="36"/>
      <c r="C53" s="36"/>
      <c r="D53" s="36"/>
      <c r="R53" s="1"/>
      <c r="S53" s="38"/>
      <c r="T53" s="38"/>
      <c r="U53" s="38"/>
      <c r="V53" s="38"/>
      <c r="W53" s="38"/>
      <c r="X53" s="38"/>
      <c r="Y53" s="38"/>
      <c r="Z53" s="36"/>
      <c r="AA53" s="38"/>
      <c r="AB53" s="38"/>
      <c r="AC53" s="38"/>
      <c r="AD53" s="38"/>
      <c r="AE53" s="38"/>
      <c r="AF53" s="38"/>
      <c r="AG53" s="38"/>
      <c r="AH53" s="36"/>
      <c r="AI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26"/>
      <c r="BC53" s="38"/>
      <c r="BD53" s="26"/>
      <c r="BE53" s="38"/>
      <c r="BF53" s="38"/>
      <c r="BG53" s="36"/>
      <c r="BH53" s="36"/>
    </row>
    <row r="54" spans="1:60" s="37" customFormat="1" ht="15.75" x14ac:dyDescent="0.25">
      <c r="A54" s="36"/>
      <c r="B54" s="36"/>
      <c r="C54" s="36"/>
      <c r="D54" s="36"/>
      <c r="R54" s="1"/>
      <c r="S54" s="38"/>
      <c r="T54" s="38"/>
      <c r="U54" s="38"/>
      <c r="V54" s="38"/>
      <c r="W54" s="38"/>
      <c r="X54" s="38"/>
      <c r="Y54" s="38"/>
      <c r="Z54" s="36"/>
      <c r="AA54" s="38"/>
      <c r="AB54" s="38"/>
      <c r="AC54" s="38"/>
      <c r="AD54" s="38"/>
      <c r="AE54" s="38"/>
      <c r="AF54" s="38"/>
      <c r="AG54" s="38"/>
      <c r="AH54" s="36"/>
      <c r="AI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26"/>
      <c r="BC54" s="38"/>
      <c r="BD54" s="26"/>
      <c r="BE54" s="38"/>
      <c r="BF54" s="38"/>
      <c r="BG54" s="36"/>
      <c r="BH54" s="36"/>
    </row>
    <row r="55" spans="1:60" s="37" customFormat="1" ht="15.75" x14ac:dyDescent="0.25">
      <c r="A55" s="36"/>
      <c r="B55" s="36"/>
      <c r="C55" s="36"/>
      <c r="D55" s="36"/>
      <c r="R55" s="1"/>
      <c r="S55" s="38"/>
      <c r="T55" s="38"/>
      <c r="U55" s="38"/>
      <c r="V55" s="38"/>
      <c r="W55" s="38"/>
      <c r="X55" s="38"/>
      <c r="Y55" s="38"/>
      <c r="Z55" s="36"/>
      <c r="AA55" s="38"/>
      <c r="AB55" s="38"/>
      <c r="AC55" s="38"/>
      <c r="AD55" s="38"/>
      <c r="AE55" s="38"/>
      <c r="AF55" s="38"/>
      <c r="AG55" s="38"/>
      <c r="AH55" s="36"/>
      <c r="AI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26"/>
      <c r="BC55" s="38"/>
      <c r="BD55" s="26"/>
      <c r="BE55" s="38"/>
      <c r="BF55" s="38"/>
      <c r="BG55" s="36"/>
      <c r="BH55" s="36"/>
    </row>
    <row r="56" spans="1:60" s="37" customFormat="1" ht="15.75" x14ac:dyDescent="0.25">
      <c r="A56" s="36"/>
      <c r="B56" s="36"/>
      <c r="C56" s="36"/>
      <c r="D56" s="36"/>
      <c r="R56" s="1"/>
      <c r="S56" s="38"/>
      <c r="T56" s="38"/>
      <c r="U56" s="38"/>
      <c r="V56" s="38"/>
      <c r="W56" s="38"/>
      <c r="X56" s="38"/>
      <c r="Y56" s="38"/>
      <c r="Z56" s="36"/>
      <c r="AA56" s="38"/>
      <c r="AB56" s="38"/>
      <c r="AC56" s="38"/>
      <c r="AD56" s="38"/>
      <c r="AE56" s="38"/>
      <c r="AF56" s="38"/>
      <c r="AG56" s="38"/>
      <c r="AH56" s="36"/>
      <c r="AI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26"/>
      <c r="BC56" s="38"/>
      <c r="BD56" s="26"/>
      <c r="BE56" s="38"/>
      <c r="BF56" s="38"/>
      <c r="BG56" s="36"/>
      <c r="BH56" s="36"/>
    </row>
    <row r="57" spans="1:60" s="37" customFormat="1" ht="15.75" x14ac:dyDescent="0.25">
      <c r="A57" s="36"/>
      <c r="B57" s="36"/>
      <c r="C57" s="36"/>
      <c r="D57" s="36"/>
      <c r="R57" s="1"/>
      <c r="S57" s="38"/>
      <c r="T57" s="38"/>
      <c r="U57" s="38"/>
      <c r="V57" s="38"/>
      <c r="W57" s="38"/>
      <c r="X57" s="38"/>
      <c r="Y57" s="38"/>
      <c r="Z57" s="36"/>
      <c r="AA57" s="38"/>
      <c r="AB57" s="38"/>
      <c r="AC57" s="38"/>
      <c r="AD57" s="38"/>
      <c r="AE57" s="38"/>
      <c r="AF57" s="38"/>
      <c r="AG57" s="38"/>
      <c r="AH57" s="36"/>
      <c r="AI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26"/>
      <c r="BC57" s="38"/>
      <c r="BD57" s="26"/>
      <c r="BE57" s="38"/>
      <c r="BF57" s="38"/>
      <c r="BG57" s="36"/>
      <c r="BH57" s="36"/>
    </row>
    <row r="58" spans="1:60" s="37" customFormat="1" ht="15.75" x14ac:dyDescent="0.25">
      <c r="A58" s="36"/>
      <c r="B58" s="36"/>
      <c r="C58" s="36"/>
      <c r="D58" s="36"/>
      <c r="R58" s="1"/>
      <c r="S58" s="38"/>
      <c r="T58" s="38"/>
      <c r="U58" s="38"/>
      <c r="V58" s="38"/>
      <c r="W58" s="38"/>
      <c r="X58" s="38"/>
      <c r="Y58" s="38"/>
      <c r="Z58" s="36"/>
      <c r="AA58" s="38"/>
      <c r="AB58" s="38"/>
      <c r="AC58" s="38"/>
      <c r="AD58" s="38"/>
      <c r="AE58" s="38"/>
      <c r="AF58" s="38"/>
      <c r="AG58" s="38"/>
      <c r="AH58" s="36"/>
      <c r="AI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26"/>
      <c r="BC58" s="38"/>
      <c r="BD58" s="26"/>
      <c r="BE58" s="38"/>
      <c r="BF58" s="38"/>
      <c r="BG58" s="36"/>
      <c r="BH58" s="36"/>
    </row>
    <row r="59" spans="1:60" s="37" customFormat="1" ht="15.75" x14ac:dyDescent="0.25">
      <c r="A59" s="36"/>
      <c r="B59" s="36"/>
      <c r="C59" s="36"/>
      <c r="D59" s="36"/>
      <c r="R59" s="1"/>
      <c r="S59" s="38"/>
      <c r="T59" s="38"/>
      <c r="U59" s="38"/>
      <c r="V59" s="38"/>
      <c r="W59" s="38"/>
      <c r="X59" s="38"/>
      <c r="Y59" s="38"/>
      <c r="Z59" s="36"/>
      <c r="AA59" s="38"/>
      <c r="AB59" s="38"/>
      <c r="AC59" s="38"/>
      <c r="AD59" s="38"/>
      <c r="AE59" s="38"/>
      <c r="AF59" s="38"/>
      <c r="AG59" s="38"/>
      <c r="AH59" s="36"/>
      <c r="AI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26"/>
      <c r="BC59" s="38"/>
      <c r="BD59" s="26"/>
      <c r="BE59" s="38"/>
      <c r="BF59" s="38"/>
      <c r="BG59" s="36"/>
      <c r="BH59" s="36"/>
    </row>
    <row r="60" spans="1:60" s="37" customFormat="1" ht="15.75" x14ac:dyDescent="0.25">
      <c r="A60" s="36"/>
      <c r="B60" s="36"/>
      <c r="C60" s="36"/>
      <c r="D60" s="36"/>
      <c r="R60" s="1"/>
      <c r="S60" s="38"/>
      <c r="T60" s="38"/>
      <c r="U60" s="38"/>
      <c r="V60" s="38"/>
      <c r="W60" s="38"/>
      <c r="X60" s="38"/>
      <c r="Y60" s="38"/>
      <c r="Z60" s="36"/>
      <c r="AA60" s="38"/>
      <c r="AB60" s="38"/>
      <c r="AC60" s="38"/>
      <c r="AD60" s="38"/>
      <c r="AE60" s="38"/>
      <c r="AF60" s="38"/>
      <c r="AG60" s="38"/>
      <c r="AH60" s="36"/>
      <c r="AI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26"/>
      <c r="BC60" s="38"/>
      <c r="BD60" s="26"/>
      <c r="BE60" s="38"/>
      <c r="BF60" s="38"/>
      <c r="BG60" s="36"/>
      <c r="BH60" s="36"/>
    </row>
    <row r="61" spans="1:60" s="37" customFormat="1" ht="15.75" x14ac:dyDescent="0.25">
      <c r="A61" s="36"/>
      <c r="B61" s="36"/>
      <c r="C61" s="36"/>
      <c r="D61" s="36"/>
      <c r="R61" s="1"/>
      <c r="S61" s="38"/>
      <c r="T61" s="38"/>
      <c r="U61" s="38"/>
      <c r="V61" s="38"/>
      <c r="W61" s="38"/>
      <c r="X61" s="38"/>
      <c r="Y61" s="38"/>
      <c r="Z61" s="36"/>
      <c r="AA61" s="38"/>
      <c r="AB61" s="38"/>
      <c r="AC61" s="38"/>
      <c r="AD61" s="38"/>
      <c r="AE61" s="38"/>
      <c r="AF61" s="38"/>
      <c r="AG61" s="38"/>
      <c r="AH61" s="36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26"/>
      <c r="BC61" s="38"/>
      <c r="BD61" s="26"/>
      <c r="BE61" s="38"/>
      <c r="BF61" s="38"/>
      <c r="BG61" s="36"/>
      <c r="BH61" s="36"/>
    </row>
    <row r="62" spans="1:60" s="37" customFormat="1" ht="15.75" x14ac:dyDescent="0.25">
      <c r="A62" s="36"/>
      <c r="B62" s="36"/>
      <c r="C62" s="36"/>
      <c r="D62" s="36"/>
      <c r="R62" s="1"/>
      <c r="S62" s="38"/>
      <c r="T62" s="38"/>
      <c r="U62" s="38"/>
      <c r="V62" s="38"/>
      <c r="W62" s="38"/>
      <c r="X62" s="38"/>
      <c r="Y62" s="38"/>
      <c r="Z62" s="36"/>
      <c r="AA62" s="38"/>
      <c r="AB62" s="38"/>
      <c r="AC62" s="38"/>
      <c r="AD62" s="38"/>
      <c r="AE62" s="38"/>
      <c r="AF62" s="38"/>
      <c r="AG62" s="38"/>
      <c r="AH62" s="36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26"/>
      <c r="BC62" s="38"/>
      <c r="BD62" s="26"/>
      <c r="BE62" s="38"/>
      <c r="BF62" s="38"/>
      <c r="BG62" s="36"/>
      <c r="BH62" s="36"/>
    </row>
    <row r="63" spans="1:60" s="37" customFormat="1" ht="15.75" x14ac:dyDescent="0.25">
      <c r="A63" s="36"/>
      <c r="B63" s="36"/>
      <c r="C63" s="36"/>
      <c r="D63" s="36"/>
      <c r="R63" s="1"/>
      <c r="S63" s="38"/>
      <c r="T63" s="38"/>
      <c r="U63" s="38"/>
      <c r="V63" s="38"/>
      <c r="W63" s="38"/>
      <c r="X63" s="38"/>
      <c r="Y63" s="38"/>
      <c r="Z63" s="36"/>
      <c r="AA63" s="38"/>
      <c r="AB63" s="38"/>
      <c r="AC63" s="38"/>
      <c r="AD63" s="38"/>
      <c r="AE63" s="38"/>
      <c r="AF63" s="38"/>
      <c r="AG63" s="38"/>
      <c r="AH63" s="36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26"/>
      <c r="BC63" s="38"/>
      <c r="BD63" s="26"/>
      <c r="BE63" s="38"/>
      <c r="BF63" s="38"/>
      <c r="BG63" s="36"/>
      <c r="BH63" s="36"/>
    </row>
    <row r="64" spans="1:60" s="37" customFormat="1" ht="15.75" x14ac:dyDescent="0.25">
      <c r="A64" s="36"/>
      <c r="B64" s="36"/>
      <c r="C64" s="36"/>
      <c r="D64" s="36"/>
      <c r="R64" s="1"/>
      <c r="S64" s="38"/>
      <c r="T64" s="38"/>
      <c r="U64" s="38"/>
      <c r="V64" s="38"/>
      <c r="W64" s="38"/>
      <c r="X64" s="38"/>
      <c r="Y64" s="38"/>
      <c r="Z64" s="36"/>
      <c r="AA64" s="38"/>
      <c r="AB64" s="38"/>
      <c r="AC64" s="38"/>
      <c r="AD64" s="38"/>
      <c r="AE64" s="38"/>
      <c r="AF64" s="38"/>
      <c r="AG64" s="38"/>
      <c r="AH64" s="36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26"/>
      <c r="BC64" s="38"/>
      <c r="BD64" s="26"/>
      <c r="BE64" s="38"/>
      <c r="BF64" s="38"/>
      <c r="BG64" s="36"/>
      <c r="BH64" s="36"/>
    </row>
    <row r="65" spans="1:60" s="37" customFormat="1" ht="15.75" x14ac:dyDescent="0.25">
      <c r="A65" s="36"/>
      <c r="B65" s="36"/>
      <c r="C65" s="36"/>
      <c r="D65" s="36"/>
      <c r="R65" s="1"/>
      <c r="S65" s="38"/>
      <c r="T65" s="38"/>
      <c r="U65" s="38"/>
      <c r="V65" s="38"/>
      <c r="W65" s="38"/>
      <c r="X65" s="38"/>
      <c r="Y65" s="38"/>
      <c r="Z65" s="36"/>
      <c r="AA65" s="38"/>
      <c r="AB65" s="38"/>
      <c r="AC65" s="38"/>
      <c r="AD65" s="38"/>
      <c r="AE65" s="38"/>
      <c r="AF65" s="38"/>
      <c r="AG65" s="38"/>
      <c r="AH65" s="36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26"/>
      <c r="BC65" s="38"/>
      <c r="BD65" s="26"/>
      <c r="BE65" s="38"/>
      <c r="BF65" s="38"/>
      <c r="BG65" s="36"/>
      <c r="BH65" s="36"/>
    </row>
    <row r="66" spans="1:60" s="37" customFormat="1" ht="15.75" x14ac:dyDescent="0.25">
      <c r="A66" s="36"/>
      <c r="B66" s="36"/>
      <c r="C66" s="36"/>
      <c r="D66" s="36"/>
      <c r="R66" s="1"/>
      <c r="S66" s="38"/>
      <c r="T66" s="38"/>
      <c r="U66" s="38"/>
      <c r="V66" s="38"/>
      <c r="W66" s="38"/>
      <c r="X66" s="38"/>
      <c r="Y66" s="38"/>
      <c r="Z66" s="36"/>
      <c r="AA66" s="38"/>
      <c r="AB66" s="38"/>
      <c r="AC66" s="38"/>
      <c r="AD66" s="38"/>
      <c r="AE66" s="38"/>
      <c r="AF66" s="38"/>
      <c r="AG66" s="38"/>
      <c r="AH66" s="36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26"/>
      <c r="BC66" s="38"/>
      <c r="BD66" s="26"/>
      <c r="BE66" s="38"/>
      <c r="BF66" s="38"/>
      <c r="BG66" s="36"/>
      <c r="BH66" s="36"/>
    </row>
    <row r="67" spans="1:60" s="37" customFormat="1" ht="15.75" x14ac:dyDescent="0.25">
      <c r="A67" s="36"/>
      <c r="B67" s="36"/>
      <c r="C67" s="36"/>
      <c r="D67" s="36"/>
      <c r="R67" s="1"/>
      <c r="S67" s="38"/>
      <c r="T67" s="38"/>
      <c r="U67" s="38"/>
      <c r="V67" s="38"/>
      <c r="W67" s="38"/>
      <c r="X67" s="38"/>
      <c r="Y67" s="38"/>
      <c r="Z67" s="36"/>
      <c r="AA67" s="38"/>
      <c r="AB67" s="38"/>
      <c r="AC67" s="38"/>
      <c r="AD67" s="38"/>
      <c r="AE67" s="38"/>
      <c r="AF67" s="38"/>
      <c r="AG67" s="38"/>
      <c r="AH67" s="36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26"/>
      <c r="BC67" s="38"/>
      <c r="BD67" s="26"/>
      <c r="BE67" s="38"/>
      <c r="BF67" s="38"/>
      <c r="BG67" s="36"/>
      <c r="BH67" s="36"/>
    </row>
    <row r="68" spans="1:60" s="37" customFormat="1" ht="15.75" x14ac:dyDescent="0.25">
      <c r="A68" s="36"/>
      <c r="B68" s="36"/>
      <c r="C68" s="36"/>
      <c r="D68" s="36"/>
      <c r="R68" s="1"/>
      <c r="S68" s="38"/>
      <c r="T68" s="38"/>
      <c r="U68" s="38"/>
      <c r="V68" s="38"/>
      <c r="W68" s="38"/>
      <c r="X68" s="38"/>
      <c r="Y68" s="38"/>
      <c r="Z68" s="36"/>
      <c r="AA68" s="38"/>
      <c r="AB68" s="38"/>
      <c r="AC68" s="38"/>
      <c r="AD68" s="38"/>
      <c r="AE68" s="38"/>
      <c r="AF68" s="38"/>
      <c r="AG68" s="38"/>
      <c r="AH68" s="36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26"/>
      <c r="BC68" s="38"/>
      <c r="BD68" s="26"/>
      <c r="BE68" s="38"/>
      <c r="BF68" s="38"/>
      <c r="BG68" s="36"/>
      <c r="BH68" s="36"/>
    </row>
    <row r="69" spans="1:60" s="37" customFormat="1" ht="15.75" x14ac:dyDescent="0.25">
      <c r="A69" s="36"/>
      <c r="B69" s="36"/>
      <c r="C69" s="36"/>
      <c r="D69" s="36"/>
      <c r="R69" s="1"/>
      <c r="S69" s="38"/>
      <c r="T69" s="38"/>
      <c r="U69" s="38"/>
      <c r="V69" s="38"/>
      <c r="W69" s="38"/>
      <c r="X69" s="38"/>
      <c r="Y69" s="38"/>
      <c r="Z69" s="36"/>
      <c r="AA69" s="38"/>
      <c r="AB69" s="38"/>
      <c r="AC69" s="38"/>
      <c r="AD69" s="38"/>
      <c r="AE69" s="38"/>
      <c r="AF69" s="38"/>
      <c r="AG69" s="38"/>
      <c r="AH69" s="36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26"/>
      <c r="BC69" s="38"/>
      <c r="BD69" s="26"/>
      <c r="BE69" s="38"/>
      <c r="BF69" s="38"/>
      <c r="BG69" s="36"/>
      <c r="BH69" s="36"/>
    </row>
    <row r="70" spans="1:60" s="37" customFormat="1" ht="15.75" x14ac:dyDescent="0.25">
      <c r="A70" s="36"/>
      <c r="B70" s="36"/>
      <c r="C70" s="36"/>
      <c r="D70" s="36"/>
      <c r="R70" s="1"/>
      <c r="S70" s="38"/>
      <c r="T70" s="38"/>
      <c r="U70" s="38"/>
      <c r="V70" s="38"/>
      <c r="W70" s="38"/>
      <c r="X70" s="38"/>
      <c r="Y70" s="38"/>
      <c r="Z70" s="36"/>
      <c r="AA70" s="38"/>
      <c r="AB70" s="38"/>
      <c r="AC70" s="38"/>
      <c r="AD70" s="38"/>
      <c r="AE70" s="38"/>
      <c r="AF70" s="38"/>
      <c r="AG70" s="38"/>
      <c r="AH70" s="36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26"/>
      <c r="BC70" s="38"/>
      <c r="BD70" s="26"/>
      <c r="BE70" s="38"/>
      <c r="BF70" s="38"/>
      <c r="BG70" s="36"/>
      <c r="BH70" s="36"/>
    </row>
    <row r="71" spans="1:60" s="37" customFormat="1" ht="15.75" x14ac:dyDescent="0.25">
      <c r="A71" s="36"/>
      <c r="B71" s="36"/>
      <c r="C71" s="36"/>
      <c r="D71" s="36"/>
      <c r="R71" s="1"/>
      <c r="S71" s="38"/>
      <c r="T71" s="38"/>
      <c r="U71" s="38"/>
      <c r="V71" s="38"/>
      <c r="W71" s="38"/>
      <c r="X71" s="38"/>
      <c r="Y71" s="38"/>
      <c r="Z71" s="36"/>
      <c r="AA71" s="38"/>
      <c r="AB71" s="38"/>
      <c r="AC71" s="38"/>
      <c r="AD71" s="38"/>
      <c r="AE71" s="38"/>
      <c r="AF71" s="38"/>
      <c r="AG71" s="38"/>
      <c r="AH71" s="36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26"/>
      <c r="BC71" s="38"/>
      <c r="BD71" s="26"/>
      <c r="BE71" s="38"/>
      <c r="BF71" s="38"/>
      <c r="BG71" s="36"/>
      <c r="BH71" s="36"/>
    </row>
    <row r="72" spans="1:60" s="37" customFormat="1" ht="15.75" x14ac:dyDescent="0.25">
      <c r="A72" s="36"/>
      <c r="B72" s="36"/>
      <c r="C72" s="36"/>
      <c r="D72" s="36"/>
      <c r="R72" s="1"/>
      <c r="S72" s="38"/>
      <c r="T72" s="38"/>
      <c r="U72" s="38"/>
      <c r="V72" s="38"/>
      <c r="W72" s="38"/>
      <c r="X72" s="38"/>
      <c r="Y72" s="38"/>
      <c r="Z72" s="36"/>
      <c r="AA72" s="38"/>
      <c r="AB72" s="38"/>
      <c r="AC72" s="38"/>
      <c r="AD72" s="38"/>
      <c r="AE72" s="38"/>
      <c r="AF72" s="38"/>
      <c r="AG72" s="38"/>
      <c r="AH72" s="36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26"/>
      <c r="BC72" s="38"/>
      <c r="BD72" s="26"/>
      <c r="BE72" s="38"/>
      <c r="BF72" s="38"/>
      <c r="BG72" s="36"/>
      <c r="BH72" s="36"/>
    </row>
    <row r="73" spans="1:60" s="37" customFormat="1" ht="15.75" x14ac:dyDescent="0.25">
      <c r="A73" s="36"/>
      <c r="B73" s="36"/>
      <c r="C73" s="36"/>
      <c r="D73" s="36"/>
      <c r="R73" s="1"/>
      <c r="S73" s="38"/>
      <c r="T73" s="38"/>
      <c r="U73" s="38"/>
      <c r="V73" s="38"/>
      <c r="W73" s="38"/>
      <c r="X73" s="38"/>
      <c r="Y73" s="38"/>
      <c r="Z73" s="36"/>
      <c r="AA73" s="38"/>
      <c r="AB73" s="38"/>
      <c r="AC73" s="38"/>
      <c r="AD73" s="38"/>
      <c r="AE73" s="38"/>
      <c r="AF73" s="38"/>
      <c r="AG73" s="38"/>
      <c r="AH73" s="36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26"/>
      <c r="BC73" s="38"/>
      <c r="BD73" s="26"/>
      <c r="BE73" s="38"/>
      <c r="BF73" s="38"/>
      <c r="BG73" s="36"/>
      <c r="BH73" s="36"/>
    </row>
    <row r="74" spans="1:60" s="37" customFormat="1" ht="15.75" x14ac:dyDescent="0.25">
      <c r="A74" s="36"/>
      <c r="B74" s="36"/>
      <c r="C74" s="36"/>
      <c r="D74" s="36"/>
      <c r="R74" s="1"/>
      <c r="S74" s="38"/>
      <c r="T74" s="38"/>
      <c r="U74" s="38"/>
      <c r="V74" s="38"/>
      <c r="W74" s="38"/>
      <c r="X74" s="38"/>
      <c r="Y74" s="38"/>
      <c r="Z74" s="36"/>
      <c r="AA74" s="38"/>
      <c r="AB74" s="38"/>
      <c r="AC74" s="38"/>
      <c r="AD74" s="38"/>
      <c r="AE74" s="38"/>
      <c r="AF74" s="38"/>
      <c r="AG74" s="38"/>
      <c r="AH74" s="36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26"/>
      <c r="BC74" s="38"/>
      <c r="BD74" s="26"/>
      <c r="BE74" s="38"/>
      <c r="BF74" s="38"/>
      <c r="BG74" s="36"/>
      <c r="BH74" s="36"/>
    </row>
    <row r="75" spans="1:60" s="37" customFormat="1" ht="15.75" x14ac:dyDescent="0.25">
      <c r="A75" s="36"/>
      <c r="B75" s="36"/>
      <c r="C75" s="36"/>
      <c r="D75" s="36"/>
      <c r="R75" s="1"/>
      <c r="S75" s="38"/>
      <c r="T75" s="38"/>
      <c r="U75" s="38"/>
      <c r="V75" s="38"/>
      <c r="W75" s="38"/>
      <c r="X75" s="38"/>
      <c r="Y75" s="38"/>
      <c r="Z75" s="36"/>
      <c r="AA75" s="38"/>
      <c r="AB75" s="38"/>
      <c r="AC75" s="38"/>
      <c r="AD75" s="38"/>
      <c r="AE75" s="38"/>
      <c r="AF75" s="38"/>
      <c r="AG75" s="38"/>
      <c r="AH75" s="36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26"/>
      <c r="BC75" s="38"/>
      <c r="BD75" s="26"/>
      <c r="BE75" s="38"/>
      <c r="BF75" s="38"/>
      <c r="BG75" s="36"/>
      <c r="BH75" s="36"/>
    </row>
    <row r="76" spans="1:60" s="37" customFormat="1" ht="15.75" x14ac:dyDescent="0.25">
      <c r="A76" s="36"/>
      <c r="B76" s="36"/>
      <c r="C76" s="36"/>
      <c r="D76" s="36"/>
      <c r="R76" s="1"/>
      <c r="S76" s="38"/>
      <c r="T76" s="38"/>
      <c r="U76" s="38"/>
      <c r="V76" s="38"/>
      <c r="W76" s="38"/>
      <c r="X76" s="38"/>
      <c r="Y76" s="38"/>
      <c r="Z76" s="36"/>
      <c r="AA76" s="38"/>
      <c r="AB76" s="38"/>
      <c r="AC76" s="38"/>
      <c r="AD76" s="38"/>
      <c r="AE76" s="38"/>
      <c r="AF76" s="38"/>
      <c r="AG76" s="38"/>
      <c r="AH76" s="36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26"/>
      <c r="BC76" s="38"/>
      <c r="BD76" s="26"/>
      <c r="BE76" s="38"/>
      <c r="BF76" s="38"/>
      <c r="BG76" s="36"/>
      <c r="BH76" s="36"/>
    </row>
    <row r="77" spans="1:60" s="37" customFormat="1" ht="15.75" x14ac:dyDescent="0.25">
      <c r="A77" s="36"/>
      <c r="B77" s="36"/>
      <c r="C77" s="36"/>
      <c r="D77" s="36"/>
      <c r="R77" s="1"/>
      <c r="S77" s="38"/>
      <c r="T77" s="38"/>
      <c r="U77" s="38"/>
      <c r="V77" s="38"/>
      <c r="W77" s="38"/>
      <c r="X77" s="38"/>
      <c r="Y77" s="38"/>
      <c r="Z77" s="36"/>
      <c r="AA77" s="38"/>
      <c r="AB77" s="38"/>
      <c r="AC77" s="38"/>
      <c r="AD77" s="38"/>
      <c r="AE77" s="38"/>
      <c r="AF77" s="38"/>
      <c r="AG77" s="38"/>
      <c r="AH77" s="36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26"/>
      <c r="BC77" s="38"/>
      <c r="BD77" s="26"/>
      <c r="BE77" s="38"/>
      <c r="BF77" s="38"/>
      <c r="BG77" s="36"/>
      <c r="BH77" s="36"/>
    </row>
    <row r="78" spans="1:60" s="37" customFormat="1" ht="15.75" x14ac:dyDescent="0.25">
      <c r="A78" s="36"/>
      <c r="B78" s="36"/>
      <c r="C78" s="36"/>
      <c r="D78" s="36"/>
      <c r="R78" s="1"/>
      <c r="S78" s="38"/>
      <c r="T78" s="38"/>
      <c r="U78" s="38"/>
      <c r="V78" s="38"/>
      <c r="W78" s="38"/>
      <c r="X78" s="38"/>
      <c r="Y78" s="38"/>
      <c r="Z78" s="36"/>
      <c r="AA78" s="38"/>
      <c r="AB78" s="38"/>
      <c r="AC78" s="38"/>
      <c r="AD78" s="38"/>
      <c r="AE78" s="38"/>
      <c r="AF78" s="38"/>
      <c r="AG78" s="38"/>
      <c r="AH78" s="36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26"/>
      <c r="BC78" s="38"/>
      <c r="BD78" s="26"/>
      <c r="BE78" s="38"/>
      <c r="BF78" s="38"/>
      <c r="BG78" s="36"/>
      <c r="BH78" s="36"/>
    </row>
    <row r="79" spans="1:60" s="37" customFormat="1" ht="15.75" x14ac:dyDescent="0.25">
      <c r="A79" s="36"/>
      <c r="B79" s="36"/>
      <c r="C79" s="36"/>
      <c r="D79" s="36"/>
      <c r="R79" s="1"/>
      <c r="S79" s="38"/>
      <c r="T79" s="38"/>
      <c r="U79" s="38"/>
      <c r="V79" s="38"/>
      <c r="W79" s="38"/>
      <c r="X79" s="38"/>
      <c r="Y79" s="38"/>
      <c r="Z79" s="36"/>
      <c r="AA79" s="38"/>
      <c r="AB79" s="38"/>
      <c r="AC79" s="38"/>
      <c r="AD79" s="38"/>
      <c r="AE79" s="38"/>
      <c r="AF79" s="38"/>
      <c r="AG79" s="38"/>
      <c r="AH79" s="36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26"/>
      <c r="BC79" s="38"/>
      <c r="BD79" s="26"/>
      <c r="BE79" s="38"/>
      <c r="BF79" s="38"/>
      <c r="BG79" s="36"/>
      <c r="BH79" s="36"/>
    </row>
    <row r="80" spans="1:60" s="37" customFormat="1" ht="15.75" x14ac:dyDescent="0.25">
      <c r="A80" s="36"/>
      <c r="B80" s="36"/>
      <c r="C80" s="36"/>
      <c r="D80" s="36"/>
      <c r="R80" s="1"/>
      <c r="S80" s="38"/>
      <c r="T80" s="38"/>
      <c r="U80" s="38"/>
      <c r="V80" s="38"/>
      <c r="W80" s="38"/>
      <c r="X80" s="38"/>
      <c r="Y80" s="38"/>
      <c r="Z80" s="36"/>
      <c r="AA80" s="38"/>
      <c r="AB80" s="38"/>
      <c r="AC80" s="38"/>
      <c r="AD80" s="38"/>
      <c r="AE80" s="38"/>
      <c r="AF80" s="38"/>
      <c r="AG80" s="38"/>
      <c r="AH80" s="36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26"/>
      <c r="BC80" s="38"/>
      <c r="BD80" s="26"/>
      <c r="BE80" s="38"/>
      <c r="BF80" s="38"/>
      <c r="BG80" s="36"/>
      <c r="BH80" s="36"/>
    </row>
    <row r="81" spans="1:60" s="37" customFormat="1" ht="15.75" x14ac:dyDescent="0.25">
      <c r="A81" s="36"/>
      <c r="B81" s="36"/>
      <c r="C81" s="36"/>
      <c r="D81" s="36"/>
      <c r="R81" s="1"/>
      <c r="S81" s="38"/>
      <c r="T81" s="38"/>
      <c r="U81" s="38"/>
      <c r="V81" s="38"/>
      <c r="W81" s="38"/>
      <c r="X81" s="38"/>
      <c r="Y81" s="38"/>
      <c r="Z81" s="36"/>
      <c r="AA81" s="38"/>
      <c r="AB81" s="38"/>
      <c r="AC81" s="38"/>
      <c r="AD81" s="38"/>
      <c r="AE81" s="38"/>
      <c r="AF81" s="38"/>
      <c r="AG81" s="38"/>
      <c r="AH81" s="36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26"/>
      <c r="BC81" s="38"/>
      <c r="BD81" s="26"/>
      <c r="BE81" s="38"/>
      <c r="BF81" s="38"/>
      <c r="BG81" s="36"/>
      <c r="BH81" s="36"/>
    </row>
    <row r="82" spans="1:60" s="37" customFormat="1" ht="15.75" x14ac:dyDescent="0.25">
      <c r="A82" s="36"/>
      <c r="B82" s="36"/>
      <c r="C82" s="36"/>
      <c r="D82" s="36"/>
      <c r="R82" s="1"/>
      <c r="S82" s="38"/>
      <c r="T82" s="38"/>
      <c r="U82" s="38"/>
      <c r="V82" s="38"/>
      <c r="W82" s="38"/>
      <c r="X82" s="38"/>
      <c r="Y82" s="38"/>
      <c r="Z82" s="36"/>
      <c r="AA82" s="38"/>
      <c r="AB82" s="38"/>
      <c r="AC82" s="38"/>
      <c r="AD82" s="38"/>
      <c r="AE82" s="38"/>
      <c r="AF82" s="38"/>
      <c r="AG82" s="38"/>
      <c r="AH82" s="36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26"/>
      <c r="BC82" s="38"/>
      <c r="BD82" s="26"/>
      <c r="BE82" s="38"/>
      <c r="BF82" s="38"/>
      <c r="BG82" s="36"/>
      <c r="BH82" s="36"/>
    </row>
    <row r="83" spans="1:60" s="37" customFormat="1" ht="15.75" x14ac:dyDescent="0.25">
      <c r="A83" s="36"/>
      <c r="B83" s="36"/>
      <c r="C83" s="36"/>
      <c r="D83" s="36"/>
      <c r="R83" s="1"/>
      <c r="S83" s="38"/>
      <c r="T83" s="38"/>
      <c r="U83" s="38"/>
      <c r="V83" s="38"/>
      <c r="W83" s="38"/>
      <c r="X83" s="38"/>
      <c r="Y83" s="38"/>
      <c r="Z83" s="36"/>
      <c r="AA83" s="38"/>
      <c r="AB83" s="38"/>
      <c r="AC83" s="38"/>
      <c r="AD83" s="38"/>
      <c r="AE83" s="38"/>
      <c r="AF83" s="38"/>
      <c r="AG83" s="38"/>
      <c r="AH83" s="36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26"/>
      <c r="BC83" s="38"/>
      <c r="BD83" s="26"/>
      <c r="BE83" s="38"/>
      <c r="BF83" s="38"/>
      <c r="BG83" s="36"/>
      <c r="BH83" s="36"/>
    </row>
    <row r="84" spans="1:60" s="37" customFormat="1" ht="15.75" x14ac:dyDescent="0.25">
      <c r="A84" s="36"/>
      <c r="B84" s="36"/>
      <c r="C84" s="36"/>
      <c r="D84" s="36"/>
      <c r="R84" s="1"/>
      <c r="S84" s="38"/>
      <c r="T84" s="38"/>
      <c r="U84" s="38"/>
      <c r="V84" s="38"/>
      <c r="W84" s="38"/>
      <c r="X84" s="38"/>
      <c r="Y84" s="38"/>
      <c r="Z84" s="36"/>
      <c r="AA84" s="38"/>
      <c r="AB84" s="38"/>
      <c r="AC84" s="38"/>
      <c r="AD84" s="38"/>
      <c r="AE84" s="38"/>
      <c r="AF84" s="38"/>
      <c r="AG84" s="38"/>
      <c r="AH84" s="36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26"/>
      <c r="BC84" s="38"/>
      <c r="BD84" s="26"/>
      <c r="BE84" s="38"/>
      <c r="BF84" s="38"/>
      <c r="BG84" s="36"/>
      <c r="BH84" s="36"/>
    </row>
    <row r="85" spans="1:60" s="37" customFormat="1" ht="15.75" x14ac:dyDescent="0.25">
      <c r="A85" s="36"/>
      <c r="B85" s="36"/>
      <c r="C85" s="36"/>
      <c r="D85" s="36"/>
      <c r="R85" s="1"/>
      <c r="S85" s="38"/>
      <c r="T85" s="38"/>
      <c r="U85" s="38"/>
      <c r="V85" s="38"/>
      <c r="W85" s="38"/>
      <c r="X85" s="38"/>
      <c r="Y85" s="38"/>
      <c r="Z85" s="36"/>
      <c r="AA85" s="38"/>
      <c r="AB85" s="38"/>
      <c r="AC85" s="38"/>
      <c r="AD85" s="38"/>
      <c r="AE85" s="38"/>
      <c r="AF85" s="38"/>
      <c r="AG85" s="38"/>
      <c r="AH85" s="36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26"/>
      <c r="BC85" s="38"/>
      <c r="BD85" s="26"/>
      <c r="BE85" s="38"/>
      <c r="BF85" s="38"/>
      <c r="BG85" s="36"/>
      <c r="BH85" s="36"/>
    </row>
    <row r="86" spans="1:60" s="37" customFormat="1" ht="15.75" x14ac:dyDescent="0.25">
      <c r="A86" s="36"/>
      <c r="B86" s="36"/>
      <c r="C86" s="36"/>
      <c r="D86" s="36"/>
      <c r="R86" s="1"/>
      <c r="S86" s="38"/>
      <c r="T86" s="38"/>
      <c r="U86" s="38"/>
      <c r="V86" s="38"/>
      <c r="W86" s="38"/>
      <c r="X86" s="38"/>
      <c r="Y86" s="38"/>
      <c r="Z86" s="36"/>
      <c r="AA86" s="38"/>
      <c r="AB86" s="38"/>
      <c r="AC86" s="38"/>
      <c r="AD86" s="38"/>
      <c r="AE86" s="38"/>
      <c r="AF86" s="38"/>
      <c r="AG86" s="38"/>
      <c r="AH86" s="36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26"/>
      <c r="BC86" s="38"/>
      <c r="BD86" s="26"/>
      <c r="BE86" s="38"/>
      <c r="BF86" s="38"/>
      <c r="BG86" s="36"/>
      <c r="BH86" s="36"/>
    </row>
    <row r="87" spans="1:60" s="37" customFormat="1" ht="15.75" x14ac:dyDescent="0.25">
      <c r="A87" s="36"/>
      <c r="B87" s="36"/>
      <c r="C87" s="36"/>
      <c r="D87" s="36"/>
      <c r="R87" s="1"/>
      <c r="S87" s="38"/>
      <c r="T87" s="38"/>
      <c r="U87" s="38"/>
      <c r="V87" s="38"/>
      <c r="W87" s="38"/>
      <c r="X87" s="38"/>
      <c r="Y87" s="38"/>
      <c r="Z87" s="36"/>
      <c r="AA87" s="38"/>
      <c r="AB87" s="38"/>
      <c r="AC87" s="38"/>
      <c r="AD87" s="38"/>
      <c r="AE87" s="38"/>
      <c r="AF87" s="38"/>
      <c r="AG87" s="38"/>
      <c r="AH87" s="36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26"/>
      <c r="BC87" s="38"/>
      <c r="BD87" s="26"/>
      <c r="BE87" s="38"/>
      <c r="BF87" s="38"/>
      <c r="BG87" s="36"/>
      <c r="BH87" s="36"/>
    </row>
    <row r="88" spans="1:60" s="37" customFormat="1" ht="15.75" x14ac:dyDescent="0.25">
      <c r="A88" s="36"/>
      <c r="B88" s="36"/>
      <c r="C88" s="36"/>
      <c r="D88" s="36"/>
      <c r="R88" s="1"/>
      <c r="S88" s="38"/>
      <c r="T88" s="38"/>
      <c r="U88" s="38"/>
      <c r="V88" s="38"/>
      <c r="W88" s="38"/>
      <c r="X88" s="38"/>
      <c r="Y88" s="38"/>
      <c r="Z88" s="36"/>
      <c r="AA88" s="38"/>
      <c r="AB88" s="38"/>
      <c r="AC88" s="38"/>
      <c r="AD88" s="38"/>
      <c r="AE88" s="38"/>
      <c r="AF88" s="38"/>
      <c r="AG88" s="38"/>
      <c r="AH88" s="36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26"/>
      <c r="BC88" s="38"/>
      <c r="BD88" s="26"/>
      <c r="BE88" s="38"/>
      <c r="BF88" s="38"/>
      <c r="BG88" s="36"/>
      <c r="BH88" s="36"/>
    </row>
    <row r="89" spans="1:60" s="37" customFormat="1" ht="15.75" x14ac:dyDescent="0.25">
      <c r="A89" s="36"/>
      <c r="B89" s="36"/>
      <c r="C89" s="36"/>
      <c r="D89" s="36"/>
      <c r="R89" s="1"/>
      <c r="S89" s="38"/>
      <c r="T89" s="38"/>
      <c r="U89" s="38"/>
      <c r="V89" s="38"/>
      <c r="W89" s="38"/>
      <c r="X89" s="38"/>
      <c r="Y89" s="38"/>
      <c r="Z89" s="36"/>
      <c r="AA89" s="38"/>
      <c r="AB89" s="38"/>
      <c r="AC89" s="38"/>
      <c r="AD89" s="38"/>
      <c r="AE89" s="38"/>
      <c r="AF89" s="38"/>
      <c r="AG89" s="38"/>
      <c r="AH89" s="36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26"/>
      <c r="BC89" s="38"/>
      <c r="BD89" s="26"/>
      <c r="BE89" s="38"/>
      <c r="BF89" s="38"/>
      <c r="BG89" s="36"/>
      <c r="BH89" s="36"/>
    </row>
    <row r="90" spans="1:60" s="37" customFormat="1" ht="15.75" x14ac:dyDescent="0.25">
      <c r="A90" s="36"/>
      <c r="B90" s="36"/>
      <c r="C90" s="36"/>
      <c r="D90" s="36"/>
      <c r="R90" s="1"/>
      <c r="S90" s="38"/>
      <c r="T90" s="38"/>
      <c r="U90" s="38"/>
      <c r="V90" s="38"/>
      <c r="W90" s="38"/>
      <c r="X90" s="38"/>
      <c r="Y90" s="38"/>
      <c r="Z90" s="36"/>
      <c r="AA90" s="38"/>
      <c r="AB90" s="38"/>
      <c r="AC90" s="38"/>
      <c r="AD90" s="38"/>
      <c r="AE90" s="38"/>
      <c r="AF90" s="38"/>
      <c r="AG90" s="38"/>
      <c r="AH90" s="36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26"/>
      <c r="BC90" s="38"/>
      <c r="BD90" s="26"/>
      <c r="BE90" s="38"/>
      <c r="BF90" s="38"/>
      <c r="BG90" s="36"/>
      <c r="BH90" s="36"/>
    </row>
    <row r="91" spans="1:60" s="37" customFormat="1" ht="15.75" x14ac:dyDescent="0.25">
      <c r="A91" s="36"/>
      <c r="B91" s="36"/>
      <c r="C91" s="36"/>
      <c r="D91" s="36"/>
      <c r="R91" s="1"/>
      <c r="S91" s="38"/>
      <c r="T91" s="38"/>
      <c r="U91" s="38"/>
      <c r="V91" s="38"/>
      <c r="W91" s="38"/>
      <c r="X91" s="38"/>
      <c r="Y91" s="38"/>
      <c r="Z91" s="36"/>
      <c r="AA91" s="38"/>
      <c r="AB91" s="38"/>
      <c r="AC91" s="38"/>
      <c r="AD91" s="38"/>
      <c r="AE91" s="38"/>
      <c r="AF91" s="38"/>
      <c r="AG91" s="38"/>
      <c r="AH91" s="36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26"/>
      <c r="BC91" s="38"/>
      <c r="BD91" s="26"/>
      <c r="BE91" s="38"/>
      <c r="BF91" s="38"/>
      <c r="BG91" s="36"/>
      <c r="BH91" s="36"/>
    </row>
    <row r="92" spans="1:60" s="37" customFormat="1" ht="15.75" x14ac:dyDescent="0.25">
      <c r="A92" s="36"/>
      <c r="B92" s="36"/>
      <c r="C92" s="36"/>
      <c r="D92" s="36"/>
      <c r="R92" s="1"/>
      <c r="S92" s="38"/>
      <c r="T92" s="38"/>
      <c r="U92" s="38"/>
      <c r="V92" s="38"/>
      <c r="W92" s="38"/>
      <c r="X92" s="38"/>
      <c r="Y92" s="38"/>
      <c r="Z92" s="36"/>
      <c r="AA92" s="38"/>
      <c r="AB92" s="38"/>
      <c r="AC92" s="38"/>
      <c r="AD92" s="38"/>
      <c r="AE92" s="38"/>
      <c r="AF92" s="38"/>
      <c r="AG92" s="38"/>
      <c r="AH92" s="36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26"/>
      <c r="BC92" s="38"/>
      <c r="BD92" s="26"/>
      <c r="BE92" s="38"/>
      <c r="BF92" s="38"/>
      <c r="BG92" s="36"/>
      <c r="BH92" s="36"/>
    </row>
    <row r="93" spans="1:60" s="37" customFormat="1" ht="15.75" x14ac:dyDescent="0.25">
      <c r="A93" s="36"/>
      <c r="B93" s="36"/>
      <c r="C93" s="36"/>
      <c r="D93" s="36"/>
      <c r="R93" s="1"/>
      <c r="S93" s="38"/>
      <c r="T93" s="38"/>
      <c r="U93" s="38"/>
      <c r="V93" s="38"/>
      <c r="W93" s="38"/>
      <c r="X93" s="38"/>
      <c r="Y93" s="38"/>
      <c r="Z93" s="36"/>
      <c r="AA93" s="38"/>
      <c r="AB93" s="38"/>
      <c r="AC93" s="38"/>
      <c r="AD93" s="38"/>
      <c r="AE93" s="38"/>
      <c r="AF93" s="38"/>
      <c r="AG93" s="38"/>
      <c r="AH93" s="36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26"/>
      <c r="BC93" s="38"/>
      <c r="BD93" s="26"/>
      <c r="BE93" s="38"/>
      <c r="BF93" s="38"/>
      <c r="BG93" s="36"/>
      <c r="BH93" s="36"/>
    </row>
    <row r="94" spans="1:60" s="37" customFormat="1" ht="15.75" x14ac:dyDescent="0.25">
      <c r="A94" s="36"/>
      <c r="B94" s="36"/>
      <c r="C94" s="36"/>
      <c r="D94" s="36"/>
      <c r="R94" s="1"/>
      <c r="S94" s="38"/>
      <c r="T94" s="38"/>
      <c r="U94" s="38"/>
      <c r="V94" s="38"/>
      <c r="W94" s="38"/>
      <c r="X94" s="38"/>
      <c r="Y94" s="38"/>
      <c r="Z94" s="36"/>
      <c r="AA94" s="38"/>
      <c r="AB94" s="38"/>
      <c r="AC94" s="38"/>
      <c r="AD94" s="38"/>
      <c r="AE94" s="38"/>
      <c r="AF94" s="38"/>
      <c r="AG94" s="38"/>
      <c r="AH94" s="36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26"/>
      <c r="BC94" s="38"/>
      <c r="BD94" s="26"/>
      <c r="BE94" s="38"/>
      <c r="BF94" s="38"/>
      <c r="BG94" s="36"/>
      <c r="BH94" s="36"/>
    </row>
    <row r="95" spans="1:60" s="37" customFormat="1" ht="15.75" x14ac:dyDescent="0.25">
      <c r="A95" s="36"/>
      <c r="B95" s="36"/>
      <c r="C95" s="36"/>
      <c r="D95" s="36"/>
      <c r="R95" s="1"/>
      <c r="S95" s="38"/>
      <c r="T95" s="38"/>
      <c r="U95" s="38"/>
      <c r="V95" s="38"/>
      <c r="W95" s="38"/>
      <c r="X95" s="38"/>
      <c r="Y95" s="38"/>
      <c r="Z95" s="36"/>
      <c r="AA95" s="38"/>
      <c r="AB95" s="38"/>
      <c r="AC95" s="38"/>
      <c r="AD95" s="38"/>
      <c r="AE95" s="38"/>
      <c r="AF95" s="38"/>
      <c r="AG95" s="38"/>
      <c r="AH95" s="36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26"/>
      <c r="BC95" s="38"/>
      <c r="BD95" s="26"/>
      <c r="BE95" s="38"/>
      <c r="BF95" s="38"/>
      <c r="BG95" s="36"/>
      <c r="BH95" s="36"/>
    </row>
    <row r="96" spans="1:60" s="37" customFormat="1" ht="15.75" x14ac:dyDescent="0.25">
      <c r="A96" s="36"/>
      <c r="B96" s="36"/>
      <c r="C96" s="36"/>
      <c r="D96" s="36"/>
      <c r="R96" s="1"/>
      <c r="S96" s="38"/>
      <c r="T96" s="38"/>
      <c r="U96" s="38"/>
      <c r="V96" s="38"/>
      <c r="W96" s="38"/>
      <c r="X96" s="38"/>
      <c r="Y96" s="38"/>
      <c r="Z96" s="36"/>
      <c r="AA96" s="38"/>
      <c r="AB96" s="38"/>
      <c r="AC96" s="38"/>
      <c r="AD96" s="38"/>
      <c r="AE96" s="38"/>
      <c r="AF96" s="38"/>
      <c r="AG96" s="38"/>
      <c r="AH96" s="36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26"/>
      <c r="BC96" s="38"/>
      <c r="BD96" s="26"/>
      <c r="BE96" s="38"/>
      <c r="BF96" s="38"/>
      <c r="BG96" s="36"/>
      <c r="BH96" s="36"/>
    </row>
    <row r="97" spans="1:60" s="37" customFormat="1" ht="15.75" x14ac:dyDescent="0.25">
      <c r="A97" s="36"/>
      <c r="B97" s="36"/>
      <c r="C97" s="36"/>
      <c r="D97" s="36"/>
      <c r="R97" s="1"/>
      <c r="S97" s="38"/>
      <c r="T97" s="38"/>
      <c r="U97" s="38"/>
      <c r="V97" s="38"/>
      <c r="W97" s="38"/>
      <c r="X97" s="38"/>
      <c r="Y97" s="38"/>
      <c r="Z97" s="36"/>
      <c r="AA97" s="38"/>
      <c r="AB97" s="38"/>
      <c r="AC97" s="38"/>
      <c r="AD97" s="38"/>
      <c r="AE97" s="38"/>
      <c r="AF97" s="38"/>
      <c r="AG97" s="38"/>
      <c r="AH97" s="36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26"/>
      <c r="BC97" s="38"/>
      <c r="BD97" s="26"/>
      <c r="BE97" s="38"/>
      <c r="BF97" s="38"/>
      <c r="BG97" s="36"/>
      <c r="BH97" s="36"/>
    </row>
    <row r="98" spans="1:60" s="37" customFormat="1" ht="15.75" x14ac:dyDescent="0.25">
      <c r="A98" s="36"/>
      <c r="B98" s="36"/>
      <c r="C98" s="36"/>
      <c r="D98" s="36"/>
      <c r="R98" s="1"/>
      <c r="S98" s="38"/>
      <c r="T98" s="38"/>
      <c r="U98" s="38"/>
      <c r="V98" s="38"/>
      <c r="W98" s="38"/>
      <c r="X98" s="38"/>
      <c r="Y98" s="38"/>
      <c r="Z98" s="36"/>
      <c r="AA98" s="38"/>
      <c r="AB98" s="38"/>
      <c r="AC98" s="38"/>
      <c r="AD98" s="38"/>
      <c r="AE98" s="38"/>
      <c r="AF98" s="38"/>
      <c r="AG98" s="38"/>
      <c r="AH98" s="36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26"/>
      <c r="BC98" s="38"/>
      <c r="BD98" s="26"/>
      <c r="BE98" s="38"/>
      <c r="BF98" s="38"/>
      <c r="BG98" s="36"/>
      <c r="BH98" s="36"/>
    </row>
    <row r="99" spans="1:60" s="37" customFormat="1" ht="15.75" x14ac:dyDescent="0.25">
      <c r="A99" s="36"/>
      <c r="B99" s="36"/>
      <c r="C99" s="36"/>
      <c r="D99" s="36"/>
      <c r="R99" s="1"/>
      <c r="S99" s="38"/>
      <c r="T99" s="38"/>
      <c r="U99" s="38"/>
      <c r="V99" s="38"/>
      <c r="W99" s="38"/>
      <c r="X99" s="38"/>
      <c r="Y99" s="38"/>
      <c r="Z99" s="36"/>
      <c r="AA99" s="38"/>
      <c r="AB99" s="38"/>
      <c r="AC99" s="38"/>
      <c r="AD99" s="38"/>
      <c r="AE99" s="38"/>
      <c r="AF99" s="38"/>
      <c r="AG99" s="38"/>
      <c r="AH99" s="36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26"/>
      <c r="BC99" s="38"/>
      <c r="BD99" s="26"/>
      <c r="BE99" s="38"/>
      <c r="BF99" s="38"/>
      <c r="BG99" s="36"/>
      <c r="BH99" s="36"/>
    </row>
    <row r="100" spans="1:60" s="37" customFormat="1" ht="15.75" x14ac:dyDescent="0.25">
      <c r="A100" s="36"/>
      <c r="B100" s="36"/>
      <c r="C100" s="36"/>
      <c r="D100" s="36"/>
      <c r="R100" s="1"/>
      <c r="S100" s="38"/>
      <c r="T100" s="38"/>
      <c r="U100" s="38"/>
      <c r="V100" s="38"/>
      <c r="W100" s="38"/>
      <c r="X100" s="38"/>
      <c r="Y100" s="38"/>
      <c r="Z100" s="36"/>
      <c r="AA100" s="38"/>
      <c r="AB100" s="38"/>
      <c r="AC100" s="38"/>
      <c r="AD100" s="38"/>
      <c r="AE100" s="38"/>
      <c r="AF100" s="38"/>
      <c r="AG100" s="38"/>
      <c r="AH100" s="36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26"/>
      <c r="BC100" s="38"/>
      <c r="BD100" s="26"/>
      <c r="BE100" s="38"/>
      <c r="BF100" s="38"/>
      <c r="BG100" s="36"/>
      <c r="BH100" s="36"/>
    </row>
    <row r="101" spans="1:60" s="37" customFormat="1" ht="15.75" x14ac:dyDescent="0.25">
      <c r="A101" s="36"/>
      <c r="B101" s="36"/>
      <c r="C101" s="36"/>
      <c r="D101" s="36"/>
      <c r="R101" s="1"/>
      <c r="S101" s="38"/>
      <c r="T101" s="38"/>
      <c r="U101" s="38"/>
      <c r="V101" s="38"/>
      <c r="W101" s="38"/>
      <c r="X101" s="38"/>
      <c r="Y101" s="38"/>
      <c r="Z101" s="36"/>
      <c r="AA101" s="38"/>
      <c r="AB101" s="38"/>
      <c r="AC101" s="38"/>
      <c r="AD101" s="38"/>
      <c r="AE101" s="38"/>
      <c r="AF101" s="38"/>
      <c r="AG101" s="38"/>
      <c r="AH101" s="36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26"/>
      <c r="BC101" s="38"/>
      <c r="BD101" s="26"/>
      <c r="BE101" s="38"/>
      <c r="BF101" s="38"/>
      <c r="BG101" s="36"/>
      <c r="BH101" s="36"/>
    </row>
    <row r="102" spans="1:60" s="37" customFormat="1" ht="15.75" x14ac:dyDescent="0.25">
      <c r="A102" s="36"/>
      <c r="B102" s="36"/>
      <c r="C102" s="36"/>
      <c r="D102" s="36"/>
      <c r="R102" s="1"/>
      <c r="S102" s="38"/>
      <c r="T102" s="38"/>
      <c r="U102" s="38"/>
      <c r="V102" s="38"/>
      <c r="W102" s="38"/>
      <c r="X102" s="38"/>
      <c r="Y102" s="38"/>
      <c r="Z102" s="36"/>
      <c r="AA102" s="38"/>
      <c r="AB102" s="38"/>
      <c r="AC102" s="38"/>
      <c r="AD102" s="38"/>
      <c r="AE102" s="38"/>
      <c r="AF102" s="38"/>
      <c r="AG102" s="38"/>
      <c r="AH102" s="36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26"/>
      <c r="BC102" s="38"/>
      <c r="BD102" s="26"/>
      <c r="BE102" s="38"/>
      <c r="BF102" s="38"/>
      <c r="BG102" s="36"/>
      <c r="BH102" s="36"/>
    </row>
    <row r="103" spans="1:60" s="37" customFormat="1" ht="15.75" x14ac:dyDescent="0.25">
      <c r="A103" s="36"/>
      <c r="B103" s="36"/>
      <c r="C103" s="36"/>
      <c r="D103" s="36"/>
      <c r="R103" s="1"/>
      <c r="S103" s="38"/>
      <c r="T103" s="38"/>
      <c r="U103" s="38"/>
      <c r="V103" s="38"/>
      <c r="W103" s="38"/>
      <c r="X103" s="38"/>
      <c r="Y103" s="38"/>
      <c r="Z103" s="36"/>
      <c r="AA103" s="38"/>
      <c r="AB103" s="38"/>
      <c r="AC103" s="38"/>
      <c r="AD103" s="38"/>
      <c r="AE103" s="38"/>
      <c r="AF103" s="38"/>
      <c r="AG103" s="38"/>
      <c r="AH103" s="36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26"/>
      <c r="BC103" s="38"/>
      <c r="BD103" s="26"/>
      <c r="BE103" s="38"/>
      <c r="BF103" s="38"/>
      <c r="BG103" s="36"/>
      <c r="BH103" s="36"/>
    </row>
    <row r="104" spans="1:60" s="37" customFormat="1" ht="15.75" x14ac:dyDescent="0.25">
      <c r="A104" s="36"/>
      <c r="B104" s="36"/>
      <c r="C104" s="36"/>
      <c r="D104" s="36"/>
      <c r="R104" s="1"/>
      <c r="S104" s="38"/>
      <c r="T104" s="38"/>
      <c r="U104" s="38"/>
      <c r="V104" s="38"/>
      <c r="W104" s="38"/>
      <c r="X104" s="38"/>
      <c r="Y104" s="38"/>
      <c r="Z104" s="36"/>
      <c r="AA104" s="38"/>
      <c r="AB104" s="38"/>
      <c r="AC104" s="38"/>
      <c r="AD104" s="38"/>
      <c r="AE104" s="38"/>
      <c r="AF104" s="38"/>
      <c r="AG104" s="38"/>
      <c r="AH104" s="36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26"/>
      <c r="BC104" s="38"/>
      <c r="BD104" s="26"/>
      <c r="BE104" s="38"/>
      <c r="BF104" s="38"/>
      <c r="BG104" s="36"/>
      <c r="BH104" s="36"/>
    </row>
    <row r="105" spans="1:60" s="37" customFormat="1" ht="15.75" x14ac:dyDescent="0.25">
      <c r="A105" s="36"/>
      <c r="B105" s="36"/>
      <c r="C105" s="36"/>
      <c r="D105" s="36"/>
      <c r="R105" s="1"/>
      <c r="S105" s="38"/>
      <c r="T105" s="38"/>
      <c r="U105" s="38"/>
      <c r="V105" s="38"/>
      <c r="W105" s="38"/>
      <c r="X105" s="38"/>
      <c r="Y105" s="38"/>
      <c r="Z105" s="36"/>
      <c r="AA105" s="38"/>
      <c r="AB105" s="38"/>
      <c r="AC105" s="38"/>
      <c r="AD105" s="38"/>
      <c r="AE105" s="38"/>
      <c r="AF105" s="38"/>
      <c r="AG105" s="38"/>
      <c r="AH105" s="36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26"/>
      <c r="BC105" s="38"/>
      <c r="BD105" s="26"/>
      <c r="BE105" s="38"/>
      <c r="BF105" s="38"/>
      <c r="BG105" s="36"/>
      <c r="BH105" s="36"/>
    </row>
    <row r="106" spans="1:60" s="37" customFormat="1" ht="15.75" x14ac:dyDescent="0.25">
      <c r="A106" s="36"/>
      <c r="B106" s="36"/>
      <c r="C106" s="36"/>
      <c r="D106" s="36"/>
      <c r="R106" s="1"/>
      <c r="S106" s="38"/>
      <c r="T106" s="38"/>
      <c r="U106" s="38"/>
      <c r="V106" s="38"/>
      <c r="W106" s="38"/>
      <c r="X106" s="38"/>
      <c r="Y106" s="38"/>
      <c r="Z106" s="36"/>
      <c r="AA106" s="38"/>
      <c r="AB106" s="38"/>
      <c r="AC106" s="38"/>
      <c r="AD106" s="38"/>
      <c r="AE106" s="38"/>
      <c r="AF106" s="38"/>
      <c r="AG106" s="38"/>
      <c r="AH106" s="36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26"/>
      <c r="BC106" s="38"/>
      <c r="BD106" s="26"/>
      <c r="BE106" s="38"/>
      <c r="BF106" s="38"/>
      <c r="BG106" s="36"/>
      <c r="BH106" s="36"/>
    </row>
    <row r="107" spans="1:60" s="37" customFormat="1" ht="15.75" x14ac:dyDescent="0.25">
      <c r="A107" s="36"/>
      <c r="B107" s="36"/>
      <c r="C107" s="36"/>
      <c r="D107" s="36"/>
      <c r="R107" s="1"/>
      <c r="S107" s="38"/>
      <c r="T107" s="38"/>
      <c r="U107" s="38"/>
      <c r="V107" s="38"/>
      <c r="W107" s="38"/>
      <c r="X107" s="38"/>
      <c r="Y107" s="38"/>
      <c r="Z107" s="36"/>
      <c r="AA107" s="38"/>
      <c r="AB107" s="38"/>
      <c r="AC107" s="38"/>
      <c r="AD107" s="38"/>
      <c r="AE107" s="38"/>
      <c r="AF107" s="38"/>
      <c r="AG107" s="38"/>
      <c r="AH107" s="36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26"/>
      <c r="BC107" s="38"/>
      <c r="BD107" s="26"/>
      <c r="BE107" s="38"/>
      <c r="BF107" s="38"/>
      <c r="BG107" s="36"/>
      <c r="BH107" s="36"/>
    </row>
    <row r="108" spans="1:60" s="37" customFormat="1" ht="15.75" x14ac:dyDescent="0.25">
      <c r="A108" s="36"/>
      <c r="B108" s="36"/>
      <c r="C108" s="36"/>
      <c r="D108" s="36"/>
      <c r="R108" s="1"/>
      <c r="S108" s="38"/>
      <c r="T108" s="38"/>
      <c r="U108" s="38"/>
      <c r="V108" s="38"/>
      <c r="W108" s="38"/>
      <c r="X108" s="38"/>
      <c r="Y108" s="38"/>
      <c r="Z108" s="36"/>
      <c r="AA108" s="38"/>
      <c r="AB108" s="38"/>
      <c r="AC108" s="38"/>
      <c r="AD108" s="38"/>
      <c r="AE108" s="38"/>
      <c r="AF108" s="38"/>
      <c r="AG108" s="38"/>
      <c r="AH108" s="36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26"/>
      <c r="BC108" s="38"/>
      <c r="BD108" s="26"/>
      <c r="BE108" s="38"/>
      <c r="BF108" s="38"/>
      <c r="BG108" s="36"/>
      <c r="BH108" s="36"/>
    </row>
    <row r="109" spans="1:60" s="37" customFormat="1" ht="15.75" x14ac:dyDescent="0.25">
      <c r="A109" s="36"/>
      <c r="B109" s="36"/>
      <c r="C109" s="36"/>
      <c r="D109" s="36"/>
      <c r="R109" s="1"/>
      <c r="S109" s="38"/>
      <c r="T109" s="38"/>
      <c r="U109" s="38"/>
      <c r="V109" s="38"/>
      <c r="W109" s="38"/>
      <c r="X109" s="38"/>
      <c r="Y109" s="38"/>
      <c r="Z109" s="36"/>
      <c r="AA109" s="38"/>
      <c r="AB109" s="38"/>
      <c r="AC109" s="38"/>
      <c r="AD109" s="38"/>
      <c r="AE109" s="38"/>
      <c r="AF109" s="38"/>
      <c r="AG109" s="38"/>
      <c r="AH109" s="36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26"/>
      <c r="BC109" s="38"/>
      <c r="BD109" s="26"/>
      <c r="BE109" s="38"/>
      <c r="BF109" s="38"/>
      <c r="BG109" s="36"/>
      <c r="BH109" s="36"/>
    </row>
    <row r="110" spans="1:60" s="37" customFormat="1" ht="15.75" x14ac:dyDescent="0.25">
      <c r="A110" s="36"/>
      <c r="B110" s="36"/>
      <c r="C110" s="36"/>
      <c r="D110" s="36"/>
      <c r="R110" s="1"/>
      <c r="S110" s="38"/>
      <c r="T110" s="38"/>
      <c r="U110" s="38"/>
      <c r="V110" s="38"/>
      <c r="W110" s="38"/>
      <c r="X110" s="38"/>
      <c r="Y110" s="38"/>
      <c r="Z110" s="36"/>
      <c r="AA110" s="38"/>
      <c r="AB110" s="38"/>
      <c r="AC110" s="38"/>
      <c r="AD110" s="38"/>
      <c r="AE110" s="38"/>
      <c r="AF110" s="38"/>
      <c r="AG110" s="38"/>
      <c r="AH110" s="36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26"/>
      <c r="BC110" s="38"/>
      <c r="BD110" s="26"/>
      <c r="BE110" s="38"/>
      <c r="BF110" s="38"/>
      <c r="BG110" s="36"/>
      <c r="BH110" s="36"/>
    </row>
    <row r="111" spans="1:60" s="37" customFormat="1" ht="15.75" x14ac:dyDescent="0.25">
      <c r="A111" s="36"/>
      <c r="B111" s="36"/>
      <c r="C111" s="36"/>
      <c r="D111" s="36"/>
      <c r="R111" s="1"/>
      <c r="S111" s="38"/>
      <c r="T111" s="38"/>
      <c r="U111" s="38"/>
      <c r="V111" s="38"/>
      <c r="W111" s="38"/>
      <c r="X111" s="38"/>
      <c r="Y111" s="38"/>
      <c r="Z111" s="36"/>
      <c r="AA111" s="38"/>
      <c r="AB111" s="38"/>
      <c r="AC111" s="38"/>
      <c r="AD111" s="38"/>
      <c r="AE111" s="38"/>
      <c r="AF111" s="38"/>
      <c r="AG111" s="38"/>
      <c r="AH111" s="36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26"/>
      <c r="BC111" s="38"/>
      <c r="BD111" s="26"/>
      <c r="BE111" s="38"/>
      <c r="BF111" s="38"/>
      <c r="BG111" s="36"/>
      <c r="BH111" s="36"/>
    </row>
    <row r="112" spans="1:60" s="37" customFormat="1" ht="15.75" x14ac:dyDescent="0.25">
      <c r="A112" s="36"/>
      <c r="B112" s="36"/>
      <c r="C112" s="36"/>
      <c r="D112" s="36"/>
      <c r="R112" s="1"/>
      <c r="S112" s="38"/>
      <c r="T112" s="38"/>
      <c r="U112" s="38"/>
      <c r="V112" s="38"/>
      <c r="W112" s="38"/>
      <c r="X112" s="38"/>
      <c r="Y112" s="38"/>
      <c r="Z112" s="36"/>
      <c r="AA112" s="38"/>
      <c r="AB112" s="38"/>
      <c r="AC112" s="38"/>
      <c r="AD112" s="38"/>
      <c r="AE112" s="38"/>
      <c r="AF112" s="38"/>
      <c r="AG112" s="38"/>
      <c r="AH112" s="36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26"/>
      <c r="BC112" s="38"/>
      <c r="BD112" s="26"/>
      <c r="BE112" s="38"/>
      <c r="BF112" s="38"/>
      <c r="BG112" s="36"/>
      <c r="BH112" s="36"/>
    </row>
    <row r="113" spans="1:60" s="37" customFormat="1" ht="15.75" x14ac:dyDescent="0.25">
      <c r="A113" s="36"/>
      <c r="B113" s="36"/>
      <c r="C113" s="36"/>
      <c r="D113" s="36"/>
      <c r="R113" s="1"/>
      <c r="S113" s="38"/>
      <c r="T113" s="38"/>
      <c r="U113" s="38"/>
      <c r="V113" s="38"/>
      <c r="W113" s="38"/>
      <c r="X113" s="38"/>
      <c r="Y113" s="38"/>
      <c r="Z113" s="36"/>
      <c r="AA113" s="38"/>
      <c r="AB113" s="38"/>
      <c r="AC113" s="38"/>
      <c r="AD113" s="38"/>
      <c r="AE113" s="38"/>
      <c r="AF113" s="38"/>
      <c r="AG113" s="38"/>
      <c r="AH113" s="36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26"/>
      <c r="BC113" s="38"/>
      <c r="BD113" s="26"/>
      <c r="BE113" s="38"/>
      <c r="BF113" s="38"/>
      <c r="BG113" s="36"/>
      <c r="BH113" s="36"/>
    </row>
    <row r="114" spans="1:60" s="37" customFormat="1" ht="15.75" x14ac:dyDescent="0.25">
      <c r="A114" s="36"/>
      <c r="B114" s="36"/>
      <c r="C114" s="36"/>
      <c r="D114" s="36"/>
      <c r="R114" s="1"/>
      <c r="S114" s="38"/>
      <c r="T114" s="38"/>
      <c r="U114" s="38"/>
      <c r="V114" s="38"/>
      <c r="W114" s="38"/>
      <c r="X114" s="38"/>
      <c r="Y114" s="38"/>
      <c r="Z114" s="36"/>
      <c r="AA114" s="38"/>
      <c r="AB114" s="38"/>
      <c r="AC114" s="38"/>
      <c r="AD114" s="38"/>
      <c r="AE114" s="38"/>
      <c r="AF114" s="38"/>
      <c r="AG114" s="38"/>
      <c r="AH114" s="36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26"/>
      <c r="BC114" s="38"/>
      <c r="BD114" s="26"/>
      <c r="BE114" s="38"/>
      <c r="BF114" s="38"/>
      <c r="BG114" s="36"/>
      <c r="BH114" s="36"/>
    </row>
    <row r="115" spans="1:60" s="37" customFormat="1" ht="15.75" x14ac:dyDescent="0.25">
      <c r="A115" s="36"/>
      <c r="B115" s="36"/>
      <c r="C115" s="36"/>
      <c r="D115" s="36"/>
      <c r="R115" s="1"/>
      <c r="S115" s="38"/>
      <c r="T115" s="38"/>
      <c r="U115" s="38"/>
      <c r="V115" s="38"/>
      <c r="W115" s="38"/>
      <c r="X115" s="38"/>
      <c r="Y115" s="38"/>
      <c r="Z115" s="36"/>
      <c r="AA115" s="38"/>
      <c r="AB115" s="38"/>
      <c r="AC115" s="38"/>
      <c r="AD115" s="38"/>
      <c r="AE115" s="38"/>
      <c r="AF115" s="38"/>
      <c r="AG115" s="38"/>
      <c r="AH115" s="36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26"/>
      <c r="BC115" s="38"/>
      <c r="BD115" s="26"/>
      <c r="BE115" s="38"/>
      <c r="BF115" s="38"/>
      <c r="BG115" s="36"/>
      <c r="BH115" s="36"/>
    </row>
    <row r="116" spans="1:60" s="37" customFormat="1" ht="15.75" x14ac:dyDescent="0.25">
      <c r="A116" s="36"/>
      <c r="B116" s="36"/>
      <c r="C116" s="36"/>
      <c r="D116" s="36"/>
      <c r="R116" s="1"/>
      <c r="S116" s="38"/>
      <c r="T116" s="38"/>
      <c r="U116" s="38"/>
      <c r="V116" s="38"/>
      <c r="W116" s="38"/>
      <c r="X116" s="38"/>
      <c r="Y116" s="38"/>
      <c r="Z116" s="36"/>
      <c r="AA116" s="38"/>
      <c r="AB116" s="38"/>
      <c r="AC116" s="38"/>
      <c r="AD116" s="38"/>
      <c r="AE116" s="38"/>
      <c r="AF116" s="38"/>
      <c r="AG116" s="38"/>
      <c r="AH116" s="36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26"/>
      <c r="BC116" s="38"/>
      <c r="BD116" s="26"/>
      <c r="BE116" s="38"/>
      <c r="BF116" s="38"/>
      <c r="BG116" s="36"/>
      <c r="BH116" s="36"/>
    </row>
    <row r="117" spans="1:60" s="37" customFormat="1" ht="15.75" x14ac:dyDescent="0.25">
      <c r="A117" s="36"/>
      <c r="B117" s="36"/>
      <c r="C117" s="36"/>
      <c r="D117" s="36"/>
      <c r="R117" s="1"/>
      <c r="S117" s="38"/>
      <c r="T117" s="38"/>
      <c r="U117" s="38"/>
      <c r="V117" s="38"/>
      <c r="W117" s="38"/>
      <c r="X117" s="38"/>
      <c r="Y117" s="38"/>
      <c r="Z117" s="36"/>
      <c r="AA117" s="38"/>
      <c r="AB117" s="38"/>
      <c r="AC117" s="38"/>
      <c r="AD117" s="38"/>
      <c r="AE117" s="38"/>
      <c r="AF117" s="38"/>
      <c r="AG117" s="38"/>
      <c r="AH117" s="36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26"/>
      <c r="BC117" s="38"/>
      <c r="BD117" s="26"/>
      <c r="BE117" s="38"/>
      <c r="BF117" s="38"/>
      <c r="BG117" s="36"/>
      <c r="BH117" s="36"/>
    </row>
    <row r="118" spans="1:60" s="37" customFormat="1" ht="15.75" x14ac:dyDescent="0.25">
      <c r="A118" s="36"/>
      <c r="B118" s="36"/>
      <c r="C118" s="36"/>
      <c r="D118" s="36"/>
      <c r="R118" s="1"/>
      <c r="S118" s="38"/>
      <c r="T118" s="38"/>
      <c r="U118" s="38"/>
      <c r="V118" s="38"/>
      <c r="W118" s="38"/>
      <c r="X118" s="38"/>
      <c r="Y118" s="38"/>
      <c r="Z118" s="36"/>
      <c r="AA118" s="38"/>
      <c r="AB118" s="38"/>
      <c r="AC118" s="38"/>
      <c r="AD118" s="38"/>
      <c r="AE118" s="38"/>
      <c r="AF118" s="38"/>
      <c r="AG118" s="38"/>
      <c r="AH118" s="36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26"/>
      <c r="BC118" s="38"/>
      <c r="BD118" s="26"/>
      <c r="BE118" s="38"/>
      <c r="BF118" s="38"/>
      <c r="BG118" s="36"/>
      <c r="BH118" s="36"/>
    </row>
    <row r="119" spans="1:60" s="37" customFormat="1" ht="15.75" x14ac:dyDescent="0.25">
      <c r="A119" s="36"/>
      <c r="B119" s="36"/>
      <c r="C119" s="36"/>
      <c r="D119" s="36"/>
      <c r="R119" s="1"/>
      <c r="S119" s="38"/>
      <c r="T119" s="38"/>
      <c r="U119" s="38"/>
      <c r="V119" s="38"/>
      <c r="W119" s="38"/>
      <c r="X119" s="38"/>
      <c r="Y119" s="38"/>
      <c r="Z119" s="36"/>
      <c r="AA119" s="38"/>
      <c r="AB119" s="38"/>
      <c r="AC119" s="38"/>
      <c r="AD119" s="38"/>
      <c r="AE119" s="38"/>
      <c r="AF119" s="38"/>
      <c r="AG119" s="38"/>
      <c r="AH119" s="36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26"/>
      <c r="BC119" s="38"/>
      <c r="BD119" s="26"/>
      <c r="BE119" s="38"/>
      <c r="BF119" s="38"/>
      <c r="BG119" s="36"/>
      <c r="BH119" s="36"/>
    </row>
    <row r="120" spans="1:60" s="37" customFormat="1" ht="15.75" x14ac:dyDescent="0.25">
      <c r="A120" s="36"/>
      <c r="B120" s="36"/>
      <c r="C120" s="36"/>
      <c r="D120" s="36"/>
      <c r="R120" s="1"/>
      <c r="S120" s="38"/>
      <c r="T120" s="38"/>
      <c r="U120" s="38"/>
      <c r="V120" s="38"/>
      <c r="W120" s="38"/>
      <c r="X120" s="38"/>
      <c r="Y120" s="38"/>
      <c r="Z120" s="36"/>
      <c r="AA120" s="38"/>
      <c r="AB120" s="38"/>
      <c r="AC120" s="38"/>
      <c r="AD120" s="38"/>
      <c r="AE120" s="38"/>
      <c r="AF120" s="38"/>
      <c r="AG120" s="38"/>
      <c r="AH120" s="36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26"/>
      <c r="BC120" s="38"/>
      <c r="BD120" s="26"/>
      <c r="BE120" s="38"/>
      <c r="BF120" s="38"/>
      <c r="BG120" s="36"/>
      <c r="BH120" s="36"/>
    </row>
    <row r="121" spans="1:60" s="37" customFormat="1" ht="15.75" x14ac:dyDescent="0.25">
      <c r="A121" s="36"/>
      <c r="B121" s="36"/>
      <c r="C121" s="36"/>
      <c r="D121" s="36"/>
      <c r="R121" s="1"/>
      <c r="S121" s="38"/>
      <c r="T121" s="38"/>
      <c r="U121" s="38"/>
      <c r="V121" s="38"/>
      <c r="W121" s="38"/>
      <c r="X121" s="38"/>
      <c r="Y121" s="38"/>
      <c r="Z121" s="36"/>
      <c r="AA121" s="38"/>
      <c r="AB121" s="38"/>
      <c r="AC121" s="38"/>
      <c r="AD121" s="38"/>
      <c r="AE121" s="38"/>
      <c r="AF121" s="38"/>
      <c r="AG121" s="38"/>
      <c r="AH121" s="36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26"/>
      <c r="BC121" s="38"/>
      <c r="BD121" s="26"/>
      <c r="BE121" s="38"/>
      <c r="BF121" s="38"/>
      <c r="BG121" s="36"/>
      <c r="BH121" s="36"/>
    </row>
    <row r="122" spans="1:60" s="37" customFormat="1" ht="15.75" x14ac:dyDescent="0.25">
      <c r="A122" s="36"/>
      <c r="B122" s="36"/>
      <c r="C122" s="36"/>
      <c r="D122" s="36"/>
      <c r="R122" s="1"/>
      <c r="S122" s="38"/>
      <c r="T122" s="38"/>
      <c r="U122" s="38"/>
      <c r="V122" s="38"/>
      <c r="W122" s="38"/>
      <c r="X122" s="38"/>
      <c r="Y122" s="38"/>
      <c r="Z122" s="36"/>
      <c r="AA122" s="38"/>
      <c r="AB122" s="38"/>
      <c r="AC122" s="38"/>
      <c r="AD122" s="38"/>
      <c r="AE122" s="38"/>
      <c r="AF122" s="38"/>
      <c r="AG122" s="38"/>
      <c r="AH122" s="36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26"/>
      <c r="BC122" s="38"/>
      <c r="BD122" s="26"/>
      <c r="BE122" s="38"/>
      <c r="BF122" s="38"/>
      <c r="BG122" s="36"/>
      <c r="BH122" s="36"/>
    </row>
    <row r="123" spans="1:60" s="37" customFormat="1" ht="15.75" x14ac:dyDescent="0.25">
      <c r="A123" s="36"/>
      <c r="B123" s="36"/>
      <c r="C123" s="36"/>
      <c r="D123" s="36"/>
      <c r="R123" s="1"/>
      <c r="S123" s="38"/>
      <c r="T123" s="38"/>
      <c r="U123" s="38"/>
      <c r="V123" s="38"/>
      <c r="W123" s="38"/>
      <c r="X123" s="38"/>
      <c r="Y123" s="38"/>
      <c r="Z123" s="36"/>
      <c r="AA123" s="38"/>
      <c r="AB123" s="38"/>
      <c r="AC123" s="38"/>
      <c r="AD123" s="38"/>
      <c r="AE123" s="38"/>
      <c r="AF123" s="38"/>
      <c r="AG123" s="38"/>
      <c r="AH123" s="36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26"/>
      <c r="BC123" s="38"/>
      <c r="BD123" s="26"/>
      <c r="BE123" s="38"/>
      <c r="BF123" s="38"/>
      <c r="BG123" s="36"/>
      <c r="BH123" s="36"/>
    </row>
    <row r="124" spans="1:60" s="37" customFormat="1" ht="15.75" x14ac:dyDescent="0.25">
      <c r="A124" s="36"/>
      <c r="B124" s="36"/>
      <c r="C124" s="36"/>
      <c r="D124" s="36"/>
      <c r="R124" s="1"/>
      <c r="S124" s="38"/>
      <c r="T124" s="38"/>
      <c r="U124" s="38"/>
      <c r="V124" s="38"/>
      <c r="W124" s="38"/>
      <c r="X124" s="38"/>
      <c r="Y124" s="38"/>
      <c r="Z124" s="36"/>
      <c r="AA124" s="38"/>
      <c r="AB124" s="38"/>
      <c r="AC124" s="38"/>
      <c r="AD124" s="38"/>
      <c r="AE124" s="38"/>
      <c r="AF124" s="38"/>
      <c r="AG124" s="38"/>
      <c r="AH124" s="36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26"/>
      <c r="BC124" s="38"/>
      <c r="BD124" s="26"/>
      <c r="BE124" s="38"/>
      <c r="BF124" s="38"/>
      <c r="BG124" s="36"/>
      <c r="BH124" s="36"/>
    </row>
    <row r="125" spans="1:60" s="37" customFormat="1" ht="15.75" x14ac:dyDescent="0.25">
      <c r="A125" s="36"/>
      <c r="B125" s="36"/>
      <c r="C125" s="36"/>
      <c r="D125" s="36"/>
      <c r="R125" s="1"/>
      <c r="S125" s="38"/>
      <c r="T125" s="38"/>
      <c r="U125" s="38"/>
      <c r="V125" s="38"/>
      <c r="W125" s="38"/>
      <c r="X125" s="38"/>
      <c r="Y125" s="38"/>
      <c r="Z125" s="36"/>
      <c r="AA125" s="38"/>
      <c r="AB125" s="38"/>
      <c r="AC125" s="38"/>
      <c r="AD125" s="38"/>
      <c r="AE125" s="38"/>
      <c r="AF125" s="38"/>
      <c r="AG125" s="38"/>
      <c r="AH125" s="36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26"/>
      <c r="BC125" s="38"/>
      <c r="BD125" s="26"/>
      <c r="BE125" s="38"/>
      <c r="BF125" s="38"/>
      <c r="BG125" s="36"/>
      <c r="BH125" s="36"/>
    </row>
    <row r="126" spans="1:60" s="37" customFormat="1" ht="15.75" x14ac:dyDescent="0.25">
      <c r="A126" s="36"/>
      <c r="B126" s="36"/>
      <c r="C126" s="36"/>
      <c r="D126" s="36"/>
      <c r="R126" s="1"/>
      <c r="S126" s="38"/>
      <c r="T126" s="38"/>
      <c r="U126" s="38"/>
      <c r="V126" s="38"/>
      <c r="W126" s="38"/>
      <c r="X126" s="38"/>
      <c r="Y126" s="38"/>
      <c r="Z126" s="36"/>
      <c r="AA126" s="38"/>
      <c r="AB126" s="38"/>
      <c r="AC126" s="38"/>
      <c r="AD126" s="38"/>
      <c r="AE126" s="38"/>
      <c r="AF126" s="38"/>
      <c r="AG126" s="38"/>
      <c r="AH126" s="36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26"/>
      <c r="BC126" s="38"/>
      <c r="BD126" s="26"/>
      <c r="BE126" s="38"/>
      <c r="BF126" s="38"/>
      <c r="BG126" s="36"/>
      <c r="BH126" s="36"/>
    </row>
    <row r="127" spans="1:60" s="37" customFormat="1" ht="15.75" x14ac:dyDescent="0.25">
      <c r="A127" s="36"/>
      <c r="B127" s="36"/>
      <c r="C127" s="36"/>
      <c r="D127" s="36"/>
      <c r="R127" s="1"/>
      <c r="S127" s="38"/>
      <c r="T127" s="38"/>
      <c r="U127" s="38"/>
      <c r="V127" s="38"/>
      <c r="W127" s="38"/>
      <c r="X127" s="38"/>
      <c r="Y127" s="38"/>
      <c r="Z127" s="36"/>
      <c r="AA127" s="38"/>
      <c r="AB127" s="38"/>
      <c r="AC127" s="38"/>
      <c r="AD127" s="38"/>
      <c r="AE127" s="38"/>
      <c r="AF127" s="38"/>
      <c r="AG127" s="38"/>
      <c r="AH127" s="36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26"/>
      <c r="BC127" s="38"/>
      <c r="BD127" s="26"/>
      <c r="BE127" s="38"/>
      <c r="BF127" s="38"/>
      <c r="BG127" s="36"/>
      <c r="BH127" s="36"/>
    </row>
    <row r="128" spans="1:60" s="37" customFormat="1" ht="15.75" x14ac:dyDescent="0.25">
      <c r="A128" s="36"/>
      <c r="B128" s="36"/>
      <c r="C128" s="36"/>
      <c r="D128" s="36"/>
      <c r="R128" s="1"/>
      <c r="S128" s="38"/>
      <c r="T128" s="38"/>
      <c r="U128" s="38"/>
      <c r="V128" s="38"/>
      <c r="W128" s="38"/>
      <c r="X128" s="38"/>
      <c r="Y128" s="38"/>
      <c r="Z128" s="36"/>
      <c r="AA128" s="38"/>
      <c r="AB128" s="38"/>
      <c r="AC128" s="38"/>
      <c r="AD128" s="38"/>
      <c r="AE128" s="38"/>
      <c r="AF128" s="38"/>
      <c r="AG128" s="38"/>
      <c r="AH128" s="36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26"/>
      <c r="BC128" s="38"/>
      <c r="BD128" s="26"/>
      <c r="BE128" s="38"/>
      <c r="BF128" s="38"/>
      <c r="BG128" s="36"/>
      <c r="BH128" s="36"/>
    </row>
    <row r="129" spans="1:60" s="37" customFormat="1" ht="15.75" x14ac:dyDescent="0.25">
      <c r="A129" s="36"/>
      <c r="B129" s="36"/>
      <c r="C129" s="36"/>
      <c r="D129" s="36"/>
      <c r="R129" s="1"/>
      <c r="S129" s="38"/>
      <c r="T129" s="38"/>
      <c r="U129" s="38"/>
      <c r="V129" s="38"/>
      <c r="W129" s="38"/>
      <c r="X129" s="38"/>
      <c r="Y129" s="38"/>
      <c r="Z129" s="36"/>
      <c r="AA129" s="38"/>
      <c r="AB129" s="38"/>
      <c r="AC129" s="38"/>
      <c r="AD129" s="38"/>
      <c r="AE129" s="38"/>
      <c r="AF129" s="38"/>
      <c r="AG129" s="38"/>
      <c r="AH129" s="36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26"/>
      <c r="BC129" s="38"/>
      <c r="BD129" s="26"/>
      <c r="BE129" s="38"/>
      <c r="BF129" s="38"/>
      <c r="BG129" s="36"/>
      <c r="BH129" s="36"/>
    </row>
    <row r="130" spans="1:60" s="37" customFormat="1" ht="15.75" x14ac:dyDescent="0.25">
      <c r="A130" s="36"/>
      <c r="B130" s="36"/>
      <c r="C130" s="36"/>
      <c r="D130" s="36"/>
      <c r="R130" s="1"/>
      <c r="S130" s="38"/>
      <c r="T130" s="38"/>
      <c r="U130" s="38"/>
      <c r="V130" s="38"/>
      <c r="W130" s="38"/>
      <c r="X130" s="38"/>
      <c r="Y130" s="38"/>
      <c r="Z130" s="36"/>
      <c r="AA130" s="38"/>
      <c r="AB130" s="38"/>
      <c r="AC130" s="38"/>
      <c r="AD130" s="38"/>
      <c r="AE130" s="38"/>
      <c r="AF130" s="38"/>
      <c r="AG130" s="38"/>
      <c r="AH130" s="36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26"/>
      <c r="BC130" s="38"/>
      <c r="BD130" s="26"/>
      <c r="BE130" s="38"/>
      <c r="BF130" s="38"/>
      <c r="BG130" s="36"/>
      <c r="BH130" s="36"/>
    </row>
    <row r="131" spans="1:60" s="37" customFormat="1" ht="15.75" x14ac:dyDescent="0.25">
      <c r="A131" s="36"/>
      <c r="B131" s="36"/>
      <c r="C131" s="36"/>
      <c r="D131" s="36"/>
      <c r="R131" s="1"/>
      <c r="S131" s="38"/>
      <c r="T131" s="38"/>
      <c r="U131" s="38"/>
      <c r="V131" s="38"/>
      <c r="W131" s="38"/>
      <c r="X131" s="38"/>
      <c r="Y131" s="38"/>
      <c r="Z131" s="36"/>
      <c r="AA131" s="38"/>
      <c r="AB131" s="38"/>
      <c r="AC131" s="38"/>
      <c r="AD131" s="38"/>
      <c r="AE131" s="38"/>
      <c r="AF131" s="38"/>
      <c r="AG131" s="38"/>
      <c r="AH131" s="36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26"/>
      <c r="BC131" s="38"/>
      <c r="BD131" s="26"/>
      <c r="BE131" s="38"/>
      <c r="BF131" s="38"/>
      <c r="BG131" s="36"/>
      <c r="BH131" s="36"/>
    </row>
    <row r="132" spans="1:60" s="37" customFormat="1" ht="15.75" x14ac:dyDescent="0.25">
      <c r="A132" s="36"/>
      <c r="B132" s="36"/>
      <c r="C132" s="36"/>
      <c r="D132" s="36"/>
      <c r="R132" s="1"/>
      <c r="S132" s="38"/>
      <c r="T132" s="38"/>
      <c r="U132" s="38"/>
      <c r="V132" s="38"/>
      <c r="W132" s="38"/>
      <c r="X132" s="38"/>
      <c r="Y132" s="38"/>
      <c r="Z132" s="36"/>
      <c r="AA132" s="38"/>
      <c r="AB132" s="38"/>
      <c r="AC132" s="38"/>
      <c r="AD132" s="38"/>
      <c r="AE132" s="38"/>
      <c r="AF132" s="38"/>
      <c r="AG132" s="38"/>
      <c r="AH132" s="36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26"/>
      <c r="BC132" s="38"/>
      <c r="BD132" s="26"/>
      <c r="BE132" s="38"/>
      <c r="BF132" s="38"/>
      <c r="BG132" s="36"/>
      <c r="BH132" s="36"/>
    </row>
    <row r="133" spans="1:60" s="37" customFormat="1" ht="15.75" x14ac:dyDescent="0.25">
      <c r="A133" s="36"/>
      <c r="B133" s="36"/>
      <c r="C133" s="36"/>
      <c r="D133" s="36"/>
      <c r="R133" s="1"/>
      <c r="S133" s="38"/>
      <c r="T133" s="38"/>
      <c r="U133" s="38"/>
      <c r="V133" s="38"/>
      <c r="W133" s="38"/>
      <c r="X133" s="38"/>
      <c r="Y133" s="38"/>
      <c r="Z133" s="36"/>
      <c r="AA133" s="38"/>
      <c r="AB133" s="38"/>
      <c r="AC133" s="38"/>
      <c r="AD133" s="38"/>
      <c r="AE133" s="38"/>
      <c r="AF133" s="38"/>
      <c r="AG133" s="38"/>
      <c r="AH133" s="36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26"/>
      <c r="BC133" s="38"/>
      <c r="BD133" s="26"/>
      <c r="BE133" s="38"/>
      <c r="BF133" s="38"/>
      <c r="BG133" s="36"/>
      <c r="BH133" s="36"/>
    </row>
    <row r="134" spans="1:60" s="37" customFormat="1" ht="15.75" x14ac:dyDescent="0.25">
      <c r="A134" s="36"/>
      <c r="B134" s="36"/>
      <c r="C134" s="36"/>
      <c r="D134" s="36"/>
      <c r="R134" s="1"/>
      <c r="S134" s="38"/>
      <c r="T134" s="38"/>
      <c r="U134" s="38"/>
      <c r="V134" s="38"/>
      <c r="W134" s="38"/>
      <c r="X134" s="38"/>
      <c r="Y134" s="38"/>
      <c r="Z134" s="36"/>
      <c r="AA134" s="38"/>
      <c r="AB134" s="38"/>
      <c r="AC134" s="38"/>
      <c r="AD134" s="38"/>
      <c r="AE134" s="38"/>
      <c r="AF134" s="38"/>
      <c r="AG134" s="38"/>
      <c r="AH134" s="36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26"/>
      <c r="BC134" s="38"/>
      <c r="BD134" s="26"/>
      <c r="BE134" s="38"/>
      <c r="BF134" s="38"/>
      <c r="BG134" s="36"/>
      <c r="BH134" s="36"/>
    </row>
    <row r="135" spans="1:60" s="37" customFormat="1" ht="15.75" x14ac:dyDescent="0.25">
      <c r="A135" s="36"/>
      <c r="B135" s="36"/>
      <c r="C135" s="36"/>
      <c r="D135" s="36"/>
      <c r="R135" s="1"/>
      <c r="S135" s="38"/>
      <c r="T135" s="38"/>
      <c r="U135" s="38"/>
      <c r="V135" s="38"/>
      <c r="W135" s="38"/>
      <c r="X135" s="38"/>
      <c r="Y135" s="38"/>
      <c r="Z135" s="36"/>
      <c r="AA135" s="38"/>
      <c r="AB135" s="38"/>
      <c r="AC135" s="38"/>
      <c r="AD135" s="38"/>
      <c r="AE135" s="38"/>
      <c r="AF135" s="38"/>
      <c r="AG135" s="38"/>
      <c r="AH135" s="36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26"/>
      <c r="BC135" s="38"/>
      <c r="BD135" s="26"/>
      <c r="BE135" s="38"/>
      <c r="BF135" s="38"/>
      <c r="BG135" s="36"/>
      <c r="BH135" s="36"/>
    </row>
    <row r="136" spans="1:60" s="37" customFormat="1" ht="15.75" x14ac:dyDescent="0.25">
      <c r="A136" s="36"/>
      <c r="B136" s="36"/>
      <c r="C136" s="36"/>
      <c r="D136" s="36"/>
      <c r="R136" s="1"/>
      <c r="S136" s="38"/>
      <c r="T136" s="38"/>
      <c r="U136" s="38"/>
      <c r="V136" s="38"/>
      <c r="W136" s="38"/>
      <c r="X136" s="38"/>
      <c r="Y136" s="38"/>
      <c r="Z136" s="36"/>
      <c r="AA136" s="38"/>
      <c r="AB136" s="38"/>
      <c r="AC136" s="38"/>
      <c r="AD136" s="38"/>
      <c r="AE136" s="38"/>
      <c r="AF136" s="38"/>
      <c r="AG136" s="38"/>
      <c r="AH136" s="36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26"/>
      <c r="BC136" s="38"/>
      <c r="BD136" s="26"/>
      <c r="BE136" s="38"/>
      <c r="BF136" s="38"/>
      <c r="BG136" s="36"/>
      <c r="BH136" s="36"/>
    </row>
    <row r="137" spans="1:60" s="37" customFormat="1" ht="15.75" x14ac:dyDescent="0.25">
      <c r="A137" s="36"/>
      <c r="B137" s="36"/>
      <c r="C137" s="36"/>
      <c r="D137" s="36"/>
      <c r="R137" s="1"/>
      <c r="S137" s="38"/>
      <c r="T137" s="38"/>
      <c r="U137" s="38"/>
      <c r="V137" s="38"/>
      <c r="W137" s="38"/>
      <c r="X137" s="38"/>
      <c r="Y137" s="38"/>
      <c r="Z137" s="36"/>
      <c r="AA137" s="38"/>
      <c r="AB137" s="38"/>
      <c r="AC137" s="38"/>
      <c r="AD137" s="38"/>
      <c r="AE137" s="38"/>
      <c r="AF137" s="38"/>
      <c r="AG137" s="38"/>
      <c r="AH137" s="36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26"/>
      <c r="BC137" s="38"/>
      <c r="BD137" s="26"/>
      <c r="BE137" s="38"/>
      <c r="BF137" s="38"/>
      <c r="BG137" s="36"/>
      <c r="BH137" s="36"/>
    </row>
    <row r="138" spans="1:60" s="37" customFormat="1" ht="15.75" x14ac:dyDescent="0.25">
      <c r="A138" s="36"/>
      <c r="B138" s="36"/>
      <c r="C138" s="36"/>
      <c r="D138" s="36"/>
      <c r="R138" s="1"/>
      <c r="S138" s="38"/>
      <c r="T138" s="38"/>
      <c r="U138" s="38"/>
      <c r="V138" s="38"/>
      <c r="W138" s="38"/>
      <c r="X138" s="38"/>
      <c r="Y138" s="38"/>
      <c r="Z138" s="36"/>
      <c r="AA138" s="38"/>
      <c r="AB138" s="38"/>
      <c r="AC138" s="38"/>
      <c r="AD138" s="38"/>
      <c r="AE138" s="38"/>
      <c r="AF138" s="38"/>
      <c r="AG138" s="38"/>
      <c r="AH138" s="36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26"/>
      <c r="BC138" s="38"/>
      <c r="BD138" s="26"/>
      <c r="BE138" s="38"/>
      <c r="BF138" s="38"/>
      <c r="BG138" s="36"/>
      <c r="BH138" s="36"/>
    </row>
    <row r="139" spans="1:60" s="37" customFormat="1" ht="15.75" x14ac:dyDescent="0.25">
      <c r="A139" s="36"/>
      <c r="B139" s="36"/>
      <c r="C139" s="36"/>
      <c r="D139" s="36"/>
      <c r="R139" s="1"/>
      <c r="S139" s="38"/>
      <c r="T139" s="38"/>
      <c r="U139" s="38"/>
      <c r="V139" s="38"/>
      <c r="W139" s="38"/>
      <c r="X139" s="38"/>
      <c r="Y139" s="38"/>
      <c r="Z139" s="36"/>
      <c r="AA139" s="38"/>
      <c r="AB139" s="38"/>
      <c r="AC139" s="38"/>
      <c r="AD139" s="38"/>
      <c r="AE139" s="38"/>
      <c r="AF139" s="38"/>
      <c r="AG139" s="38"/>
      <c r="AH139" s="36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26"/>
      <c r="BC139" s="38"/>
      <c r="BD139" s="26"/>
      <c r="BE139" s="38"/>
      <c r="BF139" s="38"/>
      <c r="BG139" s="36"/>
      <c r="BH139" s="36"/>
    </row>
    <row r="140" spans="1:60" s="37" customFormat="1" ht="15.75" x14ac:dyDescent="0.25">
      <c r="A140" s="36"/>
      <c r="B140" s="36"/>
      <c r="C140" s="36"/>
      <c r="D140" s="36"/>
      <c r="R140" s="1"/>
      <c r="S140" s="38"/>
      <c r="T140" s="38"/>
      <c r="U140" s="38"/>
      <c r="V140" s="38"/>
      <c r="W140" s="38"/>
      <c r="X140" s="38"/>
      <c r="Y140" s="38"/>
      <c r="Z140" s="36"/>
      <c r="AA140" s="38"/>
      <c r="AB140" s="38"/>
      <c r="AC140" s="38"/>
      <c r="AD140" s="38"/>
      <c r="AE140" s="38"/>
      <c r="AF140" s="38"/>
      <c r="AG140" s="38"/>
      <c r="AH140" s="36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26"/>
      <c r="BC140" s="38"/>
      <c r="BD140" s="26"/>
      <c r="BE140" s="38"/>
      <c r="BF140" s="38"/>
      <c r="BG140" s="36"/>
      <c r="BH140" s="36"/>
    </row>
    <row r="141" spans="1:60" s="37" customFormat="1" ht="15.75" x14ac:dyDescent="0.25">
      <c r="A141" s="36"/>
      <c r="B141" s="36"/>
      <c r="C141" s="36"/>
      <c r="D141" s="36"/>
      <c r="R141" s="1"/>
      <c r="S141" s="38"/>
      <c r="T141" s="38"/>
      <c r="U141" s="38"/>
      <c r="V141" s="38"/>
      <c r="W141" s="38"/>
      <c r="X141" s="38"/>
      <c r="Y141" s="38"/>
      <c r="Z141" s="36"/>
      <c r="AA141" s="38"/>
      <c r="AB141" s="38"/>
      <c r="AC141" s="38"/>
      <c r="AD141" s="38"/>
      <c r="AE141" s="38"/>
      <c r="AF141" s="38"/>
      <c r="AG141" s="38"/>
      <c r="AH141" s="36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26"/>
      <c r="BC141" s="38"/>
      <c r="BD141" s="26"/>
      <c r="BE141" s="38"/>
      <c r="BF141" s="38"/>
      <c r="BG141" s="36"/>
      <c r="BH141" s="36"/>
    </row>
    <row r="142" spans="1:60" s="37" customFormat="1" ht="15.75" x14ac:dyDescent="0.25">
      <c r="A142" s="36"/>
      <c r="B142" s="36"/>
      <c r="C142" s="36"/>
      <c r="D142" s="36"/>
      <c r="R142" s="1"/>
      <c r="S142" s="38"/>
      <c r="T142" s="38"/>
      <c r="U142" s="38"/>
      <c r="V142" s="38"/>
      <c r="W142" s="38"/>
      <c r="X142" s="38"/>
      <c r="Y142" s="38"/>
      <c r="Z142" s="36"/>
      <c r="AA142" s="38"/>
      <c r="AB142" s="38"/>
      <c r="AC142" s="38"/>
      <c r="AD142" s="38"/>
      <c r="AE142" s="38"/>
      <c r="AF142" s="38"/>
      <c r="AG142" s="38"/>
      <c r="AH142" s="36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26"/>
      <c r="BC142" s="38"/>
      <c r="BD142" s="26"/>
      <c r="BE142" s="38"/>
      <c r="BF142" s="38"/>
      <c r="BG142" s="36"/>
      <c r="BH142" s="36"/>
    </row>
    <row r="143" spans="1:60" s="37" customFormat="1" ht="15.75" x14ac:dyDescent="0.25">
      <c r="A143" s="36"/>
      <c r="B143" s="36"/>
      <c r="C143" s="36"/>
      <c r="D143" s="36"/>
      <c r="R143" s="1"/>
      <c r="S143" s="38"/>
      <c r="T143" s="38"/>
      <c r="U143" s="38"/>
      <c r="V143" s="38"/>
      <c r="W143" s="38"/>
      <c r="X143" s="38"/>
      <c r="Y143" s="38"/>
      <c r="Z143" s="36"/>
      <c r="AA143" s="38"/>
      <c r="AB143" s="38"/>
      <c r="AC143" s="38"/>
      <c r="AD143" s="38"/>
      <c r="AE143" s="38"/>
      <c r="AF143" s="38"/>
      <c r="AG143" s="38"/>
      <c r="AH143" s="36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26"/>
      <c r="BC143" s="38"/>
      <c r="BD143" s="26"/>
      <c r="BE143" s="38"/>
      <c r="BF143" s="38"/>
      <c r="BG143" s="36"/>
      <c r="BH143" s="36"/>
    </row>
    <row r="144" spans="1:60" s="37" customFormat="1" ht="15.75" x14ac:dyDescent="0.25">
      <c r="A144" s="36"/>
      <c r="B144" s="36"/>
      <c r="C144" s="36"/>
      <c r="D144" s="36"/>
      <c r="R144" s="1"/>
      <c r="S144" s="38"/>
      <c r="T144" s="38"/>
      <c r="U144" s="38"/>
      <c r="V144" s="38"/>
      <c r="W144" s="38"/>
      <c r="X144" s="38"/>
      <c r="Y144" s="38"/>
      <c r="Z144" s="36"/>
      <c r="AA144" s="38"/>
      <c r="AB144" s="38"/>
      <c r="AC144" s="38"/>
      <c r="AD144" s="38"/>
      <c r="AE144" s="38"/>
      <c r="AF144" s="38"/>
      <c r="AG144" s="38"/>
      <c r="AH144" s="36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26"/>
      <c r="BC144" s="38"/>
      <c r="BD144" s="26"/>
      <c r="BE144" s="38"/>
      <c r="BF144" s="38"/>
      <c r="BG144" s="36"/>
      <c r="BH144" s="36"/>
    </row>
    <row r="145" spans="1:60" s="37" customFormat="1" ht="15.75" x14ac:dyDescent="0.25">
      <c r="A145" s="36"/>
      <c r="B145" s="36"/>
      <c r="C145" s="36"/>
      <c r="D145" s="36"/>
      <c r="R145" s="1"/>
      <c r="S145" s="38"/>
      <c r="T145" s="38"/>
      <c r="U145" s="38"/>
      <c r="V145" s="38"/>
      <c r="W145" s="38"/>
      <c r="X145" s="38"/>
      <c r="Y145" s="38"/>
      <c r="Z145" s="36"/>
      <c r="AA145" s="38"/>
      <c r="AB145" s="38"/>
      <c r="AC145" s="38"/>
      <c r="AD145" s="38"/>
      <c r="AE145" s="38"/>
      <c r="AF145" s="38"/>
      <c r="AG145" s="38"/>
      <c r="AH145" s="36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26"/>
      <c r="BC145" s="38"/>
      <c r="BD145" s="26"/>
      <c r="BE145" s="38"/>
      <c r="BF145" s="38"/>
      <c r="BG145" s="36"/>
      <c r="BH145" s="36"/>
    </row>
    <row r="146" spans="1:60" s="37" customFormat="1" ht="15.75" x14ac:dyDescent="0.25">
      <c r="A146" s="36"/>
      <c r="B146" s="36"/>
      <c r="C146" s="36"/>
      <c r="D146" s="36"/>
      <c r="R146" s="1"/>
      <c r="S146" s="38"/>
      <c r="T146" s="38"/>
      <c r="U146" s="38"/>
      <c r="V146" s="38"/>
      <c r="W146" s="38"/>
      <c r="X146" s="38"/>
      <c r="Y146" s="38"/>
      <c r="Z146" s="36"/>
      <c r="AA146" s="38"/>
      <c r="AB146" s="38"/>
      <c r="AC146" s="38"/>
      <c r="AD146" s="38"/>
      <c r="AE146" s="38"/>
      <c r="AF146" s="38"/>
      <c r="AG146" s="38"/>
      <c r="AH146" s="36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26"/>
      <c r="BC146" s="38"/>
      <c r="BD146" s="26"/>
      <c r="BE146" s="38"/>
      <c r="BF146" s="38"/>
      <c r="BG146" s="36"/>
      <c r="BH146" s="36"/>
    </row>
    <row r="147" spans="1:60" s="37" customFormat="1" ht="15.75" x14ac:dyDescent="0.25">
      <c r="A147" s="36"/>
      <c r="B147" s="36"/>
      <c r="C147" s="36"/>
      <c r="D147" s="36"/>
      <c r="R147" s="1"/>
      <c r="S147" s="38"/>
      <c r="T147" s="38"/>
      <c r="U147" s="38"/>
      <c r="V147" s="38"/>
      <c r="W147" s="38"/>
      <c r="X147" s="38"/>
      <c r="Y147" s="38"/>
      <c r="Z147" s="36"/>
      <c r="AA147" s="38"/>
      <c r="AB147" s="38"/>
      <c r="AC147" s="38"/>
      <c r="AD147" s="38"/>
      <c r="AE147" s="38"/>
      <c r="AF147" s="38"/>
      <c r="AG147" s="38"/>
      <c r="AH147" s="36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26"/>
      <c r="BC147" s="38"/>
      <c r="BD147" s="26"/>
      <c r="BE147" s="38"/>
      <c r="BF147" s="38"/>
      <c r="BG147" s="36"/>
      <c r="BH147" s="36"/>
    </row>
    <row r="148" spans="1:60" s="37" customFormat="1" ht="15.75" x14ac:dyDescent="0.25">
      <c r="A148" s="36"/>
      <c r="B148" s="36"/>
      <c r="C148" s="36"/>
      <c r="D148" s="36"/>
      <c r="R148" s="1"/>
      <c r="S148" s="38"/>
      <c r="T148" s="38"/>
      <c r="U148" s="38"/>
      <c r="V148" s="38"/>
      <c r="W148" s="38"/>
      <c r="X148" s="38"/>
      <c r="Y148" s="38"/>
      <c r="Z148" s="36"/>
      <c r="AA148" s="38"/>
      <c r="AB148" s="38"/>
      <c r="AC148" s="38"/>
      <c r="AD148" s="38"/>
      <c r="AE148" s="38"/>
      <c r="AF148" s="38"/>
      <c r="AG148" s="38"/>
      <c r="AH148" s="36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26"/>
      <c r="BC148" s="38"/>
      <c r="BD148" s="26"/>
      <c r="BE148" s="38"/>
      <c r="BF148" s="38"/>
      <c r="BG148" s="36"/>
      <c r="BH148" s="36"/>
    </row>
    <row r="149" spans="1:60" s="37" customFormat="1" ht="15.75" x14ac:dyDescent="0.25">
      <c r="A149" s="36"/>
      <c r="B149" s="36"/>
      <c r="C149" s="36"/>
      <c r="D149" s="36"/>
      <c r="R149" s="1"/>
      <c r="S149" s="38"/>
      <c r="T149" s="38"/>
      <c r="U149" s="38"/>
      <c r="V149" s="38"/>
      <c r="W149" s="38"/>
      <c r="X149" s="38"/>
      <c r="Y149" s="38"/>
      <c r="Z149" s="36"/>
      <c r="AA149" s="38"/>
      <c r="AB149" s="38"/>
      <c r="AC149" s="38"/>
      <c r="AD149" s="38"/>
      <c r="AE149" s="38"/>
      <c r="AF149" s="38"/>
      <c r="AG149" s="38"/>
      <c r="AH149" s="36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26"/>
      <c r="BC149" s="38"/>
      <c r="BD149" s="26"/>
      <c r="BE149" s="38"/>
      <c r="BF149" s="38"/>
      <c r="BG149" s="36"/>
      <c r="BH149" s="36"/>
    </row>
    <row r="150" spans="1:60" s="37" customFormat="1" ht="15.75" x14ac:dyDescent="0.25">
      <c r="A150" s="36"/>
      <c r="B150" s="36"/>
      <c r="C150" s="36"/>
      <c r="D150" s="36"/>
      <c r="R150" s="1"/>
      <c r="S150" s="38"/>
      <c r="T150" s="38"/>
      <c r="U150" s="38"/>
      <c r="V150" s="38"/>
      <c r="W150" s="38"/>
      <c r="X150" s="38"/>
      <c r="Y150" s="38"/>
      <c r="Z150" s="36"/>
      <c r="AA150" s="38"/>
      <c r="AB150" s="38"/>
      <c r="AC150" s="38"/>
      <c r="AD150" s="38"/>
      <c r="AE150" s="38"/>
      <c r="AF150" s="38"/>
      <c r="AG150" s="38"/>
      <c r="AH150" s="36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26"/>
      <c r="BC150" s="38"/>
      <c r="BD150" s="26"/>
      <c r="BE150" s="38"/>
      <c r="BF150" s="38"/>
      <c r="BG150" s="36"/>
      <c r="BH150" s="36"/>
    </row>
    <row r="151" spans="1:60" s="37" customFormat="1" ht="15.75" x14ac:dyDescent="0.25">
      <c r="A151" s="36"/>
      <c r="B151" s="36"/>
      <c r="C151" s="36"/>
      <c r="D151" s="36"/>
      <c r="R151" s="1"/>
      <c r="S151" s="38"/>
      <c r="T151" s="38"/>
      <c r="U151" s="38"/>
      <c r="V151" s="38"/>
      <c r="W151" s="38"/>
      <c r="X151" s="38"/>
      <c r="Y151" s="38"/>
      <c r="Z151" s="36"/>
      <c r="AA151" s="38"/>
      <c r="AB151" s="38"/>
      <c r="AC151" s="38"/>
      <c r="AD151" s="38"/>
      <c r="AE151" s="38"/>
      <c r="AF151" s="38"/>
      <c r="AG151" s="38"/>
      <c r="AH151" s="36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26"/>
      <c r="BC151" s="38"/>
      <c r="BD151" s="26"/>
      <c r="BE151" s="38"/>
      <c r="BF151" s="38"/>
      <c r="BG151" s="36"/>
      <c r="BH151" s="36"/>
    </row>
    <row r="152" spans="1:60" s="37" customFormat="1" ht="15.75" x14ac:dyDescent="0.25">
      <c r="A152" s="36"/>
      <c r="B152" s="36"/>
      <c r="C152" s="36"/>
      <c r="D152" s="36"/>
      <c r="R152" s="1"/>
      <c r="S152" s="38"/>
      <c r="T152" s="38"/>
      <c r="U152" s="38"/>
      <c r="V152" s="38"/>
      <c r="W152" s="38"/>
      <c r="X152" s="38"/>
      <c r="Y152" s="38"/>
      <c r="Z152" s="36"/>
      <c r="AA152" s="38"/>
      <c r="AB152" s="38"/>
      <c r="AC152" s="38"/>
      <c r="AD152" s="38"/>
      <c r="AE152" s="38"/>
      <c r="AF152" s="38"/>
      <c r="AG152" s="38"/>
      <c r="AH152" s="36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26"/>
      <c r="BC152" s="38"/>
      <c r="BD152" s="26"/>
      <c r="BE152" s="38"/>
      <c r="BF152" s="38"/>
      <c r="BG152" s="36"/>
      <c r="BH152" s="36"/>
    </row>
    <row r="153" spans="1:60" s="37" customFormat="1" ht="15.75" x14ac:dyDescent="0.25">
      <c r="A153" s="36"/>
      <c r="B153" s="36"/>
      <c r="C153" s="36"/>
      <c r="D153" s="36"/>
      <c r="R153" s="1"/>
      <c r="S153" s="38"/>
      <c r="T153" s="38"/>
      <c r="U153" s="38"/>
      <c r="V153" s="38"/>
      <c r="W153" s="38"/>
      <c r="X153" s="38"/>
      <c r="Y153" s="38"/>
      <c r="Z153" s="36"/>
      <c r="AA153" s="38"/>
      <c r="AB153" s="38"/>
      <c r="AC153" s="38"/>
      <c r="AD153" s="38"/>
      <c r="AE153" s="38"/>
      <c r="AF153" s="38"/>
      <c r="AG153" s="38"/>
      <c r="AH153" s="36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26"/>
      <c r="BC153" s="38"/>
      <c r="BD153" s="26"/>
      <c r="BE153" s="38"/>
      <c r="BF153" s="38"/>
      <c r="BG153" s="36"/>
      <c r="BH153" s="36"/>
    </row>
    <row r="154" spans="1:60" s="37" customFormat="1" ht="15.75" x14ac:dyDescent="0.25">
      <c r="A154" s="36"/>
      <c r="B154" s="36"/>
      <c r="C154" s="36"/>
      <c r="D154" s="36"/>
      <c r="R154" s="1"/>
      <c r="S154" s="38"/>
      <c r="T154" s="38"/>
      <c r="U154" s="38"/>
      <c r="V154" s="38"/>
      <c r="W154" s="38"/>
      <c r="X154" s="38"/>
      <c r="Y154" s="38"/>
      <c r="Z154" s="36"/>
      <c r="AA154" s="38"/>
      <c r="AB154" s="38"/>
      <c r="AC154" s="38"/>
      <c r="AD154" s="38"/>
      <c r="AE154" s="38"/>
      <c r="AF154" s="38"/>
      <c r="AG154" s="38"/>
      <c r="AH154" s="36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26"/>
      <c r="BC154" s="38"/>
      <c r="BD154" s="26"/>
      <c r="BE154" s="38"/>
      <c r="BF154" s="38"/>
      <c r="BG154" s="36"/>
      <c r="BH154" s="36"/>
    </row>
    <row r="155" spans="1:60" s="37" customFormat="1" ht="15.75" x14ac:dyDescent="0.25">
      <c r="A155" s="36"/>
      <c r="B155" s="36"/>
      <c r="C155" s="36"/>
      <c r="D155" s="36"/>
      <c r="R155" s="1"/>
      <c r="S155" s="38"/>
      <c r="T155" s="38"/>
      <c r="U155" s="38"/>
      <c r="V155" s="38"/>
      <c r="W155" s="38"/>
      <c r="X155" s="38"/>
      <c r="Y155" s="38"/>
      <c r="Z155" s="36"/>
      <c r="AA155" s="38"/>
      <c r="AB155" s="38"/>
      <c r="AC155" s="38"/>
      <c r="AD155" s="38"/>
      <c r="AE155" s="38"/>
      <c r="AF155" s="38"/>
      <c r="AG155" s="38"/>
      <c r="AH155" s="36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26"/>
      <c r="BC155" s="38"/>
      <c r="BD155" s="26"/>
      <c r="BE155" s="38"/>
      <c r="BF155" s="38"/>
      <c r="BG155" s="36"/>
      <c r="BH155" s="36"/>
    </row>
    <row r="156" spans="1:60" s="37" customFormat="1" ht="15.75" x14ac:dyDescent="0.25">
      <c r="A156" s="36"/>
      <c r="B156" s="36"/>
      <c r="C156" s="36"/>
      <c r="D156" s="36"/>
      <c r="R156" s="1"/>
      <c r="S156" s="38"/>
      <c r="T156" s="38"/>
      <c r="U156" s="38"/>
      <c r="V156" s="38"/>
      <c r="W156" s="38"/>
      <c r="X156" s="38"/>
      <c r="Y156" s="38"/>
      <c r="Z156" s="36"/>
      <c r="AA156" s="38"/>
      <c r="AB156" s="38"/>
      <c r="AC156" s="38"/>
      <c r="AD156" s="38"/>
      <c r="AE156" s="38"/>
      <c r="AF156" s="38"/>
      <c r="AG156" s="38"/>
      <c r="AH156" s="36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26"/>
      <c r="BC156" s="38"/>
      <c r="BD156" s="26"/>
      <c r="BE156" s="38"/>
      <c r="BF156" s="38"/>
      <c r="BG156" s="36"/>
      <c r="BH156" s="36"/>
    </row>
    <row r="157" spans="1:60" s="37" customFormat="1" ht="15.75" x14ac:dyDescent="0.25">
      <c r="A157" s="36"/>
      <c r="B157" s="36"/>
      <c r="C157" s="36"/>
      <c r="D157" s="36"/>
      <c r="R157" s="1"/>
      <c r="S157" s="38"/>
      <c r="T157" s="38"/>
      <c r="U157" s="38"/>
      <c r="V157" s="38"/>
      <c r="W157" s="38"/>
      <c r="X157" s="38"/>
      <c r="Y157" s="38"/>
      <c r="Z157" s="36"/>
      <c r="AA157" s="38"/>
      <c r="AB157" s="38"/>
      <c r="AC157" s="38"/>
      <c r="AD157" s="38"/>
      <c r="AE157" s="38"/>
      <c r="AF157" s="38"/>
      <c r="AG157" s="38"/>
      <c r="AH157" s="36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26"/>
      <c r="BC157" s="38"/>
      <c r="BD157" s="26"/>
      <c r="BE157" s="38"/>
      <c r="BF157" s="38"/>
      <c r="BG157" s="36"/>
      <c r="BH157" s="36"/>
    </row>
    <row r="158" spans="1:60" s="37" customFormat="1" ht="15.75" x14ac:dyDescent="0.25">
      <c r="A158" s="36"/>
      <c r="B158" s="36"/>
      <c r="C158" s="36"/>
      <c r="D158" s="36"/>
      <c r="R158" s="1"/>
      <c r="S158" s="38"/>
      <c r="T158" s="38"/>
      <c r="U158" s="38"/>
      <c r="V158" s="38"/>
      <c r="W158" s="38"/>
      <c r="X158" s="38"/>
      <c r="Y158" s="38"/>
      <c r="Z158" s="36"/>
      <c r="AA158" s="38"/>
      <c r="AB158" s="38"/>
      <c r="AC158" s="38"/>
      <c r="AD158" s="38"/>
      <c r="AE158" s="38"/>
      <c r="AF158" s="38"/>
      <c r="AG158" s="38"/>
      <c r="AH158" s="36"/>
      <c r="AI158" s="38"/>
      <c r="AR158" s="36"/>
      <c r="AS158" s="36"/>
      <c r="AT158" s="36"/>
      <c r="AU158" s="36"/>
      <c r="AV158" s="36"/>
      <c r="AW158" s="36"/>
      <c r="AX158" s="36"/>
      <c r="AY158" s="38"/>
      <c r="AZ158" s="38"/>
      <c r="BA158" s="38"/>
      <c r="BB158" s="26"/>
      <c r="BC158" s="38"/>
      <c r="BD158" s="26"/>
      <c r="BE158" s="38"/>
      <c r="BF158" s="38"/>
      <c r="BG158" s="36"/>
      <c r="BH158" s="36"/>
    </row>
    <row r="159" spans="1:60" s="37" customFormat="1" ht="15.75" x14ac:dyDescent="0.25">
      <c r="A159" s="36"/>
      <c r="B159" s="36"/>
      <c r="C159" s="36"/>
      <c r="D159" s="36"/>
      <c r="R159" s="1"/>
      <c r="S159" s="38"/>
      <c r="T159" s="38"/>
      <c r="U159" s="38"/>
      <c r="V159" s="38"/>
      <c r="W159" s="38"/>
      <c r="X159" s="38"/>
      <c r="Y159" s="38"/>
      <c r="Z159" s="36"/>
      <c r="AA159" s="38"/>
      <c r="AB159" s="38"/>
      <c r="AC159" s="38"/>
      <c r="AD159" s="38"/>
      <c r="AE159" s="38"/>
      <c r="AF159" s="38"/>
      <c r="AG159" s="38"/>
      <c r="AH159" s="36"/>
      <c r="AI159" s="36"/>
      <c r="AR159" s="36"/>
      <c r="AS159" s="36"/>
      <c r="AT159" s="36"/>
      <c r="AU159" s="36"/>
      <c r="AV159" s="36"/>
      <c r="AW159" s="36"/>
      <c r="AX159" s="36"/>
      <c r="AY159" s="38"/>
      <c r="AZ159" s="38"/>
      <c r="BA159" s="38"/>
      <c r="BB159" s="26"/>
      <c r="BC159" s="38"/>
      <c r="BD159" s="26"/>
      <c r="BE159" s="38"/>
      <c r="BF159" s="38"/>
      <c r="BG159" s="36"/>
      <c r="BH159" s="36"/>
    </row>
    <row r="160" spans="1:60" s="37" customFormat="1" ht="15.75" x14ac:dyDescent="0.25">
      <c r="A160" s="36"/>
      <c r="B160" s="36"/>
      <c r="C160" s="36"/>
      <c r="D160" s="36"/>
      <c r="R160" s="1"/>
      <c r="S160" s="38"/>
      <c r="T160" s="38"/>
      <c r="U160" s="38"/>
      <c r="V160" s="38"/>
      <c r="W160" s="38"/>
      <c r="X160" s="38"/>
      <c r="Y160" s="38"/>
      <c r="Z160" s="36"/>
      <c r="AA160" s="38"/>
      <c r="AB160" s="38"/>
      <c r="AC160" s="38"/>
      <c r="AD160" s="38"/>
      <c r="AE160" s="38"/>
      <c r="AF160" s="38"/>
      <c r="AG160" s="38"/>
      <c r="AH160" s="36"/>
      <c r="AI160" s="36"/>
      <c r="AR160" s="36"/>
      <c r="AS160" s="36"/>
      <c r="AT160" s="36"/>
      <c r="AU160" s="36"/>
      <c r="AV160" s="36"/>
      <c r="AW160" s="36"/>
      <c r="AX160" s="36"/>
      <c r="AY160" s="38"/>
      <c r="AZ160" s="38"/>
      <c r="BA160" s="38"/>
      <c r="BB160" s="26"/>
      <c r="BC160" s="38"/>
      <c r="BD160" s="26"/>
      <c r="BE160" s="38"/>
      <c r="BF160" s="38"/>
      <c r="BG160" s="36"/>
      <c r="BH160" s="36"/>
    </row>
    <row r="161" spans="1:60" s="37" customFormat="1" ht="15.75" x14ac:dyDescent="0.25">
      <c r="A161" s="36"/>
      <c r="B161" s="36"/>
      <c r="C161" s="36"/>
      <c r="D161" s="36"/>
      <c r="R161" s="1"/>
      <c r="S161" s="38"/>
      <c r="T161" s="38"/>
      <c r="U161" s="38"/>
      <c r="V161" s="38"/>
      <c r="W161" s="38"/>
      <c r="X161" s="38"/>
      <c r="Y161" s="38"/>
      <c r="Z161" s="36"/>
      <c r="AA161" s="38"/>
      <c r="AB161" s="38"/>
      <c r="AC161" s="38"/>
      <c r="AD161" s="38"/>
      <c r="AE161" s="38"/>
      <c r="AF161" s="38"/>
      <c r="AG161" s="38"/>
      <c r="AH161" s="36"/>
      <c r="AI161" s="36"/>
      <c r="AR161" s="36"/>
      <c r="AS161" s="36"/>
      <c r="AT161" s="36"/>
      <c r="AU161" s="36"/>
      <c r="AV161" s="36"/>
      <c r="AW161" s="36"/>
      <c r="AX161" s="36"/>
      <c r="AY161" s="38"/>
      <c r="AZ161" s="38"/>
      <c r="BA161" s="38"/>
      <c r="BB161" s="26"/>
      <c r="BC161" s="38"/>
      <c r="BD161" s="26"/>
      <c r="BE161" s="38"/>
      <c r="BF161" s="38"/>
      <c r="BG161" s="36"/>
      <c r="BH161" s="36"/>
    </row>
    <row r="162" spans="1:60" s="37" customFormat="1" ht="15.75" x14ac:dyDescent="0.25">
      <c r="A162" s="36"/>
      <c r="B162" s="36"/>
      <c r="C162" s="36"/>
      <c r="D162" s="36"/>
      <c r="R162" s="1"/>
      <c r="S162" s="38"/>
      <c r="T162" s="38"/>
      <c r="U162" s="38"/>
      <c r="V162" s="38"/>
      <c r="W162" s="38"/>
      <c r="X162" s="38"/>
      <c r="Y162" s="38"/>
      <c r="Z162" s="36"/>
      <c r="AA162" s="38"/>
      <c r="AB162" s="38"/>
      <c r="AC162" s="38"/>
      <c r="AD162" s="38"/>
      <c r="AE162" s="38"/>
      <c r="AF162" s="38"/>
      <c r="AG162" s="38"/>
      <c r="AH162" s="36"/>
      <c r="AI162" s="36"/>
      <c r="AR162" s="36"/>
      <c r="AS162" s="36"/>
      <c r="AT162" s="36"/>
      <c r="AU162" s="36"/>
      <c r="AV162" s="36"/>
      <c r="AW162" s="36"/>
      <c r="AX162" s="36"/>
      <c r="AY162" s="38"/>
      <c r="AZ162" s="38"/>
      <c r="BA162" s="38"/>
      <c r="BB162" s="26"/>
      <c r="BC162" s="38"/>
      <c r="BD162" s="26"/>
      <c r="BE162" s="38"/>
      <c r="BF162" s="38"/>
      <c r="BG162" s="36"/>
      <c r="BH162" s="36"/>
    </row>
    <row r="163" spans="1:60" s="37" customFormat="1" ht="15.75" x14ac:dyDescent="0.25">
      <c r="A163" s="36"/>
      <c r="B163" s="36"/>
      <c r="C163" s="36"/>
      <c r="D163" s="36"/>
      <c r="R163" s="1"/>
      <c r="S163" s="38"/>
      <c r="T163" s="38"/>
      <c r="U163" s="38"/>
      <c r="V163" s="38"/>
      <c r="W163" s="38"/>
      <c r="X163" s="38"/>
      <c r="Y163" s="38"/>
      <c r="Z163" s="36"/>
      <c r="AA163" s="38"/>
      <c r="AB163" s="38"/>
      <c r="AC163" s="38"/>
      <c r="AD163" s="38"/>
      <c r="AE163" s="38"/>
      <c r="AF163" s="38"/>
      <c r="AG163" s="38"/>
      <c r="AH163" s="36"/>
      <c r="AI163" s="36"/>
      <c r="AR163" s="36"/>
      <c r="AS163" s="36"/>
      <c r="AT163" s="36"/>
      <c r="AU163" s="36"/>
      <c r="AV163" s="36"/>
      <c r="AW163" s="36"/>
      <c r="AX163" s="36"/>
      <c r="AY163" s="38"/>
      <c r="AZ163" s="38"/>
      <c r="BA163" s="38"/>
      <c r="BB163" s="26"/>
      <c r="BC163" s="38"/>
      <c r="BD163" s="26"/>
      <c r="BE163" s="38"/>
      <c r="BF163" s="38"/>
      <c r="BG163" s="36"/>
      <c r="BH163" s="36"/>
    </row>
    <row r="164" spans="1:60" s="37" customFormat="1" ht="15.75" x14ac:dyDescent="0.25">
      <c r="A164" s="36"/>
      <c r="B164" s="36"/>
      <c r="C164" s="36"/>
      <c r="D164" s="36"/>
      <c r="R164" s="1"/>
      <c r="S164" s="38"/>
      <c r="T164" s="38"/>
      <c r="U164" s="38"/>
      <c r="V164" s="38"/>
      <c r="W164" s="38"/>
      <c r="X164" s="38"/>
      <c r="Y164" s="38"/>
      <c r="Z164" s="36"/>
      <c r="AA164" s="38"/>
      <c r="AB164" s="38"/>
      <c r="AC164" s="38"/>
      <c r="AD164" s="38"/>
      <c r="AE164" s="38"/>
      <c r="AF164" s="38"/>
      <c r="AG164" s="38"/>
      <c r="AH164" s="36"/>
      <c r="AI164" s="36"/>
      <c r="AR164" s="36"/>
      <c r="AS164" s="36"/>
      <c r="AT164" s="36"/>
      <c r="AU164" s="36"/>
      <c r="AV164" s="36"/>
      <c r="AW164" s="36"/>
      <c r="AX164" s="36"/>
      <c r="AY164" s="38"/>
      <c r="AZ164" s="38"/>
      <c r="BA164" s="38"/>
      <c r="BB164" s="26"/>
      <c r="BC164" s="38"/>
      <c r="BD164" s="26"/>
      <c r="BE164" s="38"/>
      <c r="BF164" s="38"/>
      <c r="BG164" s="36"/>
      <c r="BH164" s="36"/>
    </row>
    <row r="165" spans="1:60" s="37" customFormat="1" ht="15.75" x14ac:dyDescent="0.25">
      <c r="A165" s="36"/>
      <c r="B165" s="36"/>
      <c r="C165" s="36"/>
      <c r="D165" s="36"/>
      <c r="R165" s="1"/>
      <c r="S165" s="38"/>
      <c r="T165" s="38"/>
      <c r="U165" s="38"/>
      <c r="V165" s="38"/>
      <c r="W165" s="38"/>
      <c r="X165" s="38"/>
      <c r="Y165" s="38"/>
      <c r="Z165" s="36"/>
      <c r="AA165" s="38"/>
      <c r="AB165" s="38"/>
      <c r="AC165" s="38"/>
      <c r="AD165" s="38"/>
      <c r="AE165" s="38"/>
      <c r="AF165" s="38"/>
      <c r="AG165" s="38"/>
      <c r="AH165" s="36"/>
      <c r="AI165" s="36"/>
      <c r="AR165" s="36"/>
      <c r="AS165" s="36"/>
      <c r="AT165" s="36"/>
      <c r="AU165" s="36"/>
      <c r="AV165" s="36"/>
      <c r="AW165" s="36"/>
      <c r="AX165" s="36"/>
      <c r="AY165" s="38"/>
      <c r="AZ165" s="38"/>
      <c r="BA165" s="38"/>
      <c r="BB165" s="26"/>
      <c r="BC165" s="38"/>
      <c r="BD165" s="26"/>
      <c r="BE165" s="38"/>
      <c r="BF165" s="38"/>
      <c r="BG165" s="36"/>
      <c r="BH165" s="36"/>
    </row>
    <row r="166" spans="1:60" s="37" customFormat="1" ht="15.75" x14ac:dyDescent="0.25">
      <c r="A166" s="36"/>
      <c r="B166" s="36"/>
      <c r="C166" s="36"/>
      <c r="D166" s="36"/>
      <c r="R166" s="1"/>
      <c r="S166" s="38"/>
      <c r="T166" s="38"/>
      <c r="U166" s="38"/>
      <c r="V166" s="38"/>
      <c r="W166" s="38"/>
      <c r="X166" s="38"/>
      <c r="Y166" s="38"/>
      <c r="Z166" s="36"/>
      <c r="AA166" s="38"/>
      <c r="AB166" s="38"/>
      <c r="AC166" s="38"/>
      <c r="AD166" s="38"/>
      <c r="AE166" s="38"/>
      <c r="AF166" s="38"/>
      <c r="AG166" s="38"/>
      <c r="AH166" s="36"/>
      <c r="AI166" s="36"/>
      <c r="AR166" s="36"/>
      <c r="AS166" s="36"/>
      <c r="AT166" s="36"/>
      <c r="AU166" s="36"/>
      <c r="AV166" s="36"/>
      <c r="AW166" s="36"/>
      <c r="AX166" s="36"/>
      <c r="AY166" s="38"/>
      <c r="AZ166" s="38"/>
      <c r="BA166" s="38"/>
      <c r="BB166" s="26"/>
      <c r="BC166" s="38"/>
      <c r="BD166" s="26"/>
      <c r="BE166" s="38"/>
      <c r="BF166" s="38"/>
      <c r="BG166" s="36"/>
      <c r="BH166" s="36"/>
    </row>
    <row r="167" spans="1:60" s="37" customFormat="1" ht="15.75" x14ac:dyDescent="0.25">
      <c r="A167" s="36"/>
      <c r="B167" s="36"/>
      <c r="C167" s="36"/>
      <c r="D167" s="36"/>
      <c r="R167" s="1"/>
      <c r="S167" s="38"/>
      <c r="T167" s="38"/>
      <c r="U167" s="38"/>
      <c r="V167" s="38"/>
      <c r="W167" s="38"/>
      <c r="X167" s="38"/>
      <c r="Y167" s="38"/>
      <c r="Z167" s="36"/>
      <c r="AA167" s="38"/>
      <c r="AB167" s="38"/>
      <c r="AC167" s="38"/>
      <c r="AD167" s="38"/>
      <c r="AE167" s="38"/>
      <c r="AF167" s="38"/>
      <c r="AG167" s="38"/>
      <c r="AH167" s="36"/>
      <c r="AI167" s="36"/>
      <c r="AR167" s="36"/>
      <c r="AS167" s="36"/>
      <c r="AT167" s="36"/>
      <c r="AU167" s="36"/>
      <c r="AV167" s="36"/>
      <c r="AW167" s="36"/>
      <c r="AX167" s="36"/>
      <c r="AY167" s="38"/>
      <c r="AZ167" s="38"/>
      <c r="BA167" s="38"/>
      <c r="BB167" s="26"/>
      <c r="BC167" s="38"/>
      <c r="BD167" s="26"/>
      <c r="BE167" s="38"/>
      <c r="BF167" s="38"/>
      <c r="BG167" s="36"/>
      <c r="BH167" s="36"/>
    </row>
    <row r="168" spans="1:60" s="37" customFormat="1" ht="15.75" x14ac:dyDescent="0.25">
      <c r="A168" s="36"/>
      <c r="B168" s="36"/>
      <c r="C168" s="36"/>
      <c r="D168" s="36"/>
      <c r="R168" s="1"/>
      <c r="S168" s="38"/>
      <c r="T168" s="38"/>
      <c r="U168" s="38"/>
      <c r="V168" s="38"/>
      <c r="W168" s="38"/>
      <c r="X168" s="38"/>
      <c r="Y168" s="38"/>
      <c r="Z168" s="36"/>
      <c r="AA168" s="38"/>
      <c r="AB168" s="38"/>
      <c r="AC168" s="38"/>
      <c r="AD168" s="38"/>
      <c r="AE168" s="38"/>
      <c r="AF168" s="38"/>
      <c r="AG168" s="38"/>
      <c r="AH168" s="36"/>
      <c r="AI168" s="36"/>
      <c r="AR168" s="36"/>
      <c r="AS168" s="36"/>
      <c r="AT168" s="36"/>
      <c r="AU168" s="36"/>
      <c r="AV168" s="36"/>
      <c r="AW168" s="36"/>
      <c r="AX168" s="36"/>
      <c r="AY168" s="38"/>
      <c r="AZ168" s="38"/>
      <c r="BA168" s="38"/>
      <c r="BB168" s="26"/>
      <c r="BC168" s="38"/>
      <c r="BD168" s="26"/>
      <c r="BE168" s="38"/>
      <c r="BF168" s="38"/>
      <c r="BG168" s="36"/>
      <c r="BH168" s="36"/>
    </row>
    <row r="169" spans="1:60" s="37" customFormat="1" ht="15.75" x14ac:dyDescent="0.25">
      <c r="A169" s="36"/>
      <c r="B169" s="36"/>
      <c r="C169" s="36"/>
      <c r="D169" s="36"/>
      <c r="R169" s="1"/>
      <c r="S169" s="38"/>
      <c r="T169" s="38"/>
      <c r="U169" s="38"/>
      <c r="V169" s="38"/>
      <c r="W169" s="38"/>
      <c r="X169" s="38"/>
      <c r="Y169" s="38"/>
      <c r="Z169" s="36"/>
      <c r="AA169" s="38"/>
      <c r="AB169" s="38"/>
      <c r="AC169" s="38"/>
      <c r="AD169" s="38"/>
      <c r="AE169" s="38"/>
      <c r="AF169" s="38"/>
      <c r="AG169" s="38"/>
      <c r="AH169" s="36"/>
      <c r="AI169" s="36"/>
      <c r="AR169" s="36"/>
      <c r="AS169" s="36"/>
      <c r="AT169" s="36"/>
      <c r="AU169" s="36"/>
      <c r="AV169" s="36"/>
      <c r="AW169" s="36"/>
      <c r="AX169" s="36"/>
      <c r="AY169" s="38"/>
      <c r="AZ169" s="38"/>
      <c r="BA169" s="38"/>
      <c r="BB169" s="26"/>
      <c r="BC169" s="38"/>
      <c r="BD169" s="26"/>
      <c r="BE169" s="38"/>
      <c r="BF169" s="38"/>
      <c r="BG169" s="36"/>
      <c r="BH169" s="36"/>
    </row>
    <row r="170" spans="1:60" s="37" customFormat="1" ht="15.75" x14ac:dyDescent="0.25">
      <c r="A170" s="36"/>
      <c r="B170" s="36"/>
      <c r="C170" s="36"/>
      <c r="D170" s="36"/>
      <c r="R170" s="1"/>
      <c r="S170" s="38"/>
      <c r="T170" s="38"/>
      <c r="U170" s="38"/>
      <c r="V170" s="38"/>
      <c r="W170" s="38"/>
      <c r="X170" s="38"/>
      <c r="Y170" s="38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R170" s="36"/>
      <c r="AS170" s="36"/>
      <c r="AT170" s="36"/>
      <c r="AU170" s="36"/>
      <c r="AV170" s="36"/>
      <c r="AW170" s="36"/>
      <c r="AX170" s="36"/>
      <c r="AY170" s="38"/>
      <c r="AZ170" s="38"/>
      <c r="BA170" s="38"/>
      <c r="BB170" s="26"/>
      <c r="BC170" s="38"/>
      <c r="BD170" s="26"/>
      <c r="BE170" s="38"/>
      <c r="BF170" s="38"/>
      <c r="BG170" s="36"/>
      <c r="BH170" s="36"/>
    </row>
    <row r="171" spans="1:60" s="37" customFormat="1" ht="15.75" x14ac:dyDescent="0.25">
      <c r="A171" s="36"/>
      <c r="B171" s="36"/>
      <c r="C171" s="36"/>
      <c r="D171" s="36"/>
      <c r="R171" s="1"/>
      <c r="S171" s="38"/>
      <c r="T171" s="38"/>
      <c r="U171" s="38"/>
      <c r="V171" s="38"/>
      <c r="W171" s="38"/>
      <c r="X171" s="38"/>
      <c r="Y171" s="38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R171" s="36"/>
      <c r="AS171" s="36"/>
      <c r="AT171" s="36"/>
      <c r="AU171" s="36"/>
      <c r="AV171" s="36"/>
      <c r="AW171" s="36"/>
      <c r="AX171" s="36"/>
      <c r="AY171" s="38"/>
      <c r="AZ171" s="38"/>
      <c r="BA171" s="38"/>
      <c r="BB171" s="26"/>
      <c r="BC171" s="38"/>
      <c r="BD171" s="26"/>
      <c r="BE171" s="38"/>
      <c r="BF171" s="38"/>
      <c r="BG171" s="36"/>
      <c r="BH171" s="36"/>
    </row>
    <row r="172" spans="1:60" s="37" customFormat="1" ht="15.75" x14ac:dyDescent="0.25">
      <c r="A172" s="36"/>
      <c r="B172" s="36"/>
      <c r="C172" s="36"/>
      <c r="D172" s="36"/>
      <c r="R172" s="1"/>
      <c r="S172" s="38"/>
      <c r="T172" s="38"/>
      <c r="U172" s="38"/>
      <c r="V172" s="38"/>
      <c r="W172" s="38"/>
      <c r="X172" s="38"/>
      <c r="Y172" s="38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R172" s="36"/>
      <c r="AS172" s="36"/>
      <c r="AT172" s="36"/>
      <c r="AU172" s="36"/>
      <c r="AV172" s="36"/>
      <c r="AW172" s="36"/>
      <c r="AX172" s="36"/>
      <c r="AY172" s="38"/>
      <c r="AZ172" s="38"/>
      <c r="BA172" s="38"/>
      <c r="BB172" s="26"/>
      <c r="BC172" s="38"/>
      <c r="BD172" s="26"/>
      <c r="BE172" s="38"/>
      <c r="BF172" s="38"/>
      <c r="BG172" s="36"/>
      <c r="BH172" s="36"/>
    </row>
    <row r="173" spans="1:60" s="37" customFormat="1" ht="15.75" x14ac:dyDescent="0.25">
      <c r="A173" s="36"/>
      <c r="B173" s="36"/>
      <c r="C173" s="36"/>
      <c r="D173" s="36"/>
      <c r="R173" s="1"/>
      <c r="S173" s="38"/>
      <c r="T173" s="38"/>
      <c r="U173" s="38"/>
      <c r="V173" s="38"/>
      <c r="W173" s="38"/>
      <c r="X173" s="38"/>
      <c r="Y173" s="38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R173" s="36"/>
      <c r="AS173" s="36"/>
      <c r="AT173" s="36"/>
      <c r="AU173" s="36"/>
      <c r="AV173" s="36"/>
      <c r="AW173" s="36"/>
      <c r="AX173" s="36"/>
      <c r="AY173" s="38"/>
      <c r="AZ173" s="38"/>
      <c r="BA173" s="38"/>
      <c r="BB173" s="26"/>
      <c r="BC173" s="38"/>
      <c r="BD173" s="26"/>
      <c r="BE173" s="38"/>
      <c r="BF173" s="38"/>
      <c r="BG173" s="36"/>
      <c r="BH173" s="36"/>
    </row>
    <row r="174" spans="1:60" s="37" customFormat="1" ht="15.75" x14ac:dyDescent="0.25">
      <c r="A174" s="36"/>
      <c r="B174" s="36"/>
      <c r="C174" s="36"/>
      <c r="D174" s="36"/>
      <c r="R174" s="1"/>
      <c r="S174" s="38"/>
      <c r="T174" s="38"/>
      <c r="U174" s="38"/>
      <c r="V174" s="38"/>
      <c r="W174" s="38"/>
      <c r="X174" s="38"/>
      <c r="Y174" s="38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R174" s="36"/>
      <c r="AS174" s="36"/>
      <c r="AT174" s="36"/>
      <c r="AU174" s="36"/>
      <c r="AV174" s="36"/>
      <c r="AW174" s="36"/>
      <c r="AX174" s="36"/>
      <c r="AY174" s="38"/>
      <c r="AZ174" s="38"/>
      <c r="BA174" s="38"/>
      <c r="BB174" s="26"/>
      <c r="BC174" s="38"/>
      <c r="BD174" s="26"/>
      <c r="BE174" s="38"/>
      <c r="BF174" s="38"/>
      <c r="BG174" s="36"/>
      <c r="BH174" s="36"/>
    </row>
    <row r="175" spans="1:60" s="37" customFormat="1" ht="15.75" x14ac:dyDescent="0.25">
      <c r="A175" s="36"/>
      <c r="B175" s="36"/>
      <c r="C175" s="36"/>
      <c r="D175" s="36"/>
      <c r="R175" s="1"/>
      <c r="S175" s="38"/>
      <c r="T175" s="38"/>
      <c r="U175" s="38"/>
      <c r="V175" s="38"/>
      <c r="W175" s="38"/>
      <c r="X175" s="38"/>
      <c r="Y175" s="38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R175" s="36"/>
      <c r="AS175" s="36"/>
      <c r="AT175" s="36"/>
      <c r="AU175" s="36"/>
      <c r="AV175" s="36"/>
      <c r="AW175" s="36"/>
      <c r="AX175" s="36"/>
      <c r="AY175" s="38"/>
      <c r="AZ175" s="38"/>
      <c r="BA175" s="38"/>
      <c r="BB175" s="26"/>
      <c r="BC175" s="38"/>
      <c r="BD175" s="26"/>
      <c r="BE175" s="38"/>
      <c r="BF175" s="38"/>
      <c r="BG175" s="36"/>
      <c r="BH175" s="36"/>
    </row>
    <row r="176" spans="1:60" s="37" customFormat="1" ht="15.75" x14ac:dyDescent="0.25">
      <c r="A176" s="36"/>
      <c r="B176" s="36"/>
      <c r="C176" s="36"/>
      <c r="D176" s="36"/>
      <c r="R176" s="1"/>
      <c r="S176" s="38"/>
      <c r="T176" s="38"/>
      <c r="U176" s="38"/>
      <c r="V176" s="38"/>
      <c r="W176" s="38"/>
      <c r="X176" s="38"/>
      <c r="Y176" s="38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R176" s="36"/>
      <c r="AS176" s="36"/>
      <c r="AT176" s="36"/>
      <c r="AU176" s="36"/>
      <c r="AV176" s="36"/>
      <c r="AW176" s="36"/>
      <c r="AX176" s="36"/>
      <c r="AY176" s="38"/>
      <c r="AZ176" s="38"/>
      <c r="BA176" s="38"/>
      <c r="BB176" s="26"/>
      <c r="BC176" s="38"/>
      <c r="BD176" s="26"/>
      <c r="BE176" s="38"/>
      <c r="BF176" s="38"/>
      <c r="BG176" s="36"/>
      <c r="BH176" s="36"/>
    </row>
    <row r="177" spans="1:60" s="37" customFormat="1" ht="15.75" x14ac:dyDescent="0.25">
      <c r="A177" s="36"/>
      <c r="B177" s="36"/>
      <c r="C177" s="36"/>
      <c r="D177" s="36"/>
      <c r="R177" s="1"/>
      <c r="S177" s="38"/>
      <c r="T177" s="38"/>
      <c r="U177" s="38"/>
      <c r="V177" s="38"/>
      <c r="W177" s="38"/>
      <c r="X177" s="38"/>
      <c r="Y177" s="38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R177" s="36"/>
      <c r="AS177" s="36"/>
      <c r="AT177" s="36"/>
      <c r="AU177" s="36"/>
      <c r="AV177" s="36"/>
      <c r="AW177" s="36"/>
      <c r="AX177" s="36"/>
      <c r="AY177" s="38"/>
      <c r="AZ177" s="38"/>
      <c r="BA177" s="38"/>
      <c r="BB177" s="26"/>
      <c r="BC177" s="38"/>
      <c r="BD177" s="26"/>
      <c r="BE177" s="38"/>
      <c r="BF177" s="38"/>
      <c r="BG177" s="36"/>
      <c r="BH177" s="36"/>
    </row>
    <row r="178" spans="1:60" s="37" customFormat="1" ht="15.75" x14ac:dyDescent="0.25">
      <c r="A178" s="36"/>
      <c r="B178" s="36"/>
      <c r="C178" s="36"/>
      <c r="D178" s="36"/>
      <c r="R178" s="1"/>
      <c r="S178" s="38"/>
      <c r="T178" s="38"/>
      <c r="U178" s="38"/>
      <c r="V178" s="38"/>
      <c r="W178" s="38"/>
      <c r="X178" s="38"/>
      <c r="Y178" s="38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R178" s="36"/>
      <c r="AS178" s="36"/>
      <c r="AT178" s="36"/>
      <c r="AU178" s="36"/>
      <c r="AV178" s="36"/>
      <c r="AW178" s="36"/>
      <c r="AX178" s="36"/>
      <c r="AY178" s="38"/>
      <c r="AZ178" s="38"/>
      <c r="BA178" s="38"/>
      <c r="BB178" s="26"/>
      <c r="BC178" s="38"/>
      <c r="BD178" s="26"/>
      <c r="BE178" s="38"/>
      <c r="BF178" s="38"/>
      <c r="BG178" s="36"/>
      <c r="BH178" s="36"/>
    </row>
    <row r="179" spans="1:60" s="37" customFormat="1" ht="15.75" x14ac:dyDescent="0.25">
      <c r="A179" s="36"/>
      <c r="B179" s="36"/>
      <c r="C179" s="36"/>
      <c r="D179" s="36"/>
      <c r="R179" s="1"/>
      <c r="S179" s="38"/>
      <c r="T179" s="38"/>
      <c r="U179" s="38"/>
      <c r="V179" s="38"/>
      <c r="W179" s="38"/>
      <c r="X179" s="38"/>
      <c r="Y179" s="38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R179" s="36"/>
      <c r="AS179" s="36"/>
      <c r="AT179" s="36"/>
      <c r="AU179" s="36"/>
      <c r="AV179" s="36"/>
      <c r="AW179" s="36"/>
      <c r="AX179" s="36"/>
      <c r="AY179" s="38"/>
      <c r="AZ179" s="38"/>
      <c r="BA179" s="38"/>
      <c r="BB179" s="26"/>
      <c r="BC179" s="38"/>
      <c r="BD179" s="26"/>
      <c r="BE179" s="38"/>
      <c r="BF179" s="38"/>
      <c r="BG179" s="36"/>
      <c r="BH179" s="36"/>
    </row>
    <row r="180" spans="1:60" s="37" customFormat="1" ht="15.75" x14ac:dyDescent="0.25">
      <c r="A180" s="36"/>
      <c r="B180" s="36"/>
      <c r="C180" s="36"/>
      <c r="D180" s="36"/>
      <c r="R180" s="1"/>
      <c r="S180" s="38"/>
      <c r="T180" s="38"/>
      <c r="U180" s="38"/>
      <c r="V180" s="38"/>
      <c r="W180" s="38"/>
      <c r="X180" s="38"/>
      <c r="Y180" s="38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R180" s="36"/>
      <c r="AS180" s="36"/>
      <c r="AT180" s="36"/>
      <c r="AU180" s="36"/>
      <c r="AV180" s="36"/>
      <c r="AW180" s="36"/>
      <c r="AX180" s="36"/>
      <c r="AY180" s="38"/>
      <c r="AZ180" s="38"/>
      <c r="BA180" s="38"/>
      <c r="BB180" s="26"/>
      <c r="BC180" s="38"/>
      <c r="BD180" s="26"/>
      <c r="BE180" s="38"/>
      <c r="BF180" s="38"/>
      <c r="BG180" s="36"/>
      <c r="BH180" s="36"/>
    </row>
    <row r="181" spans="1:60" s="37" customFormat="1" ht="15.75" x14ac:dyDescent="0.25">
      <c r="A181" s="36"/>
      <c r="B181" s="36"/>
      <c r="C181" s="36"/>
      <c r="D181" s="36"/>
      <c r="R181" s="1"/>
      <c r="S181" s="38"/>
      <c r="T181" s="38"/>
      <c r="U181" s="38"/>
      <c r="V181" s="38"/>
      <c r="W181" s="38"/>
      <c r="X181" s="38"/>
      <c r="Y181" s="38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R181" s="36"/>
      <c r="AS181" s="36"/>
      <c r="AT181" s="36"/>
      <c r="AU181" s="36"/>
      <c r="AV181" s="36"/>
      <c r="AW181" s="36"/>
      <c r="AX181" s="36"/>
      <c r="AY181" s="38"/>
      <c r="AZ181" s="38"/>
      <c r="BA181" s="38"/>
      <c r="BB181" s="26"/>
      <c r="BC181" s="38"/>
      <c r="BD181" s="26"/>
      <c r="BE181" s="38"/>
      <c r="BF181" s="38"/>
      <c r="BG181" s="36"/>
      <c r="BH181" s="36"/>
    </row>
    <row r="182" spans="1:60" s="37" customFormat="1" ht="15.75" x14ac:dyDescent="0.25">
      <c r="A182" s="36"/>
      <c r="B182" s="36"/>
      <c r="C182" s="36"/>
      <c r="D182" s="36"/>
      <c r="R182" s="1"/>
      <c r="S182" s="38"/>
      <c r="T182" s="38"/>
      <c r="U182" s="38"/>
      <c r="V182" s="38"/>
      <c r="W182" s="38"/>
      <c r="X182" s="38"/>
      <c r="Y182" s="38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R182" s="36"/>
      <c r="AS182" s="36"/>
      <c r="AT182" s="36"/>
      <c r="AU182" s="36"/>
      <c r="AV182" s="36"/>
      <c r="AW182" s="36"/>
      <c r="AX182" s="36"/>
      <c r="AY182" s="38"/>
      <c r="AZ182" s="38"/>
      <c r="BA182" s="38"/>
      <c r="BB182" s="26"/>
      <c r="BC182" s="38"/>
      <c r="BD182" s="26"/>
      <c r="BE182" s="38"/>
      <c r="BF182" s="38"/>
      <c r="BG182" s="36"/>
      <c r="BH182" s="36"/>
    </row>
    <row r="183" spans="1:60" s="37" customFormat="1" ht="15.75" x14ac:dyDescent="0.25">
      <c r="A183" s="36"/>
      <c r="B183" s="36"/>
      <c r="C183" s="36"/>
      <c r="D183" s="36"/>
      <c r="R183" s="1"/>
      <c r="S183" s="38"/>
      <c r="T183" s="38"/>
      <c r="U183" s="38"/>
      <c r="V183" s="38"/>
      <c r="W183" s="38"/>
      <c r="X183" s="38"/>
      <c r="Y183" s="38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R183" s="36"/>
      <c r="AS183" s="36"/>
      <c r="AT183" s="36"/>
      <c r="AU183" s="36"/>
      <c r="AV183" s="36"/>
      <c r="AW183" s="36"/>
      <c r="AX183" s="36"/>
      <c r="AY183" s="38"/>
      <c r="AZ183" s="38"/>
      <c r="BA183" s="38"/>
      <c r="BB183" s="26"/>
      <c r="BC183" s="38"/>
      <c r="BD183" s="26"/>
      <c r="BE183" s="38"/>
      <c r="BF183" s="38"/>
      <c r="BG183" s="36"/>
      <c r="BH183" s="36"/>
    </row>
    <row r="184" spans="1:60" s="37" customFormat="1" ht="15.75" x14ac:dyDescent="0.25">
      <c r="A184" s="36"/>
      <c r="B184" s="36"/>
      <c r="C184" s="36"/>
      <c r="D184" s="36"/>
      <c r="R184" s="1"/>
      <c r="S184" s="38"/>
      <c r="T184" s="38"/>
      <c r="U184" s="38"/>
      <c r="V184" s="38"/>
      <c r="W184" s="38"/>
      <c r="X184" s="38"/>
      <c r="Y184" s="38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R184" s="36"/>
      <c r="AS184" s="36"/>
      <c r="AT184" s="36"/>
      <c r="AU184" s="36"/>
      <c r="AV184" s="36"/>
      <c r="AW184" s="36"/>
      <c r="AX184" s="36"/>
      <c r="AY184" s="38"/>
      <c r="AZ184" s="38"/>
      <c r="BA184" s="38"/>
      <c r="BB184" s="26"/>
      <c r="BC184" s="38"/>
      <c r="BD184" s="26"/>
      <c r="BE184" s="38"/>
      <c r="BF184" s="38"/>
      <c r="BG184" s="36"/>
      <c r="BH184" s="36"/>
    </row>
    <row r="185" spans="1:60" s="37" customFormat="1" ht="15.75" x14ac:dyDescent="0.25">
      <c r="A185" s="36"/>
      <c r="B185" s="36"/>
      <c r="C185" s="36"/>
      <c r="D185" s="36"/>
      <c r="R185" s="1"/>
      <c r="S185" s="38"/>
      <c r="T185" s="38"/>
      <c r="U185" s="38"/>
      <c r="V185" s="38"/>
      <c r="W185" s="38"/>
      <c r="X185" s="38"/>
      <c r="Y185" s="38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R185" s="36"/>
      <c r="AS185" s="36"/>
      <c r="AT185" s="36"/>
      <c r="AU185" s="36"/>
      <c r="AV185" s="36"/>
      <c r="AW185" s="36"/>
      <c r="AX185" s="36"/>
      <c r="AY185" s="38"/>
      <c r="AZ185" s="38"/>
      <c r="BA185" s="38"/>
      <c r="BB185" s="26"/>
      <c r="BC185" s="38"/>
      <c r="BD185" s="26"/>
      <c r="BE185" s="38"/>
      <c r="BF185" s="38"/>
      <c r="BG185" s="36"/>
      <c r="BH185" s="36"/>
    </row>
    <row r="186" spans="1:60" s="37" customFormat="1" ht="15.75" x14ac:dyDescent="0.25">
      <c r="A186" s="36"/>
      <c r="B186" s="36"/>
      <c r="C186" s="36"/>
      <c r="D186" s="36"/>
      <c r="R186" s="1"/>
      <c r="S186" s="38"/>
      <c r="T186" s="38"/>
      <c r="U186" s="38"/>
      <c r="V186" s="38"/>
      <c r="W186" s="38"/>
      <c r="X186" s="38"/>
      <c r="Y186" s="38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R186" s="36"/>
      <c r="AS186" s="36"/>
      <c r="AT186" s="36"/>
      <c r="AU186" s="36"/>
      <c r="AV186" s="36"/>
      <c r="AW186" s="36"/>
      <c r="AX186" s="36"/>
      <c r="AY186" s="38"/>
      <c r="AZ186" s="38"/>
      <c r="BA186" s="38"/>
      <c r="BB186" s="26"/>
      <c r="BC186" s="38"/>
      <c r="BD186" s="26"/>
      <c r="BE186" s="38"/>
      <c r="BF186" s="38"/>
      <c r="BG186" s="36"/>
      <c r="BH186" s="36"/>
    </row>
    <row r="187" spans="1:60" s="37" customFormat="1" ht="15.75" x14ac:dyDescent="0.25">
      <c r="A187" s="36"/>
      <c r="B187" s="36"/>
      <c r="C187" s="36"/>
      <c r="D187" s="36"/>
      <c r="R187" s="1"/>
      <c r="S187" s="38"/>
      <c r="T187" s="38"/>
      <c r="U187" s="38"/>
      <c r="V187" s="38"/>
      <c r="W187" s="38"/>
      <c r="X187" s="38"/>
      <c r="Y187" s="38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R187" s="36"/>
      <c r="AS187" s="36"/>
      <c r="AT187" s="36"/>
      <c r="AU187" s="36"/>
      <c r="AV187" s="36"/>
      <c r="AW187" s="36"/>
      <c r="AX187" s="36"/>
      <c r="AY187" s="38"/>
      <c r="AZ187" s="38"/>
      <c r="BA187" s="38"/>
      <c r="BB187" s="26"/>
      <c r="BC187" s="38"/>
      <c r="BD187" s="26"/>
      <c r="BE187" s="38"/>
      <c r="BF187" s="38"/>
      <c r="BG187" s="36"/>
      <c r="BH187" s="36"/>
    </row>
    <row r="188" spans="1:60" s="37" customFormat="1" ht="15.75" x14ac:dyDescent="0.25">
      <c r="A188" s="36"/>
      <c r="B188" s="36"/>
      <c r="C188" s="36"/>
      <c r="D188" s="36"/>
      <c r="R188" s="1"/>
      <c r="S188" s="38"/>
      <c r="T188" s="38"/>
      <c r="U188" s="38"/>
      <c r="V188" s="38"/>
      <c r="W188" s="38"/>
      <c r="X188" s="38"/>
      <c r="Y188" s="38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R188" s="36"/>
      <c r="AS188" s="36"/>
      <c r="AT188" s="36"/>
      <c r="AU188" s="36"/>
      <c r="AV188" s="36"/>
      <c r="AW188" s="36"/>
      <c r="AX188" s="36"/>
      <c r="AY188" s="38"/>
      <c r="AZ188" s="38"/>
      <c r="BA188" s="38"/>
      <c r="BB188" s="26"/>
      <c r="BC188" s="38"/>
      <c r="BD188" s="26"/>
      <c r="BE188" s="38"/>
      <c r="BF188" s="38"/>
      <c r="BG188" s="36"/>
      <c r="BH188" s="36"/>
    </row>
    <row r="189" spans="1:60" s="37" customFormat="1" ht="15.75" x14ac:dyDescent="0.25">
      <c r="A189" s="36"/>
      <c r="B189" s="36"/>
      <c r="C189" s="36"/>
      <c r="D189" s="36"/>
      <c r="R189" s="1"/>
      <c r="S189" s="38"/>
      <c r="T189" s="38"/>
      <c r="U189" s="38"/>
      <c r="V189" s="38"/>
      <c r="W189" s="38"/>
      <c r="X189" s="38"/>
      <c r="Y189" s="38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R189" s="36"/>
      <c r="AS189" s="36"/>
      <c r="AT189" s="36"/>
      <c r="AU189" s="36"/>
      <c r="AV189" s="36"/>
      <c r="AW189" s="36"/>
      <c r="AX189" s="36"/>
      <c r="AY189" s="38"/>
      <c r="AZ189" s="38"/>
      <c r="BA189" s="38"/>
      <c r="BB189" s="26"/>
      <c r="BC189" s="38"/>
      <c r="BD189" s="26"/>
      <c r="BE189" s="38"/>
      <c r="BF189" s="38"/>
      <c r="BG189" s="36"/>
      <c r="BH189" s="36"/>
    </row>
    <row r="190" spans="1:60" s="37" customFormat="1" ht="15.75" x14ac:dyDescent="0.25">
      <c r="A190" s="36"/>
      <c r="B190" s="36"/>
      <c r="C190" s="36"/>
      <c r="D190" s="36"/>
      <c r="R190" s="1"/>
      <c r="S190" s="38"/>
      <c r="T190" s="38"/>
      <c r="U190" s="38"/>
      <c r="V190" s="38"/>
      <c r="W190" s="38"/>
      <c r="X190" s="38"/>
      <c r="Y190" s="38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R190" s="36"/>
      <c r="AS190" s="36"/>
      <c r="AT190" s="36"/>
      <c r="AU190" s="36"/>
      <c r="AV190" s="36"/>
      <c r="AW190" s="36"/>
      <c r="AX190" s="36"/>
      <c r="AY190" s="38"/>
      <c r="AZ190" s="38"/>
      <c r="BA190" s="38"/>
      <c r="BB190" s="26"/>
      <c r="BC190" s="38"/>
      <c r="BD190" s="26"/>
      <c r="BE190" s="38"/>
      <c r="BF190" s="38"/>
      <c r="BG190" s="36"/>
      <c r="BH190" s="36"/>
    </row>
    <row r="191" spans="1:60" s="37" customFormat="1" ht="15.75" x14ac:dyDescent="0.25">
      <c r="A191" s="36"/>
      <c r="B191" s="36"/>
      <c r="C191" s="36"/>
      <c r="D191" s="36"/>
      <c r="R191" s="1"/>
      <c r="S191" s="38"/>
      <c r="T191" s="38"/>
      <c r="U191" s="38"/>
      <c r="V191" s="38"/>
      <c r="W191" s="38"/>
      <c r="X191" s="38"/>
      <c r="Y191" s="38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R191" s="36"/>
      <c r="AS191" s="36"/>
      <c r="AT191" s="36"/>
      <c r="AU191" s="36"/>
      <c r="AV191" s="36"/>
      <c r="AW191" s="36"/>
      <c r="AX191" s="36"/>
      <c r="AY191" s="38"/>
      <c r="AZ191" s="38"/>
      <c r="BA191" s="38"/>
      <c r="BB191" s="26"/>
      <c r="BC191" s="38"/>
      <c r="BD191" s="26"/>
      <c r="BE191" s="38"/>
      <c r="BF191" s="38"/>
      <c r="BG191" s="36"/>
      <c r="BH191" s="36"/>
    </row>
    <row r="192" spans="1:60" s="37" customFormat="1" ht="15.75" x14ac:dyDescent="0.25">
      <c r="A192" s="36"/>
      <c r="B192" s="36"/>
      <c r="C192" s="36"/>
      <c r="D192" s="36"/>
      <c r="R192" s="1"/>
      <c r="S192" s="38"/>
      <c r="T192" s="38"/>
      <c r="U192" s="38"/>
      <c r="V192" s="38"/>
      <c r="W192" s="38"/>
      <c r="X192" s="38"/>
      <c r="Y192" s="38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R192" s="36"/>
      <c r="AS192" s="36"/>
      <c r="AT192" s="36"/>
      <c r="AU192" s="36"/>
      <c r="AV192" s="36"/>
      <c r="AW192" s="36"/>
      <c r="AX192" s="36"/>
      <c r="AY192" s="38"/>
      <c r="AZ192" s="38"/>
      <c r="BA192" s="38"/>
      <c r="BB192" s="26"/>
      <c r="BC192" s="38"/>
      <c r="BD192" s="26"/>
      <c r="BE192" s="38"/>
      <c r="BF192" s="38"/>
      <c r="BG192" s="36"/>
      <c r="BH192" s="36"/>
    </row>
    <row r="193" spans="1:60" s="37" customFormat="1" ht="15.75" x14ac:dyDescent="0.25">
      <c r="A193" s="36"/>
      <c r="B193" s="36"/>
      <c r="C193" s="36"/>
      <c r="D193" s="36"/>
      <c r="R193" s="1"/>
      <c r="S193" s="38"/>
      <c r="T193" s="38"/>
      <c r="U193" s="38"/>
      <c r="V193" s="38"/>
      <c r="W193" s="38"/>
      <c r="X193" s="38"/>
      <c r="Y193" s="38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R193" s="36"/>
      <c r="AS193" s="36"/>
      <c r="AT193" s="36"/>
      <c r="AU193" s="36"/>
      <c r="AV193" s="36"/>
      <c r="AW193" s="36"/>
      <c r="AX193" s="36"/>
      <c r="AY193" s="38"/>
      <c r="AZ193" s="38"/>
      <c r="BA193" s="38"/>
      <c r="BB193" s="26"/>
      <c r="BC193" s="38"/>
      <c r="BD193" s="26"/>
      <c r="BE193" s="38"/>
      <c r="BF193" s="38"/>
      <c r="BG193" s="36"/>
      <c r="BH193" s="36"/>
    </row>
    <row r="194" spans="1:60" s="37" customFormat="1" ht="15.75" x14ac:dyDescent="0.25">
      <c r="A194" s="36"/>
      <c r="B194" s="36"/>
      <c r="C194" s="36"/>
      <c r="D194" s="36"/>
      <c r="R194" s="1"/>
      <c r="S194" s="38"/>
      <c r="T194" s="38"/>
      <c r="U194" s="38"/>
      <c r="V194" s="38"/>
      <c r="W194" s="38"/>
      <c r="X194" s="38"/>
      <c r="Y194" s="38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R194" s="36"/>
      <c r="AS194" s="36"/>
      <c r="AT194" s="36"/>
      <c r="AU194" s="36"/>
      <c r="AV194" s="36"/>
      <c r="AW194" s="36"/>
      <c r="AX194" s="36"/>
      <c r="AY194" s="38"/>
      <c r="AZ194" s="38"/>
      <c r="BA194" s="38"/>
      <c r="BB194" s="26"/>
      <c r="BC194" s="38"/>
      <c r="BD194" s="26"/>
      <c r="BE194" s="38"/>
      <c r="BF194" s="38"/>
      <c r="BG194" s="36"/>
      <c r="BH194" s="36"/>
    </row>
    <row r="195" spans="1:60" s="37" customFormat="1" ht="15.75" x14ac:dyDescent="0.25">
      <c r="A195" s="36"/>
      <c r="B195" s="36"/>
      <c r="C195" s="36"/>
      <c r="D195" s="36"/>
      <c r="R195" s="1"/>
      <c r="S195" s="38"/>
      <c r="T195" s="38"/>
      <c r="U195" s="38"/>
      <c r="V195" s="38"/>
      <c r="W195" s="38"/>
      <c r="X195" s="38"/>
      <c r="Y195" s="38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R195" s="36"/>
      <c r="AS195" s="36"/>
      <c r="AT195" s="36"/>
      <c r="AU195" s="36"/>
      <c r="AV195" s="36"/>
      <c r="AW195" s="36"/>
      <c r="AX195" s="36"/>
      <c r="AY195" s="38"/>
      <c r="AZ195" s="38"/>
      <c r="BA195" s="38"/>
      <c r="BB195" s="26"/>
      <c r="BC195" s="38"/>
      <c r="BD195" s="26"/>
      <c r="BE195" s="38"/>
      <c r="BF195" s="38"/>
      <c r="BG195" s="36"/>
      <c r="BH195" s="36"/>
    </row>
    <row r="196" spans="1:60" s="37" customFormat="1" ht="15.75" x14ac:dyDescent="0.25">
      <c r="A196" s="36"/>
      <c r="B196" s="36"/>
      <c r="C196" s="36"/>
      <c r="D196" s="36"/>
      <c r="R196" s="1"/>
      <c r="S196" s="38"/>
      <c r="T196" s="38"/>
      <c r="U196" s="38"/>
      <c r="V196" s="38"/>
      <c r="W196" s="38"/>
      <c r="X196" s="38"/>
      <c r="Y196" s="38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R196" s="36"/>
      <c r="AS196" s="36"/>
      <c r="AT196" s="36"/>
      <c r="AU196" s="36"/>
      <c r="AV196" s="36"/>
      <c r="AW196" s="36"/>
      <c r="AX196" s="36"/>
      <c r="AY196" s="38"/>
      <c r="AZ196" s="38"/>
      <c r="BA196" s="38"/>
      <c r="BB196" s="26"/>
      <c r="BC196" s="38"/>
      <c r="BD196" s="26"/>
      <c r="BE196" s="38"/>
      <c r="BF196" s="38"/>
      <c r="BG196" s="36"/>
      <c r="BH196" s="3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AQ1" zoomScale="90" zoomScaleNormal="90" workbookViewId="0">
      <selection activeCell="AT10" sqref="AT10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8.28515625" style="36" customWidth="1"/>
    <col min="3" max="3" width="19.7109375" style="36" customWidth="1"/>
    <col min="4" max="4" width="17" style="36" bestFit="1" customWidth="1"/>
    <col min="5" max="5" width="66" style="37" customWidth="1"/>
    <col min="6" max="7" width="24.7109375" style="37" customWidth="1" outlineLevel="1"/>
    <col min="8" max="8" width="31.28515625" style="37" bestFit="1" customWidth="1" outlineLevel="1"/>
    <col min="9" max="9" width="6.7109375" style="37" bestFit="1" customWidth="1"/>
    <col min="10" max="10" width="31" style="37" bestFit="1" customWidth="1"/>
    <col min="11" max="11" width="28.140625" style="37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8.5703125" style="1" customWidth="1" outlineLevel="1"/>
    <col min="19" max="19" width="10.5703125" style="38" customWidth="1" outlineLevel="1"/>
    <col min="20" max="20" width="11" style="38" customWidth="1" outlineLevel="1"/>
    <col min="21" max="21" width="9.42578125" style="38" customWidth="1" outlineLevel="1"/>
    <col min="22" max="23" width="13.5703125" style="38" customWidth="1" outlineLevel="1"/>
    <col min="24" max="24" width="14" style="38" customWidth="1" outlineLevel="1"/>
    <col min="25" max="25" width="9.7109375" style="38" bestFit="1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33" style="36" bestFit="1" customWidth="1"/>
    <col min="32" max="33" width="12.7109375" style="36" customWidth="1"/>
    <col min="34" max="34" width="8.42578125" style="36" customWidth="1"/>
    <col min="35" max="35" width="15" style="36" bestFit="1" customWidth="1"/>
    <col min="36" max="36" width="24.5703125" style="37" customWidth="1"/>
    <col min="37" max="37" width="26.28515625" style="37" customWidth="1"/>
    <col min="38" max="38" width="22.5703125" style="37" customWidth="1"/>
    <col min="39" max="40" width="21" style="37" customWidth="1"/>
    <col min="41" max="41" width="11.85546875" style="37" customWidth="1"/>
    <col min="42" max="42" width="24.140625" style="37" customWidth="1"/>
    <col min="43" max="43" width="16.42578125" style="37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3.7109375" style="38" hidden="1" customWidth="1" outlineLevel="1"/>
    <col min="54" max="54" width="13.28515625" style="26" hidden="1" customWidth="1" outlineLevel="1"/>
    <col min="55" max="55" width="13.28515625" style="38" hidden="1" customWidth="1" outlineLevel="1"/>
    <col min="56" max="56" width="13" style="26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83.140625" style="36" bestFit="1" customWidth="1" collapsed="1"/>
    <col min="60" max="16384" width="9.140625" style="36"/>
  </cols>
  <sheetData>
    <row r="1" spans="1:16379" ht="15.75" x14ac:dyDescent="0.25">
      <c r="E1" s="36"/>
      <c r="J1" s="37">
        <v>19</v>
      </c>
      <c r="AA1" s="39"/>
      <c r="AB1" s="39"/>
      <c r="AC1" s="39"/>
      <c r="AD1" s="39"/>
      <c r="AE1" s="39"/>
      <c r="AF1" s="2"/>
      <c r="AG1" s="2"/>
      <c r="AH1" s="39">
        <f>SUM(AA3:AA74)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74" t="s">
        <v>0</v>
      </c>
      <c r="BA1" s="75"/>
      <c r="BB1" s="75"/>
      <c r="BC1" s="75"/>
      <c r="BD1" s="75"/>
      <c r="BE1" s="75"/>
      <c r="BF1" s="75"/>
    </row>
    <row r="2" spans="1:16379" s="7" customFormat="1" ht="54" customHeight="1" x14ac:dyDescent="0.25">
      <c r="A2" s="40" t="s">
        <v>1</v>
      </c>
      <c r="B2" s="48" t="s">
        <v>2</v>
      </c>
      <c r="C2" s="32" t="s">
        <v>3</v>
      </c>
      <c r="D2" s="32" t="s">
        <v>93</v>
      </c>
      <c r="E2" s="40" t="s">
        <v>4</v>
      </c>
      <c r="F2" s="40" t="s">
        <v>106</v>
      </c>
      <c r="G2" s="40" t="s">
        <v>5</v>
      </c>
      <c r="H2" s="40" t="s">
        <v>6</v>
      </c>
      <c r="I2" s="40" t="s">
        <v>7</v>
      </c>
      <c r="J2" s="40" t="s">
        <v>107</v>
      </c>
      <c r="K2" s="41" t="s">
        <v>8</v>
      </c>
      <c r="L2" s="41" t="s">
        <v>9</v>
      </c>
      <c r="M2" s="41" t="s">
        <v>10</v>
      </c>
      <c r="N2" s="41" t="s">
        <v>11</v>
      </c>
      <c r="O2" s="41" t="s">
        <v>105</v>
      </c>
      <c r="P2" s="41" t="s">
        <v>12</v>
      </c>
      <c r="Q2" s="41" t="s">
        <v>13</v>
      </c>
      <c r="R2" s="41" t="s">
        <v>14</v>
      </c>
      <c r="S2" s="41" t="s">
        <v>15</v>
      </c>
      <c r="T2" s="41" t="s">
        <v>16</v>
      </c>
      <c r="U2" s="41" t="s">
        <v>60</v>
      </c>
      <c r="V2" s="41" t="s">
        <v>17</v>
      </c>
      <c r="W2" s="41" t="s">
        <v>18</v>
      </c>
      <c r="X2" s="42" t="s">
        <v>19</v>
      </c>
      <c r="Y2" s="42" t="s">
        <v>20</v>
      </c>
      <c r="Z2" s="41" t="s">
        <v>21</v>
      </c>
      <c r="AA2" s="42" t="s">
        <v>22</v>
      </c>
      <c r="AB2" s="42" t="s">
        <v>101</v>
      </c>
      <c r="AC2" s="42" t="s">
        <v>102</v>
      </c>
      <c r="AD2" s="42" t="s">
        <v>103</v>
      </c>
      <c r="AE2" s="42" t="s">
        <v>104</v>
      </c>
      <c r="AF2" s="42" t="s">
        <v>23</v>
      </c>
      <c r="AG2" s="42" t="s">
        <v>24</v>
      </c>
      <c r="AH2" s="41" t="s">
        <v>25</v>
      </c>
      <c r="AI2" s="34" t="s">
        <v>99</v>
      </c>
      <c r="AJ2" s="40" t="s">
        <v>26</v>
      </c>
      <c r="AK2" s="40" t="s">
        <v>27</v>
      </c>
      <c r="AL2" s="40" t="s">
        <v>28</v>
      </c>
      <c r="AM2" s="40" t="s">
        <v>29</v>
      </c>
      <c r="AN2" s="40" t="s">
        <v>30</v>
      </c>
      <c r="AO2" s="40" t="s">
        <v>31</v>
      </c>
      <c r="AP2" s="40" t="s">
        <v>32</v>
      </c>
      <c r="AQ2" s="40" t="s">
        <v>33</v>
      </c>
      <c r="AR2" s="41" t="s">
        <v>34</v>
      </c>
      <c r="AS2" s="41" t="s">
        <v>35</v>
      </c>
      <c r="AT2" s="41" t="s">
        <v>36</v>
      </c>
      <c r="AU2" s="41" t="s">
        <v>37</v>
      </c>
      <c r="AV2" s="57" t="s">
        <v>185</v>
      </c>
      <c r="AW2" s="57" t="s">
        <v>186</v>
      </c>
      <c r="AX2" s="57" t="s">
        <v>187</v>
      </c>
      <c r="AY2" s="42"/>
      <c r="AZ2" s="41" t="s">
        <v>41</v>
      </c>
      <c r="BA2" s="41" t="s">
        <v>42</v>
      </c>
      <c r="BB2" s="6" t="s">
        <v>43</v>
      </c>
      <c r="BC2" s="41" t="s">
        <v>44</v>
      </c>
      <c r="BD2" s="6" t="s">
        <v>45</v>
      </c>
      <c r="BE2" s="41" t="s">
        <v>46</v>
      </c>
      <c r="BF2" s="41" t="s">
        <v>47</v>
      </c>
      <c r="BG2" s="42" t="s">
        <v>48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16" customFormat="1" ht="15.75" x14ac:dyDescent="0.25">
      <c r="A3" s="8"/>
      <c r="B3" s="56" t="s">
        <v>184</v>
      </c>
      <c r="C3" s="45"/>
      <c r="D3" s="31" t="s">
        <v>150</v>
      </c>
      <c r="E3" s="10" t="s">
        <v>113</v>
      </c>
      <c r="F3" s="10" t="s">
        <v>112</v>
      </c>
      <c r="G3" s="10" t="s">
        <v>112</v>
      </c>
      <c r="H3" s="10"/>
      <c r="I3" s="10">
        <f t="shared" ref="I3:I11" si="0">LEN(F3)</f>
        <v>4</v>
      </c>
      <c r="J3" s="10" t="str">
        <f t="shared" ref="J3:J11" si="1">IF(LEN(F3)&lt;=$J$1,F3,"")</f>
        <v>Ввод</v>
      </c>
      <c r="K3" s="8" t="s">
        <v>162</v>
      </c>
      <c r="L3" s="27" t="s">
        <v>57</v>
      </c>
      <c r="M3" s="45" t="s">
        <v>49</v>
      </c>
      <c r="N3" s="45" t="s">
        <v>50</v>
      </c>
      <c r="O3" s="45"/>
      <c r="P3" s="20"/>
      <c r="Q3" s="20"/>
      <c r="R3" s="45" t="s">
        <v>58</v>
      </c>
      <c r="S3" s="45" t="s">
        <v>58</v>
      </c>
      <c r="T3" s="45" t="s">
        <v>58</v>
      </c>
      <c r="U3" s="45" t="s">
        <v>58</v>
      </c>
      <c r="V3" s="45"/>
      <c r="W3" s="45"/>
      <c r="X3" s="45" t="s">
        <v>58</v>
      </c>
      <c r="Y3" s="45">
        <v>2</v>
      </c>
      <c r="Z3" s="11"/>
      <c r="AA3" s="44">
        <v>0</v>
      </c>
      <c r="AB3" s="44">
        <v>0</v>
      </c>
      <c r="AC3" s="44">
        <v>0</v>
      </c>
      <c r="AD3" s="44">
        <v>0</v>
      </c>
      <c r="AE3" s="44">
        <v>0</v>
      </c>
      <c r="AF3" s="44">
        <v>0</v>
      </c>
      <c r="AG3" s="44">
        <v>0</v>
      </c>
      <c r="AH3" s="44">
        <v>0</v>
      </c>
      <c r="AI3" s="35"/>
      <c r="AJ3" s="12"/>
      <c r="AK3" s="12"/>
      <c r="AL3" s="12"/>
      <c r="AM3" s="12"/>
      <c r="AN3" s="12"/>
      <c r="AO3" s="12"/>
      <c r="AP3" s="12"/>
      <c r="AQ3" s="12"/>
      <c r="AR3" s="9">
        <v>0</v>
      </c>
      <c r="AS3" s="9">
        <v>1</v>
      </c>
      <c r="AT3" s="9">
        <v>0</v>
      </c>
      <c r="AU3" s="9">
        <v>1</v>
      </c>
      <c r="AV3" s="9">
        <v>1</v>
      </c>
      <c r="AW3" s="9">
        <v>1</v>
      </c>
      <c r="AX3" s="9">
        <v>1</v>
      </c>
      <c r="AY3" s="13"/>
      <c r="AZ3" s="14"/>
      <c r="BA3" s="14"/>
      <c r="BB3" s="14"/>
      <c r="BC3" s="14"/>
      <c r="BD3" s="14"/>
      <c r="BE3" s="14"/>
      <c r="BF3" s="14"/>
      <c r="BG3" s="15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8"/>
      <c r="B4" s="56" t="s">
        <v>184</v>
      </c>
      <c r="C4" s="45"/>
      <c r="D4" s="31" t="s">
        <v>150</v>
      </c>
      <c r="E4" s="10" t="s">
        <v>114</v>
      </c>
      <c r="F4" s="10" t="s">
        <v>110</v>
      </c>
      <c r="G4" s="10" t="s">
        <v>110</v>
      </c>
      <c r="H4" s="10"/>
      <c r="I4" s="10">
        <f t="shared" ref="I4" si="3">LEN(F4)</f>
        <v>17</v>
      </c>
      <c r="J4" s="10" t="str">
        <f t="shared" ref="J4" si="4">IF(LEN(F4)&lt;=$J$1,F4,"")</f>
        <v>Оперативный вывод</v>
      </c>
      <c r="K4" s="8" t="s">
        <v>163</v>
      </c>
      <c r="L4" s="27" t="s">
        <v>57</v>
      </c>
      <c r="M4" s="45" t="s">
        <v>49</v>
      </c>
      <c r="N4" s="45" t="s">
        <v>50</v>
      </c>
      <c r="O4" s="45"/>
      <c r="P4" s="20"/>
      <c r="Q4" s="20"/>
      <c r="R4" s="45" t="s">
        <v>58</v>
      </c>
      <c r="S4" s="45" t="s">
        <v>58</v>
      </c>
      <c r="T4" s="45" t="s">
        <v>58</v>
      </c>
      <c r="U4" s="45" t="s">
        <v>58</v>
      </c>
      <c r="V4" s="45"/>
      <c r="W4" s="45"/>
      <c r="X4" s="45" t="s">
        <v>58</v>
      </c>
      <c r="Y4" s="45">
        <v>2</v>
      </c>
      <c r="Z4" s="11"/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35"/>
      <c r="AJ4" s="12"/>
      <c r="AK4" s="12"/>
      <c r="AL4" s="12"/>
      <c r="AM4" s="12"/>
      <c r="AN4" s="12"/>
      <c r="AO4" s="12"/>
      <c r="AP4" s="12"/>
      <c r="AQ4" s="12"/>
      <c r="AR4" s="9">
        <v>0</v>
      </c>
      <c r="AS4" s="9">
        <v>1</v>
      </c>
      <c r="AT4" s="9">
        <v>0</v>
      </c>
      <c r="AU4" s="9">
        <v>1</v>
      </c>
      <c r="AV4" s="9">
        <v>1</v>
      </c>
      <c r="AW4" s="9">
        <v>1</v>
      </c>
      <c r="AX4" s="9">
        <v>1</v>
      </c>
      <c r="AY4" s="13"/>
      <c r="AZ4" s="14"/>
      <c r="BA4" s="14"/>
      <c r="BB4" s="14"/>
      <c r="BC4" s="14"/>
      <c r="BD4" s="14"/>
      <c r="BE4" s="14"/>
      <c r="BF4" s="14"/>
      <c r="BG4" s="15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8"/>
      <c r="B5" s="56" t="s">
        <v>184</v>
      </c>
      <c r="C5" s="45"/>
      <c r="D5" s="31" t="s">
        <v>150</v>
      </c>
      <c r="E5" s="10" t="s">
        <v>154</v>
      </c>
      <c r="F5" s="10" t="s">
        <v>129</v>
      </c>
      <c r="G5" s="10" t="s">
        <v>129</v>
      </c>
      <c r="H5" s="10"/>
      <c r="I5" s="10">
        <f t="shared" si="0"/>
        <v>7</v>
      </c>
      <c r="J5" s="10" t="str">
        <f t="shared" si="1"/>
        <v>ИО 3U0&gt;</v>
      </c>
      <c r="K5" s="8" t="s">
        <v>164</v>
      </c>
      <c r="L5" s="27" t="s">
        <v>57</v>
      </c>
      <c r="M5" s="45" t="s">
        <v>49</v>
      </c>
      <c r="N5" s="45" t="s">
        <v>50</v>
      </c>
      <c r="O5" s="45"/>
      <c r="P5" s="28"/>
      <c r="Q5" s="28"/>
      <c r="R5" s="45" t="s">
        <v>58</v>
      </c>
      <c r="S5" s="45" t="s">
        <v>58</v>
      </c>
      <c r="T5" s="45" t="s">
        <v>58</v>
      </c>
      <c r="U5" s="45" t="s">
        <v>58</v>
      </c>
      <c r="V5" s="45"/>
      <c r="W5" s="45"/>
      <c r="X5" s="45" t="s">
        <v>58</v>
      </c>
      <c r="Y5" s="45">
        <v>2</v>
      </c>
      <c r="Z5" s="11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8"/>
      <c r="AK5" s="8"/>
      <c r="AL5" s="8"/>
      <c r="AM5" s="8"/>
      <c r="AN5" s="8"/>
      <c r="AO5" s="8"/>
      <c r="AP5" s="8"/>
      <c r="AQ5" s="8"/>
      <c r="AR5" s="9">
        <v>0</v>
      </c>
      <c r="AS5" s="9">
        <v>1</v>
      </c>
      <c r="AT5" s="9">
        <v>0</v>
      </c>
      <c r="AU5" s="9">
        <v>1</v>
      </c>
      <c r="AV5" s="9">
        <v>1</v>
      </c>
      <c r="AW5" s="9">
        <v>1</v>
      </c>
      <c r="AX5" s="9">
        <v>1</v>
      </c>
      <c r="AY5" s="13"/>
      <c r="AZ5" s="14"/>
      <c r="BA5" s="14"/>
      <c r="BB5" s="14"/>
      <c r="BC5" s="14"/>
      <c r="BD5" s="14"/>
      <c r="BE5" s="14"/>
      <c r="BF5" s="14"/>
      <c r="BG5" s="15" t="str">
        <f t="shared" si="2"/>
        <v>description: "ИО 3U0&gt;", note: "Пуск ИО напряжения НП 3U0&gt;", group: "status", minValue: null, maxValue: null, step: null, units: "null", defaultValue: null, eventRegistration: 2</v>
      </c>
    </row>
    <row r="6" spans="1:16379" s="16" customFormat="1" ht="15.75" x14ac:dyDescent="0.25">
      <c r="A6" s="8"/>
      <c r="B6" s="56" t="s">
        <v>184</v>
      </c>
      <c r="C6" s="45"/>
      <c r="D6" s="31" t="s">
        <v>150</v>
      </c>
      <c r="E6" s="10" t="s">
        <v>155</v>
      </c>
      <c r="F6" s="10" t="s">
        <v>111</v>
      </c>
      <c r="G6" s="10" t="s">
        <v>111</v>
      </c>
      <c r="H6" s="10"/>
      <c r="I6" s="10">
        <f t="shared" ref="I6" si="5">LEN(F6)</f>
        <v>4</v>
      </c>
      <c r="J6" s="10" t="str">
        <f t="shared" ref="J6" si="6">IF(LEN(F6)&lt;=$J$1,F6,"")</f>
        <v>Пуск</v>
      </c>
      <c r="K6" s="8" t="s">
        <v>165</v>
      </c>
      <c r="L6" s="27" t="s">
        <v>57</v>
      </c>
      <c r="M6" s="45" t="s">
        <v>49</v>
      </c>
      <c r="N6" s="45" t="s">
        <v>50</v>
      </c>
      <c r="O6" s="45"/>
      <c r="P6" s="28"/>
      <c r="Q6" s="28"/>
      <c r="R6" s="45" t="s">
        <v>58</v>
      </c>
      <c r="S6" s="45" t="s">
        <v>58</v>
      </c>
      <c r="T6" s="45" t="s">
        <v>58</v>
      </c>
      <c r="U6" s="45" t="s">
        <v>58</v>
      </c>
      <c r="V6" s="45"/>
      <c r="W6" s="45"/>
      <c r="X6" s="45" t="s">
        <v>58</v>
      </c>
      <c r="Y6" s="45">
        <v>2</v>
      </c>
      <c r="Z6" s="11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 t="s">
        <v>159</v>
      </c>
      <c r="AJ6" s="12" t="s">
        <v>173</v>
      </c>
      <c r="AK6" s="12" t="s">
        <v>63</v>
      </c>
      <c r="AL6" s="12" t="s">
        <v>64</v>
      </c>
      <c r="AM6" s="12" t="s">
        <v>65</v>
      </c>
      <c r="AN6" s="12"/>
      <c r="AO6" s="12" t="s">
        <v>54</v>
      </c>
      <c r="AP6" s="12" t="str">
        <f t="shared" ref="AP6:AP11" si="7">CONCATENATE(AJ6, ".", AL6)</f>
        <v>ZSPTOV1.Str.general</v>
      </c>
      <c r="AQ6" s="12" t="s">
        <v>55</v>
      </c>
      <c r="AR6" s="9">
        <v>0</v>
      </c>
      <c r="AS6" s="9">
        <v>1</v>
      </c>
      <c r="AT6" s="9">
        <v>0</v>
      </c>
      <c r="AU6" s="9">
        <v>1</v>
      </c>
      <c r="AV6" s="9">
        <v>1</v>
      </c>
      <c r="AW6" s="9">
        <v>1</v>
      </c>
      <c r="AX6" s="9">
        <v>1</v>
      </c>
      <c r="AY6" s="13"/>
      <c r="AZ6" s="14"/>
      <c r="BA6" s="14"/>
      <c r="BB6" s="14"/>
      <c r="BC6" s="14"/>
      <c r="BD6" s="14"/>
      <c r="BE6" s="14"/>
      <c r="BF6" s="14"/>
      <c r="BG6" s="15" t="str">
        <f t="shared" si="2"/>
        <v>description: "Пуск", note: "Пуск СЗЗ", group: "status", minValue: null, maxValue: null, step: null, units: "null", defaultValue: null, eventRegistration: 2</v>
      </c>
    </row>
    <row r="7" spans="1:16379" s="16" customFormat="1" ht="15.75" x14ac:dyDescent="0.25">
      <c r="A7" s="8"/>
      <c r="B7" s="56" t="s">
        <v>184</v>
      </c>
      <c r="C7" s="45"/>
      <c r="D7" s="31" t="s">
        <v>150</v>
      </c>
      <c r="E7" s="10" t="s">
        <v>156</v>
      </c>
      <c r="F7" s="10" t="s">
        <v>130</v>
      </c>
      <c r="G7" s="10" t="s">
        <v>130</v>
      </c>
      <c r="H7" s="10"/>
      <c r="I7" s="10">
        <f t="shared" ref="I7" si="8">LEN(F7)</f>
        <v>12</v>
      </c>
      <c r="J7" s="10" t="str">
        <f t="shared" ref="J7" si="9">IF(LEN(F7)&lt;=$J$1,F7,"")</f>
        <v>Срабатывание</v>
      </c>
      <c r="K7" s="8" t="s">
        <v>166</v>
      </c>
      <c r="L7" s="27" t="s">
        <v>57</v>
      </c>
      <c r="M7" s="45" t="s">
        <v>49</v>
      </c>
      <c r="N7" s="45" t="s">
        <v>50</v>
      </c>
      <c r="O7" s="45"/>
      <c r="P7" s="28"/>
      <c r="Q7" s="28"/>
      <c r="R7" s="45" t="s">
        <v>58</v>
      </c>
      <c r="S7" s="45" t="s">
        <v>58</v>
      </c>
      <c r="T7" s="45" t="s">
        <v>58</v>
      </c>
      <c r="U7" s="45" t="s">
        <v>58</v>
      </c>
      <c r="V7" s="45"/>
      <c r="W7" s="45"/>
      <c r="X7" s="45" t="s">
        <v>58</v>
      </c>
      <c r="Y7" s="45">
        <v>2</v>
      </c>
      <c r="Z7" s="11"/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35" t="s">
        <v>159</v>
      </c>
      <c r="AJ7" s="12" t="s">
        <v>174</v>
      </c>
      <c r="AK7" s="12" t="s">
        <v>131</v>
      </c>
      <c r="AL7" s="12" t="s">
        <v>64</v>
      </c>
      <c r="AM7" s="12" t="s">
        <v>65</v>
      </c>
      <c r="AN7" s="12"/>
      <c r="AO7" s="12" t="s">
        <v>54</v>
      </c>
      <c r="AP7" s="12" t="str">
        <f t="shared" si="7"/>
        <v>ZSPTOV1.Op.general</v>
      </c>
      <c r="AQ7" s="12" t="s">
        <v>55</v>
      </c>
      <c r="AR7" s="9">
        <v>0</v>
      </c>
      <c r="AS7" s="9">
        <v>1</v>
      </c>
      <c r="AT7" s="9">
        <v>0</v>
      </c>
      <c r="AU7" s="9">
        <v>1</v>
      </c>
      <c r="AV7" s="9">
        <v>1</v>
      </c>
      <c r="AW7" s="9">
        <v>1</v>
      </c>
      <c r="AX7" s="9">
        <v>1</v>
      </c>
      <c r="AY7" s="13"/>
      <c r="AZ7" s="14"/>
      <c r="BA7" s="14"/>
      <c r="BB7" s="14"/>
      <c r="BC7" s="14"/>
      <c r="BD7" s="14"/>
      <c r="BE7" s="14"/>
      <c r="BF7" s="14"/>
      <c r="BG7" s="15" t="str">
        <f t="shared" ref="BG7" si="10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 СЗЗ", group: "status", minValue: null, maxValue: null, step: null, units: "null", defaultValue: null, eventRegistration: 2</v>
      </c>
    </row>
    <row r="8" spans="1:16379" s="16" customFormat="1" ht="15.75" x14ac:dyDescent="0.25">
      <c r="A8" s="8"/>
      <c r="B8" s="56" t="s">
        <v>184</v>
      </c>
      <c r="C8" s="9"/>
      <c r="D8" s="31"/>
      <c r="E8" s="10" t="s">
        <v>89</v>
      </c>
      <c r="F8" s="10" t="s">
        <v>91</v>
      </c>
      <c r="G8" s="10" t="s">
        <v>91</v>
      </c>
      <c r="H8" s="9"/>
      <c r="I8" s="10">
        <f t="shared" si="0"/>
        <v>12</v>
      </c>
      <c r="J8" s="10" t="str">
        <f t="shared" si="1"/>
        <v>Поведение LD</v>
      </c>
      <c r="K8" s="11" t="s">
        <v>87</v>
      </c>
      <c r="L8" s="27" t="s">
        <v>96</v>
      </c>
      <c r="M8" s="45" t="s">
        <v>49</v>
      </c>
      <c r="N8" s="45" t="s">
        <v>50</v>
      </c>
      <c r="O8" s="45"/>
      <c r="P8" s="9"/>
      <c r="Q8" s="9"/>
      <c r="R8" s="45" t="s">
        <v>58</v>
      </c>
      <c r="S8" s="45" t="s">
        <v>58</v>
      </c>
      <c r="T8" s="45" t="s">
        <v>58</v>
      </c>
      <c r="U8" s="45" t="s">
        <v>58</v>
      </c>
      <c r="V8" s="9"/>
      <c r="W8" s="9"/>
      <c r="X8" s="45" t="s">
        <v>58</v>
      </c>
      <c r="Y8" s="45">
        <v>0</v>
      </c>
      <c r="Z8" s="9"/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35" t="s">
        <v>100</v>
      </c>
      <c r="AJ8" s="12" t="s">
        <v>123</v>
      </c>
      <c r="AK8" s="12" t="s">
        <v>61</v>
      </c>
      <c r="AL8" s="12" t="s">
        <v>51</v>
      </c>
      <c r="AM8" s="12" t="s">
        <v>52</v>
      </c>
      <c r="AN8" s="12" t="s">
        <v>53</v>
      </c>
      <c r="AO8" s="12" t="s">
        <v>54</v>
      </c>
      <c r="AP8" s="12" t="str">
        <f t="shared" si="7"/>
        <v>LLN0.Beh.stVal</v>
      </c>
      <c r="AQ8" s="12" t="s">
        <v>55</v>
      </c>
      <c r="AR8" s="9">
        <v>0</v>
      </c>
      <c r="AS8" s="9">
        <v>0</v>
      </c>
      <c r="AT8" s="9">
        <v>0</v>
      </c>
      <c r="AU8" s="9">
        <v>0</v>
      </c>
      <c r="AV8" s="9">
        <f t="shared" ref="AV8:AV11" si="11">BIN2DEC(CONCATENATE(0,0,0,0,AR8,AS8,AT8,AU8))</f>
        <v>0</v>
      </c>
      <c r="AW8" s="8"/>
      <c r="AX8" s="9"/>
      <c r="AY8" s="13"/>
      <c r="AZ8" s="14"/>
      <c r="BA8" s="14"/>
      <c r="BB8" s="14"/>
      <c r="BC8" s="14"/>
      <c r="BD8" s="14"/>
      <c r="BE8" s="14"/>
      <c r="BF8" s="14"/>
      <c r="BG8" s="15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16" customFormat="1" ht="15.75" x14ac:dyDescent="0.25">
      <c r="A9" s="8"/>
      <c r="B9" s="56" t="s">
        <v>184</v>
      </c>
      <c r="C9" s="9"/>
      <c r="D9" s="31"/>
      <c r="E9" s="10" t="s">
        <v>90</v>
      </c>
      <c r="F9" s="10" t="s">
        <v>92</v>
      </c>
      <c r="G9" s="10" t="s">
        <v>92</v>
      </c>
      <c r="H9" s="9"/>
      <c r="I9" s="10">
        <f t="shared" si="0"/>
        <v>14</v>
      </c>
      <c r="J9" s="10" t="str">
        <f t="shared" si="1"/>
        <v>Исправность LD</v>
      </c>
      <c r="K9" s="11" t="s">
        <v>88</v>
      </c>
      <c r="L9" s="27" t="s">
        <v>96</v>
      </c>
      <c r="M9" s="45" t="s">
        <v>49</v>
      </c>
      <c r="N9" s="45" t="s">
        <v>50</v>
      </c>
      <c r="O9" s="45"/>
      <c r="P9" s="20"/>
      <c r="Q9" s="20"/>
      <c r="R9" s="45" t="s">
        <v>58</v>
      </c>
      <c r="S9" s="45" t="s">
        <v>58</v>
      </c>
      <c r="T9" s="45" t="s">
        <v>58</v>
      </c>
      <c r="U9" s="45" t="s">
        <v>58</v>
      </c>
      <c r="V9" s="9"/>
      <c r="W9" s="9"/>
      <c r="X9" s="45" t="s">
        <v>58</v>
      </c>
      <c r="Y9" s="45">
        <v>0</v>
      </c>
      <c r="Z9" s="9"/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35" t="s">
        <v>100</v>
      </c>
      <c r="AJ9" s="12" t="s">
        <v>124</v>
      </c>
      <c r="AK9" s="12" t="s">
        <v>61</v>
      </c>
      <c r="AL9" s="12" t="s">
        <v>51</v>
      </c>
      <c r="AM9" s="12" t="s">
        <v>52</v>
      </c>
      <c r="AN9" s="12" t="s">
        <v>62</v>
      </c>
      <c r="AO9" s="12" t="s">
        <v>54</v>
      </c>
      <c r="AP9" s="12" t="str">
        <f t="shared" si="7"/>
        <v>LLN0.Health.stVal</v>
      </c>
      <c r="AQ9" s="12" t="s">
        <v>55</v>
      </c>
      <c r="AR9" s="9">
        <v>0</v>
      </c>
      <c r="AS9" s="9">
        <v>0</v>
      </c>
      <c r="AT9" s="9">
        <v>0</v>
      </c>
      <c r="AU9" s="9">
        <v>0</v>
      </c>
      <c r="AV9" s="9">
        <f t="shared" si="11"/>
        <v>0</v>
      </c>
      <c r="AW9" s="8"/>
      <c r="AX9" s="9"/>
      <c r="AY9" s="13"/>
      <c r="AZ9" s="14"/>
      <c r="BA9" s="14"/>
      <c r="BB9" s="14"/>
      <c r="BC9" s="14"/>
      <c r="BD9" s="14"/>
      <c r="BE9" s="14"/>
      <c r="BF9" s="14"/>
      <c r="BG9" s="15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16" customFormat="1" ht="17.25" customHeight="1" x14ac:dyDescent="0.25">
      <c r="A10" s="8"/>
      <c r="B10" s="56" t="s">
        <v>184</v>
      </c>
      <c r="C10" s="9"/>
      <c r="D10" s="31" t="s">
        <v>150</v>
      </c>
      <c r="E10" s="10" t="s">
        <v>157</v>
      </c>
      <c r="F10" s="10" t="s">
        <v>94</v>
      </c>
      <c r="G10" s="10" t="s">
        <v>94</v>
      </c>
      <c r="H10" s="9"/>
      <c r="I10" s="10">
        <f t="shared" si="0"/>
        <v>9</v>
      </c>
      <c r="J10" s="10" t="str">
        <f t="shared" si="1"/>
        <v>Поведение</v>
      </c>
      <c r="K10" s="11" t="s">
        <v>167</v>
      </c>
      <c r="L10" s="27" t="s">
        <v>96</v>
      </c>
      <c r="M10" s="45" t="s">
        <v>49</v>
      </c>
      <c r="N10" s="45" t="s">
        <v>50</v>
      </c>
      <c r="O10" s="45"/>
      <c r="P10" s="9"/>
      <c r="Q10" s="9"/>
      <c r="R10" s="45" t="s">
        <v>58</v>
      </c>
      <c r="S10" s="45" t="s">
        <v>58</v>
      </c>
      <c r="T10" s="45" t="s">
        <v>58</v>
      </c>
      <c r="U10" s="45" t="s">
        <v>58</v>
      </c>
      <c r="V10" s="9"/>
      <c r="W10" s="9"/>
      <c r="X10" s="45" t="s">
        <v>58</v>
      </c>
      <c r="Y10" s="45">
        <v>0</v>
      </c>
      <c r="Z10" s="9"/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35" t="s">
        <v>159</v>
      </c>
      <c r="AJ10" s="12" t="s">
        <v>175</v>
      </c>
      <c r="AK10" s="12" t="s">
        <v>61</v>
      </c>
      <c r="AL10" s="12" t="s">
        <v>51</v>
      </c>
      <c r="AM10" s="12" t="s">
        <v>52</v>
      </c>
      <c r="AN10" s="12" t="s">
        <v>53</v>
      </c>
      <c r="AO10" s="12" t="s">
        <v>54</v>
      </c>
      <c r="AP10" s="12" t="str">
        <f t="shared" si="7"/>
        <v>ZSPTOV1.Beh.stVal</v>
      </c>
      <c r="AQ10" s="12" t="s">
        <v>55</v>
      </c>
      <c r="AR10" s="9">
        <v>0</v>
      </c>
      <c r="AS10" s="9">
        <v>0</v>
      </c>
      <c r="AT10" s="9">
        <v>0</v>
      </c>
      <c r="AU10" s="9">
        <v>0</v>
      </c>
      <c r="AV10" s="9">
        <f t="shared" si="11"/>
        <v>0</v>
      </c>
      <c r="AW10" s="8"/>
      <c r="AX10" s="9"/>
      <c r="AY10" s="13"/>
      <c r="AZ10" s="14"/>
      <c r="BA10" s="14"/>
      <c r="BB10" s="14"/>
      <c r="BC10" s="14"/>
      <c r="BD10" s="14"/>
      <c r="BE10" s="14"/>
      <c r="BF10" s="14"/>
      <c r="BG10" s="15" t="str">
        <f t="shared" si="2"/>
        <v>description: "Поведение", note: "Индикация поведения логического узла СЗЗ", group: "status", minValue: null, maxValue: null, step: null, units: "null", defaultValue: null, eventRegistration: 0</v>
      </c>
    </row>
    <row r="11" spans="1:16379" s="16" customFormat="1" ht="17.25" customHeight="1" x14ac:dyDescent="0.25">
      <c r="A11" s="8"/>
      <c r="B11" s="56" t="s">
        <v>184</v>
      </c>
      <c r="C11" s="9"/>
      <c r="D11" s="31" t="s">
        <v>150</v>
      </c>
      <c r="E11" s="10" t="s">
        <v>158</v>
      </c>
      <c r="F11" s="10" t="s">
        <v>95</v>
      </c>
      <c r="G11" s="10" t="s">
        <v>95</v>
      </c>
      <c r="H11" s="9"/>
      <c r="I11" s="10">
        <f t="shared" si="0"/>
        <v>11</v>
      </c>
      <c r="J11" s="10" t="str">
        <f t="shared" si="1"/>
        <v>Исправность</v>
      </c>
      <c r="K11" s="11" t="s">
        <v>168</v>
      </c>
      <c r="L11" s="27" t="s">
        <v>96</v>
      </c>
      <c r="M11" s="45" t="s">
        <v>49</v>
      </c>
      <c r="N11" s="45" t="s">
        <v>50</v>
      </c>
      <c r="O11" s="45"/>
      <c r="P11" s="20"/>
      <c r="Q11" s="20"/>
      <c r="R11" s="45" t="s">
        <v>58</v>
      </c>
      <c r="S11" s="45" t="s">
        <v>58</v>
      </c>
      <c r="T11" s="45" t="s">
        <v>58</v>
      </c>
      <c r="U11" s="45" t="s">
        <v>58</v>
      </c>
      <c r="V11" s="9"/>
      <c r="W11" s="9"/>
      <c r="X11" s="45" t="s">
        <v>58</v>
      </c>
      <c r="Y11" s="45">
        <v>0</v>
      </c>
      <c r="Z11" s="9"/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35" t="s">
        <v>159</v>
      </c>
      <c r="AJ11" s="12" t="s">
        <v>176</v>
      </c>
      <c r="AK11" s="12" t="s">
        <v>61</v>
      </c>
      <c r="AL11" s="12" t="s">
        <v>51</v>
      </c>
      <c r="AM11" s="12" t="s">
        <v>52</v>
      </c>
      <c r="AN11" s="12" t="s">
        <v>62</v>
      </c>
      <c r="AO11" s="12" t="s">
        <v>54</v>
      </c>
      <c r="AP11" s="12" t="str">
        <f t="shared" si="7"/>
        <v>ZSPTOV1.Health.stVal</v>
      </c>
      <c r="AQ11" s="12" t="s">
        <v>55</v>
      </c>
      <c r="AR11" s="9">
        <v>0</v>
      </c>
      <c r="AS11" s="9">
        <v>0</v>
      </c>
      <c r="AT11" s="9">
        <v>0</v>
      </c>
      <c r="AU11" s="9">
        <v>0</v>
      </c>
      <c r="AV11" s="9">
        <f t="shared" si="11"/>
        <v>0</v>
      </c>
      <c r="AW11" s="8"/>
      <c r="AX11" s="9"/>
      <c r="AY11" s="13"/>
      <c r="AZ11" s="14"/>
      <c r="BA11" s="14"/>
      <c r="BB11" s="14"/>
      <c r="BC11" s="14"/>
      <c r="BD11" s="14"/>
      <c r="BE11" s="14"/>
      <c r="BF11" s="14"/>
      <c r="BG11" s="15" t="str">
        <f t="shared" si="2"/>
        <v>description: "Исправность", note: "Индикация исправности логического узла СЗЗ", group: "status", minValue: null, maxValue: null, step: null, units: "null", defaultValue: null, eventRegistration: 0</v>
      </c>
    </row>
    <row r="12" spans="1:16379" s="37" customFormat="1" ht="15.75" x14ac:dyDescent="0.25">
      <c r="A12" s="36"/>
      <c r="B12" s="36"/>
      <c r="C12" s="36"/>
      <c r="D12" s="36"/>
      <c r="R12" s="1"/>
      <c r="S12" s="38"/>
      <c r="T12" s="38"/>
      <c r="U12" s="38"/>
      <c r="V12" s="38"/>
      <c r="W12" s="38"/>
      <c r="X12" s="38"/>
      <c r="Y12" s="38"/>
      <c r="Z12" s="36"/>
      <c r="AA12" s="38"/>
      <c r="AB12" s="38"/>
      <c r="AC12" s="38"/>
      <c r="AD12" s="38"/>
      <c r="AE12" s="38"/>
      <c r="AF12" s="38"/>
      <c r="AG12" s="38"/>
      <c r="AH12" s="36"/>
      <c r="AI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26"/>
      <c r="BC12" s="38"/>
      <c r="BD12" s="26"/>
      <c r="BE12" s="38"/>
      <c r="BF12" s="38"/>
      <c r="BG12" s="36"/>
      <c r="BH12" s="36"/>
    </row>
    <row r="13" spans="1:16379" s="37" customFormat="1" ht="15.75" x14ac:dyDescent="0.25">
      <c r="A13" s="36"/>
      <c r="B13" s="36"/>
      <c r="C13" s="36"/>
      <c r="D13" s="36"/>
      <c r="R13" s="1"/>
      <c r="S13" s="38"/>
      <c r="T13" s="38"/>
      <c r="U13" s="38"/>
      <c r="V13" s="38"/>
      <c r="W13" s="38"/>
      <c r="X13" s="38"/>
      <c r="Y13" s="38"/>
      <c r="Z13" s="36"/>
      <c r="AA13" s="38"/>
      <c r="AB13" s="38"/>
      <c r="AC13" s="38"/>
      <c r="AD13" s="38"/>
      <c r="AE13" s="38"/>
      <c r="AF13" s="38"/>
      <c r="AG13" s="38"/>
      <c r="AH13" s="36"/>
      <c r="AI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26"/>
      <c r="BC13" s="38"/>
      <c r="BD13" s="26"/>
      <c r="BE13" s="38"/>
      <c r="BF13" s="38"/>
      <c r="BG13" s="36"/>
      <c r="BH13" s="36"/>
    </row>
    <row r="14" spans="1:16379" s="37" customFormat="1" ht="15.75" x14ac:dyDescent="0.25">
      <c r="A14" s="36"/>
      <c r="B14" s="36"/>
      <c r="C14" s="36"/>
      <c r="D14" s="36"/>
      <c r="R14" s="1"/>
      <c r="S14" s="38"/>
      <c r="T14" s="38"/>
      <c r="U14" s="38"/>
      <c r="V14" s="38"/>
      <c r="W14" s="38"/>
      <c r="X14" s="38"/>
      <c r="Y14" s="38"/>
      <c r="Z14" s="36"/>
      <c r="AA14" s="38"/>
      <c r="AB14" s="38"/>
      <c r="AC14" s="38"/>
      <c r="AD14" s="38"/>
      <c r="AE14" s="38"/>
      <c r="AF14" s="38"/>
      <c r="AG14" s="38"/>
      <c r="AH14" s="36"/>
      <c r="AI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26"/>
      <c r="BC14" s="38"/>
      <c r="BD14" s="26"/>
      <c r="BE14" s="38"/>
      <c r="BF14" s="38"/>
      <c r="BG14" s="36"/>
      <c r="BH14" s="36"/>
    </row>
    <row r="15" spans="1:16379" s="37" customFormat="1" ht="15.75" x14ac:dyDescent="0.25">
      <c r="A15" s="36"/>
      <c r="B15" s="36"/>
      <c r="C15" s="36"/>
      <c r="D15" s="36"/>
      <c r="R15" s="1"/>
      <c r="S15" s="38"/>
      <c r="T15" s="38"/>
      <c r="U15" s="38"/>
      <c r="V15" s="38"/>
      <c r="W15" s="38"/>
      <c r="X15" s="38"/>
      <c r="Y15" s="38"/>
      <c r="Z15" s="36"/>
      <c r="AA15" s="38"/>
      <c r="AB15" s="38"/>
      <c r="AC15" s="38"/>
      <c r="AD15" s="38"/>
      <c r="AE15" s="38"/>
      <c r="AF15" s="38"/>
      <c r="AG15" s="38"/>
      <c r="AH15" s="36"/>
      <c r="AI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26"/>
      <c r="BC15" s="38"/>
      <c r="BD15" s="26"/>
      <c r="BE15" s="38"/>
      <c r="BF15" s="38"/>
      <c r="BG15" s="36"/>
      <c r="BH15" s="36"/>
    </row>
    <row r="16" spans="1:16379" s="37" customFormat="1" ht="15.75" x14ac:dyDescent="0.25">
      <c r="A16" s="36"/>
      <c r="B16" s="36"/>
      <c r="C16" s="36"/>
      <c r="D16" s="36"/>
      <c r="R16" s="1"/>
      <c r="S16" s="38"/>
      <c r="T16" s="38"/>
      <c r="U16" s="38"/>
      <c r="V16" s="38"/>
      <c r="W16" s="38"/>
      <c r="X16" s="38"/>
      <c r="Y16" s="38"/>
      <c r="Z16" s="36"/>
      <c r="AA16" s="38"/>
      <c r="AB16" s="38"/>
      <c r="AC16" s="38"/>
      <c r="AD16" s="38"/>
      <c r="AE16" s="38"/>
      <c r="AF16" s="38"/>
      <c r="AG16" s="38"/>
      <c r="AH16" s="36"/>
      <c r="AI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26"/>
      <c r="BC16" s="38"/>
      <c r="BD16" s="26"/>
      <c r="BE16" s="38"/>
      <c r="BF16" s="38"/>
      <c r="BG16" s="36"/>
      <c r="BH16" s="36"/>
    </row>
    <row r="17" spans="1:60" s="37" customFormat="1" ht="15.75" x14ac:dyDescent="0.25">
      <c r="A17" s="36"/>
      <c r="B17" s="36"/>
      <c r="C17" s="36"/>
      <c r="D17" s="36"/>
      <c r="R17" s="1"/>
      <c r="S17" s="38"/>
      <c r="T17" s="38"/>
      <c r="U17" s="38"/>
      <c r="V17" s="38"/>
      <c r="W17" s="38"/>
      <c r="X17" s="38"/>
      <c r="Y17" s="38"/>
      <c r="Z17" s="36"/>
      <c r="AA17" s="38"/>
      <c r="AB17" s="38"/>
      <c r="AC17" s="38"/>
      <c r="AD17" s="38"/>
      <c r="AE17" s="38"/>
      <c r="AF17" s="38"/>
      <c r="AG17" s="38"/>
      <c r="AH17" s="36"/>
      <c r="AI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26"/>
      <c r="BC17" s="38"/>
      <c r="BD17" s="26"/>
      <c r="BE17" s="38"/>
      <c r="BF17" s="38"/>
      <c r="BG17" s="36"/>
      <c r="BH17" s="36"/>
    </row>
    <row r="18" spans="1:60" s="37" customFormat="1" ht="15.75" x14ac:dyDescent="0.25">
      <c r="A18" s="36"/>
      <c r="B18" s="36"/>
      <c r="C18" s="36"/>
      <c r="D18" s="36"/>
      <c r="R18" s="1"/>
      <c r="S18" s="38"/>
      <c r="T18" s="38"/>
      <c r="U18" s="38"/>
      <c r="V18" s="38"/>
      <c r="W18" s="38"/>
      <c r="X18" s="38"/>
      <c r="Y18" s="38"/>
      <c r="Z18" s="36"/>
      <c r="AA18" s="38"/>
      <c r="AB18" s="38"/>
      <c r="AC18" s="38"/>
      <c r="AD18" s="38"/>
      <c r="AE18" s="38"/>
      <c r="AF18" s="38"/>
      <c r="AG18" s="38"/>
      <c r="AH18" s="36"/>
      <c r="AI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26"/>
      <c r="BC18" s="38"/>
      <c r="BD18" s="26"/>
      <c r="BE18" s="38"/>
      <c r="BF18" s="38"/>
      <c r="BG18" s="36"/>
      <c r="BH18" s="36"/>
    </row>
    <row r="19" spans="1:60" s="37" customFormat="1" ht="15.75" x14ac:dyDescent="0.25">
      <c r="A19" s="36"/>
      <c r="B19" s="36"/>
      <c r="C19" s="36"/>
      <c r="D19" s="36"/>
      <c r="R19" s="1"/>
      <c r="S19" s="38"/>
      <c r="T19" s="38"/>
      <c r="U19" s="38"/>
      <c r="V19" s="38"/>
      <c r="W19" s="38"/>
      <c r="X19" s="38"/>
      <c r="Y19" s="38"/>
      <c r="Z19" s="36"/>
      <c r="AA19" s="38"/>
      <c r="AB19" s="38"/>
      <c r="AC19" s="38"/>
      <c r="AD19" s="38"/>
      <c r="AE19" s="38"/>
      <c r="AF19" s="38"/>
      <c r="AG19" s="38"/>
      <c r="AH19" s="36"/>
      <c r="AI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26"/>
      <c r="BC19" s="38"/>
      <c r="BD19" s="26"/>
      <c r="BE19" s="38"/>
      <c r="BF19" s="38"/>
      <c r="BG19" s="36"/>
      <c r="BH19" s="36"/>
    </row>
    <row r="20" spans="1:60" s="37" customFormat="1" ht="15.75" x14ac:dyDescent="0.25">
      <c r="A20" s="36"/>
      <c r="B20" s="36"/>
      <c r="C20" s="36"/>
      <c r="D20" s="36"/>
      <c r="R20" s="1"/>
      <c r="S20" s="38"/>
      <c r="T20" s="38"/>
      <c r="U20" s="38"/>
      <c r="V20" s="38"/>
      <c r="W20" s="38"/>
      <c r="X20" s="38"/>
      <c r="Y20" s="38"/>
      <c r="Z20" s="36"/>
      <c r="AA20" s="38"/>
      <c r="AB20" s="38"/>
      <c r="AC20" s="38"/>
      <c r="AD20" s="38"/>
      <c r="AE20" s="38"/>
      <c r="AF20" s="38"/>
      <c r="AG20" s="38"/>
      <c r="AH20" s="36"/>
      <c r="AI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26"/>
      <c r="BC20" s="38"/>
      <c r="BD20" s="26"/>
      <c r="BE20" s="38"/>
      <c r="BF20" s="38"/>
      <c r="BG20" s="36"/>
      <c r="BH20" s="36"/>
    </row>
    <row r="21" spans="1:60" s="37" customFormat="1" ht="15.75" x14ac:dyDescent="0.25">
      <c r="A21" s="36"/>
      <c r="B21" s="36"/>
      <c r="C21" s="36"/>
      <c r="D21" s="36"/>
      <c r="R21" s="1"/>
      <c r="S21" s="38"/>
      <c r="T21" s="38"/>
      <c r="U21" s="38"/>
      <c r="V21" s="38"/>
      <c r="W21" s="38"/>
      <c r="X21" s="38"/>
      <c r="Y21" s="38"/>
      <c r="Z21" s="36"/>
      <c r="AA21" s="38"/>
      <c r="AB21" s="38"/>
      <c r="AC21" s="38"/>
      <c r="AD21" s="38"/>
      <c r="AE21" s="38"/>
      <c r="AF21" s="38"/>
      <c r="AG21" s="38"/>
      <c r="AH21" s="36"/>
      <c r="AI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26"/>
      <c r="BC21" s="38"/>
      <c r="BD21" s="26"/>
      <c r="BE21" s="38"/>
      <c r="BF21" s="38"/>
      <c r="BG21" s="36"/>
      <c r="BH21" s="36"/>
    </row>
    <row r="22" spans="1:60" s="37" customFormat="1" ht="15.75" x14ac:dyDescent="0.25">
      <c r="A22" s="36"/>
      <c r="B22" s="36"/>
      <c r="C22" s="36"/>
      <c r="D22" s="36"/>
      <c r="R22" s="1"/>
      <c r="S22" s="38"/>
      <c r="T22" s="38"/>
      <c r="U22" s="38"/>
      <c r="V22" s="38"/>
      <c r="W22" s="38"/>
      <c r="X22" s="38"/>
      <c r="Y22" s="38"/>
      <c r="Z22" s="36"/>
      <c r="AA22" s="38"/>
      <c r="AB22" s="38"/>
      <c r="AC22" s="38"/>
      <c r="AD22" s="38"/>
      <c r="AE22" s="38"/>
      <c r="AF22" s="38"/>
      <c r="AG22" s="38"/>
      <c r="AH22" s="36"/>
      <c r="AI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26"/>
      <c r="BC22" s="38"/>
      <c r="BD22" s="26"/>
      <c r="BE22" s="38"/>
      <c r="BF22" s="38"/>
      <c r="BG22" s="36"/>
      <c r="BH22" s="36"/>
    </row>
    <row r="23" spans="1:60" s="37" customFormat="1" ht="15.75" x14ac:dyDescent="0.25">
      <c r="A23" s="36"/>
      <c r="B23" s="36"/>
      <c r="C23" s="36"/>
      <c r="D23" s="36"/>
      <c r="R23" s="1"/>
      <c r="S23" s="38"/>
      <c r="T23" s="38"/>
      <c r="U23" s="38"/>
      <c r="V23" s="38"/>
      <c r="W23" s="38"/>
      <c r="X23" s="38"/>
      <c r="Y23" s="38"/>
      <c r="Z23" s="36"/>
      <c r="AA23" s="38"/>
      <c r="AB23" s="38"/>
      <c r="AC23" s="38"/>
      <c r="AD23" s="38"/>
      <c r="AE23" s="38"/>
      <c r="AF23" s="38"/>
      <c r="AG23" s="38"/>
      <c r="AH23" s="36"/>
      <c r="AI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26"/>
      <c r="BC23" s="38"/>
      <c r="BD23" s="26"/>
      <c r="BE23" s="38"/>
      <c r="BF23" s="38"/>
      <c r="BG23" s="36"/>
      <c r="BH23" s="36"/>
    </row>
    <row r="24" spans="1:60" s="37" customFormat="1" ht="15.75" x14ac:dyDescent="0.25">
      <c r="A24" s="36"/>
      <c r="B24" s="36"/>
      <c r="C24" s="36"/>
      <c r="D24" s="36"/>
      <c r="R24" s="1"/>
      <c r="S24" s="38"/>
      <c r="T24" s="38"/>
      <c r="U24" s="38"/>
      <c r="V24" s="38"/>
      <c r="W24" s="38"/>
      <c r="X24" s="38"/>
      <c r="Y24" s="38"/>
      <c r="Z24" s="36"/>
      <c r="AA24" s="38"/>
      <c r="AB24" s="38"/>
      <c r="AC24" s="38"/>
      <c r="AD24" s="38"/>
      <c r="AE24" s="38"/>
      <c r="AF24" s="38"/>
      <c r="AG24" s="38"/>
      <c r="AH24" s="36"/>
      <c r="AI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26"/>
      <c r="BC24" s="38"/>
      <c r="BD24" s="26"/>
      <c r="BE24" s="38"/>
      <c r="BF24" s="38"/>
      <c r="BG24" s="36"/>
      <c r="BH24" s="36"/>
    </row>
    <row r="25" spans="1:60" s="37" customFormat="1" ht="15.75" x14ac:dyDescent="0.25">
      <c r="A25" s="36"/>
      <c r="B25" s="36"/>
      <c r="C25" s="36"/>
      <c r="D25" s="36"/>
      <c r="R25" s="1"/>
      <c r="S25" s="38"/>
      <c r="T25" s="38"/>
      <c r="U25" s="38"/>
      <c r="V25" s="38"/>
      <c r="W25" s="38"/>
      <c r="X25" s="38"/>
      <c r="Y25" s="38"/>
      <c r="Z25" s="36"/>
      <c r="AA25" s="38"/>
      <c r="AB25" s="38"/>
      <c r="AC25" s="38"/>
      <c r="AD25" s="38"/>
      <c r="AE25" s="38"/>
      <c r="AF25" s="38"/>
      <c r="AG25" s="38"/>
      <c r="AH25" s="36"/>
      <c r="AI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26"/>
      <c r="BC25" s="38"/>
      <c r="BD25" s="26"/>
      <c r="BE25" s="38"/>
      <c r="BF25" s="38"/>
      <c r="BG25" s="36"/>
      <c r="BH25" s="36"/>
    </row>
    <row r="26" spans="1:60" s="37" customFormat="1" ht="15.75" x14ac:dyDescent="0.25">
      <c r="A26" s="36"/>
      <c r="B26" s="36"/>
      <c r="C26" s="36"/>
      <c r="D26" s="36"/>
      <c r="R26" s="1"/>
      <c r="S26" s="38"/>
      <c r="T26" s="38"/>
      <c r="U26" s="38"/>
      <c r="V26" s="38"/>
      <c r="W26" s="38"/>
      <c r="X26" s="38"/>
      <c r="Y26" s="38"/>
      <c r="Z26" s="36"/>
      <c r="AA26" s="38"/>
      <c r="AB26" s="38"/>
      <c r="AC26" s="38"/>
      <c r="AD26" s="38"/>
      <c r="AE26" s="38"/>
      <c r="AF26" s="38"/>
      <c r="AG26" s="38"/>
      <c r="AH26" s="36"/>
      <c r="AI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26"/>
      <c r="BC26" s="38"/>
      <c r="BD26" s="26"/>
      <c r="BE26" s="38"/>
      <c r="BF26" s="38"/>
      <c r="BG26" s="36"/>
      <c r="BH26" s="36"/>
    </row>
    <row r="27" spans="1:60" s="37" customFormat="1" ht="15.75" x14ac:dyDescent="0.25">
      <c r="A27" s="36"/>
      <c r="B27" s="36"/>
      <c r="C27" s="36"/>
      <c r="D27" s="36"/>
      <c r="R27" s="1"/>
      <c r="S27" s="38"/>
      <c r="T27" s="38"/>
      <c r="U27" s="38"/>
      <c r="V27" s="38"/>
      <c r="W27" s="38"/>
      <c r="X27" s="38"/>
      <c r="Y27" s="38"/>
      <c r="Z27" s="36"/>
      <c r="AA27" s="38"/>
      <c r="AB27" s="38"/>
      <c r="AC27" s="38"/>
      <c r="AD27" s="38"/>
      <c r="AE27" s="38"/>
      <c r="AF27" s="38"/>
      <c r="AG27" s="38"/>
      <c r="AH27" s="36"/>
      <c r="AI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26"/>
      <c r="BC27" s="38"/>
      <c r="BD27" s="26"/>
      <c r="BE27" s="38"/>
      <c r="BF27" s="38"/>
      <c r="BG27" s="36"/>
      <c r="BH27" s="36"/>
    </row>
    <row r="28" spans="1:60" s="37" customFormat="1" ht="15.75" x14ac:dyDescent="0.25">
      <c r="A28" s="36"/>
      <c r="B28" s="36"/>
      <c r="C28" s="36"/>
      <c r="D28" s="36"/>
      <c r="R28" s="1"/>
      <c r="S28" s="38"/>
      <c r="T28" s="38"/>
      <c r="U28" s="38"/>
      <c r="V28" s="38"/>
      <c r="W28" s="38"/>
      <c r="X28" s="38"/>
      <c r="Y28" s="38"/>
      <c r="Z28" s="36"/>
      <c r="AA28" s="38"/>
      <c r="AB28" s="38"/>
      <c r="AC28" s="38"/>
      <c r="AD28" s="38"/>
      <c r="AE28" s="38"/>
      <c r="AF28" s="38"/>
      <c r="AG28" s="38"/>
      <c r="AH28" s="36"/>
      <c r="AI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26"/>
      <c r="BC28" s="38"/>
      <c r="BD28" s="26"/>
      <c r="BE28" s="38"/>
      <c r="BF28" s="38"/>
      <c r="BG28" s="36"/>
      <c r="BH28" s="36"/>
    </row>
    <row r="29" spans="1:60" s="37" customFormat="1" ht="15.75" x14ac:dyDescent="0.25">
      <c r="A29" s="36"/>
      <c r="B29" s="36"/>
      <c r="C29" s="36"/>
      <c r="D29" s="36"/>
      <c r="R29" s="1"/>
      <c r="S29" s="38"/>
      <c r="T29" s="38"/>
      <c r="U29" s="38"/>
      <c r="V29" s="38"/>
      <c r="W29" s="38"/>
      <c r="X29" s="38"/>
      <c r="Y29" s="38"/>
      <c r="Z29" s="36"/>
      <c r="AA29" s="38"/>
      <c r="AB29" s="38"/>
      <c r="AC29" s="38"/>
      <c r="AD29" s="38"/>
      <c r="AE29" s="38"/>
      <c r="AF29" s="38"/>
      <c r="AG29" s="38"/>
      <c r="AH29" s="36"/>
      <c r="AI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26"/>
      <c r="BC29" s="38"/>
      <c r="BD29" s="26"/>
      <c r="BE29" s="38"/>
      <c r="BF29" s="38"/>
      <c r="BG29" s="36"/>
      <c r="BH29" s="36"/>
    </row>
    <row r="30" spans="1:60" s="37" customFormat="1" ht="15.75" x14ac:dyDescent="0.25">
      <c r="A30" s="36"/>
      <c r="B30" s="36"/>
      <c r="C30" s="36"/>
      <c r="D30" s="36"/>
      <c r="R30" s="1"/>
      <c r="S30" s="38"/>
      <c r="T30" s="38"/>
      <c r="U30" s="38"/>
      <c r="V30" s="38"/>
      <c r="W30" s="38"/>
      <c r="X30" s="38"/>
      <c r="Y30" s="38"/>
      <c r="Z30" s="36"/>
      <c r="AA30" s="38"/>
      <c r="AB30" s="38"/>
      <c r="AC30" s="38"/>
      <c r="AD30" s="38"/>
      <c r="AE30" s="38"/>
      <c r="AF30" s="38"/>
      <c r="AG30" s="38"/>
      <c r="AH30" s="36"/>
      <c r="AI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26"/>
      <c r="BC30" s="38"/>
      <c r="BD30" s="26"/>
      <c r="BE30" s="38"/>
      <c r="BF30" s="38"/>
      <c r="BG30" s="36"/>
      <c r="BH30" s="36"/>
    </row>
    <row r="31" spans="1:60" s="37" customFormat="1" ht="15.75" x14ac:dyDescent="0.25">
      <c r="A31" s="36"/>
      <c r="B31" s="36"/>
      <c r="C31" s="36"/>
      <c r="D31" s="36"/>
      <c r="R31" s="1"/>
      <c r="S31" s="38"/>
      <c r="T31" s="38"/>
      <c r="U31" s="38"/>
      <c r="V31" s="38"/>
      <c r="W31" s="38"/>
      <c r="X31" s="38"/>
      <c r="Y31" s="38"/>
      <c r="Z31" s="36"/>
      <c r="AA31" s="38"/>
      <c r="AB31" s="38"/>
      <c r="AC31" s="38"/>
      <c r="AD31" s="38"/>
      <c r="AE31" s="38"/>
      <c r="AF31" s="38"/>
      <c r="AG31" s="38"/>
      <c r="AH31" s="36"/>
      <c r="AI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26"/>
      <c r="BC31" s="38"/>
      <c r="BD31" s="26"/>
      <c r="BE31" s="38"/>
      <c r="BF31" s="38"/>
      <c r="BG31" s="36"/>
      <c r="BH31" s="36"/>
    </row>
    <row r="32" spans="1:60" s="37" customFormat="1" ht="15.75" x14ac:dyDescent="0.25">
      <c r="A32" s="36"/>
      <c r="B32" s="36"/>
      <c r="C32" s="36"/>
      <c r="D32" s="36"/>
      <c r="R32" s="1"/>
      <c r="S32" s="38"/>
      <c r="T32" s="38"/>
      <c r="U32" s="38"/>
      <c r="V32" s="38"/>
      <c r="W32" s="38"/>
      <c r="X32" s="38"/>
      <c r="Y32" s="38"/>
      <c r="Z32" s="36"/>
      <c r="AA32" s="38"/>
      <c r="AB32" s="38"/>
      <c r="AC32" s="38"/>
      <c r="AD32" s="38"/>
      <c r="AE32" s="38"/>
      <c r="AF32" s="38"/>
      <c r="AG32" s="38"/>
      <c r="AH32" s="36"/>
      <c r="AI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26"/>
      <c r="BC32" s="38"/>
      <c r="BD32" s="26"/>
      <c r="BE32" s="38"/>
      <c r="BF32" s="38"/>
      <c r="BG32" s="36"/>
      <c r="BH32" s="36"/>
    </row>
    <row r="33" spans="1:60" s="37" customFormat="1" ht="15.75" x14ac:dyDescent="0.25">
      <c r="A33" s="36"/>
      <c r="B33" s="36"/>
      <c r="C33" s="36"/>
      <c r="D33" s="36"/>
      <c r="R33" s="1"/>
      <c r="S33" s="38"/>
      <c r="T33" s="38"/>
      <c r="U33" s="38"/>
      <c r="V33" s="38"/>
      <c r="W33" s="38"/>
      <c r="X33" s="38"/>
      <c r="Y33" s="38"/>
      <c r="Z33" s="36"/>
      <c r="AA33" s="38"/>
      <c r="AB33" s="38"/>
      <c r="AC33" s="38"/>
      <c r="AD33" s="38"/>
      <c r="AE33" s="38"/>
      <c r="AF33" s="38"/>
      <c r="AG33" s="38"/>
      <c r="AH33" s="36"/>
      <c r="AI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26"/>
      <c r="BC33" s="38"/>
      <c r="BD33" s="26"/>
      <c r="BE33" s="38"/>
      <c r="BF33" s="38"/>
      <c r="BG33" s="36"/>
      <c r="BH33" s="36"/>
    </row>
    <row r="34" spans="1:60" s="37" customFormat="1" ht="15.75" x14ac:dyDescent="0.25">
      <c r="A34" s="36"/>
      <c r="B34" s="36"/>
      <c r="C34" s="36"/>
      <c r="D34" s="36"/>
      <c r="R34" s="1"/>
      <c r="S34" s="38"/>
      <c r="T34" s="38"/>
      <c r="U34" s="38"/>
      <c r="V34" s="38"/>
      <c r="W34" s="38"/>
      <c r="X34" s="38"/>
      <c r="Y34" s="38"/>
      <c r="Z34" s="36"/>
      <c r="AA34" s="38"/>
      <c r="AB34" s="38"/>
      <c r="AC34" s="38"/>
      <c r="AD34" s="38"/>
      <c r="AE34" s="38"/>
      <c r="AF34" s="38"/>
      <c r="AG34" s="38"/>
      <c r="AH34" s="36"/>
      <c r="AI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26"/>
      <c r="BC34" s="38"/>
      <c r="BD34" s="26"/>
      <c r="BE34" s="38"/>
      <c r="BF34" s="38"/>
      <c r="BG34" s="36"/>
      <c r="BH34" s="36"/>
    </row>
    <row r="35" spans="1:60" s="37" customFormat="1" ht="15.75" x14ac:dyDescent="0.25">
      <c r="A35" s="36"/>
      <c r="B35" s="36"/>
      <c r="C35" s="36"/>
      <c r="D35" s="36"/>
      <c r="R35" s="1"/>
      <c r="S35" s="38"/>
      <c r="T35" s="38"/>
      <c r="U35" s="38"/>
      <c r="V35" s="38"/>
      <c r="W35" s="38"/>
      <c r="X35" s="38"/>
      <c r="Y35" s="38"/>
      <c r="Z35" s="36"/>
      <c r="AA35" s="38"/>
      <c r="AB35" s="38"/>
      <c r="AC35" s="38"/>
      <c r="AD35" s="38"/>
      <c r="AE35" s="38"/>
      <c r="AF35" s="38"/>
      <c r="AG35" s="38"/>
      <c r="AH35" s="36"/>
      <c r="AI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26"/>
      <c r="BC35" s="38"/>
      <c r="BD35" s="26"/>
      <c r="BE35" s="38"/>
      <c r="BF35" s="38"/>
      <c r="BG35" s="36"/>
      <c r="BH35" s="36"/>
    </row>
    <row r="36" spans="1:60" s="37" customFormat="1" ht="15.75" x14ac:dyDescent="0.25">
      <c r="A36" s="36"/>
      <c r="B36" s="36"/>
      <c r="C36" s="36"/>
      <c r="D36" s="36"/>
      <c r="R36" s="1"/>
      <c r="S36" s="38"/>
      <c r="T36" s="38"/>
      <c r="U36" s="38"/>
      <c r="V36" s="38"/>
      <c r="W36" s="38"/>
      <c r="X36" s="38"/>
      <c r="Y36" s="38"/>
      <c r="Z36" s="36"/>
      <c r="AA36" s="38"/>
      <c r="AB36" s="38"/>
      <c r="AC36" s="38"/>
      <c r="AD36" s="38"/>
      <c r="AE36" s="38"/>
      <c r="AF36" s="38"/>
      <c r="AG36" s="38"/>
      <c r="AH36" s="36"/>
      <c r="AI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26"/>
      <c r="BC36" s="38"/>
      <c r="BD36" s="26"/>
      <c r="BE36" s="38"/>
      <c r="BF36" s="38"/>
      <c r="BG36" s="36"/>
      <c r="BH36" s="36"/>
    </row>
    <row r="37" spans="1:60" s="37" customFormat="1" ht="15.75" x14ac:dyDescent="0.25">
      <c r="A37" s="36"/>
      <c r="B37" s="36"/>
      <c r="C37" s="36"/>
      <c r="D37" s="36"/>
      <c r="R37" s="1"/>
      <c r="S37" s="38"/>
      <c r="T37" s="38"/>
      <c r="U37" s="38"/>
      <c r="V37" s="38"/>
      <c r="W37" s="38"/>
      <c r="X37" s="38"/>
      <c r="Y37" s="38"/>
      <c r="Z37" s="36"/>
      <c r="AA37" s="38"/>
      <c r="AB37" s="38"/>
      <c r="AC37" s="38"/>
      <c r="AD37" s="38"/>
      <c r="AE37" s="38"/>
      <c r="AF37" s="38"/>
      <c r="AG37" s="38"/>
      <c r="AH37" s="36"/>
      <c r="AI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26"/>
      <c r="BC37" s="38"/>
      <c r="BD37" s="26"/>
      <c r="BE37" s="38"/>
      <c r="BF37" s="38"/>
      <c r="BG37" s="36"/>
      <c r="BH37" s="36"/>
    </row>
    <row r="38" spans="1:60" s="37" customFormat="1" ht="15.75" x14ac:dyDescent="0.25">
      <c r="A38" s="36"/>
      <c r="B38" s="36"/>
      <c r="C38" s="36"/>
      <c r="D38" s="36"/>
      <c r="R38" s="1"/>
      <c r="S38" s="38"/>
      <c r="T38" s="38"/>
      <c r="U38" s="38"/>
      <c r="V38" s="38"/>
      <c r="W38" s="38"/>
      <c r="X38" s="38"/>
      <c r="Y38" s="38"/>
      <c r="Z38" s="36"/>
      <c r="AA38" s="38"/>
      <c r="AB38" s="38"/>
      <c r="AC38" s="38"/>
      <c r="AD38" s="38"/>
      <c r="AE38" s="38"/>
      <c r="AF38" s="38"/>
      <c r="AG38" s="38"/>
      <c r="AH38" s="36"/>
      <c r="AI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26"/>
      <c r="BC38" s="38"/>
      <c r="BD38" s="26"/>
      <c r="BE38" s="38"/>
      <c r="BF38" s="38"/>
      <c r="BG38" s="36"/>
      <c r="BH38" s="36"/>
    </row>
    <row r="39" spans="1:60" s="37" customFormat="1" ht="15.75" x14ac:dyDescent="0.25">
      <c r="A39" s="36"/>
      <c r="B39" s="36"/>
      <c r="C39" s="36"/>
      <c r="D39" s="36"/>
      <c r="R39" s="1"/>
      <c r="S39" s="38"/>
      <c r="T39" s="38"/>
      <c r="U39" s="38"/>
      <c r="V39" s="38"/>
      <c r="W39" s="38"/>
      <c r="X39" s="38"/>
      <c r="Y39" s="38"/>
      <c r="Z39" s="36"/>
      <c r="AA39" s="38"/>
      <c r="AB39" s="38"/>
      <c r="AC39" s="38"/>
      <c r="AD39" s="38"/>
      <c r="AE39" s="38"/>
      <c r="AF39" s="38"/>
      <c r="AG39" s="38"/>
      <c r="AH39" s="36"/>
      <c r="AI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26"/>
      <c r="BC39" s="38"/>
      <c r="BD39" s="26"/>
      <c r="BE39" s="38"/>
      <c r="BF39" s="38"/>
      <c r="BG39" s="36"/>
      <c r="BH39" s="36"/>
    </row>
    <row r="40" spans="1:60" s="37" customFormat="1" ht="15.75" x14ac:dyDescent="0.25">
      <c r="A40" s="36"/>
      <c r="B40" s="36"/>
      <c r="C40" s="36"/>
      <c r="D40" s="36"/>
      <c r="R40" s="1"/>
      <c r="S40" s="38"/>
      <c r="T40" s="38"/>
      <c r="U40" s="38"/>
      <c r="V40" s="38"/>
      <c r="W40" s="38"/>
      <c r="X40" s="38"/>
      <c r="Y40" s="38"/>
      <c r="Z40" s="36"/>
      <c r="AA40" s="38"/>
      <c r="AB40" s="38"/>
      <c r="AC40" s="38"/>
      <c r="AD40" s="38"/>
      <c r="AE40" s="38"/>
      <c r="AF40" s="38"/>
      <c r="AG40" s="38"/>
      <c r="AH40" s="36"/>
      <c r="AI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26"/>
      <c r="BC40" s="38"/>
      <c r="BD40" s="26"/>
      <c r="BE40" s="38"/>
      <c r="BF40" s="38"/>
      <c r="BG40" s="36"/>
      <c r="BH40" s="36"/>
    </row>
    <row r="41" spans="1:60" s="37" customFormat="1" ht="15.75" x14ac:dyDescent="0.25">
      <c r="A41" s="36"/>
      <c r="B41" s="36"/>
      <c r="C41" s="36"/>
      <c r="D41" s="36"/>
      <c r="R41" s="1"/>
      <c r="S41" s="38"/>
      <c r="T41" s="38"/>
      <c r="U41" s="38"/>
      <c r="V41" s="38"/>
      <c r="W41" s="38"/>
      <c r="X41" s="38"/>
      <c r="Y41" s="38"/>
      <c r="Z41" s="36"/>
      <c r="AA41" s="38"/>
      <c r="AB41" s="38"/>
      <c r="AC41" s="38"/>
      <c r="AD41" s="38"/>
      <c r="AE41" s="38"/>
      <c r="AF41" s="38"/>
      <c r="AG41" s="38"/>
      <c r="AH41" s="36"/>
      <c r="AI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26"/>
      <c r="BC41" s="38"/>
      <c r="BD41" s="26"/>
      <c r="BE41" s="38"/>
      <c r="BF41" s="38"/>
      <c r="BG41" s="36"/>
      <c r="BH41" s="36"/>
    </row>
    <row r="42" spans="1:60" s="37" customFormat="1" ht="15.75" x14ac:dyDescent="0.25">
      <c r="A42" s="36"/>
      <c r="B42" s="36"/>
      <c r="C42" s="36"/>
      <c r="D42" s="36"/>
      <c r="R42" s="1"/>
      <c r="S42" s="38"/>
      <c r="T42" s="38"/>
      <c r="U42" s="38"/>
      <c r="V42" s="38"/>
      <c r="W42" s="38"/>
      <c r="X42" s="38"/>
      <c r="Y42" s="38"/>
      <c r="Z42" s="36"/>
      <c r="AA42" s="38"/>
      <c r="AB42" s="38"/>
      <c r="AC42" s="38"/>
      <c r="AD42" s="38"/>
      <c r="AE42" s="38"/>
      <c r="AF42" s="38"/>
      <c r="AG42" s="38"/>
      <c r="AH42" s="36"/>
      <c r="AI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26"/>
      <c r="BC42" s="38"/>
      <c r="BD42" s="26"/>
      <c r="BE42" s="38"/>
      <c r="BF42" s="38"/>
      <c r="BG42" s="36"/>
      <c r="BH42" s="36"/>
    </row>
    <row r="43" spans="1:60" s="37" customFormat="1" ht="15.75" x14ac:dyDescent="0.25">
      <c r="A43" s="36"/>
      <c r="B43" s="36"/>
      <c r="C43" s="36"/>
      <c r="D43" s="36"/>
      <c r="R43" s="1"/>
      <c r="S43" s="38"/>
      <c r="T43" s="38"/>
      <c r="U43" s="38"/>
      <c r="V43" s="38"/>
      <c r="W43" s="38"/>
      <c r="X43" s="38"/>
      <c r="Y43" s="38"/>
      <c r="Z43" s="36"/>
      <c r="AA43" s="38"/>
      <c r="AB43" s="38"/>
      <c r="AC43" s="38"/>
      <c r="AD43" s="38"/>
      <c r="AE43" s="38"/>
      <c r="AF43" s="38"/>
      <c r="AG43" s="38"/>
      <c r="AH43" s="36"/>
      <c r="AI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26"/>
      <c r="BC43" s="38"/>
      <c r="BD43" s="26"/>
      <c r="BE43" s="38"/>
      <c r="BF43" s="38"/>
      <c r="BG43" s="36"/>
      <c r="BH43" s="36"/>
    </row>
    <row r="44" spans="1:60" s="37" customFormat="1" ht="15.75" x14ac:dyDescent="0.25">
      <c r="A44" s="36"/>
      <c r="B44" s="36"/>
      <c r="C44" s="36"/>
      <c r="D44" s="36"/>
      <c r="R44" s="1"/>
      <c r="S44" s="38"/>
      <c r="T44" s="38"/>
      <c r="U44" s="38"/>
      <c r="V44" s="38"/>
      <c r="W44" s="38"/>
      <c r="X44" s="38"/>
      <c r="Y44" s="38"/>
      <c r="Z44" s="36"/>
      <c r="AA44" s="38"/>
      <c r="AB44" s="38"/>
      <c r="AC44" s="38"/>
      <c r="AD44" s="38"/>
      <c r="AE44" s="38"/>
      <c r="AF44" s="38"/>
      <c r="AG44" s="38"/>
      <c r="AH44" s="36"/>
      <c r="AI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26"/>
      <c r="BC44" s="38"/>
      <c r="BD44" s="26"/>
      <c r="BE44" s="38"/>
      <c r="BF44" s="38"/>
      <c r="BG44" s="36"/>
      <c r="BH44" s="36"/>
    </row>
    <row r="45" spans="1:60" s="37" customFormat="1" ht="15.75" x14ac:dyDescent="0.25">
      <c r="A45" s="36"/>
      <c r="B45" s="36"/>
      <c r="C45" s="36"/>
      <c r="D45" s="36"/>
      <c r="R45" s="1"/>
      <c r="S45" s="38"/>
      <c r="T45" s="38"/>
      <c r="U45" s="38"/>
      <c r="V45" s="38"/>
      <c r="W45" s="38"/>
      <c r="X45" s="38"/>
      <c r="Y45" s="38"/>
      <c r="Z45" s="36"/>
      <c r="AA45" s="38"/>
      <c r="AB45" s="38"/>
      <c r="AC45" s="38"/>
      <c r="AD45" s="38"/>
      <c r="AE45" s="38"/>
      <c r="AF45" s="38"/>
      <c r="AG45" s="38"/>
      <c r="AH45" s="36"/>
      <c r="AI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26"/>
      <c r="BC45" s="38"/>
      <c r="BD45" s="26"/>
      <c r="BE45" s="38"/>
      <c r="BF45" s="38"/>
      <c r="BG45" s="36"/>
      <c r="BH45" s="36"/>
    </row>
    <row r="46" spans="1:60" s="37" customFormat="1" ht="15.75" x14ac:dyDescent="0.25">
      <c r="A46" s="36"/>
      <c r="B46" s="36"/>
      <c r="C46" s="36"/>
      <c r="D46" s="36"/>
      <c r="R46" s="1"/>
      <c r="S46" s="38"/>
      <c r="T46" s="38"/>
      <c r="U46" s="38"/>
      <c r="V46" s="38"/>
      <c r="W46" s="38"/>
      <c r="X46" s="38"/>
      <c r="Y46" s="38"/>
      <c r="Z46" s="36"/>
      <c r="AA46" s="38"/>
      <c r="AB46" s="38"/>
      <c r="AC46" s="38"/>
      <c r="AD46" s="38"/>
      <c r="AE46" s="38"/>
      <c r="AF46" s="38"/>
      <c r="AG46" s="38"/>
      <c r="AH46" s="36"/>
      <c r="AI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26"/>
      <c r="BC46" s="38"/>
      <c r="BD46" s="26"/>
      <c r="BE46" s="38"/>
      <c r="BF46" s="38"/>
      <c r="BG46" s="36"/>
      <c r="BH46" s="36"/>
    </row>
    <row r="47" spans="1:60" s="37" customFormat="1" ht="15.75" x14ac:dyDescent="0.25">
      <c r="A47" s="36"/>
      <c r="B47" s="36"/>
      <c r="C47" s="36"/>
      <c r="D47" s="36"/>
      <c r="R47" s="1"/>
      <c r="S47" s="38"/>
      <c r="T47" s="38"/>
      <c r="U47" s="38"/>
      <c r="V47" s="38"/>
      <c r="W47" s="38"/>
      <c r="X47" s="38"/>
      <c r="Y47" s="38"/>
      <c r="Z47" s="36"/>
      <c r="AA47" s="38"/>
      <c r="AB47" s="38"/>
      <c r="AC47" s="38"/>
      <c r="AD47" s="38"/>
      <c r="AE47" s="38"/>
      <c r="AF47" s="38"/>
      <c r="AG47" s="38"/>
      <c r="AH47" s="36"/>
      <c r="AI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26"/>
      <c r="BC47" s="38"/>
      <c r="BD47" s="26"/>
      <c r="BE47" s="38"/>
      <c r="BF47" s="38"/>
      <c r="BG47" s="36"/>
      <c r="BH47" s="36"/>
    </row>
    <row r="48" spans="1:60" s="37" customFormat="1" ht="15.75" x14ac:dyDescent="0.25">
      <c r="A48" s="36"/>
      <c r="B48" s="36"/>
      <c r="C48" s="36"/>
      <c r="D48" s="36"/>
      <c r="R48" s="1"/>
      <c r="S48" s="38"/>
      <c r="T48" s="38"/>
      <c r="U48" s="38"/>
      <c r="V48" s="38"/>
      <c r="W48" s="38"/>
      <c r="X48" s="38"/>
      <c r="Y48" s="38"/>
      <c r="Z48" s="36"/>
      <c r="AA48" s="38"/>
      <c r="AB48" s="38"/>
      <c r="AC48" s="38"/>
      <c r="AD48" s="38"/>
      <c r="AE48" s="38"/>
      <c r="AF48" s="38"/>
      <c r="AG48" s="38"/>
      <c r="AH48" s="36"/>
      <c r="AI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26"/>
      <c r="BC48" s="38"/>
      <c r="BD48" s="26"/>
      <c r="BE48" s="38"/>
      <c r="BF48" s="38"/>
      <c r="BG48" s="36"/>
      <c r="BH48" s="36"/>
    </row>
    <row r="49" spans="1:60" s="37" customFormat="1" ht="15.75" x14ac:dyDescent="0.25">
      <c r="A49" s="36"/>
      <c r="B49" s="36"/>
      <c r="C49" s="36"/>
      <c r="D49" s="36"/>
      <c r="R49" s="1"/>
      <c r="S49" s="38"/>
      <c r="T49" s="38"/>
      <c r="U49" s="38"/>
      <c r="V49" s="38"/>
      <c r="W49" s="38"/>
      <c r="X49" s="38"/>
      <c r="Y49" s="38"/>
      <c r="Z49" s="36"/>
      <c r="AA49" s="38"/>
      <c r="AB49" s="38"/>
      <c r="AC49" s="38"/>
      <c r="AD49" s="38"/>
      <c r="AE49" s="38"/>
      <c r="AF49" s="38"/>
      <c r="AG49" s="38"/>
      <c r="AH49" s="36"/>
      <c r="AI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26"/>
      <c r="BC49" s="38"/>
      <c r="BD49" s="26"/>
      <c r="BE49" s="38"/>
      <c r="BF49" s="38"/>
      <c r="BG49" s="36"/>
      <c r="BH49" s="36"/>
    </row>
    <row r="50" spans="1:60" s="37" customFormat="1" ht="15.75" x14ac:dyDescent="0.25">
      <c r="A50" s="36"/>
      <c r="B50" s="36"/>
      <c r="C50" s="36"/>
      <c r="D50" s="36"/>
      <c r="R50" s="1"/>
      <c r="S50" s="38"/>
      <c r="T50" s="38"/>
      <c r="U50" s="38"/>
      <c r="V50" s="38"/>
      <c r="W50" s="38"/>
      <c r="X50" s="38"/>
      <c r="Y50" s="38"/>
      <c r="Z50" s="36"/>
      <c r="AA50" s="38"/>
      <c r="AB50" s="38"/>
      <c r="AC50" s="38"/>
      <c r="AD50" s="38"/>
      <c r="AE50" s="38"/>
      <c r="AF50" s="38"/>
      <c r="AG50" s="38"/>
      <c r="AH50" s="36"/>
      <c r="AI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26"/>
      <c r="BC50" s="38"/>
      <c r="BD50" s="26"/>
      <c r="BE50" s="38"/>
      <c r="BF50" s="38"/>
      <c r="BG50" s="36"/>
      <c r="BH50" s="36"/>
    </row>
    <row r="51" spans="1:60" s="37" customFormat="1" ht="15.75" x14ac:dyDescent="0.25">
      <c r="A51" s="36"/>
      <c r="B51" s="36"/>
      <c r="C51" s="36"/>
      <c r="D51" s="36"/>
      <c r="R51" s="1"/>
      <c r="S51" s="38"/>
      <c r="T51" s="38"/>
      <c r="U51" s="38"/>
      <c r="V51" s="38"/>
      <c r="W51" s="38"/>
      <c r="X51" s="38"/>
      <c r="Y51" s="38"/>
      <c r="Z51" s="36"/>
      <c r="AA51" s="38"/>
      <c r="AB51" s="38"/>
      <c r="AC51" s="38"/>
      <c r="AD51" s="38"/>
      <c r="AE51" s="38"/>
      <c r="AF51" s="38"/>
      <c r="AG51" s="38"/>
      <c r="AH51" s="36"/>
      <c r="AI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26"/>
      <c r="BC51" s="38"/>
      <c r="BD51" s="26"/>
      <c r="BE51" s="38"/>
      <c r="BF51" s="38"/>
      <c r="BG51" s="36"/>
      <c r="BH51" s="36"/>
    </row>
    <row r="52" spans="1:60" s="37" customFormat="1" ht="15.75" x14ac:dyDescent="0.25">
      <c r="A52" s="36"/>
      <c r="B52" s="36"/>
      <c r="C52" s="36"/>
      <c r="D52" s="36"/>
      <c r="R52" s="1"/>
      <c r="S52" s="38"/>
      <c r="T52" s="38"/>
      <c r="U52" s="38"/>
      <c r="V52" s="38"/>
      <c r="W52" s="38"/>
      <c r="X52" s="38"/>
      <c r="Y52" s="38"/>
      <c r="Z52" s="36"/>
      <c r="AA52" s="38"/>
      <c r="AB52" s="38"/>
      <c r="AC52" s="38"/>
      <c r="AD52" s="38"/>
      <c r="AE52" s="38"/>
      <c r="AF52" s="38"/>
      <c r="AG52" s="38"/>
      <c r="AH52" s="36"/>
      <c r="AI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26"/>
      <c r="BC52" s="38"/>
      <c r="BD52" s="26"/>
      <c r="BE52" s="38"/>
      <c r="BF52" s="38"/>
      <c r="BG52" s="36"/>
      <c r="BH52" s="36"/>
    </row>
    <row r="53" spans="1:60" s="37" customFormat="1" ht="15.75" x14ac:dyDescent="0.25">
      <c r="A53" s="36"/>
      <c r="B53" s="36"/>
      <c r="C53" s="36"/>
      <c r="D53" s="36"/>
      <c r="R53" s="1"/>
      <c r="S53" s="38"/>
      <c r="T53" s="38"/>
      <c r="U53" s="38"/>
      <c r="V53" s="38"/>
      <c r="W53" s="38"/>
      <c r="X53" s="38"/>
      <c r="Y53" s="38"/>
      <c r="Z53" s="36"/>
      <c r="AA53" s="38"/>
      <c r="AB53" s="38"/>
      <c r="AC53" s="38"/>
      <c r="AD53" s="38"/>
      <c r="AE53" s="38"/>
      <c r="AF53" s="38"/>
      <c r="AG53" s="38"/>
      <c r="AH53" s="36"/>
      <c r="AI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26"/>
      <c r="BC53" s="38"/>
      <c r="BD53" s="26"/>
      <c r="BE53" s="38"/>
      <c r="BF53" s="38"/>
      <c r="BG53" s="36"/>
      <c r="BH53" s="36"/>
    </row>
    <row r="54" spans="1:60" s="37" customFormat="1" ht="15.75" x14ac:dyDescent="0.25">
      <c r="A54" s="36"/>
      <c r="B54" s="36"/>
      <c r="C54" s="36"/>
      <c r="D54" s="36"/>
      <c r="R54" s="1"/>
      <c r="S54" s="38"/>
      <c r="T54" s="38"/>
      <c r="U54" s="38"/>
      <c r="V54" s="38"/>
      <c r="W54" s="38"/>
      <c r="X54" s="38"/>
      <c r="Y54" s="38"/>
      <c r="Z54" s="36"/>
      <c r="AA54" s="38"/>
      <c r="AB54" s="38"/>
      <c r="AC54" s="38"/>
      <c r="AD54" s="38"/>
      <c r="AE54" s="38"/>
      <c r="AF54" s="38"/>
      <c r="AG54" s="38"/>
      <c r="AH54" s="36"/>
      <c r="AI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26"/>
      <c r="BC54" s="38"/>
      <c r="BD54" s="26"/>
      <c r="BE54" s="38"/>
      <c r="BF54" s="38"/>
      <c r="BG54" s="36"/>
      <c r="BH54" s="36"/>
    </row>
    <row r="55" spans="1:60" s="37" customFormat="1" ht="15.75" x14ac:dyDescent="0.25">
      <c r="A55" s="36"/>
      <c r="B55" s="36"/>
      <c r="C55" s="36"/>
      <c r="D55" s="36"/>
      <c r="R55" s="1"/>
      <c r="S55" s="38"/>
      <c r="T55" s="38"/>
      <c r="U55" s="38"/>
      <c r="V55" s="38"/>
      <c r="W55" s="38"/>
      <c r="X55" s="38"/>
      <c r="Y55" s="38"/>
      <c r="Z55" s="36"/>
      <c r="AA55" s="38"/>
      <c r="AB55" s="38"/>
      <c r="AC55" s="38"/>
      <c r="AD55" s="38"/>
      <c r="AE55" s="38"/>
      <c r="AF55" s="38"/>
      <c r="AG55" s="38"/>
      <c r="AH55" s="36"/>
      <c r="AI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26"/>
      <c r="BC55" s="38"/>
      <c r="BD55" s="26"/>
      <c r="BE55" s="38"/>
      <c r="BF55" s="38"/>
      <c r="BG55" s="36"/>
      <c r="BH55" s="36"/>
    </row>
    <row r="56" spans="1:60" s="37" customFormat="1" ht="15.75" x14ac:dyDescent="0.25">
      <c r="A56" s="36"/>
      <c r="B56" s="36"/>
      <c r="C56" s="36"/>
      <c r="D56" s="36"/>
      <c r="R56" s="1"/>
      <c r="S56" s="38"/>
      <c r="T56" s="38"/>
      <c r="U56" s="38"/>
      <c r="V56" s="38"/>
      <c r="W56" s="38"/>
      <c r="X56" s="38"/>
      <c r="Y56" s="38"/>
      <c r="Z56" s="36"/>
      <c r="AA56" s="38"/>
      <c r="AB56" s="38"/>
      <c r="AC56" s="38"/>
      <c r="AD56" s="38"/>
      <c r="AE56" s="38"/>
      <c r="AF56" s="38"/>
      <c r="AG56" s="38"/>
      <c r="AH56" s="36"/>
      <c r="AI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26"/>
      <c r="BC56" s="38"/>
      <c r="BD56" s="26"/>
      <c r="BE56" s="38"/>
      <c r="BF56" s="38"/>
      <c r="BG56" s="36"/>
      <c r="BH56" s="36"/>
    </row>
    <row r="57" spans="1:60" s="37" customFormat="1" ht="15.75" x14ac:dyDescent="0.25">
      <c r="A57" s="36"/>
      <c r="B57" s="36"/>
      <c r="C57" s="36"/>
      <c r="D57" s="36"/>
      <c r="R57" s="1"/>
      <c r="S57" s="38"/>
      <c r="T57" s="38"/>
      <c r="U57" s="38"/>
      <c r="V57" s="38"/>
      <c r="W57" s="38"/>
      <c r="X57" s="38"/>
      <c r="Y57" s="38"/>
      <c r="Z57" s="36"/>
      <c r="AA57" s="38"/>
      <c r="AB57" s="38"/>
      <c r="AC57" s="38"/>
      <c r="AD57" s="38"/>
      <c r="AE57" s="38"/>
      <c r="AF57" s="38"/>
      <c r="AG57" s="38"/>
      <c r="AH57" s="36"/>
      <c r="AI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26"/>
      <c r="BC57" s="38"/>
      <c r="BD57" s="26"/>
      <c r="BE57" s="38"/>
      <c r="BF57" s="38"/>
      <c r="BG57" s="36"/>
      <c r="BH57" s="36"/>
    </row>
    <row r="58" spans="1:60" s="37" customFormat="1" ht="15.75" x14ac:dyDescent="0.25">
      <c r="A58" s="36"/>
      <c r="B58" s="36"/>
      <c r="C58" s="36"/>
      <c r="D58" s="36"/>
      <c r="R58" s="1"/>
      <c r="S58" s="38"/>
      <c r="T58" s="38"/>
      <c r="U58" s="38"/>
      <c r="V58" s="38"/>
      <c r="W58" s="38"/>
      <c r="X58" s="38"/>
      <c r="Y58" s="38"/>
      <c r="Z58" s="36"/>
      <c r="AA58" s="38"/>
      <c r="AB58" s="38"/>
      <c r="AC58" s="38"/>
      <c r="AD58" s="38"/>
      <c r="AE58" s="38"/>
      <c r="AF58" s="38"/>
      <c r="AG58" s="38"/>
      <c r="AH58" s="36"/>
      <c r="AI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26"/>
      <c r="BC58" s="38"/>
      <c r="BD58" s="26"/>
      <c r="BE58" s="38"/>
      <c r="BF58" s="38"/>
      <c r="BG58" s="36"/>
      <c r="BH58" s="36"/>
    </row>
    <row r="59" spans="1:60" s="37" customFormat="1" ht="15.75" x14ac:dyDescent="0.25">
      <c r="A59" s="36"/>
      <c r="B59" s="36"/>
      <c r="C59" s="36"/>
      <c r="D59" s="36"/>
      <c r="R59" s="1"/>
      <c r="S59" s="38"/>
      <c r="T59" s="38"/>
      <c r="U59" s="38"/>
      <c r="V59" s="38"/>
      <c r="W59" s="38"/>
      <c r="X59" s="38"/>
      <c r="Y59" s="38"/>
      <c r="Z59" s="36"/>
      <c r="AA59" s="38"/>
      <c r="AB59" s="38"/>
      <c r="AC59" s="38"/>
      <c r="AD59" s="38"/>
      <c r="AE59" s="38"/>
      <c r="AF59" s="38"/>
      <c r="AG59" s="38"/>
      <c r="AH59" s="36"/>
      <c r="AI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26"/>
      <c r="BC59" s="38"/>
      <c r="BD59" s="26"/>
      <c r="BE59" s="38"/>
      <c r="BF59" s="38"/>
      <c r="BG59" s="36"/>
      <c r="BH59" s="36"/>
    </row>
    <row r="60" spans="1:60" s="37" customFormat="1" ht="15.75" x14ac:dyDescent="0.25">
      <c r="A60" s="36"/>
      <c r="B60" s="36"/>
      <c r="C60" s="36"/>
      <c r="D60" s="36"/>
      <c r="R60" s="1"/>
      <c r="S60" s="38"/>
      <c r="T60" s="38"/>
      <c r="U60" s="38"/>
      <c r="V60" s="38"/>
      <c r="W60" s="38"/>
      <c r="X60" s="38"/>
      <c r="Y60" s="38"/>
      <c r="Z60" s="36"/>
      <c r="AA60" s="38"/>
      <c r="AB60" s="38"/>
      <c r="AC60" s="38"/>
      <c r="AD60" s="38"/>
      <c r="AE60" s="38"/>
      <c r="AF60" s="38"/>
      <c r="AG60" s="38"/>
      <c r="AH60" s="36"/>
      <c r="AI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26"/>
      <c r="BC60" s="38"/>
      <c r="BD60" s="26"/>
      <c r="BE60" s="38"/>
      <c r="BF60" s="38"/>
      <c r="BG60" s="36"/>
      <c r="BH60" s="36"/>
    </row>
    <row r="61" spans="1:60" s="37" customFormat="1" ht="15.75" x14ac:dyDescent="0.25">
      <c r="A61" s="36"/>
      <c r="B61" s="36"/>
      <c r="C61" s="36"/>
      <c r="D61" s="36"/>
      <c r="R61" s="1"/>
      <c r="S61" s="38"/>
      <c r="T61" s="38"/>
      <c r="U61" s="38"/>
      <c r="V61" s="38"/>
      <c r="W61" s="38"/>
      <c r="X61" s="38"/>
      <c r="Y61" s="38"/>
      <c r="Z61" s="36"/>
      <c r="AA61" s="38"/>
      <c r="AB61" s="38"/>
      <c r="AC61" s="38"/>
      <c r="AD61" s="38"/>
      <c r="AE61" s="38"/>
      <c r="AF61" s="38"/>
      <c r="AG61" s="38"/>
      <c r="AH61" s="36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26"/>
      <c r="BC61" s="38"/>
      <c r="BD61" s="26"/>
      <c r="BE61" s="38"/>
      <c r="BF61" s="38"/>
      <c r="BG61" s="36"/>
      <c r="BH61" s="36"/>
    </row>
    <row r="62" spans="1:60" s="37" customFormat="1" ht="15.75" x14ac:dyDescent="0.25">
      <c r="A62" s="36"/>
      <c r="B62" s="36"/>
      <c r="C62" s="36"/>
      <c r="D62" s="36"/>
      <c r="R62" s="1"/>
      <c r="S62" s="38"/>
      <c r="T62" s="38"/>
      <c r="U62" s="38"/>
      <c r="V62" s="38"/>
      <c r="W62" s="38"/>
      <c r="X62" s="38"/>
      <c r="Y62" s="38"/>
      <c r="Z62" s="36"/>
      <c r="AA62" s="38"/>
      <c r="AB62" s="38"/>
      <c r="AC62" s="38"/>
      <c r="AD62" s="38"/>
      <c r="AE62" s="38"/>
      <c r="AF62" s="38"/>
      <c r="AG62" s="38"/>
      <c r="AH62" s="36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26"/>
      <c r="BC62" s="38"/>
      <c r="BD62" s="26"/>
      <c r="BE62" s="38"/>
      <c r="BF62" s="38"/>
      <c r="BG62" s="36"/>
      <c r="BH62" s="36"/>
    </row>
    <row r="63" spans="1:60" s="37" customFormat="1" ht="15.75" x14ac:dyDescent="0.25">
      <c r="A63" s="36"/>
      <c r="B63" s="36"/>
      <c r="C63" s="36"/>
      <c r="D63" s="36"/>
      <c r="R63" s="1"/>
      <c r="S63" s="38"/>
      <c r="T63" s="38"/>
      <c r="U63" s="38"/>
      <c r="V63" s="38"/>
      <c r="W63" s="38"/>
      <c r="X63" s="38"/>
      <c r="Y63" s="38"/>
      <c r="Z63" s="36"/>
      <c r="AA63" s="38"/>
      <c r="AB63" s="38"/>
      <c r="AC63" s="38"/>
      <c r="AD63" s="38"/>
      <c r="AE63" s="38"/>
      <c r="AF63" s="38"/>
      <c r="AG63" s="38"/>
      <c r="AH63" s="36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26"/>
      <c r="BC63" s="38"/>
      <c r="BD63" s="26"/>
      <c r="BE63" s="38"/>
      <c r="BF63" s="38"/>
      <c r="BG63" s="36"/>
      <c r="BH63" s="36"/>
    </row>
    <row r="64" spans="1:60" s="37" customFormat="1" ht="15.75" x14ac:dyDescent="0.25">
      <c r="A64" s="36"/>
      <c r="B64" s="36"/>
      <c r="C64" s="36"/>
      <c r="D64" s="36"/>
      <c r="R64" s="1"/>
      <c r="S64" s="38"/>
      <c r="T64" s="38"/>
      <c r="U64" s="38"/>
      <c r="V64" s="38"/>
      <c r="W64" s="38"/>
      <c r="X64" s="38"/>
      <c r="Y64" s="38"/>
      <c r="Z64" s="36"/>
      <c r="AA64" s="38"/>
      <c r="AB64" s="38"/>
      <c r="AC64" s="38"/>
      <c r="AD64" s="38"/>
      <c r="AE64" s="38"/>
      <c r="AF64" s="38"/>
      <c r="AG64" s="38"/>
      <c r="AH64" s="36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26"/>
      <c r="BC64" s="38"/>
      <c r="BD64" s="26"/>
      <c r="BE64" s="38"/>
      <c r="BF64" s="38"/>
      <c r="BG64" s="36"/>
      <c r="BH64" s="36"/>
    </row>
    <row r="65" spans="1:60" s="37" customFormat="1" ht="15.75" x14ac:dyDescent="0.25">
      <c r="A65" s="36"/>
      <c r="B65" s="36"/>
      <c r="C65" s="36"/>
      <c r="D65" s="36"/>
      <c r="R65" s="1"/>
      <c r="S65" s="38"/>
      <c r="T65" s="38"/>
      <c r="U65" s="38"/>
      <c r="V65" s="38"/>
      <c r="W65" s="38"/>
      <c r="X65" s="38"/>
      <c r="Y65" s="38"/>
      <c r="Z65" s="36"/>
      <c r="AA65" s="38"/>
      <c r="AB65" s="38"/>
      <c r="AC65" s="38"/>
      <c r="AD65" s="38"/>
      <c r="AE65" s="38"/>
      <c r="AF65" s="38"/>
      <c r="AG65" s="38"/>
      <c r="AH65" s="36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26"/>
      <c r="BC65" s="38"/>
      <c r="BD65" s="26"/>
      <c r="BE65" s="38"/>
      <c r="BF65" s="38"/>
      <c r="BG65" s="36"/>
      <c r="BH65" s="36"/>
    </row>
    <row r="66" spans="1:60" s="37" customFormat="1" ht="15.75" x14ac:dyDescent="0.25">
      <c r="A66" s="36"/>
      <c r="B66" s="36"/>
      <c r="C66" s="36"/>
      <c r="D66" s="36"/>
      <c r="R66" s="1"/>
      <c r="S66" s="38"/>
      <c r="T66" s="38"/>
      <c r="U66" s="38"/>
      <c r="V66" s="38"/>
      <c r="W66" s="38"/>
      <c r="X66" s="38"/>
      <c r="Y66" s="38"/>
      <c r="Z66" s="36"/>
      <c r="AA66" s="38"/>
      <c r="AB66" s="38"/>
      <c r="AC66" s="38"/>
      <c r="AD66" s="38"/>
      <c r="AE66" s="38"/>
      <c r="AF66" s="38"/>
      <c r="AG66" s="38"/>
      <c r="AH66" s="36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26"/>
      <c r="BC66" s="38"/>
      <c r="BD66" s="26"/>
      <c r="BE66" s="38"/>
      <c r="BF66" s="38"/>
      <c r="BG66" s="36"/>
      <c r="BH66" s="36"/>
    </row>
    <row r="67" spans="1:60" s="37" customFormat="1" ht="15.75" x14ac:dyDescent="0.25">
      <c r="A67" s="36"/>
      <c r="B67" s="36"/>
      <c r="C67" s="36"/>
      <c r="D67" s="36"/>
      <c r="R67" s="1"/>
      <c r="S67" s="38"/>
      <c r="T67" s="38"/>
      <c r="U67" s="38"/>
      <c r="V67" s="38"/>
      <c r="W67" s="38"/>
      <c r="X67" s="38"/>
      <c r="Y67" s="38"/>
      <c r="Z67" s="36"/>
      <c r="AA67" s="38"/>
      <c r="AB67" s="38"/>
      <c r="AC67" s="38"/>
      <c r="AD67" s="38"/>
      <c r="AE67" s="38"/>
      <c r="AF67" s="38"/>
      <c r="AG67" s="38"/>
      <c r="AH67" s="36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26"/>
      <c r="BC67" s="38"/>
      <c r="BD67" s="26"/>
      <c r="BE67" s="38"/>
      <c r="BF67" s="38"/>
      <c r="BG67" s="36"/>
      <c r="BH67" s="36"/>
    </row>
    <row r="68" spans="1:60" s="37" customFormat="1" ht="15.75" x14ac:dyDescent="0.25">
      <c r="A68" s="36"/>
      <c r="B68" s="36"/>
      <c r="C68" s="36"/>
      <c r="D68" s="36"/>
      <c r="R68" s="1"/>
      <c r="S68" s="38"/>
      <c r="T68" s="38"/>
      <c r="U68" s="38"/>
      <c r="V68" s="38"/>
      <c r="W68" s="38"/>
      <c r="X68" s="38"/>
      <c r="Y68" s="38"/>
      <c r="Z68" s="36"/>
      <c r="AA68" s="38"/>
      <c r="AB68" s="38"/>
      <c r="AC68" s="38"/>
      <c r="AD68" s="38"/>
      <c r="AE68" s="38"/>
      <c r="AF68" s="38"/>
      <c r="AG68" s="38"/>
      <c r="AH68" s="36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26"/>
      <c r="BC68" s="38"/>
      <c r="BD68" s="26"/>
      <c r="BE68" s="38"/>
      <c r="BF68" s="38"/>
      <c r="BG68" s="36"/>
      <c r="BH68" s="36"/>
    </row>
    <row r="69" spans="1:60" s="37" customFormat="1" ht="15.75" x14ac:dyDescent="0.25">
      <c r="A69" s="36"/>
      <c r="B69" s="36"/>
      <c r="C69" s="36"/>
      <c r="D69" s="36"/>
      <c r="R69" s="1"/>
      <c r="S69" s="38"/>
      <c r="T69" s="38"/>
      <c r="U69" s="38"/>
      <c r="V69" s="38"/>
      <c r="W69" s="38"/>
      <c r="X69" s="38"/>
      <c r="Y69" s="38"/>
      <c r="Z69" s="36"/>
      <c r="AA69" s="38"/>
      <c r="AB69" s="38"/>
      <c r="AC69" s="38"/>
      <c r="AD69" s="38"/>
      <c r="AE69" s="38"/>
      <c r="AF69" s="38"/>
      <c r="AG69" s="38"/>
      <c r="AH69" s="36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26"/>
      <c r="BC69" s="38"/>
      <c r="BD69" s="26"/>
      <c r="BE69" s="38"/>
      <c r="BF69" s="38"/>
      <c r="BG69" s="36"/>
      <c r="BH69" s="36"/>
    </row>
    <row r="70" spans="1:60" s="37" customFormat="1" ht="15.75" x14ac:dyDescent="0.25">
      <c r="A70" s="36"/>
      <c r="B70" s="36"/>
      <c r="C70" s="36"/>
      <c r="D70" s="36"/>
      <c r="R70" s="1"/>
      <c r="S70" s="38"/>
      <c r="T70" s="38"/>
      <c r="U70" s="38"/>
      <c r="V70" s="38"/>
      <c r="W70" s="38"/>
      <c r="X70" s="38"/>
      <c r="Y70" s="38"/>
      <c r="Z70" s="36"/>
      <c r="AA70" s="38"/>
      <c r="AB70" s="38"/>
      <c r="AC70" s="38"/>
      <c r="AD70" s="38"/>
      <c r="AE70" s="38"/>
      <c r="AF70" s="38"/>
      <c r="AG70" s="38"/>
      <c r="AH70" s="36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26"/>
      <c r="BC70" s="38"/>
      <c r="BD70" s="26"/>
      <c r="BE70" s="38"/>
      <c r="BF70" s="38"/>
      <c r="BG70" s="36"/>
      <c r="BH70" s="36"/>
    </row>
    <row r="71" spans="1:60" s="37" customFormat="1" ht="15.75" x14ac:dyDescent="0.25">
      <c r="A71" s="36"/>
      <c r="B71" s="36"/>
      <c r="C71" s="36"/>
      <c r="D71" s="36"/>
      <c r="R71" s="1"/>
      <c r="S71" s="38"/>
      <c r="T71" s="38"/>
      <c r="U71" s="38"/>
      <c r="V71" s="38"/>
      <c r="W71" s="38"/>
      <c r="X71" s="38"/>
      <c r="Y71" s="38"/>
      <c r="Z71" s="36"/>
      <c r="AA71" s="38"/>
      <c r="AB71" s="38"/>
      <c r="AC71" s="38"/>
      <c r="AD71" s="38"/>
      <c r="AE71" s="38"/>
      <c r="AF71" s="38"/>
      <c r="AG71" s="38"/>
      <c r="AH71" s="36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26"/>
      <c r="BC71" s="38"/>
      <c r="BD71" s="26"/>
      <c r="BE71" s="38"/>
      <c r="BF71" s="38"/>
      <c r="BG71" s="36"/>
      <c r="BH71" s="36"/>
    </row>
    <row r="72" spans="1:60" s="37" customFormat="1" ht="15.75" x14ac:dyDescent="0.25">
      <c r="A72" s="36"/>
      <c r="B72" s="36"/>
      <c r="C72" s="36"/>
      <c r="D72" s="36"/>
      <c r="R72" s="1"/>
      <c r="S72" s="38"/>
      <c r="T72" s="38"/>
      <c r="U72" s="38"/>
      <c r="V72" s="38"/>
      <c r="W72" s="38"/>
      <c r="X72" s="38"/>
      <c r="Y72" s="38"/>
      <c r="Z72" s="36"/>
      <c r="AA72" s="38"/>
      <c r="AB72" s="38"/>
      <c r="AC72" s="38"/>
      <c r="AD72" s="38"/>
      <c r="AE72" s="38"/>
      <c r="AF72" s="38"/>
      <c r="AG72" s="38"/>
      <c r="AH72" s="36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26"/>
      <c r="BC72" s="38"/>
      <c r="BD72" s="26"/>
      <c r="BE72" s="38"/>
      <c r="BF72" s="38"/>
      <c r="BG72" s="36"/>
      <c r="BH72" s="36"/>
    </row>
    <row r="73" spans="1:60" s="37" customFormat="1" ht="15.75" x14ac:dyDescent="0.25">
      <c r="A73" s="36"/>
      <c r="B73" s="36"/>
      <c r="C73" s="36"/>
      <c r="D73" s="36"/>
      <c r="R73" s="1"/>
      <c r="S73" s="38"/>
      <c r="T73" s="38"/>
      <c r="U73" s="38"/>
      <c r="V73" s="38"/>
      <c r="W73" s="38"/>
      <c r="X73" s="38"/>
      <c r="Y73" s="38"/>
      <c r="Z73" s="36"/>
      <c r="AA73" s="38"/>
      <c r="AB73" s="38"/>
      <c r="AC73" s="38"/>
      <c r="AD73" s="38"/>
      <c r="AE73" s="38"/>
      <c r="AF73" s="38"/>
      <c r="AG73" s="38"/>
      <c r="AH73" s="36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26"/>
      <c r="BC73" s="38"/>
      <c r="BD73" s="26"/>
      <c r="BE73" s="38"/>
      <c r="BF73" s="38"/>
      <c r="BG73" s="36"/>
      <c r="BH73" s="36"/>
    </row>
    <row r="74" spans="1:60" s="37" customFormat="1" ht="15.75" x14ac:dyDescent="0.25">
      <c r="A74" s="36"/>
      <c r="B74" s="36"/>
      <c r="C74" s="36"/>
      <c r="D74" s="36"/>
      <c r="R74" s="1"/>
      <c r="S74" s="38"/>
      <c r="T74" s="38"/>
      <c r="U74" s="38"/>
      <c r="V74" s="38"/>
      <c r="W74" s="38"/>
      <c r="X74" s="38"/>
      <c r="Y74" s="38"/>
      <c r="Z74" s="36"/>
      <c r="AA74" s="38"/>
      <c r="AB74" s="38"/>
      <c r="AC74" s="38"/>
      <c r="AD74" s="38"/>
      <c r="AE74" s="38"/>
      <c r="AF74" s="38"/>
      <c r="AG74" s="38"/>
      <c r="AH74" s="36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26"/>
      <c r="BC74" s="38"/>
      <c r="BD74" s="26"/>
      <c r="BE74" s="38"/>
      <c r="BF74" s="38"/>
      <c r="BG74" s="36"/>
      <c r="BH74" s="36"/>
    </row>
    <row r="75" spans="1:60" s="37" customFormat="1" ht="15.75" x14ac:dyDescent="0.25">
      <c r="A75" s="36"/>
      <c r="B75" s="36"/>
      <c r="C75" s="36"/>
      <c r="D75" s="36"/>
      <c r="R75" s="1"/>
      <c r="S75" s="38"/>
      <c r="T75" s="38"/>
      <c r="U75" s="38"/>
      <c r="V75" s="38"/>
      <c r="W75" s="38"/>
      <c r="X75" s="38"/>
      <c r="Y75" s="38"/>
      <c r="Z75" s="36"/>
      <c r="AA75" s="38"/>
      <c r="AB75" s="38"/>
      <c r="AC75" s="38"/>
      <c r="AD75" s="38"/>
      <c r="AE75" s="38"/>
      <c r="AF75" s="38"/>
      <c r="AG75" s="38"/>
      <c r="AH75" s="36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26"/>
      <c r="BC75" s="38"/>
      <c r="BD75" s="26"/>
      <c r="BE75" s="38"/>
      <c r="BF75" s="38"/>
      <c r="BG75" s="36"/>
      <c r="BH75" s="36"/>
    </row>
    <row r="76" spans="1:60" s="37" customFormat="1" ht="15.75" x14ac:dyDescent="0.25">
      <c r="A76" s="36"/>
      <c r="B76" s="36"/>
      <c r="C76" s="36"/>
      <c r="D76" s="36"/>
      <c r="R76" s="1"/>
      <c r="S76" s="38"/>
      <c r="T76" s="38"/>
      <c r="U76" s="38"/>
      <c r="V76" s="38"/>
      <c r="W76" s="38"/>
      <c r="X76" s="38"/>
      <c r="Y76" s="38"/>
      <c r="Z76" s="36"/>
      <c r="AA76" s="38"/>
      <c r="AB76" s="38"/>
      <c r="AC76" s="38"/>
      <c r="AD76" s="38"/>
      <c r="AE76" s="38"/>
      <c r="AF76" s="38"/>
      <c r="AG76" s="38"/>
      <c r="AH76" s="36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26"/>
      <c r="BC76" s="38"/>
      <c r="BD76" s="26"/>
      <c r="BE76" s="38"/>
      <c r="BF76" s="38"/>
      <c r="BG76" s="36"/>
      <c r="BH76" s="36"/>
    </row>
    <row r="77" spans="1:60" s="37" customFormat="1" ht="15.75" x14ac:dyDescent="0.25">
      <c r="A77" s="36"/>
      <c r="B77" s="36"/>
      <c r="C77" s="36"/>
      <c r="D77" s="36"/>
      <c r="R77" s="1"/>
      <c r="S77" s="38"/>
      <c r="T77" s="38"/>
      <c r="U77" s="38"/>
      <c r="V77" s="38"/>
      <c r="W77" s="38"/>
      <c r="X77" s="38"/>
      <c r="Y77" s="38"/>
      <c r="Z77" s="36"/>
      <c r="AA77" s="38"/>
      <c r="AB77" s="38"/>
      <c r="AC77" s="38"/>
      <c r="AD77" s="38"/>
      <c r="AE77" s="38"/>
      <c r="AF77" s="38"/>
      <c r="AG77" s="38"/>
      <c r="AH77" s="36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26"/>
      <c r="BC77" s="38"/>
      <c r="BD77" s="26"/>
      <c r="BE77" s="38"/>
      <c r="BF77" s="38"/>
      <c r="BG77" s="36"/>
      <c r="BH77" s="36"/>
    </row>
    <row r="78" spans="1:60" s="37" customFormat="1" ht="15.75" x14ac:dyDescent="0.25">
      <c r="A78" s="36"/>
      <c r="B78" s="36"/>
      <c r="C78" s="36"/>
      <c r="D78" s="36"/>
      <c r="R78" s="1"/>
      <c r="S78" s="38"/>
      <c r="T78" s="38"/>
      <c r="U78" s="38"/>
      <c r="V78" s="38"/>
      <c r="W78" s="38"/>
      <c r="X78" s="38"/>
      <c r="Y78" s="38"/>
      <c r="Z78" s="36"/>
      <c r="AA78" s="38"/>
      <c r="AB78" s="38"/>
      <c r="AC78" s="38"/>
      <c r="AD78" s="38"/>
      <c r="AE78" s="38"/>
      <c r="AF78" s="38"/>
      <c r="AG78" s="38"/>
      <c r="AH78" s="36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26"/>
      <c r="BC78" s="38"/>
      <c r="BD78" s="26"/>
      <c r="BE78" s="38"/>
      <c r="BF78" s="38"/>
      <c r="BG78" s="36"/>
      <c r="BH78" s="36"/>
    </row>
    <row r="79" spans="1:60" s="37" customFormat="1" ht="15.75" x14ac:dyDescent="0.25">
      <c r="A79" s="36"/>
      <c r="B79" s="36"/>
      <c r="C79" s="36"/>
      <c r="D79" s="36"/>
      <c r="R79" s="1"/>
      <c r="S79" s="38"/>
      <c r="T79" s="38"/>
      <c r="U79" s="38"/>
      <c r="V79" s="38"/>
      <c r="W79" s="38"/>
      <c r="X79" s="38"/>
      <c r="Y79" s="38"/>
      <c r="Z79" s="36"/>
      <c r="AA79" s="38"/>
      <c r="AB79" s="38"/>
      <c r="AC79" s="38"/>
      <c r="AD79" s="38"/>
      <c r="AE79" s="38"/>
      <c r="AF79" s="38"/>
      <c r="AG79" s="38"/>
      <c r="AH79" s="36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26"/>
      <c r="BC79" s="38"/>
      <c r="BD79" s="26"/>
      <c r="BE79" s="38"/>
      <c r="BF79" s="38"/>
      <c r="BG79" s="36"/>
      <c r="BH79" s="36"/>
    </row>
    <row r="80" spans="1:60" s="37" customFormat="1" ht="15.75" x14ac:dyDescent="0.25">
      <c r="A80" s="36"/>
      <c r="B80" s="36"/>
      <c r="C80" s="36"/>
      <c r="D80" s="36"/>
      <c r="R80" s="1"/>
      <c r="S80" s="38"/>
      <c r="T80" s="38"/>
      <c r="U80" s="38"/>
      <c r="V80" s="38"/>
      <c r="W80" s="38"/>
      <c r="X80" s="38"/>
      <c r="Y80" s="38"/>
      <c r="Z80" s="36"/>
      <c r="AA80" s="38"/>
      <c r="AB80" s="38"/>
      <c r="AC80" s="38"/>
      <c r="AD80" s="38"/>
      <c r="AE80" s="38"/>
      <c r="AF80" s="38"/>
      <c r="AG80" s="38"/>
      <c r="AH80" s="36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26"/>
      <c r="BC80" s="38"/>
      <c r="BD80" s="26"/>
      <c r="BE80" s="38"/>
      <c r="BF80" s="38"/>
      <c r="BG80" s="36"/>
      <c r="BH80" s="36"/>
    </row>
    <row r="81" spans="1:60" s="37" customFormat="1" ht="15.75" x14ac:dyDescent="0.25">
      <c r="A81" s="36"/>
      <c r="B81" s="36"/>
      <c r="C81" s="36"/>
      <c r="D81" s="36"/>
      <c r="R81" s="1"/>
      <c r="S81" s="38"/>
      <c r="T81" s="38"/>
      <c r="U81" s="38"/>
      <c r="V81" s="38"/>
      <c r="W81" s="38"/>
      <c r="X81" s="38"/>
      <c r="Y81" s="38"/>
      <c r="Z81" s="36"/>
      <c r="AA81" s="38"/>
      <c r="AB81" s="38"/>
      <c r="AC81" s="38"/>
      <c r="AD81" s="38"/>
      <c r="AE81" s="38"/>
      <c r="AF81" s="38"/>
      <c r="AG81" s="38"/>
      <c r="AH81" s="36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26"/>
      <c r="BC81" s="38"/>
      <c r="BD81" s="26"/>
      <c r="BE81" s="38"/>
      <c r="BF81" s="38"/>
      <c r="BG81" s="36"/>
      <c r="BH81" s="36"/>
    </row>
    <row r="82" spans="1:60" s="37" customFormat="1" ht="15.75" x14ac:dyDescent="0.25">
      <c r="A82" s="36"/>
      <c r="B82" s="36"/>
      <c r="C82" s="36"/>
      <c r="D82" s="36"/>
      <c r="R82" s="1"/>
      <c r="S82" s="38"/>
      <c r="T82" s="38"/>
      <c r="U82" s="38"/>
      <c r="V82" s="38"/>
      <c r="W82" s="38"/>
      <c r="X82" s="38"/>
      <c r="Y82" s="38"/>
      <c r="Z82" s="36"/>
      <c r="AA82" s="38"/>
      <c r="AB82" s="38"/>
      <c r="AC82" s="38"/>
      <c r="AD82" s="38"/>
      <c r="AE82" s="38"/>
      <c r="AF82" s="38"/>
      <c r="AG82" s="38"/>
      <c r="AH82" s="36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26"/>
      <c r="BC82" s="38"/>
      <c r="BD82" s="26"/>
      <c r="BE82" s="38"/>
      <c r="BF82" s="38"/>
      <c r="BG82" s="36"/>
      <c r="BH82" s="36"/>
    </row>
    <row r="83" spans="1:60" s="37" customFormat="1" ht="15.75" x14ac:dyDescent="0.25">
      <c r="A83" s="36"/>
      <c r="B83" s="36"/>
      <c r="C83" s="36"/>
      <c r="D83" s="36"/>
      <c r="R83" s="1"/>
      <c r="S83" s="38"/>
      <c r="T83" s="38"/>
      <c r="U83" s="38"/>
      <c r="V83" s="38"/>
      <c r="W83" s="38"/>
      <c r="X83" s="38"/>
      <c r="Y83" s="38"/>
      <c r="Z83" s="36"/>
      <c r="AA83" s="38"/>
      <c r="AB83" s="38"/>
      <c r="AC83" s="38"/>
      <c r="AD83" s="38"/>
      <c r="AE83" s="38"/>
      <c r="AF83" s="38"/>
      <c r="AG83" s="38"/>
      <c r="AH83" s="36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26"/>
      <c r="BC83" s="38"/>
      <c r="BD83" s="26"/>
      <c r="BE83" s="38"/>
      <c r="BF83" s="38"/>
      <c r="BG83" s="36"/>
      <c r="BH83" s="36"/>
    </row>
    <row r="84" spans="1:60" s="37" customFormat="1" ht="15.75" x14ac:dyDescent="0.25">
      <c r="A84" s="36"/>
      <c r="B84" s="36"/>
      <c r="C84" s="36"/>
      <c r="D84" s="36"/>
      <c r="R84" s="1"/>
      <c r="S84" s="38"/>
      <c r="T84" s="38"/>
      <c r="U84" s="38"/>
      <c r="V84" s="38"/>
      <c r="W84" s="38"/>
      <c r="X84" s="38"/>
      <c r="Y84" s="38"/>
      <c r="Z84" s="36"/>
      <c r="AA84" s="38"/>
      <c r="AB84" s="38"/>
      <c r="AC84" s="38"/>
      <c r="AD84" s="38"/>
      <c r="AE84" s="38"/>
      <c r="AF84" s="38"/>
      <c r="AG84" s="38"/>
      <c r="AH84" s="36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26"/>
      <c r="BC84" s="38"/>
      <c r="BD84" s="26"/>
      <c r="BE84" s="38"/>
      <c r="BF84" s="38"/>
      <c r="BG84" s="36"/>
      <c r="BH84" s="36"/>
    </row>
    <row r="85" spans="1:60" s="37" customFormat="1" ht="15.75" x14ac:dyDescent="0.25">
      <c r="A85" s="36"/>
      <c r="B85" s="36"/>
      <c r="C85" s="36"/>
      <c r="D85" s="36"/>
      <c r="R85" s="1"/>
      <c r="S85" s="38"/>
      <c r="T85" s="38"/>
      <c r="U85" s="38"/>
      <c r="V85" s="38"/>
      <c r="W85" s="38"/>
      <c r="X85" s="38"/>
      <c r="Y85" s="38"/>
      <c r="Z85" s="36"/>
      <c r="AA85" s="38"/>
      <c r="AB85" s="38"/>
      <c r="AC85" s="38"/>
      <c r="AD85" s="38"/>
      <c r="AE85" s="38"/>
      <c r="AF85" s="38"/>
      <c r="AG85" s="38"/>
      <c r="AH85" s="36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26"/>
      <c r="BC85" s="38"/>
      <c r="BD85" s="26"/>
      <c r="BE85" s="38"/>
      <c r="BF85" s="38"/>
      <c r="BG85" s="36"/>
      <c r="BH85" s="36"/>
    </row>
    <row r="86" spans="1:60" s="37" customFormat="1" ht="15.75" x14ac:dyDescent="0.25">
      <c r="A86" s="36"/>
      <c r="B86" s="36"/>
      <c r="C86" s="36"/>
      <c r="D86" s="36"/>
      <c r="R86" s="1"/>
      <c r="S86" s="38"/>
      <c r="T86" s="38"/>
      <c r="U86" s="38"/>
      <c r="V86" s="38"/>
      <c r="W86" s="38"/>
      <c r="X86" s="38"/>
      <c r="Y86" s="38"/>
      <c r="Z86" s="36"/>
      <c r="AA86" s="38"/>
      <c r="AB86" s="38"/>
      <c r="AC86" s="38"/>
      <c r="AD86" s="38"/>
      <c r="AE86" s="38"/>
      <c r="AF86" s="38"/>
      <c r="AG86" s="38"/>
      <c r="AH86" s="36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26"/>
      <c r="BC86" s="38"/>
      <c r="BD86" s="26"/>
      <c r="BE86" s="38"/>
      <c r="BF86" s="38"/>
      <c r="BG86" s="36"/>
      <c r="BH86" s="36"/>
    </row>
    <row r="87" spans="1:60" s="37" customFormat="1" ht="15.75" x14ac:dyDescent="0.25">
      <c r="A87" s="36"/>
      <c r="B87" s="36"/>
      <c r="C87" s="36"/>
      <c r="D87" s="36"/>
      <c r="R87" s="1"/>
      <c r="S87" s="38"/>
      <c r="T87" s="38"/>
      <c r="U87" s="38"/>
      <c r="V87" s="38"/>
      <c r="W87" s="38"/>
      <c r="X87" s="38"/>
      <c r="Y87" s="38"/>
      <c r="Z87" s="36"/>
      <c r="AA87" s="38"/>
      <c r="AB87" s="38"/>
      <c r="AC87" s="38"/>
      <c r="AD87" s="38"/>
      <c r="AE87" s="38"/>
      <c r="AF87" s="38"/>
      <c r="AG87" s="38"/>
      <c r="AH87" s="36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26"/>
      <c r="BC87" s="38"/>
      <c r="BD87" s="26"/>
      <c r="BE87" s="38"/>
      <c r="BF87" s="38"/>
      <c r="BG87" s="36"/>
      <c r="BH87" s="36"/>
    </row>
    <row r="88" spans="1:60" s="37" customFormat="1" ht="15.75" x14ac:dyDescent="0.25">
      <c r="A88" s="36"/>
      <c r="B88" s="36"/>
      <c r="C88" s="36"/>
      <c r="D88" s="36"/>
      <c r="R88" s="1"/>
      <c r="S88" s="38"/>
      <c r="T88" s="38"/>
      <c r="U88" s="38"/>
      <c r="V88" s="38"/>
      <c r="W88" s="38"/>
      <c r="X88" s="38"/>
      <c r="Y88" s="38"/>
      <c r="Z88" s="36"/>
      <c r="AA88" s="38"/>
      <c r="AB88" s="38"/>
      <c r="AC88" s="38"/>
      <c r="AD88" s="38"/>
      <c r="AE88" s="38"/>
      <c r="AF88" s="38"/>
      <c r="AG88" s="38"/>
      <c r="AH88" s="36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26"/>
      <c r="BC88" s="38"/>
      <c r="BD88" s="26"/>
      <c r="BE88" s="38"/>
      <c r="BF88" s="38"/>
      <c r="BG88" s="36"/>
      <c r="BH88" s="36"/>
    </row>
    <row r="89" spans="1:60" s="37" customFormat="1" ht="15.75" x14ac:dyDescent="0.25">
      <c r="A89" s="36"/>
      <c r="B89" s="36"/>
      <c r="C89" s="36"/>
      <c r="D89" s="36"/>
      <c r="R89" s="1"/>
      <c r="S89" s="38"/>
      <c r="T89" s="38"/>
      <c r="U89" s="38"/>
      <c r="V89" s="38"/>
      <c r="W89" s="38"/>
      <c r="X89" s="38"/>
      <c r="Y89" s="38"/>
      <c r="Z89" s="36"/>
      <c r="AA89" s="38"/>
      <c r="AB89" s="38"/>
      <c r="AC89" s="38"/>
      <c r="AD89" s="38"/>
      <c r="AE89" s="38"/>
      <c r="AF89" s="38"/>
      <c r="AG89" s="38"/>
      <c r="AH89" s="36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26"/>
      <c r="BC89" s="38"/>
      <c r="BD89" s="26"/>
      <c r="BE89" s="38"/>
      <c r="BF89" s="38"/>
      <c r="BG89" s="36"/>
      <c r="BH89" s="36"/>
    </row>
    <row r="90" spans="1:60" s="37" customFormat="1" ht="15.75" x14ac:dyDescent="0.25">
      <c r="A90" s="36"/>
      <c r="B90" s="36"/>
      <c r="C90" s="36"/>
      <c r="D90" s="36"/>
      <c r="R90" s="1"/>
      <c r="S90" s="38"/>
      <c r="T90" s="38"/>
      <c r="U90" s="38"/>
      <c r="V90" s="38"/>
      <c r="W90" s="38"/>
      <c r="X90" s="38"/>
      <c r="Y90" s="38"/>
      <c r="Z90" s="36"/>
      <c r="AA90" s="38"/>
      <c r="AB90" s="38"/>
      <c r="AC90" s="38"/>
      <c r="AD90" s="38"/>
      <c r="AE90" s="38"/>
      <c r="AF90" s="38"/>
      <c r="AG90" s="38"/>
      <c r="AH90" s="36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26"/>
      <c r="BC90" s="38"/>
      <c r="BD90" s="26"/>
      <c r="BE90" s="38"/>
      <c r="BF90" s="38"/>
      <c r="BG90" s="36"/>
      <c r="BH90" s="36"/>
    </row>
    <row r="91" spans="1:60" s="37" customFormat="1" ht="15.75" x14ac:dyDescent="0.25">
      <c r="A91" s="36"/>
      <c r="B91" s="36"/>
      <c r="C91" s="36"/>
      <c r="D91" s="36"/>
      <c r="R91" s="1"/>
      <c r="S91" s="38"/>
      <c r="T91" s="38"/>
      <c r="U91" s="38"/>
      <c r="V91" s="38"/>
      <c r="W91" s="38"/>
      <c r="X91" s="38"/>
      <c r="Y91" s="38"/>
      <c r="Z91" s="36"/>
      <c r="AA91" s="38"/>
      <c r="AB91" s="38"/>
      <c r="AC91" s="38"/>
      <c r="AD91" s="38"/>
      <c r="AE91" s="38"/>
      <c r="AF91" s="38"/>
      <c r="AG91" s="38"/>
      <c r="AH91" s="36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26"/>
      <c r="BC91" s="38"/>
      <c r="BD91" s="26"/>
      <c r="BE91" s="38"/>
      <c r="BF91" s="38"/>
      <c r="BG91" s="36"/>
      <c r="BH91" s="36"/>
    </row>
    <row r="92" spans="1:60" s="37" customFormat="1" ht="15.75" x14ac:dyDescent="0.25">
      <c r="A92" s="36"/>
      <c r="B92" s="36"/>
      <c r="C92" s="36"/>
      <c r="D92" s="36"/>
      <c r="R92" s="1"/>
      <c r="S92" s="38"/>
      <c r="T92" s="38"/>
      <c r="U92" s="38"/>
      <c r="V92" s="38"/>
      <c r="W92" s="38"/>
      <c r="X92" s="38"/>
      <c r="Y92" s="38"/>
      <c r="Z92" s="36"/>
      <c r="AA92" s="38"/>
      <c r="AB92" s="38"/>
      <c r="AC92" s="38"/>
      <c r="AD92" s="38"/>
      <c r="AE92" s="38"/>
      <c r="AF92" s="38"/>
      <c r="AG92" s="38"/>
      <c r="AH92" s="36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26"/>
      <c r="BC92" s="38"/>
      <c r="BD92" s="26"/>
      <c r="BE92" s="38"/>
      <c r="BF92" s="38"/>
      <c r="BG92" s="36"/>
      <c r="BH92" s="36"/>
    </row>
    <row r="93" spans="1:60" s="37" customFormat="1" ht="15.75" x14ac:dyDescent="0.25">
      <c r="A93" s="36"/>
      <c r="B93" s="36"/>
      <c r="C93" s="36"/>
      <c r="D93" s="36"/>
      <c r="R93" s="1"/>
      <c r="S93" s="38"/>
      <c r="T93" s="38"/>
      <c r="U93" s="38"/>
      <c r="V93" s="38"/>
      <c r="W93" s="38"/>
      <c r="X93" s="38"/>
      <c r="Y93" s="38"/>
      <c r="Z93" s="36"/>
      <c r="AA93" s="38"/>
      <c r="AB93" s="38"/>
      <c r="AC93" s="38"/>
      <c r="AD93" s="38"/>
      <c r="AE93" s="38"/>
      <c r="AF93" s="38"/>
      <c r="AG93" s="38"/>
      <c r="AH93" s="36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26"/>
      <c r="BC93" s="38"/>
      <c r="BD93" s="26"/>
      <c r="BE93" s="38"/>
      <c r="BF93" s="38"/>
      <c r="BG93" s="36"/>
      <c r="BH93" s="36"/>
    </row>
    <row r="94" spans="1:60" s="37" customFormat="1" ht="15.75" x14ac:dyDescent="0.25">
      <c r="A94" s="36"/>
      <c r="B94" s="36"/>
      <c r="C94" s="36"/>
      <c r="D94" s="36"/>
      <c r="R94" s="1"/>
      <c r="S94" s="38"/>
      <c r="T94" s="38"/>
      <c r="U94" s="38"/>
      <c r="V94" s="38"/>
      <c r="W94" s="38"/>
      <c r="X94" s="38"/>
      <c r="Y94" s="38"/>
      <c r="Z94" s="36"/>
      <c r="AA94" s="38"/>
      <c r="AB94" s="38"/>
      <c r="AC94" s="38"/>
      <c r="AD94" s="38"/>
      <c r="AE94" s="38"/>
      <c r="AF94" s="38"/>
      <c r="AG94" s="38"/>
      <c r="AH94" s="36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26"/>
      <c r="BC94" s="38"/>
      <c r="BD94" s="26"/>
      <c r="BE94" s="38"/>
      <c r="BF94" s="38"/>
      <c r="BG94" s="36"/>
      <c r="BH94" s="36"/>
    </row>
    <row r="95" spans="1:60" s="37" customFormat="1" ht="15.75" x14ac:dyDescent="0.25">
      <c r="A95" s="36"/>
      <c r="B95" s="36"/>
      <c r="C95" s="36"/>
      <c r="D95" s="36"/>
      <c r="R95" s="1"/>
      <c r="S95" s="38"/>
      <c r="T95" s="38"/>
      <c r="U95" s="38"/>
      <c r="V95" s="38"/>
      <c r="W95" s="38"/>
      <c r="X95" s="38"/>
      <c r="Y95" s="38"/>
      <c r="Z95" s="36"/>
      <c r="AA95" s="38"/>
      <c r="AB95" s="38"/>
      <c r="AC95" s="38"/>
      <c r="AD95" s="38"/>
      <c r="AE95" s="38"/>
      <c r="AF95" s="38"/>
      <c r="AG95" s="38"/>
      <c r="AH95" s="36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26"/>
      <c r="BC95" s="38"/>
      <c r="BD95" s="26"/>
      <c r="BE95" s="38"/>
      <c r="BF95" s="38"/>
      <c r="BG95" s="36"/>
      <c r="BH95" s="36"/>
    </row>
    <row r="96" spans="1:60" s="37" customFormat="1" ht="15.75" x14ac:dyDescent="0.25">
      <c r="A96" s="36"/>
      <c r="B96" s="36"/>
      <c r="C96" s="36"/>
      <c r="D96" s="36"/>
      <c r="R96" s="1"/>
      <c r="S96" s="38"/>
      <c r="T96" s="38"/>
      <c r="U96" s="38"/>
      <c r="V96" s="38"/>
      <c r="W96" s="38"/>
      <c r="X96" s="38"/>
      <c r="Y96" s="38"/>
      <c r="Z96" s="36"/>
      <c r="AA96" s="38"/>
      <c r="AB96" s="38"/>
      <c r="AC96" s="38"/>
      <c r="AD96" s="38"/>
      <c r="AE96" s="38"/>
      <c r="AF96" s="38"/>
      <c r="AG96" s="38"/>
      <c r="AH96" s="36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26"/>
      <c r="BC96" s="38"/>
      <c r="BD96" s="26"/>
      <c r="BE96" s="38"/>
      <c r="BF96" s="38"/>
      <c r="BG96" s="36"/>
      <c r="BH96" s="36"/>
    </row>
    <row r="97" spans="1:60" s="37" customFormat="1" ht="15.75" x14ac:dyDescent="0.25">
      <c r="A97" s="36"/>
      <c r="B97" s="36"/>
      <c r="C97" s="36"/>
      <c r="D97" s="36"/>
      <c r="R97" s="1"/>
      <c r="S97" s="38"/>
      <c r="T97" s="38"/>
      <c r="U97" s="38"/>
      <c r="V97" s="38"/>
      <c r="W97" s="38"/>
      <c r="X97" s="38"/>
      <c r="Y97" s="38"/>
      <c r="Z97" s="36"/>
      <c r="AA97" s="38"/>
      <c r="AB97" s="38"/>
      <c r="AC97" s="38"/>
      <c r="AD97" s="38"/>
      <c r="AE97" s="38"/>
      <c r="AF97" s="38"/>
      <c r="AG97" s="38"/>
      <c r="AH97" s="36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26"/>
      <c r="BC97" s="38"/>
      <c r="BD97" s="26"/>
      <c r="BE97" s="38"/>
      <c r="BF97" s="38"/>
      <c r="BG97" s="36"/>
      <c r="BH97" s="36"/>
    </row>
    <row r="98" spans="1:60" s="37" customFormat="1" ht="15.75" x14ac:dyDescent="0.25">
      <c r="A98" s="36"/>
      <c r="B98" s="36"/>
      <c r="C98" s="36"/>
      <c r="D98" s="36"/>
      <c r="R98" s="1"/>
      <c r="S98" s="38"/>
      <c r="T98" s="38"/>
      <c r="U98" s="38"/>
      <c r="V98" s="38"/>
      <c r="W98" s="38"/>
      <c r="X98" s="38"/>
      <c r="Y98" s="38"/>
      <c r="Z98" s="36"/>
      <c r="AA98" s="38"/>
      <c r="AB98" s="38"/>
      <c r="AC98" s="38"/>
      <c r="AD98" s="38"/>
      <c r="AE98" s="38"/>
      <c r="AF98" s="38"/>
      <c r="AG98" s="38"/>
      <c r="AH98" s="36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26"/>
      <c r="BC98" s="38"/>
      <c r="BD98" s="26"/>
      <c r="BE98" s="38"/>
      <c r="BF98" s="38"/>
      <c r="BG98" s="36"/>
      <c r="BH98" s="36"/>
    </row>
    <row r="99" spans="1:60" s="37" customFormat="1" ht="15.75" x14ac:dyDescent="0.25">
      <c r="A99" s="36"/>
      <c r="B99" s="36"/>
      <c r="C99" s="36"/>
      <c r="D99" s="36"/>
      <c r="R99" s="1"/>
      <c r="S99" s="38"/>
      <c r="T99" s="38"/>
      <c r="U99" s="38"/>
      <c r="V99" s="38"/>
      <c r="W99" s="38"/>
      <c r="X99" s="38"/>
      <c r="Y99" s="38"/>
      <c r="Z99" s="36"/>
      <c r="AA99" s="38"/>
      <c r="AB99" s="38"/>
      <c r="AC99" s="38"/>
      <c r="AD99" s="38"/>
      <c r="AE99" s="38"/>
      <c r="AF99" s="38"/>
      <c r="AG99" s="38"/>
      <c r="AH99" s="36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26"/>
      <c r="BC99" s="38"/>
      <c r="BD99" s="26"/>
      <c r="BE99" s="38"/>
      <c r="BF99" s="38"/>
      <c r="BG99" s="36"/>
      <c r="BH99" s="36"/>
    </row>
    <row r="100" spans="1:60" s="37" customFormat="1" ht="15.75" x14ac:dyDescent="0.25">
      <c r="A100" s="36"/>
      <c r="B100" s="36"/>
      <c r="C100" s="36"/>
      <c r="D100" s="36"/>
      <c r="R100" s="1"/>
      <c r="S100" s="38"/>
      <c r="T100" s="38"/>
      <c r="U100" s="38"/>
      <c r="V100" s="38"/>
      <c r="W100" s="38"/>
      <c r="X100" s="38"/>
      <c r="Y100" s="38"/>
      <c r="Z100" s="36"/>
      <c r="AA100" s="38"/>
      <c r="AB100" s="38"/>
      <c r="AC100" s="38"/>
      <c r="AD100" s="38"/>
      <c r="AE100" s="38"/>
      <c r="AF100" s="38"/>
      <c r="AG100" s="38"/>
      <c r="AH100" s="36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26"/>
      <c r="BC100" s="38"/>
      <c r="BD100" s="26"/>
      <c r="BE100" s="38"/>
      <c r="BF100" s="38"/>
      <c r="BG100" s="36"/>
      <c r="BH100" s="36"/>
    </row>
    <row r="101" spans="1:60" s="37" customFormat="1" ht="15.75" x14ac:dyDescent="0.25">
      <c r="A101" s="36"/>
      <c r="B101" s="36"/>
      <c r="C101" s="36"/>
      <c r="D101" s="36"/>
      <c r="R101" s="1"/>
      <c r="S101" s="38"/>
      <c r="T101" s="38"/>
      <c r="U101" s="38"/>
      <c r="V101" s="38"/>
      <c r="W101" s="38"/>
      <c r="X101" s="38"/>
      <c r="Y101" s="38"/>
      <c r="Z101" s="36"/>
      <c r="AA101" s="38"/>
      <c r="AB101" s="38"/>
      <c r="AC101" s="38"/>
      <c r="AD101" s="38"/>
      <c r="AE101" s="38"/>
      <c r="AF101" s="38"/>
      <c r="AG101" s="38"/>
      <c r="AH101" s="36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26"/>
      <c r="BC101" s="38"/>
      <c r="BD101" s="26"/>
      <c r="BE101" s="38"/>
      <c r="BF101" s="38"/>
      <c r="BG101" s="36"/>
      <c r="BH101" s="36"/>
    </row>
    <row r="102" spans="1:60" s="37" customFormat="1" ht="15.75" x14ac:dyDescent="0.25">
      <c r="A102" s="36"/>
      <c r="B102" s="36"/>
      <c r="C102" s="36"/>
      <c r="D102" s="36"/>
      <c r="R102" s="1"/>
      <c r="S102" s="38"/>
      <c r="T102" s="38"/>
      <c r="U102" s="38"/>
      <c r="V102" s="38"/>
      <c r="W102" s="38"/>
      <c r="X102" s="38"/>
      <c r="Y102" s="38"/>
      <c r="Z102" s="36"/>
      <c r="AA102" s="38"/>
      <c r="AB102" s="38"/>
      <c r="AC102" s="38"/>
      <c r="AD102" s="38"/>
      <c r="AE102" s="38"/>
      <c r="AF102" s="38"/>
      <c r="AG102" s="38"/>
      <c r="AH102" s="36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26"/>
      <c r="BC102" s="38"/>
      <c r="BD102" s="26"/>
      <c r="BE102" s="38"/>
      <c r="BF102" s="38"/>
      <c r="BG102" s="36"/>
      <c r="BH102" s="36"/>
    </row>
    <row r="103" spans="1:60" s="37" customFormat="1" ht="15.75" x14ac:dyDescent="0.25">
      <c r="A103" s="36"/>
      <c r="B103" s="36"/>
      <c r="C103" s="36"/>
      <c r="D103" s="36"/>
      <c r="R103" s="1"/>
      <c r="S103" s="38"/>
      <c r="T103" s="38"/>
      <c r="U103" s="38"/>
      <c r="V103" s="38"/>
      <c r="W103" s="38"/>
      <c r="X103" s="38"/>
      <c r="Y103" s="38"/>
      <c r="Z103" s="36"/>
      <c r="AA103" s="38"/>
      <c r="AB103" s="38"/>
      <c r="AC103" s="38"/>
      <c r="AD103" s="38"/>
      <c r="AE103" s="38"/>
      <c r="AF103" s="38"/>
      <c r="AG103" s="38"/>
      <c r="AH103" s="36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26"/>
      <c r="BC103" s="38"/>
      <c r="BD103" s="26"/>
      <c r="BE103" s="38"/>
      <c r="BF103" s="38"/>
      <c r="BG103" s="36"/>
      <c r="BH103" s="36"/>
    </row>
    <row r="104" spans="1:60" s="37" customFormat="1" ht="15.75" x14ac:dyDescent="0.25">
      <c r="A104" s="36"/>
      <c r="B104" s="36"/>
      <c r="C104" s="36"/>
      <c r="D104" s="36"/>
      <c r="R104" s="1"/>
      <c r="S104" s="38"/>
      <c r="T104" s="38"/>
      <c r="U104" s="38"/>
      <c r="V104" s="38"/>
      <c r="W104" s="38"/>
      <c r="X104" s="38"/>
      <c r="Y104" s="38"/>
      <c r="Z104" s="36"/>
      <c r="AA104" s="38"/>
      <c r="AB104" s="38"/>
      <c r="AC104" s="38"/>
      <c r="AD104" s="38"/>
      <c r="AE104" s="38"/>
      <c r="AF104" s="38"/>
      <c r="AG104" s="38"/>
      <c r="AH104" s="36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26"/>
      <c r="BC104" s="38"/>
      <c r="BD104" s="26"/>
      <c r="BE104" s="38"/>
      <c r="BF104" s="38"/>
      <c r="BG104" s="36"/>
      <c r="BH104" s="36"/>
    </row>
    <row r="105" spans="1:60" s="37" customFormat="1" ht="15.75" x14ac:dyDescent="0.25">
      <c r="A105" s="36"/>
      <c r="B105" s="36"/>
      <c r="C105" s="36"/>
      <c r="D105" s="36"/>
      <c r="R105" s="1"/>
      <c r="S105" s="38"/>
      <c r="T105" s="38"/>
      <c r="U105" s="38"/>
      <c r="V105" s="38"/>
      <c r="W105" s="38"/>
      <c r="X105" s="38"/>
      <c r="Y105" s="38"/>
      <c r="Z105" s="36"/>
      <c r="AA105" s="38"/>
      <c r="AB105" s="38"/>
      <c r="AC105" s="38"/>
      <c r="AD105" s="38"/>
      <c r="AE105" s="38"/>
      <c r="AF105" s="38"/>
      <c r="AG105" s="38"/>
      <c r="AH105" s="36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26"/>
      <c r="BC105" s="38"/>
      <c r="BD105" s="26"/>
      <c r="BE105" s="38"/>
      <c r="BF105" s="38"/>
      <c r="BG105" s="36"/>
      <c r="BH105" s="36"/>
    </row>
    <row r="106" spans="1:60" s="37" customFormat="1" ht="15.75" x14ac:dyDescent="0.25">
      <c r="A106" s="36"/>
      <c r="B106" s="36"/>
      <c r="C106" s="36"/>
      <c r="D106" s="36"/>
      <c r="R106" s="1"/>
      <c r="S106" s="38"/>
      <c r="T106" s="38"/>
      <c r="U106" s="38"/>
      <c r="V106" s="38"/>
      <c r="W106" s="38"/>
      <c r="X106" s="38"/>
      <c r="Y106" s="38"/>
      <c r="Z106" s="36"/>
      <c r="AA106" s="38"/>
      <c r="AB106" s="38"/>
      <c r="AC106" s="38"/>
      <c r="AD106" s="38"/>
      <c r="AE106" s="38"/>
      <c r="AF106" s="38"/>
      <c r="AG106" s="38"/>
      <c r="AH106" s="36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26"/>
      <c r="BC106" s="38"/>
      <c r="BD106" s="26"/>
      <c r="BE106" s="38"/>
      <c r="BF106" s="38"/>
      <c r="BG106" s="36"/>
      <c r="BH106" s="36"/>
    </row>
    <row r="107" spans="1:60" s="37" customFormat="1" ht="15.75" x14ac:dyDescent="0.25">
      <c r="A107" s="36"/>
      <c r="B107" s="36"/>
      <c r="C107" s="36"/>
      <c r="D107" s="36"/>
      <c r="R107" s="1"/>
      <c r="S107" s="38"/>
      <c r="T107" s="38"/>
      <c r="U107" s="38"/>
      <c r="V107" s="38"/>
      <c r="W107" s="38"/>
      <c r="X107" s="38"/>
      <c r="Y107" s="38"/>
      <c r="Z107" s="36"/>
      <c r="AA107" s="38"/>
      <c r="AB107" s="38"/>
      <c r="AC107" s="38"/>
      <c r="AD107" s="38"/>
      <c r="AE107" s="38"/>
      <c r="AF107" s="38"/>
      <c r="AG107" s="38"/>
      <c r="AH107" s="36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26"/>
      <c r="BC107" s="38"/>
      <c r="BD107" s="26"/>
      <c r="BE107" s="38"/>
      <c r="BF107" s="38"/>
      <c r="BG107" s="36"/>
      <c r="BH107" s="36"/>
    </row>
    <row r="108" spans="1:60" s="37" customFormat="1" ht="15.75" x14ac:dyDescent="0.25">
      <c r="A108" s="36"/>
      <c r="B108" s="36"/>
      <c r="C108" s="36"/>
      <c r="D108" s="36"/>
      <c r="R108" s="1"/>
      <c r="S108" s="38"/>
      <c r="T108" s="38"/>
      <c r="U108" s="38"/>
      <c r="V108" s="38"/>
      <c r="W108" s="38"/>
      <c r="X108" s="38"/>
      <c r="Y108" s="38"/>
      <c r="Z108" s="36"/>
      <c r="AA108" s="38"/>
      <c r="AB108" s="38"/>
      <c r="AC108" s="38"/>
      <c r="AD108" s="38"/>
      <c r="AE108" s="38"/>
      <c r="AF108" s="38"/>
      <c r="AG108" s="38"/>
      <c r="AH108" s="36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26"/>
      <c r="BC108" s="38"/>
      <c r="BD108" s="26"/>
      <c r="BE108" s="38"/>
      <c r="BF108" s="38"/>
      <c r="BG108" s="36"/>
      <c r="BH108" s="36"/>
    </row>
    <row r="109" spans="1:60" s="37" customFormat="1" ht="15.75" x14ac:dyDescent="0.25">
      <c r="A109" s="36"/>
      <c r="B109" s="36"/>
      <c r="C109" s="36"/>
      <c r="D109" s="36"/>
      <c r="R109" s="1"/>
      <c r="S109" s="38"/>
      <c r="T109" s="38"/>
      <c r="U109" s="38"/>
      <c r="V109" s="38"/>
      <c r="W109" s="38"/>
      <c r="X109" s="38"/>
      <c r="Y109" s="38"/>
      <c r="Z109" s="36"/>
      <c r="AA109" s="38"/>
      <c r="AB109" s="38"/>
      <c r="AC109" s="38"/>
      <c r="AD109" s="38"/>
      <c r="AE109" s="38"/>
      <c r="AF109" s="38"/>
      <c r="AG109" s="38"/>
      <c r="AH109" s="36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26"/>
      <c r="BC109" s="38"/>
      <c r="BD109" s="26"/>
      <c r="BE109" s="38"/>
      <c r="BF109" s="38"/>
      <c r="BG109" s="36"/>
      <c r="BH109" s="36"/>
    </row>
    <row r="110" spans="1:60" s="37" customFormat="1" ht="15.75" x14ac:dyDescent="0.25">
      <c r="A110" s="36"/>
      <c r="B110" s="36"/>
      <c r="C110" s="36"/>
      <c r="D110" s="36"/>
      <c r="R110" s="1"/>
      <c r="S110" s="38"/>
      <c r="T110" s="38"/>
      <c r="U110" s="38"/>
      <c r="V110" s="38"/>
      <c r="W110" s="38"/>
      <c r="X110" s="38"/>
      <c r="Y110" s="38"/>
      <c r="Z110" s="36"/>
      <c r="AA110" s="38"/>
      <c r="AB110" s="38"/>
      <c r="AC110" s="38"/>
      <c r="AD110" s="38"/>
      <c r="AE110" s="38"/>
      <c r="AF110" s="38"/>
      <c r="AG110" s="38"/>
      <c r="AH110" s="36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26"/>
      <c r="BC110" s="38"/>
      <c r="BD110" s="26"/>
      <c r="BE110" s="38"/>
      <c r="BF110" s="38"/>
      <c r="BG110" s="36"/>
      <c r="BH110" s="36"/>
    </row>
    <row r="111" spans="1:60" s="37" customFormat="1" ht="15.75" x14ac:dyDescent="0.25">
      <c r="A111" s="36"/>
      <c r="B111" s="36"/>
      <c r="C111" s="36"/>
      <c r="D111" s="36"/>
      <c r="R111" s="1"/>
      <c r="S111" s="38"/>
      <c r="T111" s="38"/>
      <c r="U111" s="38"/>
      <c r="V111" s="38"/>
      <c r="W111" s="38"/>
      <c r="X111" s="38"/>
      <c r="Y111" s="38"/>
      <c r="Z111" s="36"/>
      <c r="AA111" s="38"/>
      <c r="AB111" s="38"/>
      <c r="AC111" s="38"/>
      <c r="AD111" s="38"/>
      <c r="AE111" s="38"/>
      <c r="AF111" s="38"/>
      <c r="AG111" s="38"/>
      <c r="AH111" s="36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26"/>
      <c r="BC111" s="38"/>
      <c r="BD111" s="26"/>
      <c r="BE111" s="38"/>
      <c r="BF111" s="38"/>
      <c r="BG111" s="36"/>
      <c r="BH111" s="36"/>
    </row>
    <row r="112" spans="1:60" s="37" customFormat="1" ht="15.75" x14ac:dyDescent="0.25">
      <c r="A112" s="36"/>
      <c r="B112" s="36"/>
      <c r="C112" s="36"/>
      <c r="D112" s="36"/>
      <c r="R112" s="1"/>
      <c r="S112" s="38"/>
      <c r="T112" s="38"/>
      <c r="U112" s="38"/>
      <c r="V112" s="38"/>
      <c r="W112" s="38"/>
      <c r="X112" s="38"/>
      <c r="Y112" s="38"/>
      <c r="Z112" s="36"/>
      <c r="AA112" s="38"/>
      <c r="AB112" s="38"/>
      <c r="AC112" s="38"/>
      <c r="AD112" s="38"/>
      <c r="AE112" s="38"/>
      <c r="AF112" s="38"/>
      <c r="AG112" s="38"/>
      <c r="AH112" s="36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26"/>
      <c r="BC112" s="38"/>
      <c r="BD112" s="26"/>
      <c r="BE112" s="38"/>
      <c r="BF112" s="38"/>
      <c r="BG112" s="36"/>
      <c r="BH112" s="36"/>
    </row>
    <row r="113" spans="1:60" s="37" customFormat="1" ht="15.75" x14ac:dyDescent="0.25">
      <c r="A113" s="36"/>
      <c r="B113" s="36"/>
      <c r="C113" s="36"/>
      <c r="D113" s="36"/>
      <c r="R113" s="1"/>
      <c r="S113" s="38"/>
      <c r="T113" s="38"/>
      <c r="U113" s="38"/>
      <c r="V113" s="38"/>
      <c r="W113" s="38"/>
      <c r="X113" s="38"/>
      <c r="Y113" s="38"/>
      <c r="Z113" s="36"/>
      <c r="AA113" s="38"/>
      <c r="AB113" s="38"/>
      <c r="AC113" s="38"/>
      <c r="AD113" s="38"/>
      <c r="AE113" s="38"/>
      <c r="AF113" s="38"/>
      <c r="AG113" s="38"/>
      <c r="AH113" s="36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26"/>
      <c r="BC113" s="38"/>
      <c r="BD113" s="26"/>
      <c r="BE113" s="38"/>
      <c r="BF113" s="38"/>
      <c r="BG113" s="36"/>
      <c r="BH113" s="36"/>
    </row>
    <row r="114" spans="1:60" s="37" customFormat="1" ht="15.75" x14ac:dyDescent="0.25">
      <c r="A114" s="36"/>
      <c r="B114" s="36"/>
      <c r="C114" s="36"/>
      <c r="D114" s="36"/>
      <c r="R114" s="1"/>
      <c r="S114" s="38"/>
      <c r="T114" s="38"/>
      <c r="U114" s="38"/>
      <c r="V114" s="38"/>
      <c r="W114" s="38"/>
      <c r="X114" s="38"/>
      <c r="Y114" s="38"/>
      <c r="Z114" s="36"/>
      <c r="AA114" s="38"/>
      <c r="AB114" s="38"/>
      <c r="AC114" s="38"/>
      <c r="AD114" s="38"/>
      <c r="AE114" s="38"/>
      <c r="AF114" s="38"/>
      <c r="AG114" s="38"/>
      <c r="AH114" s="36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26"/>
      <c r="BC114" s="38"/>
      <c r="BD114" s="26"/>
      <c r="BE114" s="38"/>
      <c r="BF114" s="38"/>
      <c r="BG114" s="36"/>
      <c r="BH114" s="36"/>
    </row>
    <row r="115" spans="1:60" s="37" customFormat="1" ht="15.75" x14ac:dyDescent="0.25">
      <c r="A115" s="36"/>
      <c r="B115" s="36"/>
      <c r="C115" s="36"/>
      <c r="D115" s="36"/>
      <c r="R115" s="1"/>
      <c r="S115" s="38"/>
      <c r="T115" s="38"/>
      <c r="U115" s="38"/>
      <c r="V115" s="38"/>
      <c r="W115" s="38"/>
      <c r="X115" s="38"/>
      <c r="Y115" s="38"/>
      <c r="Z115" s="36"/>
      <c r="AA115" s="38"/>
      <c r="AB115" s="38"/>
      <c r="AC115" s="38"/>
      <c r="AD115" s="38"/>
      <c r="AE115" s="38"/>
      <c r="AF115" s="38"/>
      <c r="AG115" s="38"/>
      <c r="AH115" s="36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26"/>
      <c r="BC115" s="38"/>
      <c r="BD115" s="26"/>
      <c r="BE115" s="38"/>
      <c r="BF115" s="38"/>
      <c r="BG115" s="36"/>
      <c r="BH115" s="36"/>
    </row>
    <row r="116" spans="1:60" s="37" customFormat="1" ht="15.75" x14ac:dyDescent="0.25">
      <c r="A116" s="36"/>
      <c r="B116" s="36"/>
      <c r="C116" s="36"/>
      <c r="D116" s="36"/>
      <c r="R116" s="1"/>
      <c r="S116" s="38"/>
      <c r="T116" s="38"/>
      <c r="U116" s="38"/>
      <c r="V116" s="38"/>
      <c r="W116" s="38"/>
      <c r="X116" s="38"/>
      <c r="Y116" s="38"/>
      <c r="Z116" s="36"/>
      <c r="AA116" s="38"/>
      <c r="AB116" s="38"/>
      <c r="AC116" s="38"/>
      <c r="AD116" s="38"/>
      <c r="AE116" s="38"/>
      <c r="AF116" s="38"/>
      <c r="AG116" s="38"/>
      <c r="AH116" s="36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26"/>
      <c r="BC116" s="38"/>
      <c r="BD116" s="26"/>
      <c r="BE116" s="38"/>
      <c r="BF116" s="38"/>
      <c r="BG116" s="36"/>
      <c r="BH116" s="36"/>
    </row>
    <row r="117" spans="1:60" s="37" customFormat="1" ht="15.75" x14ac:dyDescent="0.25">
      <c r="A117" s="36"/>
      <c r="B117" s="36"/>
      <c r="C117" s="36"/>
      <c r="D117" s="36"/>
      <c r="R117" s="1"/>
      <c r="S117" s="38"/>
      <c r="T117" s="38"/>
      <c r="U117" s="38"/>
      <c r="V117" s="38"/>
      <c r="W117" s="38"/>
      <c r="X117" s="38"/>
      <c r="Y117" s="38"/>
      <c r="Z117" s="36"/>
      <c r="AA117" s="38"/>
      <c r="AB117" s="38"/>
      <c r="AC117" s="38"/>
      <c r="AD117" s="38"/>
      <c r="AE117" s="38"/>
      <c r="AF117" s="38"/>
      <c r="AG117" s="38"/>
      <c r="AH117" s="36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26"/>
      <c r="BC117" s="38"/>
      <c r="BD117" s="26"/>
      <c r="BE117" s="38"/>
      <c r="BF117" s="38"/>
      <c r="BG117" s="36"/>
      <c r="BH117" s="36"/>
    </row>
    <row r="118" spans="1:60" s="37" customFormat="1" ht="15.75" x14ac:dyDescent="0.25">
      <c r="A118" s="36"/>
      <c r="B118" s="36"/>
      <c r="C118" s="36"/>
      <c r="D118" s="36"/>
      <c r="R118" s="1"/>
      <c r="S118" s="38"/>
      <c r="T118" s="38"/>
      <c r="U118" s="38"/>
      <c r="V118" s="38"/>
      <c r="W118" s="38"/>
      <c r="X118" s="38"/>
      <c r="Y118" s="38"/>
      <c r="Z118" s="36"/>
      <c r="AA118" s="38"/>
      <c r="AB118" s="38"/>
      <c r="AC118" s="38"/>
      <c r="AD118" s="38"/>
      <c r="AE118" s="38"/>
      <c r="AF118" s="38"/>
      <c r="AG118" s="38"/>
      <c r="AH118" s="36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26"/>
      <c r="BC118" s="38"/>
      <c r="BD118" s="26"/>
      <c r="BE118" s="38"/>
      <c r="BF118" s="38"/>
      <c r="BG118" s="36"/>
      <c r="BH118" s="36"/>
    </row>
    <row r="119" spans="1:60" s="37" customFormat="1" ht="15.75" x14ac:dyDescent="0.25">
      <c r="A119" s="36"/>
      <c r="B119" s="36"/>
      <c r="C119" s="36"/>
      <c r="D119" s="36"/>
      <c r="R119" s="1"/>
      <c r="S119" s="38"/>
      <c r="T119" s="38"/>
      <c r="U119" s="38"/>
      <c r="V119" s="38"/>
      <c r="W119" s="38"/>
      <c r="X119" s="38"/>
      <c r="Y119" s="38"/>
      <c r="Z119" s="36"/>
      <c r="AA119" s="38"/>
      <c r="AB119" s="38"/>
      <c r="AC119" s="38"/>
      <c r="AD119" s="38"/>
      <c r="AE119" s="38"/>
      <c r="AF119" s="38"/>
      <c r="AG119" s="38"/>
      <c r="AH119" s="36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26"/>
      <c r="BC119" s="38"/>
      <c r="BD119" s="26"/>
      <c r="BE119" s="38"/>
      <c r="BF119" s="38"/>
      <c r="BG119" s="36"/>
      <c r="BH119" s="36"/>
    </row>
    <row r="120" spans="1:60" s="37" customFormat="1" ht="15.75" x14ac:dyDescent="0.25">
      <c r="A120" s="36"/>
      <c r="B120" s="36"/>
      <c r="C120" s="36"/>
      <c r="D120" s="36"/>
      <c r="R120" s="1"/>
      <c r="S120" s="38"/>
      <c r="T120" s="38"/>
      <c r="U120" s="38"/>
      <c r="V120" s="38"/>
      <c r="W120" s="38"/>
      <c r="X120" s="38"/>
      <c r="Y120" s="38"/>
      <c r="Z120" s="36"/>
      <c r="AA120" s="38"/>
      <c r="AB120" s="38"/>
      <c r="AC120" s="38"/>
      <c r="AD120" s="38"/>
      <c r="AE120" s="38"/>
      <c r="AF120" s="38"/>
      <c r="AG120" s="38"/>
      <c r="AH120" s="36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26"/>
      <c r="BC120" s="38"/>
      <c r="BD120" s="26"/>
      <c r="BE120" s="38"/>
      <c r="BF120" s="38"/>
      <c r="BG120" s="36"/>
      <c r="BH120" s="36"/>
    </row>
    <row r="121" spans="1:60" s="37" customFormat="1" ht="15.75" x14ac:dyDescent="0.25">
      <c r="A121" s="36"/>
      <c r="B121" s="36"/>
      <c r="C121" s="36"/>
      <c r="D121" s="36"/>
      <c r="R121" s="1"/>
      <c r="S121" s="38"/>
      <c r="T121" s="38"/>
      <c r="U121" s="38"/>
      <c r="V121" s="38"/>
      <c r="W121" s="38"/>
      <c r="X121" s="38"/>
      <c r="Y121" s="38"/>
      <c r="Z121" s="36"/>
      <c r="AA121" s="38"/>
      <c r="AB121" s="38"/>
      <c r="AC121" s="38"/>
      <c r="AD121" s="38"/>
      <c r="AE121" s="38"/>
      <c r="AF121" s="38"/>
      <c r="AG121" s="38"/>
      <c r="AH121" s="36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26"/>
      <c r="BC121" s="38"/>
      <c r="BD121" s="26"/>
      <c r="BE121" s="38"/>
      <c r="BF121" s="38"/>
      <c r="BG121" s="36"/>
      <c r="BH121" s="36"/>
    </row>
    <row r="122" spans="1:60" s="37" customFormat="1" ht="15.75" x14ac:dyDescent="0.25">
      <c r="A122" s="36"/>
      <c r="B122" s="36"/>
      <c r="C122" s="36"/>
      <c r="D122" s="36"/>
      <c r="R122" s="1"/>
      <c r="S122" s="38"/>
      <c r="T122" s="38"/>
      <c r="U122" s="38"/>
      <c r="V122" s="38"/>
      <c r="W122" s="38"/>
      <c r="X122" s="38"/>
      <c r="Y122" s="38"/>
      <c r="Z122" s="36"/>
      <c r="AA122" s="38"/>
      <c r="AB122" s="38"/>
      <c r="AC122" s="38"/>
      <c r="AD122" s="38"/>
      <c r="AE122" s="38"/>
      <c r="AF122" s="38"/>
      <c r="AG122" s="38"/>
      <c r="AH122" s="36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26"/>
      <c r="BC122" s="38"/>
      <c r="BD122" s="26"/>
      <c r="BE122" s="38"/>
      <c r="BF122" s="38"/>
      <c r="BG122" s="36"/>
      <c r="BH122" s="36"/>
    </row>
    <row r="123" spans="1:60" s="37" customFormat="1" ht="15.75" x14ac:dyDescent="0.25">
      <c r="A123" s="36"/>
      <c r="B123" s="36"/>
      <c r="C123" s="36"/>
      <c r="D123" s="36"/>
      <c r="R123" s="1"/>
      <c r="S123" s="38"/>
      <c r="T123" s="38"/>
      <c r="U123" s="38"/>
      <c r="V123" s="38"/>
      <c r="W123" s="38"/>
      <c r="X123" s="38"/>
      <c r="Y123" s="38"/>
      <c r="Z123" s="36"/>
      <c r="AA123" s="38"/>
      <c r="AB123" s="38"/>
      <c r="AC123" s="38"/>
      <c r="AD123" s="38"/>
      <c r="AE123" s="38"/>
      <c r="AF123" s="38"/>
      <c r="AG123" s="38"/>
      <c r="AH123" s="36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26"/>
      <c r="BC123" s="38"/>
      <c r="BD123" s="26"/>
      <c r="BE123" s="38"/>
      <c r="BF123" s="38"/>
      <c r="BG123" s="36"/>
      <c r="BH123" s="36"/>
    </row>
    <row r="124" spans="1:60" s="37" customFormat="1" ht="15.75" x14ac:dyDescent="0.25">
      <c r="A124" s="36"/>
      <c r="B124" s="36"/>
      <c r="C124" s="36"/>
      <c r="D124" s="36"/>
      <c r="R124" s="1"/>
      <c r="S124" s="38"/>
      <c r="T124" s="38"/>
      <c r="U124" s="38"/>
      <c r="V124" s="38"/>
      <c r="W124" s="38"/>
      <c r="X124" s="38"/>
      <c r="Y124" s="38"/>
      <c r="Z124" s="36"/>
      <c r="AA124" s="38"/>
      <c r="AB124" s="38"/>
      <c r="AC124" s="38"/>
      <c r="AD124" s="38"/>
      <c r="AE124" s="38"/>
      <c r="AF124" s="38"/>
      <c r="AG124" s="38"/>
      <c r="AH124" s="36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26"/>
      <c r="BC124" s="38"/>
      <c r="BD124" s="26"/>
      <c r="BE124" s="38"/>
      <c r="BF124" s="38"/>
      <c r="BG124" s="36"/>
      <c r="BH124" s="36"/>
    </row>
    <row r="125" spans="1:60" s="37" customFormat="1" ht="15.75" x14ac:dyDescent="0.25">
      <c r="A125" s="36"/>
      <c r="B125" s="36"/>
      <c r="C125" s="36"/>
      <c r="D125" s="36"/>
      <c r="R125" s="1"/>
      <c r="S125" s="38"/>
      <c r="T125" s="38"/>
      <c r="U125" s="38"/>
      <c r="V125" s="38"/>
      <c r="W125" s="38"/>
      <c r="X125" s="38"/>
      <c r="Y125" s="38"/>
      <c r="Z125" s="36"/>
      <c r="AA125" s="38"/>
      <c r="AB125" s="38"/>
      <c r="AC125" s="38"/>
      <c r="AD125" s="38"/>
      <c r="AE125" s="38"/>
      <c r="AF125" s="38"/>
      <c r="AG125" s="38"/>
      <c r="AH125" s="36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26"/>
      <c r="BC125" s="38"/>
      <c r="BD125" s="26"/>
      <c r="BE125" s="38"/>
      <c r="BF125" s="38"/>
      <c r="BG125" s="36"/>
      <c r="BH125" s="36"/>
    </row>
    <row r="126" spans="1:60" s="37" customFormat="1" ht="15.75" x14ac:dyDescent="0.25">
      <c r="A126" s="36"/>
      <c r="B126" s="36"/>
      <c r="C126" s="36"/>
      <c r="D126" s="36"/>
      <c r="R126" s="1"/>
      <c r="S126" s="38"/>
      <c r="T126" s="38"/>
      <c r="U126" s="38"/>
      <c r="V126" s="38"/>
      <c r="W126" s="38"/>
      <c r="X126" s="38"/>
      <c r="Y126" s="38"/>
      <c r="Z126" s="36"/>
      <c r="AA126" s="38"/>
      <c r="AB126" s="38"/>
      <c r="AC126" s="38"/>
      <c r="AD126" s="38"/>
      <c r="AE126" s="38"/>
      <c r="AF126" s="38"/>
      <c r="AG126" s="38"/>
      <c r="AH126" s="36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26"/>
      <c r="BC126" s="38"/>
      <c r="BD126" s="26"/>
      <c r="BE126" s="38"/>
      <c r="BF126" s="38"/>
      <c r="BG126" s="36"/>
      <c r="BH126" s="36"/>
    </row>
    <row r="127" spans="1:60" s="37" customFormat="1" ht="15.75" x14ac:dyDescent="0.25">
      <c r="A127" s="36"/>
      <c r="B127" s="36"/>
      <c r="C127" s="36"/>
      <c r="D127" s="36"/>
      <c r="R127" s="1"/>
      <c r="S127" s="38"/>
      <c r="T127" s="38"/>
      <c r="U127" s="38"/>
      <c r="V127" s="38"/>
      <c r="W127" s="38"/>
      <c r="X127" s="38"/>
      <c r="Y127" s="38"/>
      <c r="Z127" s="36"/>
      <c r="AA127" s="38"/>
      <c r="AB127" s="38"/>
      <c r="AC127" s="38"/>
      <c r="AD127" s="38"/>
      <c r="AE127" s="38"/>
      <c r="AF127" s="38"/>
      <c r="AG127" s="38"/>
      <c r="AH127" s="36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26"/>
      <c r="BC127" s="38"/>
      <c r="BD127" s="26"/>
      <c r="BE127" s="38"/>
      <c r="BF127" s="38"/>
      <c r="BG127" s="36"/>
      <c r="BH127" s="36"/>
    </row>
    <row r="128" spans="1:60" s="37" customFormat="1" ht="15.75" x14ac:dyDescent="0.25">
      <c r="A128" s="36"/>
      <c r="B128" s="36"/>
      <c r="C128" s="36"/>
      <c r="D128" s="36"/>
      <c r="R128" s="1"/>
      <c r="S128" s="38"/>
      <c r="T128" s="38"/>
      <c r="U128" s="38"/>
      <c r="V128" s="38"/>
      <c r="W128" s="38"/>
      <c r="X128" s="38"/>
      <c r="Y128" s="38"/>
      <c r="Z128" s="36"/>
      <c r="AA128" s="38"/>
      <c r="AB128" s="38"/>
      <c r="AC128" s="38"/>
      <c r="AD128" s="38"/>
      <c r="AE128" s="38"/>
      <c r="AF128" s="38"/>
      <c r="AG128" s="38"/>
      <c r="AH128" s="36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26"/>
      <c r="BC128" s="38"/>
      <c r="BD128" s="26"/>
      <c r="BE128" s="38"/>
      <c r="BF128" s="38"/>
      <c r="BG128" s="36"/>
      <c r="BH128" s="36"/>
    </row>
    <row r="129" spans="1:60" s="37" customFormat="1" ht="15.75" x14ac:dyDescent="0.25">
      <c r="A129" s="36"/>
      <c r="B129" s="36"/>
      <c r="C129" s="36"/>
      <c r="D129" s="36"/>
      <c r="R129" s="1"/>
      <c r="S129" s="38"/>
      <c r="T129" s="38"/>
      <c r="U129" s="38"/>
      <c r="V129" s="38"/>
      <c r="W129" s="38"/>
      <c r="X129" s="38"/>
      <c r="Y129" s="38"/>
      <c r="Z129" s="36"/>
      <c r="AA129" s="38"/>
      <c r="AB129" s="38"/>
      <c r="AC129" s="38"/>
      <c r="AD129" s="38"/>
      <c r="AE129" s="38"/>
      <c r="AF129" s="38"/>
      <c r="AG129" s="38"/>
      <c r="AH129" s="36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26"/>
      <c r="BC129" s="38"/>
      <c r="BD129" s="26"/>
      <c r="BE129" s="38"/>
      <c r="BF129" s="38"/>
      <c r="BG129" s="36"/>
      <c r="BH129" s="36"/>
    </row>
    <row r="130" spans="1:60" s="37" customFormat="1" ht="15.75" x14ac:dyDescent="0.25">
      <c r="A130" s="36"/>
      <c r="B130" s="36"/>
      <c r="C130" s="36"/>
      <c r="D130" s="36"/>
      <c r="R130" s="1"/>
      <c r="S130" s="38"/>
      <c r="T130" s="38"/>
      <c r="U130" s="38"/>
      <c r="V130" s="38"/>
      <c r="W130" s="38"/>
      <c r="X130" s="38"/>
      <c r="Y130" s="38"/>
      <c r="Z130" s="36"/>
      <c r="AA130" s="38"/>
      <c r="AB130" s="38"/>
      <c r="AC130" s="38"/>
      <c r="AD130" s="38"/>
      <c r="AE130" s="38"/>
      <c r="AF130" s="38"/>
      <c r="AG130" s="38"/>
      <c r="AH130" s="36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26"/>
      <c r="BC130" s="38"/>
      <c r="BD130" s="26"/>
      <c r="BE130" s="38"/>
      <c r="BF130" s="38"/>
      <c r="BG130" s="36"/>
      <c r="BH130" s="36"/>
    </row>
    <row r="131" spans="1:60" s="37" customFormat="1" ht="15.75" x14ac:dyDescent="0.25">
      <c r="A131" s="36"/>
      <c r="B131" s="36"/>
      <c r="C131" s="36"/>
      <c r="D131" s="36"/>
      <c r="R131" s="1"/>
      <c r="S131" s="38"/>
      <c r="T131" s="38"/>
      <c r="U131" s="38"/>
      <c r="V131" s="38"/>
      <c r="W131" s="38"/>
      <c r="X131" s="38"/>
      <c r="Y131" s="38"/>
      <c r="Z131" s="36"/>
      <c r="AA131" s="38"/>
      <c r="AB131" s="38"/>
      <c r="AC131" s="38"/>
      <c r="AD131" s="38"/>
      <c r="AE131" s="38"/>
      <c r="AF131" s="38"/>
      <c r="AG131" s="38"/>
      <c r="AH131" s="36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26"/>
      <c r="BC131" s="38"/>
      <c r="BD131" s="26"/>
      <c r="BE131" s="38"/>
      <c r="BF131" s="38"/>
      <c r="BG131" s="36"/>
      <c r="BH131" s="36"/>
    </row>
    <row r="132" spans="1:60" s="37" customFormat="1" ht="15.75" x14ac:dyDescent="0.25">
      <c r="A132" s="36"/>
      <c r="B132" s="36"/>
      <c r="C132" s="36"/>
      <c r="D132" s="36"/>
      <c r="R132" s="1"/>
      <c r="S132" s="38"/>
      <c r="T132" s="38"/>
      <c r="U132" s="38"/>
      <c r="V132" s="38"/>
      <c r="W132" s="38"/>
      <c r="X132" s="38"/>
      <c r="Y132" s="38"/>
      <c r="Z132" s="36"/>
      <c r="AA132" s="38"/>
      <c r="AB132" s="38"/>
      <c r="AC132" s="38"/>
      <c r="AD132" s="38"/>
      <c r="AE132" s="38"/>
      <c r="AF132" s="38"/>
      <c r="AG132" s="38"/>
      <c r="AH132" s="36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26"/>
      <c r="BC132" s="38"/>
      <c r="BD132" s="26"/>
      <c r="BE132" s="38"/>
      <c r="BF132" s="38"/>
      <c r="BG132" s="36"/>
      <c r="BH132" s="36"/>
    </row>
    <row r="133" spans="1:60" s="37" customFormat="1" ht="15.75" x14ac:dyDescent="0.25">
      <c r="A133" s="36"/>
      <c r="B133" s="36"/>
      <c r="C133" s="36"/>
      <c r="D133" s="36"/>
      <c r="R133" s="1"/>
      <c r="S133" s="38"/>
      <c r="T133" s="38"/>
      <c r="U133" s="38"/>
      <c r="V133" s="38"/>
      <c r="W133" s="38"/>
      <c r="X133" s="38"/>
      <c r="Y133" s="38"/>
      <c r="Z133" s="36"/>
      <c r="AA133" s="38"/>
      <c r="AB133" s="38"/>
      <c r="AC133" s="38"/>
      <c r="AD133" s="38"/>
      <c r="AE133" s="38"/>
      <c r="AF133" s="38"/>
      <c r="AG133" s="38"/>
      <c r="AH133" s="36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26"/>
      <c r="BC133" s="38"/>
      <c r="BD133" s="26"/>
      <c r="BE133" s="38"/>
      <c r="BF133" s="38"/>
      <c r="BG133" s="36"/>
      <c r="BH133" s="36"/>
    </row>
    <row r="134" spans="1:60" s="37" customFormat="1" ht="15.75" x14ac:dyDescent="0.25">
      <c r="A134" s="36"/>
      <c r="B134" s="36"/>
      <c r="C134" s="36"/>
      <c r="D134" s="36"/>
      <c r="R134" s="1"/>
      <c r="S134" s="38"/>
      <c r="T134" s="38"/>
      <c r="U134" s="38"/>
      <c r="V134" s="38"/>
      <c r="W134" s="38"/>
      <c r="X134" s="38"/>
      <c r="Y134" s="38"/>
      <c r="Z134" s="36"/>
      <c r="AA134" s="38"/>
      <c r="AB134" s="38"/>
      <c r="AC134" s="38"/>
      <c r="AD134" s="38"/>
      <c r="AE134" s="38"/>
      <c r="AF134" s="38"/>
      <c r="AG134" s="38"/>
      <c r="AH134" s="36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26"/>
      <c r="BC134" s="38"/>
      <c r="BD134" s="26"/>
      <c r="BE134" s="38"/>
      <c r="BF134" s="38"/>
      <c r="BG134" s="36"/>
      <c r="BH134" s="36"/>
    </row>
    <row r="135" spans="1:60" s="37" customFormat="1" ht="15.75" x14ac:dyDescent="0.25">
      <c r="A135" s="36"/>
      <c r="B135" s="36"/>
      <c r="C135" s="36"/>
      <c r="D135" s="36"/>
      <c r="R135" s="1"/>
      <c r="S135" s="38"/>
      <c r="T135" s="38"/>
      <c r="U135" s="38"/>
      <c r="V135" s="38"/>
      <c r="W135" s="38"/>
      <c r="X135" s="38"/>
      <c r="Y135" s="38"/>
      <c r="Z135" s="36"/>
      <c r="AA135" s="38"/>
      <c r="AB135" s="38"/>
      <c r="AC135" s="38"/>
      <c r="AD135" s="38"/>
      <c r="AE135" s="38"/>
      <c r="AF135" s="38"/>
      <c r="AG135" s="38"/>
      <c r="AH135" s="36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26"/>
      <c r="BC135" s="38"/>
      <c r="BD135" s="26"/>
      <c r="BE135" s="38"/>
      <c r="BF135" s="38"/>
      <c r="BG135" s="36"/>
      <c r="BH135" s="36"/>
    </row>
    <row r="136" spans="1:60" s="37" customFormat="1" ht="15.75" x14ac:dyDescent="0.25">
      <c r="A136" s="36"/>
      <c r="B136" s="36"/>
      <c r="C136" s="36"/>
      <c r="D136" s="36"/>
      <c r="R136" s="1"/>
      <c r="S136" s="38"/>
      <c r="T136" s="38"/>
      <c r="U136" s="38"/>
      <c r="V136" s="38"/>
      <c r="W136" s="38"/>
      <c r="X136" s="38"/>
      <c r="Y136" s="38"/>
      <c r="Z136" s="36"/>
      <c r="AA136" s="38"/>
      <c r="AB136" s="38"/>
      <c r="AC136" s="38"/>
      <c r="AD136" s="38"/>
      <c r="AE136" s="38"/>
      <c r="AF136" s="38"/>
      <c r="AG136" s="38"/>
      <c r="AH136" s="36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26"/>
      <c r="BC136" s="38"/>
      <c r="BD136" s="26"/>
      <c r="BE136" s="38"/>
      <c r="BF136" s="38"/>
      <c r="BG136" s="36"/>
      <c r="BH136" s="36"/>
    </row>
    <row r="137" spans="1:60" s="37" customFormat="1" ht="15.75" x14ac:dyDescent="0.25">
      <c r="A137" s="36"/>
      <c r="B137" s="36"/>
      <c r="C137" s="36"/>
      <c r="D137" s="36"/>
      <c r="R137" s="1"/>
      <c r="S137" s="38"/>
      <c r="T137" s="38"/>
      <c r="U137" s="38"/>
      <c r="V137" s="38"/>
      <c r="W137" s="38"/>
      <c r="X137" s="38"/>
      <c r="Y137" s="38"/>
      <c r="Z137" s="36"/>
      <c r="AA137" s="38"/>
      <c r="AB137" s="38"/>
      <c r="AC137" s="38"/>
      <c r="AD137" s="38"/>
      <c r="AE137" s="38"/>
      <c r="AF137" s="38"/>
      <c r="AG137" s="38"/>
      <c r="AH137" s="36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26"/>
      <c r="BC137" s="38"/>
      <c r="BD137" s="26"/>
      <c r="BE137" s="38"/>
      <c r="BF137" s="38"/>
      <c r="BG137" s="36"/>
      <c r="BH137" s="36"/>
    </row>
    <row r="138" spans="1:60" s="37" customFormat="1" ht="15.75" x14ac:dyDescent="0.25">
      <c r="A138" s="36"/>
      <c r="B138" s="36"/>
      <c r="C138" s="36"/>
      <c r="D138" s="36"/>
      <c r="R138" s="1"/>
      <c r="S138" s="38"/>
      <c r="T138" s="38"/>
      <c r="U138" s="38"/>
      <c r="V138" s="38"/>
      <c r="W138" s="38"/>
      <c r="X138" s="38"/>
      <c r="Y138" s="38"/>
      <c r="Z138" s="36"/>
      <c r="AA138" s="38"/>
      <c r="AB138" s="38"/>
      <c r="AC138" s="38"/>
      <c r="AD138" s="38"/>
      <c r="AE138" s="38"/>
      <c r="AF138" s="38"/>
      <c r="AG138" s="38"/>
      <c r="AH138" s="36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26"/>
      <c r="BC138" s="38"/>
      <c r="BD138" s="26"/>
      <c r="BE138" s="38"/>
      <c r="BF138" s="38"/>
      <c r="BG138" s="36"/>
      <c r="BH138" s="36"/>
    </row>
    <row r="139" spans="1:60" s="37" customFormat="1" ht="15.75" x14ac:dyDescent="0.25">
      <c r="A139" s="36"/>
      <c r="B139" s="36"/>
      <c r="C139" s="36"/>
      <c r="D139" s="36"/>
      <c r="R139" s="1"/>
      <c r="S139" s="38"/>
      <c r="T139" s="38"/>
      <c r="U139" s="38"/>
      <c r="V139" s="38"/>
      <c r="W139" s="38"/>
      <c r="X139" s="38"/>
      <c r="Y139" s="38"/>
      <c r="Z139" s="36"/>
      <c r="AA139" s="38"/>
      <c r="AB139" s="38"/>
      <c r="AC139" s="38"/>
      <c r="AD139" s="38"/>
      <c r="AE139" s="38"/>
      <c r="AF139" s="38"/>
      <c r="AG139" s="38"/>
      <c r="AH139" s="36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26"/>
      <c r="BC139" s="38"/>
      <c r="BD139" s="26"/>
      <c r="BE139" s="38"/>
      <c r="BF139" s="38"/>
      <c r="BG139" s="36"/>
      <c r="BH139" s="36"/>
    </row>
    <row r="140" spans="1:60" s="37" customFormat="1" ht="15.75" x14ac:dyDescent="0.25">
      <c r="A140" s="36"/>
      <c r="B140" s="36"/>
      <c r="C140" s="36"/>
      <c r="D140" s="36"/>
      <c r="R140" s="1"/>
      <c r="S140" s="38"/>
      <c r="T140" s="38"/>
      <c r="U140" s="38"/>
      <c r="V140" s="38"/>
      <c r="W140" s="38"/>
      <c r="X140" s="38"/>
      <c r="Y140" s="38"/>
      <c r="Z140" s="36"/>
      <c r="AA140" s="38"/>
      <c r="AB140" s="38"/>
      <c r="AC140" s="38"/>
      <c r="AD140" s="38"/>
      <c r="AE140" s="38"/>
      <c r="AF140" s="38"/>
      <c r="AG140" s="38"/>
      <c r="AH140" s="36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26"/>
      <c r="BC140" s="38"/>
      <c r="BD140" s="26"/>
      <c r="BE140" s="38"/>
      <c r="BF140" s="38"/>
      <c r="BG140" s="36"/>
      <c r="BH140" s="36"/>
    </row>
    <row r="141" spans="1:60" s="37" customFormat="1" ht="15.75" x14ac:dyDescent="0.25">
      <c r="A141" s="36"/>
      <c r="B141" s="36"/>
      <c r="C141" s="36"/>
      <c r="D141" s="36"/>
      <c r="R141" s="1"/>
      <c r="S141" s="38"/>
      <c r="T141" s="38"/>
      <c r="U141" s="38"/>
      <c r="V141" s="38"/>
      <c r="W141" s="38"/>
      <c r="X141" s="38"/>
      <c r="Y141" s="38"/>
      <c r="Z141" s="36"/>
      <c r="AA141" s="38"/>
      <c r="AB141" s="38"/>
      <c r="AC141" s="38"/>
      <c r="AD141" s="38"/>
      <c r="AE141" s="38"/>
      <c r="AF141" s="38"/>
      <c r="AG141" s="38"/>
      <c r="AH141" s="36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26"/>
      <c r="BC141" s="38"/>
      <c r="BD141" s="26"/>
      <c r="BE141" s="38"/>
      <c r="BF141" s="38"/>
      <c r="BG141" s="36"/>
      <c r="BH141" s="36"/>
    </row>
    <row r="142" spans="1:60" s="37" customFormat="1" ht="15.75" x14ac:dyDescent="0.25">
      <c r="A142" s="36"/>
      <c r="B142" s="36"/>
      <c r="C142" s="36"/>
      <c r="D142" s="36"/>
      <c r="R142" s="1"/>
      <c r="S142" s="38"/>
      <c r="T142" s="38"/>
      <c r="U142" s="38"/>
      <c r="V142" s="38"/>
      <c r="W142" s="38"/>
      <c r="X142" s="38"/>
      <c r="Y142" s="38"/>
      <c r="Z142" s="36"/>
      <c r="AA142" s="38"/>
      <c r="AB142" s="38"/>
      <c r="AC142" s="38"/>
      <c r="AD142" s="38"/>
      <c r="AE142" s="38"/>
      <c r="AF142" s="38"/>
      <c r="AG142" s="38"/>
      <c r="AH142" s="36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26"/>
      <c r="BC142" s="38"/>
      <c r="BD142" s="26"/>
      <c r="BE142" s="38"/>
      <c r="BF142" s="38"/>
      <c r="BG142" s="36"/>
      <c r="BH142" s="36"/>
    </row>
    <row r="143" spans="1:60" s="37" customFormat="1" ht="15.75" x14ac:dyDescent="0.25">
      <c r="A143" s="36"/>
      <c r="B143" s="36"/>
      <c r="C143" s="36"/>
      <c r="D143" s="36"/>
      <c r="R143" s="1"/>
      <c r="S143" s="38"/>
      <c r="T143" s="38"/>
      <c r="U143" s="38"/>
      <c r="V143" s="38"/>
      <c r="W143" s="38"/>
      <c r="X143" s="38"/>
      <c r="Y143" s="38"/>
      <c r="Z143" s="36"/>
      <c r="AA143" s="38"/>
      <c r="AB143" s="38"/>
      <c r="AC143" s="38"/>
      <c r="AD143" s="38"/>
      <c r="AE143" s="38"/>
      <c r="AF143" s="38"/>
      <c r="AG143" s="38"/>
      <c r="AH143" s="36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26"/>
      <c r="BC143" s="38"/>
      <c r="BD143" s="26"/>
      <c r="BE143" s="38"/>
      <c r="BF143" s="38"/>
      <c r="BG143" s="36"/>
      <c r="BH143" s="36"/>
    </row>
    <row r="144" spans="1:60" s="37" customFormat="1" ht="15.75" x14ac:dyDescent="0.25">
      <c r="A144" s="36"/>
      <c r="B144" s="36"/>
      <c r="C144" s="36"/>
      <c r="D144" s="36"/>
      <c r="R144" s="1"/>
      <c r="S144" s="38"/>
      <c r="T144" s="38"/>
      <c r="U144" s="38"/>
      <c r="V144" s="38"/>
      <c r="W144" s="38"/>
      <c r="X144" s="38"/>
      <c r="Y144" s="38"/>
      <c r="Z144" s="36"/>
      <c r="AA144" s="38"/>
      <c r="AB144" s="38"/>
      <c r="AC144" s="38"/>
      <c r="AD144" s="38"/>
      <c r="AE144" s="38"/>
      <c r="AF144" s="38"/>
      <c r="AG144" s="38"/>
      <c r="AH144" s="36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26"/>
      <c r="BC144" s="38"/>
      <c r="BD144" s="26"/>
      <c r="BE144" s="38"/>
      <c r="BF144" s="38"/>
      <c r="BG144" s="36"/>
      <c r="BH144" s="36"/>
    </row>
    <row r="145" spans="1:60" s="37" customFormat="1" ht="15.75" x14ac:dyDescent="0.25">
      <c r="A145" s="36"/>
      <c r="B145" s="36"/>
      <c r="C145" s="36"/>
      <c r="D145" s="36"/>
      <c r="R145" s="1"/>
      <c r="S145" s="38"/>
      <c r="T145" s="38"/>
      <c r="U145" s="38"/>
      <c r="V145" s="38"/>
      <c r="W145" s="38"/>
      <c r="X145" s="38"/>
      <c r="Y145" s="38"/>
      <c r="Z145" s="36"/>
      <c r="AA145" s="38"/>
      <c r="AB145" s="38"/>
      <c r="AC145" s="38"/>
      <c r="AD145" s="38"/>
      <c r="AE145" s="38"/>
      <c r="AF145" s="38"/>
      <c r="AG145" s="38"/>
      <c r="AH145" s="36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26"/>
      <c r="BC145" s="38"/>
      <c r="BD145" s="26"/>
      <c r="BE145" s="38"/>
      <c r="BF145" s="38"/>
      <c r="BG145" s="36"/>
      <c r="BH145" s="36"/>
    </row>
    <row r="146" spans="1:60" s="37" customFormat="1" ht="15.75" x14ac:dyDescent="0.25">
      <c r="A146" s="36"/>
      <c r="B146" s="36"/>
      <c r="C146" s="36"/>
      <c r="D146" s="36"/>
      <c r="R146" s="1"/>
      <c r="S146" s="38"/>
      <c r="T146" s="38"/>
      <c r="U146" s="38"/>
      <c r="V146" s="38"/>
      <c r="W146" s="38"/>
      <c r="X146" s="38"/>
      <c r="Y146" s="38"/>
      <c r="Z146" s="36"/>
      <c r="AA146" s="38"/>
      <c r="AB146" s="38"/>
      <c r="AC146" s="38"/>
      <c r="AD146" s="38"/>
      <c r="AE146" s="38"/>
      <c r="AF146" s="38"/>
      <c r="AG146" s="38"/>
      <c r="AH146" s="36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26"/>
      <c r="BC146" s="38"/>
      <c r="BD146" s="26"/>
      <c r="BE146" s="38"/>
      <c r="BF146" s="38"/>
      <c r="BG146" s="36"/>
      <c r="BH146" s="36"/>
    </row>
    <row r="147" spans="1:60" s="37" customFormat="1" ht="15.75" x14ac:dyDescent="0.25">
      <c r="A147" s="36"/>
      <c r="B147" s="36"/>
      <c r="C147" s="36"/>
      <c r="D147" s="36"/>
      <c r="R147" s="1"/>
      <c r="S147" s="38"/>
      <c r="T147" s="38"/>
      <c r="U147" s="38"/>
      <c r="V147" s="38"/>
      <c r="W147" s="38"/>
      <c r="X147" s="38"/>
      <c r="Y147" s="38"/>
      <c r="Z147" s="36"/>
      <c r="AA147" s="38"/>
      <c r="AB147" s="38"/>
      <c r="AC147" s="38"/>
      <c r="AD147" s="38"/>
      <c r="AE147" s="38"/>
      <c r="AF147" s="38"/>
      <c r="AG147" s="38"/>
      <c r="AH147" s="36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26"/>
      <c r="BC147" s="38"/>
      <c r="BD147" s="26"/>
      <c r="BE147" s="38"/>
      <c r="BF147" s="38"/>
      <c r="BG147" s="36"/>
      <c r="BH147" s="36"/>
    </row>
    <row r="148" spans="1:60" s="37" customFormat="1" ht="15.75" x14ac:dyDescent="0.25">
      <c r="A148" s="36"/>
      <c r="B148" s="36"/>
      <c r="C148" s="36"/>
      <c r="D148" s="36"/>
      <c r="R148" s="1"/>
      <c r="S148" s="38"/>
      <c r="T148" s="38"/>
      <c r="U148" s="38"/>
      <c r="V148" s="38"/>
      <c r="W148" s="38"/>
      <c r="X148" s="38"/>
      <c r="Y148" s="38"/>
      <c r="Z148" s="36"/>
      <c r="AA148" s="38"/>
      <c r="AB148" s="38"/>
      <c r="AC148" s="38"/>
      <c r="AD148" s="38"/>
      <c r="AE148" s="38"/>
      <c r="AF148" s="38"/>
      <c r="AG148" s="38"/>
      <c r="AH148" s="36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26"/>
      <c r="BC148" s="38"/>
      <c r="BD148" s="26"/>
      <c r="BE148" s="38"/>
      <c r="BF148" s="38"/>
      <c r="BG148" s="36"/>
      <c r="BH148" s="36"/>
    </row>
    <row r="149" spans="1:60" s="37" customFormat="1" ht="15.75" x14ac:dyDescent="0.25">
      <c r="A149" s="36"/>
      <c r="B149" s="36"/>
      <c r="C149" s="36"/>
      <c r="D149" s="36"/>
      <c r="R149" s="1"/>
      <c r="S149" s="38"/>
      <c r="T149" s="38"/>
      <c r="U149" s="38"/>
      <c r="V149" s="38"/>
      <c r="W149" s="38"/>
      <c r="X149" s="38"/>
      <c r="Y149" s="38"/>
      <c r="Z149" s="36"/>
      <c r="AA149" s="38"/>
      <c r="AB149" s="38"/>
      <c r="AC149" s="38"/>
      <c r="AD149" s="38"/>
      <c r="AE149" s="38"/>
      <c r="AF149" s="38"/>
      <c r="AG149" s="38"/>
      <c r="AH149" s="36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26"/>
      <c r="BC149" s="38"/>
      <c r="BD149" s="26"/>
      <c r="BE149" s="38"/>
      <c r="BF149" s="38"/>
      <c r="BG149" s="36"/>
      <c r="BH149" s="36"/>
    </row>
    <row r="150" spans="1:60" s="37" customFormat="1" ht="15.75" x14ac:dyDescent="0.25">
      <c r="A150" s="36"/>
      <c r="B150" s="36"/>
      <c r="C150" s="36"/>
      <c r="D150" s="36"/>
      <c r="R150" s="1"/>
      <c r="S150" s="38"/>
      <c r="T150" s="38"/>
      <c r="U150" s="38"/>
      <c r="V150" s="38"/>
      <c r="W150" s="38"/>
      <c r="X150" s="38"/>
      <c r="Y150" s="38"/>
      <c r="Z150" s="36"/>
      <c r="AA150" s="38"/>
      <c r="AB150" s="38"/>
      <c r="AC150" s="38"/>
      <c r="AD150" s="38"/>
      <c r="AE150" s="38"/>
      <c r="AF150" s="38"/>
      <c r="AG150" s="38"/>
      <c r="AH150" s="36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26"/>
      <c r="BC150" s="38"/>
      <c r="BD150" s="26"/>
      <c r="BE150" s="38"/>
      <c r="BF150" s="38"/>
      <c r="BG150" s="36"/>
      <c r="BH150" s="36"/>
    </row>
    <row r="151" spans="1:60" s="37" customFormat="1" ht="15.75" x14ac:dyDescent="0.25">
      <c r="A151" s="36"/>
      <c r="B151" s="36"/>
      <c r="C151" s="36"/>
      <c r="D151" s="36"/>
      <c r="R151" s="1"/>
      <c r="S151" s="38"/>
      <c r="T151" s="38"/>
      <c r="U151" s="38"/>
      <c r="V151" s="38"/>
      <c r="W151" s="38"/>
      <c r="X151" s="38"/>
      <c r="Y151" s="38"/>
      <c r="Z151" s="36"/>
      <c r="AA151" s="38"/>
      <c r="AB151" s="38"/>
      <c r="AC151" s="38"/>
      <c r="AD151" s="38"/>
      <c r="AE151" s="38"/>
      <c r="AF151" s="38"/>
      <c r="AG151" s="38"/>
      <c r="AH151" s="36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26"/>
      <c r="BC151" s="38"/>
      <c r="BD151" s="26"/>
      <c r="BE151" s="38"/>
      <c r="BF151" s="38"/>
      <c r="BG151" s="36"/>
      <c r="BH151" s="36"/>
    </row>
    <row r="152" spans="1:60" s="37" customFormat="1" ht="15.75" x14ac:dyDescent="0.25">
      <c r="A152" s="36"/>
      <c r="B152" s="36"/>
      <c r="C152" s="36"/>
      <c r="D152" s="36"/>
      <c r="R152" s="1"/>
      <c r="S152" s="38"/>
      <c r="T152" s="38"/>
      <c r="U152" s="38"/>
      <c r="V152" s="38"/>
      <c r="W152" s="38"/>
      <c r="X152" s="38"/>
      <c r="Y152" s="38"/>
      <c r="Z152" s="36"/>
      <c r="AA152" s="38"/>
      <c r="AB152" s="38"/>
      <c r="AC152" s="38"/>
      <c r="AD152" s="38"/>
      <c r="AE152" s="38"/>
      <c r="AF152" s="38"/>
      <c r="AG152" s="38"/>
      <c r="AH152" s="36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26"/>
      <c r="BC152" s="38"/>
      <c r="BD152" s="26"/>
      <c r="BE152" s="38"/>
      <c r="BF152" s="38"/>
      <c r="BG152" s="36"/>
      <c r="BH152" s="36"/>
    </row>
    <row r="153" spans="1:60" s="37" customFormat="1" ht="15.75" x14ac:dyDescent="0.25">
      <c r="A153" s="36"/>
      <c r="B153" s="36"/>
      <c r="C153" s="36"/>
      <c r="D153" s="36"/>
      <c r="R153" s="1"/>
      <c r="S153" s="38"/>
      <c r="T153" s="38"/>
      <c r="U153" s="38"/>
      <c r="V153" s="38"/>
      <c r="W153" s="38"/>
      <c r="X153" s="38"/>
      <c r="Y153" s="38"/>
      <c r="Z153" s="36"/>
      <c r="AA153" s="38"/>
      <c r="AB153" s="38"/>
      <c r="AC153" s="38"/>
      <c r="AD153" s="38"/>
      <c r="AE153" s="38"/>
      <c r="AF153" s="38"/>
      <c r="AG153" s="38"/>
      <c r="AH153" s="36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26"/>
      <c r="BC153" s="38"/>
      <c r="BD153" s="26"/>
      <c r="BE153" s="38"/>
      <c r="BF153" s="38"/>
      <c r="BG153" s="36"/>
      <c r="BH153" s="36"/>
    </row>
    <row r="154" spans="1:60" s="37" customFormat="1" ht="15.75" x14ac:dyDescent="0.25">
      <c r="A154" s="36"/>
      <c r="B154" s="36"/>
      <c r="C154" s="36"/>
      <c r="D154" s="36"/>
      <c r="R154" s="1"/>
      <c r="S154" s="38"/>
      <c r="T154" s="38"/>
      <c r="U154" s="38"/>
      <c r="V154" s="38"/>
      <c r="W154" s="38"/>
      <c r="X154" s="38"/>
      <c r="Y154" s="38"/>
      <c r="Z154" s="36"/>
      <c r="AA154" s="38"/>
      <c r="AB154" s="38"/>
      <c r="AC154" s="38"/>
      <c r="AD154" s="38"/>
      <c r="AE154" s="38"/>
      <c r="AF154" s="38"/>
      <c r="AG154" s="38"/>
      <c r="AH154" s="36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26"/>
      <c r="BC154" s="38"/>
      <c r="BD154" s="26"/>
      <c r="BE154" s="38"/>
      <c r="BF154" s="38"/>
      <c r="BG154" s="36"/>
      <c r="BH154" s="36"/>
    </row>
    <row r="155" spans="1:60" s="37" customFormat="1" ht="15.75" x14ac:dyDescent="0.25">
      <c r="A155" s="36"/>
      <c r="B155" s="36"/>
      <c r="C155" s="36"/>
      <c r="D155" s="36"/>
      <c r="R155" s="1"/>
      <c r="S155" s="38"/>
      <c r="T155" s="38"/>
      <c r="U155" s="38"/>
      <c r="V155" s="38"/>
      <c r="W155" s="38"/>
      <c r="X155" s="38"/>
      <c r="Y155" s="38"/>
      <c r="Z155" s="36"/>
      <c r="AA155" s="38"/>
      <c r="AB155" s="38"/>
      <c r="AC155" s="38"/>
      <c r="AD155" s="38"/>
      <c r="AE155" s="38"/>
      <c r="AF155" s="38"/>
      <c r="AG155" s="38"/>
      <c r="AH155" s="36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26"/>
      <c r="BC155" s="38"/>
      <c r="BD155" s="26"/>
      <c r="BE155" s="38"/>
      <c r="BF155" s="38"/>
      <c r="BG155" s="36"/>
      <c r="BH155" s="36"/>
    </row>
    <row r="156" spans="1:60" s="37" customFormat="1" ht="15.75" x14ac:dyDescent="0.25">
      <c r="A156" s="36"/>
      <c r="B156" s="36"/>
      <c r="C156" s="36"/>
      <c r="D156" s="36"/>
      <c r="R156" s="1"/>
      <c r="S156" s="38"/>
      <c r="T156" s="38"/>
      <c r="U156" s="38"/>
      <c r="V156" s="38"/>
      <c r="W156" s="38"/>
      <c r="X156" s="38"/>
      <c r="Y156" s="38"/>
      <c r="Z156" s="36"/>
      <c r="AA156" s="38"/>
      <c r="AB156" s="38"/>
      <c r="AC156" s="38"/>
      <c r="AD156" s="38"/>
      <c r="AE156" s="38"/>
      <c r="AF156" s="38"/>
      <c r="AG156" s="38"/>
      <c r="AH156" s="36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26"/>
      <c r="BC156" s="38"/>
      <c r="BD156" s="26"/>
      <c r="BE156" s="38"/>
      <c r="BF156" s="38"/>
      <c r="BG156" s="36"/>
      <c r="BH156" s="36"/>
    </row>
    <row r="157" spans="1:60" s="37" customFormat="1" ht="15.75" x14ac:dyDescent="0.25">
      <c r="A157" s="36"/>
      <c r="B157" s="36"/>
      <c r="C157" s="36"/>
      <c r="D157" s="36"/>
      <c r="R157" s="1"/>
      <c r="S157" s="38"/>
      <c r="T157" s="38"/>
      <c r="U157" s="38"/>
      <c r="V157" s="38"/>
      <c r="W157" s="38"/>
      <c r="X157" s="38"/>
      <c r="Y157" s="38"/>
      <c r="Z157" s="36"/>
      <c r="AA157" s="38"/>
      <c r="AB157" s="38"/>
      <c r="AC157" s="38"/>
      <c r="AD157" s="38"/>
      <c r="AE157" s="38"/>
      <c r="AF157" s="38"/>
      <c r="AG157" s="38"/>
      <c r="AH157" s="36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26"/>
      <c r="BC157" s="38"/>
      <c r="BD157" s="26"/>
      <c r="BE157" s="38"/>
      <c r="BF157" s="38"/>
      <c r="BG157" s="36"/>
      <c r="BH157" s="36"/>
    </row>
    <row r="158" spans="1:60" s="37" customFormat="1" ht="15.75" x14ac:dyDescent="0.25">
      <c r="A158" s="36"/>
      <c r="B158" s="36"/>
      <c r="C158" s="36"/>
      <c r="D158" s="36"/>
      <c r="R158" s="1"/>
      <c r="S158" s="38"/>
      <c r="T158" s="38"/>
      <c r="U158" s="38"/>
      <c r="V158" s="38"/>
      <c r="W158" s="38"/>
      <c r="X158" s="38"/>
      <c r="Y158" s="38"/>
      <c r="Z158" s="36"/>
      <c r="AA158" s="38"/>
      <c r="AB158" s="38"/>
      <c r="AC158" s="38"/>
      <c r="AD158" s="38"/>
      <c r="AE158" s="38"/>
      <c r="AF158" s="38"/>
      <c r="AG158" s="38"/>
      <c r="AH158" s="36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26"/>
      <c r="BC158" s="38"/>
      <c r="BD158" s="26"/>
      <c r="BE158" s="38"/>
      <c r="BF158" s="38"/>
      <c r="BG158" s="36"/>
      <c r="BH158" s="36"/>
    </row>
    <row r="159" spans="1:60" s="37" customFormat="1" ht="15.75" x14ac:dyDescent="0.25">
      <c r="A159" s="36"/>
      <c r="B159" s="36"/>
      <c r="C159" s="36"/>
      <c r="D159" s="36"/>
      <c r="R159" s="1"/>
      <c r="S159" s="38"/>
      <c r="T159" s="38"/>
      <c r="U159" s="38"/>
      <c r="V159" s="38"/>
      <c r="W159" s="38"/>
      <c r="X159" s="38"/>
      <c r="Y159" s="38"/>
      <c r="Z159" s="36"/>
      <c r="AA159" s="38"/>
      <c r="AB159" s="38"/>
      <c r="AC159" s="38"/>
      <c r="AD159" s="38"/>
      <c r="AE159" s="38"/>
      <c r="AF159" s="38"/>
      <c r="AG159" s="38"/>
      <c r="AH159" s="36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26"/>
      <c r="BC159" s="38"/>
      <c r="BD159" s="26"/>
      <c r="BE159" s="38"/>
      <c r="BF159" s="38"/>
      <c r="BG159" s="36"/>
      <c r="BH159" s="36"/>
    </row>
    <row r="160" spans="1:60" s="37" customFormat="1" ht="15.75" x14ac:dyDescent="0.25">
      <c r="A160" s="36"/>
      <c r="B160" s="36"/>
      <c r="C160" s="36"/>
      <c r="D160" s="36"/>
      <c r="R160" s="1"/>
      <c r="S160" s="38"/>
      <c r="T160" s="38"/>
      <c r="U160" s="38"/>
      <c r="V160" s="38"/>
      <c r="W160" s="38"/>
      <c r="X160" s="38"/>
      <c r="Y160" s="38"/>
      <c r="Z160" s="36"/>
      <c r="AA160" s="38"/>
      <c r="AB160" s="38"/>
      <c r="AC160" s="38"/>
      <c r="AD160" s="38"/>
      <c r="AE160" s="38"/>
      <c r="AF160" s="38"/>
      <c r="AG160" s="38"/>
      <c r="AH160" s="36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26"/>
      <c r="BC160" s="38"/>
      <c r="BD160" s="26"/>
      <c r="BE160" s="38"/>
      <c r="BF160" s="38"/>
      <c r="BG160" s="36"/>
      <c r="BH160" s="36"/>
    </row>
    <row r="161" spans="1:60" s="37" customFormat="1" ht="15.75" x14ac:dyDescent="0.25">
      <c r="A161" s="36"/>
      <c r="B161" s="36"/>
      <c r="C161" s="36"/>
      <c r="D161" s="36"/>
      <c r="R161" s="1"/>
      <c r="S161" s="38"/>
      <c r="T161" s="38"/>
      <c r="U161" s="38"/>
      <c r="V161" s="38"/>
      <c r="W161" s="38"/>
      <c r="X161" s="38"/>
      <c r="Y161" s="38"/>
      <c r="Z161" s="36"/>
      <c r="AA161" s="38"/>
      <c r="AB161" s="38"/>
      <c r="AC161" s="38"/>
      <c r="AD161" s="38"/>
      <c r="AE161" s="38"/>
      <c r="AF161" s="38"/>
      <c r="AG161" s="38"/>
      <c r="AH161" s="36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26"/>
      <c r="BC161" s="38"/>
      <c r="BD161" s="26"/>
      <c r="BE161" s="38"/>
      <c r="BF161" s="38"/>
      <c r="BG161" s="36"/>
      <c r="BH161" s="36"/>
    </row>
    <row r="162" spans="1:60" s="37" customFormat="1" ht="15.75" x14ac:dyDescent="0.25">
      <c r="A162" s="36"/>
      <c r="B162" s="36"/>
      <c r="C162" s="36"/>
      <c r="D162" s="36"/>
      <c r="R162" s="1"/>
      <c r="S162" s="38"/>
      <c r="T162" s="38"/>
      <c r="U162" s="38"/>
      <c r="V162" s="38"/>
      <c r="W162" s="38"/>
      <c r="X162" s="38"/>
      <c r="Y162" s="38"/>
      <c r="Z162" s="36"/>
      <c r="AA162" s="38"/>
      <c r="AB162" s="38"/>
      <c r="AC162" s="38"/>
      <c r="AD162" s="38"/>
      <c r="AE162" s="38"/>
      <c r="AF162" s="38"/>
      <c r="AG162" s="38"/>
      <c r="AH162" s="36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26"/>
      <c r="BC162" s="38"/>
      <c r="BD162" s="26"/>
      <c r="BE162" s="38"/>
      <c r="BF162" s="38"/>
      <c r="BG162" s="36"/>
      <c r="BH162" s="36"/>
    </row>
    <row r="163" spans="1:60" s="37" customFormat="1" ht="15.75" x14ac:dyDescent="0.25">
      <c r="A163" s="36"/>
      <c r="B163" s="36"/>
      <c r="C163" s="36"/>
      <c r="D163" s="36"/>
      <c r="R163" s="1"/>
      <c r="S163" s="38"/>
      <c r="T163" s="38"/>
      <c r="U163" s="38"/>
      <c r="V163" s="38"/>
      <c r="W163" s="38"/>
      <c r="X163" s="38"/>
      <c r="Y163" s="38"/>
      <c r="Z163" s="36"/>
      <c r="AA163" s="38"/>
      <c r="AB163" s="38"/>
      <c r="AC163" s="38"/>
      <c r="AD163" s="38"/>
      <c r="AE163" s="38"/>
      <c r="AF163" s="38"/>
      <c r="AG163" s="38"/>
      <c r="AH163" s="36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26"/>
      <c r="BC163" s="38"/>
      <c r="BD163" s="26"/>
      <c r="BE163" s="38"/>
      <c r="BF163" s="38"/>
      <c r="BG163" s="36"/>
      <c r="BH163" s="36"/>
    </row>
    <row r="164" spans="1:60" s="37" customFormat="1" ht="15.75" x14ac:dyDescent="0.25">
      <c r="A164" s="36"/>
      <c r="B164" s="36"/>
      <c r="C164" s="36"/>
      <c r="D164" s="36"/>
      <c r="R164" s="1"/>
      <c r="S164" s="38"/>
      <c r="T164" s="38"/>
      <c r="U164" s="38"/>
      <c r="V164" s="38"/>
      <c r="W164" s="38"/>
      <c r="X164" s="38"/>
      <c r="Y164" s="38"/>
      <c r="Z164" s="36"/>
      <c r="AA164" s="38"/>
      <c r="AB164" s="38"/>
      <c r="AC164" s="38"/>
      <c r="AD164" s="38"/>
      <c r="AE164" s="38"/>
      <c r="AF164" s="38"/>
      <c r="AG164" s="38"/>
      <c r="AH164" s="36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26"/>
      <c r="BC164" s="38"/>
      <c r="BD164" s="26"/>
      <c r="BE164" s="38"/>
      <c r="BF164" s="38"/>
      <c r="BG164" s="36"/>
      <c r="BH164" s="36"/>
    </row>
    <row r="165" spans="1:60" s="37" customFormat="1" ht="15.75" x14ac:dyDescent="0.25">
      <c r="A165" s="36"/>
      <c r="B165" s="36"/>
      <c r="C165" s="36"/>
      <c r="D165" s="36"/>
      <c r="R165" s="1"/>
      <c r="S165" s="38"/>
      <c r="T165" s="38"/>
      <c r="U165" s="38"/>
      <c r="V165" s="38"/>
      <c r="W165" s="38"/>
      <c r="X165" s="38"/>
      <c r="Y165" s="38"/>
      <c r="Z165" s="36"/>
      <c r="AA165" s="38"/>
      <c r="AB165" s="38"/>
      <c r="AC165" s="38"/>
      <c r="AD165" s="38"/>
      <c r="AE165" s="38"/>
      <c r="AF165" s="38"/>
      <c r="AG165" s="38"/>
      <c r="AH165" s="36"/>
      <c r="AI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26"/>
      <c r="BC165" s="38"/>
      <c r="BD165" s="26"/>
      <c r="BE165" s="38"/>
      <c r="BF165" s="38"/>
      <c r="BG165" s="36"/>
      <c r="BH165" s="36"/>
    </row>
    <row r="166" spans="1:60" s="37" customFormat="1" ht="15.75" x14ac:dyDescent="0.25">
      <c r="A166" s="36"/>
      <c r="B166" s="36"/>
      <c r="C166" s="36"/>
      <c r="D166" s="36"/>
      <c r="R166" s="1"/>
      <c r="S166" s="38"/>
      <c r="T166" s="38"/>
      <c r="U166" s="38"/>
      <c r="V166" s="38"/>
      <c r="W166" s="38"/>
      <c r="X166" s="38"/>
      <c r="Y166" s="38"/>
      <c r="Z166" s="36"/>
      <c r="AA166" s="38"/>
      <c r="AB166" s="38"/>
      <c r="AC166" s="38"/>
      <c r="AD166" s="38"/>
      <c r="AE166" s="38"/>
      <c r="AF166" s="38"/>
      <c r="AG166" s="38"/>
      <c r="AH166" s="36"/>
      <c r="AI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26"/>
      <c r="BC166" s="38"/>
      <c r="BD166" s="26"/>
      <c r="BE166" s="38"/>
      <c r="BF166" s="38"/>
      <c r="BG166" s="36"/>
      <c r="BH166" s="36"/>
    </row>
    <row r="167" spans="1:60" s="37" customFormat="1" ht="15.75" x14ac:dyDescent="0.25">
      <c r="A167" s="36"/>
      <c r="B167" s="36"/>
      <c r="C167" s="36"/>
      <c r="D167" s="36"/>
      <c r="R167" s="1"/>
      <c r="S167" s="38"/>
      <c r="T167" s="38"/>
      <c r="U167" s="38"/>
      <c r="V167" s="38"/>
      <c r="W167" s="38"/>
      <c r="X167" s="38"/>
      <c r="Y167" s="38"/>
      <c r="Z167" s="36"/>
      <c r="AA167" s="38"/>
      <c r="AB167" s="38"/>
      <c r="AC167" s="38"/>
      <c r="AD167" s="38"/>
      <c r="AE167" s="38"/>
      <c r="AF167" s="38"/>
      <c r="AG167" s="38"/>
      <c r="AH167" s="36"/>
      <c r="AI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26"/>
      <c r="BC167" s="38"/>
      <c r="BD167" s="26"/>
      <c r="BE167" s="38"/>
      <c r="BF167" s="38"/>
      <c r="BG167" s="36"/>
      <c r="BH167" s="36"/>
    </row>
    <row r="168" spans="1:60" s="37" customFormat="1" ht="15.75" x14ac:dyDescent="0.25">
      <c r="A168" s="36"/>
      <c r="B168" s="36"/>
      <c r="C168" s="36"/>
      <c r="D168" s="36"/>
      <c r="R168" s="1"/>
      <c r="S168" s="38"/>
      <c r="T168" s="38"/>
      <c r="U168" s="38"/>
      <c r="V168" s="38"/>
      <c r="W168" s="38"/>
      <c r="X168" s="38"/>
      <c r="Y168" s="38"/>
      <c r="Z168" s="36"/>
      <c r="AA168" s="38"/>
      <c r="AB168" s="38"/>
      <c r="AC168" s="38"/>
      <c r="AD168" s="38"/>
      <c r="AE168" s="38"/>
      <c r="AF168" s="38"/>
      <c r="AG168" s="38"/>
      <c r="AH168" s="36"/>
      <c r="AI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26"/>
      <c r="BC168" s="38"/>
      <c r="BD168" s="26"/>
      <c r="BE168" s="38"/>
      <c r="BF168" s="38"/>
      <c r="BG168" s="36"/>
      <c r="BH168" s="36"/>
    </row>
    <row r="169" spans="1:60" s="37" customFormat="1" ht="15.75" x14ac:dyDescent="0.25">
      <c r="A169" s="36"/>
      <c r="B169" s="36"/>
      <c r="C169" s="36"/>
      <c r="D169" s="36"/>
      <c r="R169" s="1"/>
      <c r="S169" s="38"/>
      <c r="T169" s="38"/>
      <c r="U169" s="38"/>
      <c r="V169" s="38"/>
      <c r="W169" s="38"/>
      <c r="X169" s="38"/>
      <c r="Y169" s="38"/>
      <c r="Z169" s="36"/>
      <c r="AA169" s="38"/>
      <c r="AB169" s="38"/>
      <c r="AC169" s="38"/>
      <c r="AD169" s="38"/>
      <c r="AE169" s="38"/>
      <c r="AF169" s="38"/>
      <c r="AG169" s="38"/>
      <c r="AH169" s="36"/>
      <c r="AI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26"/>
      <c r="BC169" s="38"/>
      <c r="BD169" s="26"/>
      <c r="BE169" s="38"/>
      <c r="BF169" s="38"/>
      <c r="BG169" s="36"/>
      <c r="BH169" s="36"/>
    </row>
    <row r="170" spans="1:60" s="37" customFormat="1" ht="15.75" x14ac:dyDescent="0.25">
      <c r="A170" s="36"/>
      <c r="B170" s="36"/>
      <c r="C170" s="36"/>
      <c r="D170" s="36"/>
      <c r="R170" s="1"/>
      <c r="S170" s="38"/>
      <c r="T170" s="38"/>
      <c r="U170" s="38"/>
      <c r="V170" s="38"/>
      <c r="W170" s="38"/>
      <c r="X170" s="38"/>
      <c r="Y170" s="38"/>
      <c r="Z170" s="36"/>
      <c r="AA170" s="38"/>
      <c r="AB170" s="38"/>
      <c r="AC170" s="38"/>
      <c r="AD170" s="38"/>
      <c r="AE170" s="38"/>
      <c r="AF170" s="38"/>
      <c r="AG170" s="38"/>
      <c r="AH170" s="36"/>
      <c r="AI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26"/>
      <c r="BC170" s="38"/>
      <c r="BD170" s="26"/>
      <c r="BE170" s="38"/>
      <c r="BF170" s="38"/>
      <c r="BG170" s="36"/>
      <c r="BH170" s="36"/>
    </row>
    <row r="171" spans="1:60" s="37" customFormat="1" ht="15.75" x14ac:dyDescent="0.25">
      <c r="A171" s="36"/>
      <c r="B171" s="36"/>
      <c r="C171" s="36"/>
      <c r="D171" s="36"/>
      <c r="R171" s="1"/>
      <c r="S171" s="38"/>
      <c r="T171" s="38"/>
      <c r="U171" s="38"/>
      <c r="V171" s="38"/>
      <c r="W171" s="38"/>
      <c r="X171" s="38"/>
      <c r="Y171" s="38"/>
      <c r="Z171" s="36"/>
      <c r="AA171" s="38"/>
      <c r="AB171" s="38"/>
      <c r="AC171" s="38"/>
      <c r="AD171" s="38"/>
      <c r="AE171" s="38"/>
      <c r="AF171" s="38"/>
      <c r="AG171" s="38"/>
      <c r="AH171" s="36"/>
      <c r="AI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26"/>
      <c r="BC171" s="38"/>
      <c r="BD171" s="26"/>
      <c r="BE171" s="38"/>
      <c r="BF171" s="38"/>
      <c r="BG171" s="36"/>
      <c r="BH171" s="36"/>
    </row>
    <row r="172" spans="1:60" s="37" customFormat="1" ht="15.75" x14ac:dyDescent="0.25">
      <c r="A172" s="36"/>
      <c r="B172" s="36"/>
      <c r="C172" s="36"/>
      <c r="D172" s="36"/>
      <c r="R172" s="1"/>
      <c r="S172" s="38"/>
      <c r="T172" s="38"/>
      <c r="U172" s="38"/>
      <c r="V172" s="38"/>
      <c r="W172" s="38"/>
      <c r="X172" s="38"/>
      <c r="Y172" s="38"/>
      <c r="Z172" s="36"/>
      <c r="AA172" s="38"/>
      <c r="AB172" s="38"/>
      <c r="AC172" s="38"/>
      <c r="AD172" s="38"/>
      <c r="AE172" s="38"/>
      <c r="AF172" s="38"/>
      <c r="AG172" s="38"/>
      <c r="AH172" s="36"/>
      <c r="AI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26"/>
      <c r="BC172" s="38"/>
      <c r="BD172" s="26"/>
      <c r="BE172" s="38"/>
      <c r="BF172" s="38"/>
      <c r="BG172" s="36"/>
      <c r="BH172" s="36"/>
    </row>
    <row r="173" spans="1:60" s="37" customFormat="1" ht="15.75" x14ac:dyDescent="0.25">
      <c r="A173" s="36"/>
      <c r="B173" s="36"/>
      <c r="C173" s="36"/>
      <c r="D173" s="36"/>
      <c r="R173" s="1"/>
      <c r="S173" s="38"/>
      <c r="T173" s="38"/>
      <c r="U173" s="38"/>
      <c r="V173" s="38"/>
      <c r="W173" s="38"/>
      <c r="X173" s="38"/>
      <c r="Y173" s="38"/>
      <c r="Z173" s="36"/>
      <c r="AA173" s="38"/>
      <c r="AB173" s="38"/>
      <c r="AC173" s="38"/>
      <c r="AD173" s="38"/>
      <c r="AE173" s="38"/>
      <c r="AF173" s="38"/>
      <c r="AG173" s="38"/>
      <c r="AH173" s="36"/>
      <c r="AI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26"/>
      <c r="BC173" s="38"/>
      <c r="BD173" s="26"/>
      <c r="BE173" s="38"/>
      <c r="BF173" s="38"/>
      <c r="BG173" s="36"/>
      <c r="BH173" s="36"/>
    </row>
    <row r="174" spans="1:60" s="37" customFormat="1" ht="15.75" x14ac:dyDescent="0.25">
      <c r="A174" s="36"/>
      <c r="B174" s="36"/>
      <c r="C174" s="36"/>
      <c r="D174" s="36"/>
      <c r="R174" s="1"/>
      <c r="S174" s="38"/>
      <c r="T174" s="38"/>
      <c r="U174" s="38"/>
      <c r="V174" s="38"/>
      <c r="W174" s="38"/>
      <c r="X174" s="38"/>
      <c r="Y174" s="38"/>
      <c r="Z174" s="36"/>
      <c r="AA174" s="38"/>
      <c r="AB174" s="38"/>
      <c r="AC174" s="38"/>
      <c r="AD174" s="38"/>
      <c r="AE174" s="38"/>
      <c r="AF174" s="38"/>
      <c r="AG174" s="38"/>
      <c r="AH174" s="36"/>
      <c r="AI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26"/>
      <c r="BC174" s="38"/>
      <c r="BD174" s="26"/>
      <c r="BE174" s="38"/>
      <c r="BF174" s="38"/>
      <c r="BG174" s="36"/>
      <c r="BH174" s="36"/>
    </row>
    <row r="175" spans="1:60" s="37" customFormat="1" ht="15.75" x14ac:dyDescent="0.25">
      <c r="A175" s="36"/>
      <c r="B175" s="36"/>
      <c r="C175" s="36"/>
      <c r="D175" s="36"/>
      <c r="R175" s="1"/>
      <c r="S175" s="38"/>
      <c r="T175" s="38"/>
      <c r="U175" s="38"/>
      <c r="V175" s="38"/>
      <c r="W175" s="38"/>
      <c r="X175" s="38"/>
      <c r="Y175" s="38"/>
      <c r="Z175" s="36"/>
      <c r="AA175" s="38"/>
      <c r="AB175" s="38"/>
      <c r="AC175" s="38"/>
      <c r="AD175" s="38"/>
      <c r="AE175" s="38"/>
      <c r="AF175" s="38"/>
      <c r="AG175" s="38"/>
      <c r="AH175" s="36"/>
      <c r="AI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26"/>
      <c r="BC175" s="38"/>
      <c r="BD175" s="26"/>
      <c r="BE175" s="38"/>
      <c r="BF175" s="38"/>
      <c r="BG175" s="36"/>
      <c r="BH175" s="36"/>
    </row>
    <row r="176" spans="1:60" s="37" customFormat="1" ht="15.75" x14ac:dyDescent="0.25">
      <c r="A176" s="36"/>
      <c r="B176" s="36"/>
      <c r="C176" s="36"/>
      <c r="D176" s="36"/>
      <c r="R176" s="1"/>
      <c r="S176" s="38"/>
      <c r="T176" s="38"/>
      <c r="U176" s="38"/>
      <c r="V176" s="38"/>
      <c r="W176" s="38"/>
      <c r="X176" s="38"/>
      <c r="Y176" s="38"/>
      <c r="Z176" s="36"/>
      <c r="AA176" s="38"/>
      <c r="AB176" s="38"/>
      <c r="AC176" s="38"/>
      <c r="AD176" s="38"/>
      <c r="AE176" s="38"/>
      <c r="AF176" s="38"/>
      <c r="AG176" s="38"/>
      <c r="AH176" s="36"/>
      <c r="AI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26"/>
      <c r="BC176" s="38"/>
      <c r="BD176" s="26"/>
      <c r="BE176" s="38"/>
      <c r="BF176" s="38"/>
      <c r="BG176" s="36"/>
      <c r="BH176" s="36"/>
    </row>
    <row r="177" spans="1:60" s="37" customFormat="1" ht="15.75" x14ac:dyDescent="0.25">
      <c r="A177" s="36"/>
      <c r="B177" s="36"/>
      <c r="C177" s="36"/>
      <c r="D177" s="36"/>
      <c r="R177" s="1"/>
      <c r="S177" s="38"/>
      <c r="T177" s="38"/>
      <c r="U177" s="38"/>
      <c r="V177" s="38"/>
      <c r="W177" s="38"/>
      <c r="X177" s="38"/>
      <c r="Y177" s="38"/>
      <c r="Z177" s="36"/>
      <c r="AA177" s="38"/>
      <c r="AB177" s="38"/>
      <c r="AC177" s="38"/>
      <c r="AD177" s="38"/>
      <c r="AE177" s="38"/>
      <c r="AF177" s="38"/>
      <c r="AG177" s="38"/>
      <c r="AH177" s="36"/>
      <c r="AI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26"/>
      <c r="BC177" s="38"/>
      <c r="BD177" s="26"/>
      <c r="BE177" s="38"/>
      <c r="BF177" s="38"/>
      <c r="BG177" s="36"/>
      <c r="BH177" s="36"/>
    </row>
    <row r="178" spans="1:60" s="37" customFormat="1" ht="15.75" x14ac:dyDescent="0.25">
      <c r="A178" s="36"/>
      <c r="B178" s="36"/>
      <c r="C178" s="36"/>
      <c r="D178" s="36"/>
      <c r="R178" s="1"/>
      <c r="S178" s="38"/>
      <c r="T178" s="38"/>
      <c r="U178" s="38"/>
      <c r="V178" s="38"/>
      <c r="W178" s="38"/>
      <c r="X178" s="38"/>
      <c r="Y178" s="38"/>
      <c r="Z178" s="36"/>
      <c r="AA178" s="38"/>
      <c r="AB178" s="38"/>
      <c r="AC178" s="38"/>
      <c r="AD178" s="38"/>
      <c r="AE178" s="38"/>
      <c r="AF178" s="38"/>
      <c r="AG178" s="38"/>
      <c r="AH178" s="36"/>
      <c r="AI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26"/>
      <c r="BC178" s="38"/>
      <c r="BD178" s="26"/>
      <c r="BE178" s="38"/>
      <c r="BF178" s="38"/>
      <c r="BG178" s="36"/>
      <c r="BH178" s="36"/>
    </row>
    <row r="179" spans="1:60" s="37" customFormat="1" ht="15.75" x14ac:dyDescent="0.25">
      <c r="A179" s="36"/>
      <c r="B179" s="36"/>
      <c r="C179" s="36"/>
      <c r="D179" s="36"/>
      <c r="R179" s="1"/>
      <c r="S179" s="38"/>
      <c r="T179" s="38"/>
      <c r="U179" s="38"/>
      <c r="V179" s="38"/>
      <c r="W179" s="38"/>
      <c r="X179" s="38"/>
      <c r="Y179" s="38"/>
      <c r="Z179" s="36"/>
      <c r="AA179" s="38"/>
      <c r="AB179" s="38"/>
      <c r="AC179" s="38"/>
      <c r="AD179" s="38"/>
      <c r="AE179" s="38"/>
      <c r="AF179" s="38"/>
      <c r="AG179" s="38"/>
      <c r="AH179" s="36"/>
      <c r="AI179" s="38"/>
      <c r="AR179" s="36"/>
      <c r="AS179" s="36"/>
      <c r="AT179" s="36"/>
      <c r="AU179" s="36"/>
      <c r="AV179" s="36"/>
      <c r="AW179" s="36"/>
      <c r="AX179" s="36"/>
      <c r="AY179" s="38"/>
      <c r="AZ179" s="38"/>
      <c r="BA179" s="38"/>
      <c r="BB179" s="26"/>
      <c r="BC179" s="38"/>
      <c r="BD179" s="26"/>
      <c r="BE179" s="38"/>
      <c r="BF179" s="38"/>
      <c r="BG179" s="36"/>
      <c r="BH179" s="36"/>
    </row>
    <row r="180" spans="1:60" s="37" customFormat="1" ht="15.75" x14ac:dyDescent="0.25">
      <c r="A180" s="36"/>
      <c r="B180" s="36"/>
      <c r="C180" s="36"/>
      <c r="D180" s="36"/>
      <c r="R180" s="1"/>
      <c r="S180" s="38"/>
      <c r="T180" s="38"/>
      <c r="U180" s="38"/>
      <c r="V180" s="38"/>
      <c r="W180" s="38"/>
      <c r="X180" s="38"/>
      <c r="Y180" s="38"/>
      <c r="Z180" s="36"/>
      <c r="AA180" s="38"/>
      <c r="AB180" s="38"/>
      <c r="AC180" s="38"/>
      <c r="AD180" s="38"/>
      <c r="AE180" s="38"/>
      <c r="AF180" s="38"/>
      <c r="AG180" s="38"/>
      <c r="AH180" s="36"/>
      <c r="AI180" s="36"/>
      <c r="AR180" s="36"/>
      <c r="AS180" s="36"/>
      <c r="AT180" s="36"/>
      <c r="AU180" s="36"/>
      <c r="AV180" s="36"/>
      <c r="AW180" s="36"/>
      <c r="AX180" s="36"/>
      <c r="AY180" s="38"/>
      <c r="AZ180" s="38"/>
      <c r="BA180" s="38"/>
      <c r="BB180" s="26"/>
      <c r="BC180" s="38"/>
      <c r="BD180" s="26"/>
      <c r="BE180" s="38"/>
      <c r="BF180" s="38"/>
      <c r="BG180" s="36"/>
      <c r="BH180" s="36"/>
    </row>
    <row r="181" spans="1:60" s="37" customFormat="1" ht="15.75" x14ac:dyDescent="0.25">
      <c r="A181" s="36"/>
      <c r="B181" s="36"/>
      <c r="C181" s="36"/>
      <c r="D181" s="36"/>
      <c r="R181" s="1"/>
      <c r="S181" s="38"/>
      <c r="T181" s="38"/>
      <c r="U181" s="38"/>
      <c r="V181" s="38"/>
      <c r="W181" s="38"/>
      <c r="X181" s="38"/>
      <c r="Y181" s="38"/>
      <c r="Z181" s="36"/>
      <c r="AA181" s="38"/>
      <c r="AB181" s="38"/>
      <c r="AC181" s="38"/>
      <c r="AD181" s="38"/>
      <c r="AE181" s="38"/>
      <c r="AF181" s="38"/>
      <c r="AG181" s="38"/>
      <c r="AH181" s="36"/>
      <c r="AI181" s="36"/>
      <c r="AR181" s="36"/>
      <c r="AS181" s="36"/>
      <c r="AT181" s="36"/>
      <c r="AU181" s="36"/>
      <c r="AV181" s="36"/>
      <c r="AW181" s="36"/>
      <c r="AX181" s="36"/>
      <c r="AY181" s="38"/>
      <c r="AZ181" s="38"/>
      <c r="BA181" s="38"/>
      <c r="BB181" s="26"/>
      <c r="BC181" s="38"/>
      <c r="BD181" s="26"/>
      <c r="BE181" s="38"/>
      <c r="BF181" s="38"/>
      <c r="BG181" s="36"/>
      <c r="BH181" s="36"/>
    </row>
    <row r="182" spans="1:60" s="37" customFormat="1" ht="15.75" x14ac:dyDescent="0.25">
      <c r="A182" s="36"/>
      <c r="B182" s="36"/>
      <c r="C182" s="36"/>
      <c r="D182" s="36"/>
      <c r="R182" s="1"/>
      <c r="S182" s="38"/>
      <c r="T182" s="38"/>
      <c r="U182" s="38"/>
      <c r="V182" s="38"/>
      <c r="W182" s="38"/>
      <c r="X182" s="38"/>
      <c r="Y182" s="38"/>
      <c r="Z182" s="36"/>
      <c r="AA182" s="38"/>
      <c r="AB182" s="38"/>
      <c r="AC182" s="38"/>
      <c r="AD182" s="38"/>
      <c r="AE182" s="38"/>
      <c r="AF182" s="38"/>
      <c r="AG182" s="38"/>
      <c r="AH182" s="36"/>
      <c r="AI182" s="36"/>
      <c r="AR182" s="36"/>
      <c r="AS182" s="36"/>
      <c r="AT182" s="36"/>
      <c r="AU182" s="36"/>
      <c r="AV182" s="36"/>
      <c r="AW182" s="36"/>
      <c r="AX182" s="36"/>
      <c r="AY182" s="38"/>
      <c r="AZ182" s="38"/>
      <c r="BA182" s="38"/>
      <c r="BB182" s="26"/>
      <c r="BC182" s="38"/>
      <c r="BD182" s="26"/>
      <c r="BE182" s="38"/>
      <c r="BF182" s="38"/>
      <c r="BG182" s="36"/>
      <c r="BH182" s="36"/>
    </row>
    <row r="183" spans="1:60" s="37" customFormat="1" ht="15.75" x14ac:dyDescent="0.25">
      <c r="A183" s="36"/>
      <c r="B183" s="36"/>
      <c r="C183" s="36"/>
      <c r="D183" s="36"/>
      <c r="R183" s="1"/>
      <c r="S183" s="38"/>
      <c r="T183" s="38"/>
      <c r="U183" s="38"/>
      <c r="V183" s="38"/>
      <c r="W183" s="38"/>
      <c r="X183" s="38"/>
      <c r="Y183" s="38"/>
      <c r="Z183" s="36"/>
      <c r="AA183" s="38"/>
      <c r="AB183" s="38"/>
      <c r="AC183" s="38"/>
      <c r="AD183" s="38"/>
      <c r="AE183" s="38"/>
      <c r="AF183" s="38"/>
      <c r="AG183" s="38"/>
      <c r="AH183" s="36"/>
      <c r="AI183" s="36"/>
      <c r="AR183" s="36"/>
      <c r="AS183" s="36"/>
      <c r="AT183" s="36"/>
      <c r="AU183" s="36"/>
      <c r="AV183" s="36"/>
      <c r="AW183" s="36"/>
      <c r="AX183" s="36"/>
      <c r="AY183" s="38"/>
      <c r="AZ183" s="38"/>
      <c r="BA183" s="38"/>
      <c r="BB183" s="26"/>
      <c r="BC183" s="38"/>
      <c r="BD183" s="26"/>
      <c r="BE183" s="38"/>
      <c r="BF183" s="38"/>
      <c r="BG183" s="36"/>
      <c r="BH183" s="36"/>
    </row>
    <row r="184" spans="1:60" s="37" customFormat="1" ht="15.75" x14ac:dyDescent="0.25">
      <c r="A184" s="36"/>
      <c r="B184" s="36"/>
      <c r="C184" s="36"/>
      <c r="D184" s="36"/>
      <c r="R184" s="1"/>
      <c r="S184" s="38"/>
      <c r="T184" s="38"/>
      <c r="U184" s="38"/>
      <c r="V184" s="38"/>
      <c r="W184" s="38"/>
      <c r="X184" s="38"/>
      <c r="Y184" s="38"/>
      <c r="Z184" s="36"/>
      <c r="AA184" s="38"/>
      <c r="AB184" s="38"/>
      <c r="AC184" s="38"/>
      <c r="AD184" s="38"/>
      <c r="AE184" s="38"/>
      <c r="AF184" s="38"/>
      <c r="AG184" s="38"/>
      <c r="AH184" s="36"/>
      <c r="AI184" s="36"/>
      <c r="AR184" s="36"/>
      <c r="AS184" s="36"/>
      <c r="AT184" s="36"/>
      <c r="AU184" s="36"/>
      <c r="AV184" s="36"/>
      <c r="AW184" s="36"/>
      <c r="AX184" s="36"/>
      <c r="AY184" s="38"/>
      <c r="AZ184" s="38"/>
      <c r="BA184" s="38"/>
      <c r="BB184" s="26"/>
      <c r="BC184" s="38"/>
      <c r="BD184" s="26"/>
      <c r="BE184" s="38"/>
      <c r="BF184" s="38"/>
      <c r="BG184" s="36"/>
      <c r="BH184" s="36"/>
    </row>
    <row r="185" spans="1:60" s="37" customFormat="1" ht="15.75" x14ac:dyDescent="0.25">
      <c r="A185" s="36"/>
      <c r="B185" s="36"/>
      <c r="C185" s="36"/>
      <c r="D185" s="36"/>
      <c r="R185" s="1"/>
      <c r="S185" s="38"/>
      <c r="T185" s="38"/>
      <c r="U185" s="38"/>
      <c r="V185" s="38"/>
      <c r="W185" s="38"/>
      <c r="X185" s="38"/>
      <c r="Y185" s="38"/>
      <c r="Z185" s="36"/>
      <c r="AA185" s="38"/>
      <c r="AB185" s="38"/>
      <c r="AC185" s="38"/>
      <c r="AD185" s="38"/>
      <c r="AE185" s="38"/>
      <c r="AF185" s="38"/>
      <c r="AG185" s="38"/>
      <c r="AH185" s="36"/>
      <c r="AI185" s="36"/>
      <c r="AR185" s="36"/>
      <c r="AS185" s="36"/>
      <c r="AT185" s="36"/>
      <c r="AU185" s="36"/>
      <c r="AV185" s="36"/>
      <c r="AW185" s="36"/>
      <c r="AX185" s="36"/>
      <c r="AY185" s="38"/>
      <c r="AZ185" s="38"/>
      <c r="BA185" s="38"/>
      <c r="BB185" s="26"/>
      <c r="BC185" s="38"/>
      <c r="BD185" s="26"/>
      <c r="BE185" s="38"/>
      <c r="BF185" s="38"/>
      <c r="BG185" s="36"/>
      <c r="BH185" s="36"/>
    </row>
    <row r="186" spans="1:60" s="37" customFormat="1" ht="15.75" x14ac:dyDescent="0.25">
      <c r="A186" s="36"/>
      <c r="B186" s="36"/>
      <c r="C186" s="36"/>
      <c r="D186" s="36"/>
      <c r="R186" s="1"/>
      <c r="S186" s="38"/>
      <c r="T186" s="38"/>
      <c r="U186" s="38"/>
      <c r="V186" s="38"/>
      <c r="W186" s="38"/>
      <c r="X186" s="38"/>
      <c r="Y186" s="38"/>
      <c r="Z186" s="36"/>
      <c r="AA186" s="38"/>
      <c r="AB186" s="38"/>
      <c r="AC186" s="38"/>
      <c r="AD186" s="38"/>
      <c r="AE186" s="38"/>
      <c r="AF186" s="38"/>
      <c r="AG186" s="38"/>
      <c r="AH186" s="36"/>
      <c r="AI186" s="36"/>
      <c r="AR186" s="36"/>
      <c r="AS186" s="36"/>
      <c r="AT186" s="36"/>
      <c r="AU186" s="36"/>
      <c r="AV186" s="36"/>
      <c r="AW186" s="36"/>
      <c r="AX186" s="36"/>
      <c r="AY186" s="38"/>
      <c r="AZ186" s="38"/>
      <c r="BA186" s="38"/>
      <c r="BB186" s="26"/>
      <c r="BC186" s="38"/>
      <c r="BD186" s="26"/>
      <c r="BE186" s="38"/>
      <c r="BF186" s="38"/>
      <c r="BG186" s="36"/>
      <c r="BH186" s="36"/>
    </row>
    <row r="187" spans="1:60" s="37" customFormat="1" ht="15.75" x14ac:dyDescent="0.25">
      <c r="A187" s="36"/>
      <c r="B187" s="36"/>
      <c r="C187" s="36"/>
      <c r="D187" s="36"/>
      <c r="R187" s="1"/>
      <c r="S187" s="38"/>
      <c r="T187" s="38"/>
      <c r="U187" s="38"/>
      <c r="V187" s="38"/>
      <c r="W187" s="38"/>
      <c r="X187" s="38"/>
      <c r="Y187" s="38"/>
      <c r="Z187" s="36"/>
      <c r="AA187" s="38"/>
      <c r="AB187" s="38"/>
      <c r="AC187" s="38"/>
      <c r="AD187" s="38"/>
      <c r="AE187" s="38"/>
      <c r="AF187" s="38"/>
      <c r="AG187" s="38"/>
      <c r="AH187" s="36"/>
      <c r="AI187" s="36"/>
      <c r="AR187" s="36"/>
      <c r="AS187" s="36"/>
      <c r="AT187" s="36"/>
      <c r="AU187" s="36"/>
      <c r="AV187" s="36"/>
      <c r="AW187" s="36"/>
      <c r="AX187" s="36"/>
      <c r="AY187" s="38"/>
      <c r="AZ187" s="38"/>
      <c r="BA187" s="38"/>
      <c r="BB187" s="26"/>
      <c r="BC187" s="38"/>
      <c r="BD187" s="26"/>
      <c r="BE187" s="38"/>
      <c r="BF187" s="38"/>
      <c r="BG187" s="36"/>
      <c r="BH187" s="36"/>
    </row>
    <row r="188" spans="1:60" s="37" customFormat="1" ht="15.75" x14ac:dyDescent="0.25">
      <c r="A188" s="36"/>
      <c r="B188" s="36"/>
      <c r="C188" s="36"/>
      <c r="D188" s="36"/>
      <c r="R188" s="1"/>
      <c r="S188" s="38"/>
      <c r="T188" s="38"/>
      <c r="U188" s="38"/>
      <c r="V188" s="38"/>
      <c r="W188" s="38"/>
      <c r="X188" s="38"/>
      <c r="Y188" s="38"/>
      <c r="Z188" s="36"/>
      <c r="AA188" s="38"/>
      <c r="AB188" s="38"/>
      <c r="AC188" s="38"/>
      <c r="AD188" s="38"/>
      <c r="AE188" s="38"/>
      <c r="AF188" s="38"/>
      <c r="AG188" s="38"/>
      <c r="AH188" s="36"/>
      <c r="AI188" s="36"/>
      <c r="AR188" s="36"/>
      <c r="AS188" s="36"/>
      <c r="AT188" s="36"/>
      <c r="AU188" s="36"/>
      <c r="AV188" s="36"/>
      <c r="AW188" s="36"/>
      <c r="AX188" s="36"/>
      <c r="AY188" s="38"/>
      <c r="AZ188" s="38"/>
      <c r="BA188" s="38"/>
      <c r="BB188" s="26"/>
      <c r="BC188" s="38"/>
      <c r="BD188" s="26"/>
      <c r="BE188" s="38"/>
      <c r="BF188" s="38"/>
      <c r="BG188" s="36"/>
      <c r="BH188" s="36"/>
    </row>
    <row r="189" spans="1:60" s="37" customFormat="1" ht="15.75" x14ac:dyDescent="0.25">
      <c r="A189" s="36"/>
      <c r="B189" s="36"/>
      <c r="C189" s="36"/>
      <c r="D189" s="36"/>
      <c r="R189" s="1"/>
      <c r="S189" s="38"/>
      <c r="T189" s="38"/>
      <c r="U189" s="38"/>
      <c r="V189" s="38"/>
      <c r="W189" s="38"/>
      <c r="X189" s="38"/>
      <c r="Y189" s="38"/>
      <c r="Z189" s="36"/>
      <c r="AA189" s="38"/>
      <c r="AB189" s="38"/>
      <c r="AC189" s="38"/>
      <c r="AD189" s="38"/>
      <c r="AE189" s="38"/>
      <c r="AF189" s="38"/>
      <c r="AG189" s="38"/>
      <c r="AH189" s="36"/>
      <c r="AI189" s="36"/>
      <c r="AR189" s="36"/>
      <c r="AS189" s="36"/>
      <c r="AT189" s="36"/>
      <c r="AU189" s="36"/>
      <c r="AV189" s="36"/>
      <c r="AW189" s="36"/>
      <c r="AX189" s="36"/>
      <c r="AY189" s="38"/>
      <c r="AZ189" s="38"/>
      <c r="BA189" s="38"/>
      <c r="BB189" s="26"/>
      <c r="BC189" s="38"/>
      <c r="BD189" s="26"/>
      <c r="BE189" s="38"/>
      <c r="BF189" s="38"/>
      <c r="BG189" s="36"/>
      <c r="BH189" s="36"/>
    </row>
    <row r="190" spans="1:60" s="37" customFormat="1" ht="15.75" x14ac:dyDescent="0.25">
      <c r="A190" s="36"/>
      <c r="B190" s="36"/>
      <c r="C190" s="36"/>
      <c r="D190" s="36"/>
      <c r="R190" s="1"/>
      <c r="S190" s="38"/>
      <c r="T190" s="38"/>
      <c r="U190" s="38"/>
      <c r="V190" s="38"/>
      <c r="W190" s="38"/>
      <c r="X190" s="38"/>
      <c r="Y190" s="38"/>
      <c r="Z190" s="36"/>
      <c r="AA190" s="38"/>
      <c r="AB190" s="38"/>
      <c r="AC190" s="38"/>
      <c r="AD190" s="38"/>
      <c r="AE190" s="38"/>
      <c r="AF190" s="38"/>
      <c r="AG190" s="38"/>
      <c r="AH190" s="36"/>
      <c r="AI190" s="36"/>
      <c r="AR190" s="36"/>
      <c r="AS190" s="36"/>
      <c r="AT190" s="36"/>
      <c r="AU190" s="36"/>
      <c r="AV190" s="36"/>
      <c r="AW190" s="36"/>
      <c r="AX190" s="36"/>
      <c r="AY190" s="38"/>
      <c r="AZ190" s="38"/>
      <c r="BA190" s="38"/>
      <c r="BB190" s="26"/>
      <c r="BC190" s="38"/>
      <c r="BD190" s="26"/>
      <c r="BE190" s="38"/>
      <c r="BF190" s="38"/>
      <c r="BG190" s="36"/>
      <c r="BH190" s="36"/>
    </row>
    <row r="191" spans="1:60" s="37" customFormat="1" ht="15.75" x14ac:dyDescent="0.25">
      <c r="A191" s="36"/>
      <c r="B191" s="36"/>
      <c r="C191" s="36"/>
      <c r="D191" s="36"/>
      <c r="R191" s="1"/>
      <c r="S191" s="38"/>
      <c r="T191" s="38"/>
      <c r="U191" s="38"/>
      <c r="V191" s="38"/>
      <c r="W191" s="38"/>
      <c r="X191" s="38"/>
      <c r="Y191" s="38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R191" s="36"/>
      <c r="AS191" s="36"/>
      <c r="AT191" s="36"/>
      <c r="AU191" s="36"/>
      <c r="AV191" s="36"/>
      <c r="AW191" s="36"/>
      <c r="AX191" s="36"/>
      <c r="AY191" s="38"/>
      <c r="AZ191" s="38"/>
      <c r="BA191" s="38"/>
      <c r="BB191" s="26"/>
      <c r="BC191" s="38"/>
      <c r="BD191" s="26"/>
      <c r="BE191" s="38"/>
      <c r="BF191" s="38"/>
      <c r="BG191" s="36"/>
      <c r="BH191" s="36"/>
    </row>
    <row r="192" spans="1:60" s="37" customFormat="1" ht="15.75" x14ac:dyDescent="0.25">
      <c r="A192" s="36"/>
      <c r="B192" s="36"/>
      <c r="C192" s="36"/>
      <c r="D192" s="36"/>
      <c r="R192" s="1"/>
      <c r="S192" s="38"/>
      <c r="T192" s="38"/>
      <c r="U192" s="38"/>
      <c r="V192" s="38"/>
      <c r="W192" s="38"/>
      <c r="X192" s="38"/>
      <c r="Y192" s="38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R192" s="36"/>
      <c r="AS192" s="36"/>
      <c r="AT192" s="36"/>
      <c r="AU192" s="36"/>
      <c r="AV192" s="36"/>
      <c r="AW192" s="36"/>
      <c r="AX192" s="36"/>
      <c r="AY192" s="38"/>
      <c r="AZ192" s="38"/>
      <c r="BA192" s="38"/>
      <c r="BB192" s="26"/>
      <c r="BC192" s="38"/>
      <c r="BD192" s="26"/>
      <c r="BE192" s="38"/>
      <c r="BF192" s="38"/>
      <c r="BG192" s="36"/>
      <c r="BH192" s="36"/>
    </row>
    <row r="193" spans="1:60" s="37" customFormat="1" ht="15.75" x14ac:dyDescent="0.25">
      <c r="A193" s="36"/>
      <c r="B193" s="36"/>
      <c r="C193" s="36"/>
      <c r="D193" s="36"/>
      <c r="R193" s="1"/>
      <c r="S193" s="38"/>
      <c r="T193" s="38"/>
      <c r="U193" s="38"/>
      <c r="V193" s="38"/>
      <c r="W193" s="38"/>
      <c r="X193" s="38"/>
      <c r="Y193" s="38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R193" s="36"/>
      <c r="AS193" s="36"/>
      <c r="AT193" s="36"/>
      <c r="AU193" s="36"/>
      <c r="AV193" s="36"/>
      <c r="AW193" s="36"/>
      <c r="AX193" s="36"/>
      <c r="AY193" s="38"/>
      <c r="AZ193" s="38"/>
      <c r="BA193" s="38"/>
      <c r="BB193" s="26"/>
      <c r="BC193" s="38"/>
      <c r="BD193" s="26"/>
      <c r="BE193" s="38"/>
      <c r="BF193" s="38"/>
      <c r="BG193" s="36"/>
      <c r="BH193" s="36"/>
    </row>
    <row r="194" spans="1:60" s="37" customFormat="1" ht="15.75" x14ac:dyDescent="0.25">
      <c r="A194" s="36"/>
      <c r="B194" s="36"/>
      <c r="C194" s="36"/>
      <c r="D194" s="36"/>
      <c r="R194" s="1"/>
      <c r="S194" s="38"/>
      <c r="T194" s="38"/>
      <c r="U194" s="38"/>
      <c r="V194" s="38"/>
      <c r="W194" s="38"/>
      <c r="X194" s="38"/>
      <c r="Y194" s="38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R194" s="36"/>
      <c r="AS194" s="36"/>
      <c r="AT194" s="36"/>
      <c r="AU194" s="36"/>
      <c r="AV194" s="36"/>
      <c r="AW194" s="36"/>
      <c r="AX194" s="36"/>
      <c r="AY194" s="38"/>
      <c r="AZ194" s="38"/>
      <c r="BA194" s="38"/>
      <c r="BB194" s="26"/>
      <c r="BC194" s="38"/>
      <c r="BD194" s="26"/>
      <c r="BE194" s="38"/>
      <c r="BF194" s="38"/>
      <c r="BG194" s="36"/>
      <c r="BH194" s="36"/>
    </row>
    <row r="195" spans="1:60" s="37" customFormat="1" ht="15.75" x14ac:dyDescent="0.25">
      <c r="A195" s="36"/>
      <c r="B195" s="36"/>
      <c r="C195" s="36"/>
      <c r="D195" s="36"/>
      <c r="R195" s="1"/>
      <c r="S195" s="38"/>
      <c r="T195" s="38"/>
      <c r="U195" s="38"/>
      <c r="V195" s="38"/>
      <c r="W195" s="38"/>
      <c r="X195" s="38"/>
      <c r="Y195" s="38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R195" s="36"/>
      <c r="AS195" s="36"/>
      <c r="AT195" s="36"/>
      <c r="AU195" s="36"/>
      <c r="AV195" s="36"/>
      <c r="AW195" s="36"/>
      <c r="AX195" s="36"/>
      <c r="AY195" s="38"/>
      <c r="AZ195" s="38"/>
      <c r="BA195" s="38"/>
      <c r="BB195" s="26"/>
      <c r="BC195" s="38"/>
      <c r="BD195" s="26"/>
      <c r="BE195" s="38"/>
      <c r="BF195" s="38"/>
      <c r="BG195" s="36"/>
      <c r="BH195" s="36"/>
    </row>
    <row r="196" spans="1:60" s="37" customFormat="1" ht="15.75" x14ac:dyDescent="0.25">
      <c r="A196" s="36"/>
      <c r="B196" s="36"/>
      <c r="C196" s="36"/>
      <c r="D196" s="36"/>
      <c r="R196" s="1"/>
      <c r="S196" s="38"/>
      <c r="T196" s="38"/>
      <c r="U196" s="38"/>
      <c r="V196" s="38"/>
      <c r="W196" s="38"/>
      <c r="X196" s="38"/>
      <c r="Y196" s="38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R196" s="36"/>
      <c r="AS196" s="36"/>
      <c r="AT196" s="36"/>
      <c r="AU196" s="36"/>
      <c r="AV196" s="36"/>
      <c r="AW196" s="36"/>
      <c r="AX196" s="36"/>
      <c r="AY196" s="38"/>
      <c r="AZ196" s="38"/>
      <c r="BA196" s="38"/>
      <c r="BB196" s="26"/>
      <c r="BC196" s="38"/>
      <c r="BD196" s="26"/>
      <c r="BE196" s="38"/>
      <c r="BF196" s="38"/>
      <c r="BG196" s="36"/>
      <c r="BH196" s="36"/>
    </row>
    <row r="197" spans="1:60" s="37" customFormat="1" ht="15.75" x14ac:dyDescent="0.25">
      <c r="A197" s="36"/>
      <c r="B197" s="36"/>
      <c r="C197" s="36"/>
      <c r="D197" s="36"/>
      <c r="R197" s="1"/>
      <c r="S197" s="38"/>
      <c r="T197" s="38"/>
      <c r="U197" s="38"/>
      <c r="V197" s="38"/>
      <c r="W197" s="38"/>
      <c r="X197" s="38"/>
      <c r="Y197" s="38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R197" s="36"/>
      <c r="AS197" s="36"/>
      <c r="AT197" s="36"/>
      <c r="AU197" s="36"/>
      <c r="AV197" s="36"/>
      <c r="AW197" s="36"/>
      <c r="AX197" s="36"/>
      <c r="AY197" s="38"/>
      <c r="AZ197" s="38"/>
      <c r="BA197" s="38"/>
      <c r="BB197" s="26"/>
      <c r="BC197" s="38"/>
      <c r="BD197" s="26"/>
      <c r="BE197" s="38"/>
      <c r="BF197" s="38"/>
      <c r="BG197" s="36"/>
      <c r="BH197" s="36"/>
    </row>
    <row r="198" spans="1:60" s="37" customFormat="1" ht="15.75" x14ac:dyDescent="0.25">
      <c r="A198" s="36"/>
      <c r="B198" s="36"/>
      <c r="C198" s="36"/>
      <c r="D198" s="36"/>
      <c r="R198" s="1"/>
      <c r="S198" s="38"/>
      <c r="T198" s="38"/>
      <c r="U198" s="38"/>
      <c r="V198" s="38"/>
      <c r="W198" s="38"/>
      <c r="X198" s="38"/>
      <c r="Y198" s="38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R198" s="36"/>
      <c r="AS198" s="36"/>
      <c r="AT198" s="36"/>
      <c r="AU198" s="36"/>
      <c r="AV198" s="36"/>
      <c r="AW198" s="36"/>
      <c r="AX198" s="36"/>
      <c r="AY198" s="38"/>
      <c r="AZ198" s="38"/>
      <c r="BA198" s="38"/>
      <c r="BB198" s="26"/>
      <c r="BC198" s="38"/>
      <c r="BD198" s="26"/>
      <c r="BE198" s="38"/>
      <c r="BF198" s="38"/>
      <c r="BG198" s="36"/>
      <c r="BH198" s="36"/>
    </row>
    <row r="199" spans="1:60" s="37" customFormat="1" ht="15.75" x14ac:dyDescent="0.25">
      <c r="A199" s="36"/>
      <c r="B199" s="36"/>
      <c r="C199" s="36"/>
      <c r="D199" s="36"/>
      <c r="R199" s="1"/>
      <c r="S199" s="38"/>
      <c r="T199" s="38"/>
      <c r="U199" s="38"/>
      <c r="V199" s="38"/>
      <c r="W199" s="38"/>
      <c r="X199" s="38"/>
      <c r="Y199" s="38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R199" s="36"/>
      <c r="AS199" s="36"/>
      <c r="AT199" s="36"/>
      <c r="AU199" s="36"/>
      <c r="AV199" s="36"/>
      <c r="AW199" s="36"/>
      <c r="AX199" s="36"/>
      <c r="AY199" s="38"/>
      <c r="AZ199" s="38"/>
      <c r="BA199" s="38"/>
      <c r="BB199" s="26"/>
      <c r="BC199" s="38"/>
      <c r="BD199" s="26"/>
      <c r="BE199" s="38"/>
      <c r="BF199" s="38"/>
      <c r="BG199" s="36"/>
      <c r="BH199" s="36"/>
    </row>
    <row r="200" spans="1:60" s="37" customFormat="1" ht="15.75" x14ac:dyDescent="0.25">
      <c r="A200" s="36"/>
      <c r="B200" s="36"/>
      <c r="C200" s="36"/>
      <c r="D200" s="36"/>
      <c r="R200" s="1"/>
      <c r="S200" s="38"/>
      <c r="T200" s="38"/>
      <c r="U200" s="38"/>
      <c r="V200" s="38"/>
      <c r="W200" s="38"/>
      <c r="X200" s="38"/>
      <c r="Y200" s="38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R200" s="36"/>
      <c r="AS200" s="36"/>
      <c r="AT200" s="36"/>
      <c r="AU200" s="36"/>
      <c r="AV200" s="36"/>
      <c r="AW200" s="36"/>
      <c r="AX200" s="36"/>
      <c r="AY200" s="38"/>
      <c r="AZ200" s="38"/>
      <c r="BA200" s="38"/>
      <c r="BB200" s="26"/>
      <c r="BC200" s="38"/>
      <c r="BD200" s="26"/>
      <c r="BE200" s="38"/>
      <c r="BF200" s="38"/>
      <c r="BG200" s="36"/>
      <c r="BH200" s="36"/>
    </row>
    <row r="201" spans="1:60" s="37" customFormat="1" ht="15.75" x14ac:dyDescent="0.25">
      <c r="A201" s="36"/>
      <c r="B201" s="36"/>
      <c r="C201" s="36"/>
      <c r="D201" s="36"/>
      <c r="R201" s="1"/>
      <c r="S201" s="38"/>
      <c r="T201" s="38"/>
      <c r="U201" s="38"/>
      <c r="V201" s="38"/>
      <c r="W201" s="38"/>
      <c r="X201" s="38"/>
      <c r="Y201" s="38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R201" s="36"/>
      <c r="AS201" s="36"/>
      <c r="AT201" s="36"/>
      <c r="AU201" s="36"/>
      <c r="AV201" s="36"/>
      <c r="AW201" s="36"/>
      <c r="AX201" s="36"/>
      <c r="AY201" s="38"/>
      <c r="AZ201" s="38"/>
      <c r="BA201" s="38"/>
      <c r="BB201" s="26"/>
      <c r="BC201" s="38"/>
      <c r="BD201" s="26"/>
      <c r="BE201" s="38"/>
      <c r="BF201" s="38"/>
      <c r="BG201" s="36"/>
      <c r="BH201" s="36"/>
    </row>
    <row r="202" spans="1:60" s="37" customFormat="1" ht="15.75" x14ac:dyDescent="0.25">
      <c r="A202" s="36"/>
      <c r="B202" s="36"/>
      <c r="C202" s="36"/>
      <c r="D202" s="36"/>
      <c r="R202" s="1"/>
      <c r="S202" s="38"/>
      <c r="T202" s="38"/>
      <c r="U202" s="38"/>
      <c r="V202" s="38"/>
      <c r="W202" s="38"/>
      <c r="X202" s="38"/>
      <c r="Y202" s="38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R202" s="36"/>
      <c r="AS202" s="36"/>
      <c r="AT202" s="36"/>
      <c r="AU202" s="36"/>
      <c r="AV202" s="36"/>
      <c r="AW202" s="36"/>
      <c r="AX202" s="36"/>
      <c r="AY202" s="38"/>
      <c r="AZ202" s="38"/>
      <c r="BA202" s="38"/>
      <c r="BB202" s="26"/>
      <c r="BC202" s="38"/>
      <c r="BD202" s="26"/>
      <c r="BE202" s="38"/>
      <c r="BF202" s="38"/>
      <c r="BG202" s="36"/>
      <c r="BH202" s="36"/>
    </row>
    <row r="203" spans="1:60" s="37" customFormat="1" ht="15.75" x14ac:dyDescent="0.25">
      <c r="A203" s="36"/>
      <c r="B203" s="36"/>
      <c r="C203" s="36"/>
      <c r="D203" s="36"/>
      <c r="R203" s="1"/>
      <c r="S203" s="38"/>
      <c r="T203" s="38"/>
      <c r="U203" s="38"/>
      <c r="V203" s="38"/>
      <c r="W203" s="38"/>
      <c r="X203" s="38"/>
      <c r="Y203" s="38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R203" s="36"/>
      <c r="AS203" s="36"/>
      <c r="AT203" s="36"/>
      <c r="AU203" s="36"/>
      <c r="AV203" s="36"/>
      <c r="AW203" s="36"/>
      <c r="AX203" s="36"/>
      <c r="AY203" s="38"/>
      <c r="AZ203" s="38"/>
      <c r="BA203" s="38"/>
      <c r="BB203" s="26"/>
      <c r="BC203" s="38"/>
      <c r="BD203" s="26"/>
      <c r="BE203" s="38"/>
      <c r="BF203" s="38"/>
      <c r="BG203" s="36"/>
      <c r="BH203" s="36"/>
    </row>
    <row r="204" spans="1:60" s="37" customFormat="1" ht="15.75" x14ac:dyDescent="0.25">
      <c r="A204" s="36"/>
      <c r="B204" s="36"/>
      <c r="C204" s="36"/>
      <c r="D204" s="36"/>
      <c r="R204" s="1"/>
      <c r="S204" s="38"/>
      <c r="T204" s="38"/>
      <c r="U204" s="38"/>
      <c r="V204" s="38"/>
      <c r="W204" s="38"/>
      <c r="X204" s="38"/>
      <c r="Y204" s="38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R204" s="36"/>
      <c r="AS204" s="36"/>
      <c r="AT204" s="36"/>
      <c r="AU204" s="36"/>
      <c r="AV204" s="36"/>
      <c r="AW204" s="36"/>
      <c r="AX204" s="36"/>
      <c r="AY204" s="38"/>
      <c r="AZ204" s="38"/>
      <c r="BA204" s="38"/>
      <c r="BB204" s="26"/>
      <c r="BC204" s="38"/>
      <c r="BD204" s="26"/>
      <c r="BE204" s="38"/>
      <c r="BF204" s="38"/>
      <c r="BG204" s="36"/>
      <c r="BH204" s="36"/>
    </row>
    <row r="205" spans="1:60" s="37" customFormat="1" ht="15.75" x14ac:dyDescent="0.25">
      <c r="A205" s="36"/>
      <c r="B205" s="36"/>
      <c r="C205" s="36"/>
      <c r="D205" s="36"/>
      <c r="R205" s="1"/>
      <c r="S205" s="38"/>
      <c r="T205" s="38"/>
      <c r="U205" s="38"/>
      <c r="V205" s="38"/>
      <c r="W205" s="38"/>
      <c r="X205" s="38"/>
      <c r="Y205" s="38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R205" s="36"/>
      <c r="AS205" s="36"/>
      <c r="AT205" s="36"/>
      <c r="AU205" s="36"/>
      <c r="AV205" s="36"/>
      <c r="AW205" s="36"/>
      <c r="AX205" s="36"/>
      <c r="AY205" s="38"/>
      <c r="AZ205" s="38"/>
      <c r="BA205" s="38"/>
      <c r="BB205" s="26"/>
      <c r="BC205" s="38"/>
      <c r="BD205" s="26"/>
      <c r="BE205" s="38"/>
      <c r="BF205" s="38"/>
      <c r="BG205" s="36"/>
      <c r="BH205" s="36"/>
    </row>
    <row r="206" spans="1:60" s="37" customFormat="1" ht="15.75" x14ac:dyDescent="0.25">
      <c r="A206" s="36"/>
      <c r="B206" s="36"/>
      <c r="C206" s="36"/>
      <c r="D206" s="36"/>
      <c r="R206" s="1"/>
      <c r="S206" s="38"/>
      <c r="T206" s="38"/>
      <c r="U206" s="38"/>
      <c r="V206" s="38"/>
      <c r="W206" s="38"/>
      <c r="X206" s="38"/>
      <c r="Y206" s="38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R206" s="36"/>
      <c r="AS206" s="36"/>
      <c r="AT206" s="36"/>
      <c r="AU206" s="36"/>
      <c r="AV206" s="36"/>
      <c r="AW206" s="36"/>
      <c r="AX206" s="36"/>
      <c r="AY206" s="38"/>
      <c r="AZ206" s="38"/>
      <c r="BA206" s="38"/>
      <c r="BB206" s="26"/>
      <c r="BC206" s="38"/>
      <c r="BD206" s="26"/>
      <c r="BE206" s="38"/>
      <c r="BF206" s="38"/>
      <c r="BG206" s="36"/>
      <c r="BH206" s="36"/>
    </row>
    <row r="207" spans="1:60" s="37" customFormat="1" ht="15.75" x14ac:dyDescent="0.25">
      <c r="A207" s="36"/>
      <c r="B207" s="36"/>
      <c r="C207" s="36"/>
      <c r="D207" s="36"/>
      <c r="R207" s="1"/>
      <c r="S207" s="38"/>
      <c r="T207" s="38"/>
      <c r="U207" s="38"/>
      <c r="V207" s="38"/>
      <c r="W207" s="38"/>
      <c r="X207" s="38"/>
      <c r="Y207" s="38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R207" s="36"/>
      <c r="AS207" s="36"/>
      <c r="AT207" s="36"/>
      <c r="AU207" s="36"/>
      <c r="AV207" s="36"/>
      <c r="AW207" s="36"/>
      <c r="AX207" s="36"/>
      <c r="AY207" s="38"/>
      <c r="AZ207" s="38"/>
      <c r="BA207" s="38"/>
      <c r="BB207" s="26"/>
      <c r="BC207" s="38"/>
      <c r="BD207" s="26"/>
      <c r="BE207" s="38"/>
      <c r="BF207" s="38"/>
      <c r="BG207" s="36"/>
      <c r="BH207" s="36"/>
    </row>
    <row r="208" spans="1:60" s="37" customFormat="1" ht="15.75" x14ac:dyDescent="0.25">
      <c r="A208" s="36"/>
      <c r="B208" s="36"/>
      <c r="C208" s="36"/>
      <c r="D208" s="36"/>
      <c r="R208" s="1"/>
      <c r="S208" s="38"/>
      <c r="T208" s="38"/>
      <c r="U208" s="38"/>
      <c r="V208" s="38"/>
      <c r="W208" s="38"/>
      <c r="X208" s="38"/>
      <c r="Y208" s="38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R208" s="36"/>
      <c r="AS208" s="36"/>
      <c r="AT208" s="36"/>
      <c r="AU208" s="36"/>
      <c r="AV208" s="36"/>
      <c r="AW208" s="36"/>
      <c r="AX208" s="36"/>
      <c r="AY208" s="38"/>
      <c r="AZ208" s="38"/>
      <c r="BA208" s="38"/>
      <c r="BB208" s="26"/>
      <c r="BC208" s="38"/>
      <c r="BD208" s="26"/>
      <c r="BE208" s="38"/>
      <c r="BF208" s="38"/>
      <c r="BG208" s="36"/>
      <c r="BH208" s="36"/>
    </row>
    <row r="209" spans="1:60" s="37" customFormat="1" ht="15.75" x14ac:dyDescent="0.25">
      <c r="A209" s="36"/>
      <c r="B209" s="36"/>
      <c r="C209" s="36"/>
      <c r="D209" s="36"/>
      <c r="R209" s="1"/>
      <c r="S209" s="38"/>
      <c r="T209" s="38"/>
      <c r="U209" s="38"/>
      <c r="V209" s="38"/>
      <c r="W209" s="38"/>
      <c r="X209" s="38"/>
      <c r="Y209" s="38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R209" s="36"/>
      <c r="AS209" s="36"/>
      <c r="AT209" s="36"/>
      <c r="AU209" s="36"/>
      <c r="AV209" s="36"/>
      <c r="AW209" s="36"/>
      <c r="AX209" s="36"/>
      <c r="AY209" s="38"/>
      <c r="AZ209" s="38"/>
      <c r="BA209" s="38"/>
      <c r="BB209" s="26"/>
      <c r="BC209" s="38"/>
      <c r="BD209" s="26"/>
      <c r="BE209" s="38"/>
      <c r="BF209" s="38"/>
      <c r="BG209" s="36"/>
      <c r="BH209" s="36"/>
    </row>
    <row r="210" spans="1:60" s="37" customFormat="1" ht="15.75" x14ac:dyDescent="0.25">
      <c r="A210" s="36"/>
      <c r="B210" s="36"/>
      <c r="C210" s="36"/>
      <c r="D210" s="36"/>
      <c r="R210" s="1"/>
      <c r="S210" s="38"/>
      <c r="T210" s="38"/>
      <c r="U210" s="38"/>
      <c r="V210" s="38"/>
      <c r="W210" s="38"/>
      <c r="X210" s="38"/>
      <c r="Y210" s="38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R210" s="36"/>
      <c r="AS210" s="36"/>
      <c r="AT210" s="36"/>
      <c r="AU210" s="36"/>
      <c r="AV210" s="36"/>
      <c r="AW210" s="36"/>
      <c r="AX210" s="36"/>
      <c r="AY210" s="38"/>
      <c r="AZ210" s="38"/>
      <c r="BA210" s="38"/>
      <c r="BB210" s="26"/>
      <c r="BC210" s="38"/>
      <c r="BD210" s="26"/>
      <c r="BE210" s="38"/>
      <c r="BF210" s="38"/>
      <c r="BG210" s="36"/>
      <c r="BH210" s="36"/>
    </row>
    <row r="211" spans="1:60" s="37" customFormat="1" ht="15.75" x14ac:dyDescent="0.25">
      <c r="A211" s="36"/>
      <c r="B211" s="36"/>
      <c r="C211" s="36"/>
      <c r="D211" s="36"/>
      <c r="R211" s="1"/>
      <c r="S211" s="38"/>
      <c r="T211" s="38"/>
      <c r="U211" s="38"/>
      <c r="V211" s="38"/>
      <c r="W211" s="38"/>
      <c r="X211" s="38"/>
      <c r="Y211" s="38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R211" s="36"/>
      <c r="AS211" s="36"/>
      <c r="AT211" s="36"/>
      <c r="AU211" s="36"/>
      <c r="AV211" s="36"/>
      <c r="AW211" s="36"/>
      <c r="AX211" s="36"/>
      <c r="AY211" s="38"/>
      <c r="AZ211" s="38"/>
      <c r="BA211" s="38"/>
      <c r="BB211" s="26"/>
      <c r="BC211" s="38"/>
      <c r="BD211" s="26"/>
      <c r="BE211" s="38"/>
      <c r="BF211" s="38"/>
      <c r="BG211" s="36"/>
      <c r="BH211" s="36"/>
    </row>
    <row r="212" spans="1:60" s="37" customFormat="1" ht="15.75" x14ac:dyDescent="0.25">
      <c r="A212" s="36"/>
      <c r="B212" s="36"/>
      <c r="C212" s="36"/>
      <c r="D212" s="36"/>
      <c r="R212" s="1"/>
      <c r="S212" s="38"/>
      <c r="T212" s="38"/>
      <c r="U212" s="38"/>
      <c r="V212" s="38"/>
      <c r="W212" s="38"/>
      <c r="X212" s="38"/>
      <c r="Y212" s="38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R212" s="36"/>
      <c r="AS212" s="36"/>
      <c r="AT212" s="36"/>
      <c r="AU212" s="36"/>
      <c r="AV212" s="36"/>
      <c r="AW212" s="36"/>
      <c r="AX212" s="36"/>
      <c r="AY212" s="38"/>
      <c r="AZ212" s="38"/>
      <c r="BA212" s="38"/>
      <c r="BB212" s="26"/>
      <c r="BC212" s="38"/>
      <c r="BD212" s="26"/>
      <c r="BE212" s="38"/>
      <c r="BF212" s="38"/>
      <c r="BG212" s="36"/>
      <c r="BH212" s="36"/>
    </row>
    <row r="213" spans="1:60" s="37" customFormat="1" ht="15.75" x14ac:dyDescent="0.25">
      <c r="A213" s="36"/>
      <c r="B213" s="36"/>
      <c r="C213" s="36"/>
      <c r="D213" s="36"/>
      <c r="R213" s="1"/>
      <c r="S213" s="38"/>
      <c r="T213" s="38"/>
      <c r="U213" s="38"/>
      <c r="V213" s="38"/>
      <c r="W213" s="38"/>
      <c r="X213" s="38"/>
      <c r="Y213" s="38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R213" s="36"/>
      <c r="AS213" s="36"/>
      <c r="AT213" s="36"/>
      <c r="AU213" s="36"/>
      <c r="AV213" s="36"/>
      <c r="AW213" s="36"/>
      <c r="AX213" s="36"/>
      <c r="AY213" s="38"/>
      <c r="AZ213" s="38"/>
      <c r="BA213" s="38"/>
      <c r="BB213" s="26"/>
      <c r="BC213" s="38"/>
      <c r="BD213" s="26"/>
      <c r="BE213" s="38"/>
      <c r="BF213" s="38"/>
      <c r="BG213" s="36"/>
      <c r="BH213" s="36"/>
    </row>
    <row r="214" spans="1:60" s="37" customFormat="1" ht="15.75" x14ac:dyDescent="0.25">
      <c r="A214" s="36"/>
      <c r="B214" s="36"/>
      <c r="C214" s="36"/>
      <c r="D214" s="36"/>
      <c r="R214" s="1"/>
      <c r="S214" s="38"/>
      <c r="T214" s="38"/>
      <c r="U214" s="38"/>
      <c r="V214" s="38"/>
      <c r="W214" s="38"/>
      <c r="X214" s="38"/>
      <c r="Y214" s="38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R214" s="36"/>
      <c r="AS214" s="36"/>
      <c r="AT214" s="36"/>
      <c r="AU214" s="36"/>
      <c r="AV214" s="36"/>
      <c r="AW214" s="36"/>
      <c r="AX214" s="36"/>
      <c r="AY214" s="38"/>
      <c r="AZ214" s="38"/>
      <c r="BA214" s="38"/>
      <c r="BB214" s="26"/>
      <c r="BC214" s="38"/>
      <c r="BD214" s="26"/>
      <c r="BE214" s="38"/>
      <c r="BF214" s="38"/>
      <c r="BG214" s="36"/>
      <c r="BH214" s="36"/>
    </row>
    <row r="215" spans="1:60" s="37" customFormat="1" ht="15.75" x14ac:dyDescent="0.25">
      <c r="A215" s="36"/>
      <c r="B215" s="36"/>
      <c r="C215" s="36"/>
      <c r="D215" s="36"/>
      <c r="R215" s="1"/>
      <c r="S215" s="38"/>
      <c r="T215" s="38"/>
      <c r="U215" s="38"/>
      <c r="V215" s="38"/>
      <c r="W215" s="38"/>
      <c r="X215" s="38"/>
      <c r="Y215" s="38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R215" s="36"/>
      <c r="AS215" s="36"/>
      <c r="AT215" s="36"/>
      <c r="AU215" s="36"/>
      <c r="AV215" s="36"/>
      <c r="AW215" s="36"/>
      <c r="AX215" s="36"/>
      <c r="AY215" s="38"/>
      <c r="AZ215" s="38"/>
      <c r="BA215" s="38"/>
      <c r="BB215" s="26"/>
      <c r="BC215" s="38"/>
      <c r="BD215" s="26"/>
      <c r="BE215" s="38"/>
      <c r="BF215" s="38"/>
      <c r="BG215" s="36"/>
      <c r="BH215" s="36"/>
    </row>
    <row r="216" spans="1:60" s="37" customFormat="1" ht="15.75" x14ac:dyDescent="0.25">
      <c r="A216" s="36"/>
      <c r="B216" s="36"/>
      <c r="C216" s="36"/>
      <c r="D216" s="36"/>
      <c r="R216" s="1"/>
      <c r="S216" s="38"/>
      <c r="T216" s="38"/>
      <c r="U216" s="38"/>
      <c r="V216" s="38"/>
      <c r="W216" s="38"/>
      <c r="X216" s="38"/>
      <c r="Y216" s="38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R216" s="36"/>
      <c r="AS216" s="36"/>
      <c r="AT216" s="36"/>
      <c r="AU216" s="36"/>
      <c r="AV216" s="36"/>
      <c r="AW216" s="36"/>
      <c r="AX216" s="36"/>
      <c r="AY216" s="38"/>
      <c r="AZ216" s="38"/>
      <c r="BA216" s="38"/>
      <c r="BB216" s="26"/>
      <c r="BC216" s="38"/>
      <c r="BD216" s="26"/>
      <c r="BE216" s="38"/>
      <c r="BF216" s="38"/>
      <c r="BG216" s="36"/>
      <c r="BH216" s="36"/>
    </row>
    <row r="217" spans="1:60" s="37" customFormat="1" ht="15.75" x14ac:dyDescent="0.25">
      <c r="A217" s="36"/>
      <c r="B217" s="36"/>
      <c r="C217" s="36"/>
      <c r="D217" s="36"/>
      <c r="R217" s="1"/>
      <c r="S217" s="38"/>
      <c r="T217" s="38"/>
      <c r="U217" s="38"/>
      <c r="V217" s="38"/>
      <c r="W217" s="38"/>
      <c r="X217" s="38"/>
      <c r="Y217" s="38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R217" s="36"/>
      <c r="AS217" s="36"/>
      <c r="AT217" s="36"/>
      <c r="AU217" s="36"/>
      <c r="AV217" s="36"/>
      <c r="AW217" s="36"/>
      <c r="AX217" s="36"/>
      <c r="AY217" s="38"/>
      <c r="AZ217" s="38"/>
      <c r="BA217" s="38"/>
      <c r="BB217" s="26"/>
      <c r="BC217" s="38"/>
      <c r="BD217" s="26"/>
      <c r="BE217" s="38"/>
      <c r="BF217" s="38"/>
      <c r="BG217" s="36"/>
      <c r="BH217" s="3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7"/>
  <sheetViews>
    <sheetView zoomScale="90" zoomScaleNormal="90" workbookViewId="0">
      <selection activeCell="G28" sqref="G28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8.140625" style="36" customWidth="1"/>
    <col min="3" max="3" width="19.7109375" style="36" customWidth="1"/>
    <col min="4" max="4" width="17" style="36" bestFit="1" customWidth="1"/>
    <col min="5" max="5" width="48" style="37" customWidth="1"/>
    <col min="6" max="7" width="24.42578125" style="37" customWidth="1" outlineLevel="1"/>
    <col min="8" max="8" width="14.85546875" style="37" customWidth="1" outlineLevel="1"/>
    <col min="9" max="9" width="40.28515625" style="37" customWidth="1" outlineLevel="1"/>
    <col min="10" max="10" width="7.28515625" style="37" bestFit="1" customWidth="1"/>
    <col min="11" max="11" width="33.5703125" style="37" bestFit="1" customWidth="1"/>
    <col min="12" max="12" width="25" style="37" customWidth="1"/>
    <col min="13" max="13" width="9.42578125" style="37" customWidth="1"/>
    <col min="14" max="15" width="12.85546875" style="37" customWidth="1" outlineLevel="1"/>
    <col min="16" max="16" width="8.85546875" style="37" bestFit="1" customWidth="1" outlineLevel="1"/>
    <col min="17" max="17" width="19" style="37" customWidth="1" outlineLevel="1"/>
    <col min="18" max="18" width="25.140625" style="37" bestFit="1" customWidth="1" outlineLevel="1"/>
    <col min="19" max="19" width="10.140625" style="1" customWidth="1" outlineLevel="1"/>
    <col min="20" max="20" width="11.140625" style="38" customWidth="1" outlineLevel="1"/>
    <col min="21" max="21" width="11" style="38" customWidth="1" outlineLevel="1"/>
    <col min="22" max="22" width="9.85546875" style="38" customWidth="1" outlineLevel="1"/>
    <col min="23" max="24" width="13.5703125" style="38" customWidth="1" outlineLevel="1"/>
    <col min="25" max="25" width="14.42578125" style="38" customWidth="1" outlineLevel="1"/>
    <col min="26" max="26" width="9.7109375" style="38" bestFit="1" customWidth="1"/>
    <col min="27" max="27" width="12.7109375" style="36" customWidth="1"/>
    <col min="28" max="28" width="14.28515625" style="36" bestFit="1" customWidth="1"/>
    <col min="29" max="29" width="16.42578125" style="36" bestFit="1" customWidth="1"/>
    <col min="30" max="30" width="16.7109375" style="36" bestFit="1" customWidth="1"/>
    <col min="31" max="31" width="7.7109375" style="36" bestFit="1" customWidth="1"/>
    <col min="32" max="32" width="33" style="36" bestFit="1" customWidth="1"/>
    <col min="33" max="34" width="12.7109375" style="36" customWidth="1"/>
    <col min="35" max="35" width="8.7109375" style="36" customWidth="1"/>
    <col min="36" max="36" width="19.140625" style="36" customWidth="1"/>
    <col min="37" max="37" width="24.5703125" style="37" customWidth="1"/>
    <col min="38" max="38" width="25.85546875" style="37" customWidth="1"/>
    <col min="39" max="39" width="22.85546875" style="37" customWidth="1"/>
    <col min="40" max="41" width="24.5703125" style="37" customWidth="1"/>
    <col min="42" max="42" width="15.85546875" style="37" customWidth="1"/>
    <col min="43" max="43" width="30.7109375" style="37" customWidth="1"/>
    <col min="44" max="44" width="19.140625" style="37" customWidth="1"/>
    <col min="45" max="45" width="13.7109375" style="36" customWidth="1"/>
    <col min="46" max="46" width="15.85546875" style="36" customWidth="1"/>
    <col min="47" max="47" width="17.85546875" style="36" customWidth="1"/>
    <col min="48" max="48" width="9.140625" style="36" customWidth="1"/>
    <col min="49" max="49" width="14" style="36" customWidth="1"/>
    <col min="50" max="50" width="29.28515625" style="36" customWidth="1"/>
    <col min="51" max="51" width="22.28515625" style="36" customWidth="1"/>
    <col min="52" max="52" width="2.5703125" style="38" customWidth="1"/>
    <col min="53" max="53" width="10.5703125" style="38" hidden="1" customWidth="1" outlineLevel="1"/>
    <col min="54" max="54" width="14.140625" style="38" hidden="1" customWidth="1" outlineLevel="1"/>
    <col min="55" max="55" width="13.28515625" style="26" hidden="1" customWidth="1" outlineLevel="1"/>
    <col min="56" max="56" width="13.28515625" style="38" hidden="1" customWidth="1" outlineLevel="1"/>
    <col min="57" max="57" width="13" style="26" hidden="1" customWidth="1" outlineLevel="1"/>
    <col min="58" max="58" width="11.140625" style="38" hidden="1" customWidth="1" outlineLevel="1"/>
    <col min="59" max="59" width="12.7109375" style="38" hidden="1" customWidth="1" outlineLevel="1"/>
    <col min="60" max="60" width="195.140625" style="36" customWidth="1" collapsed="1"/>
    <col min="61" max="16384" width="9.140625" style="36"/>
  </cols>
  <sheetData>
    <row r="1" spans="1:16380" ht="15.75" x14ac:dyDescent="0.25">
      <c r="E1" s="36"/>
      <c r="K1" s="37">
        <v>19</v>
      </c>
      <c r="AB1" s="39"/>
      <c r="AC1" s="39"/>
      <c r="AD1" s="39"/>
      <c r="AE1" s="39"/>
      <c r="AF1" s="39"/>
      <c r="AG1" s="2"/>
      <c r="AH1" s="2"/>
      <c r="AI1" s="39">
        <f>SUM(AB3:AB54)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74" t="s">
        <v>0</v>
      </c>
      <c r="BB1" s="75"/>
      <c r="BC1" s="75"/>
      <c r="BD1" s="75"/>
      <c r="BE1" s="75"/>
      <c r="BF1" s="75"/>
      <c r="BG1" s="75"/>
    </row>
    <row r="2" spans="1:16380" s="7" customFormat="1" ht="54" customHeight="1" x14ac:dyDescent="0.25">
      <c r="A2" s="40" t="s">
        <v>1</v>
      </c>
      <c r="B2" s="48" t="s">
        <v>2</v>
      </c>
      <c r="C2" s="32" t="s">
        <v>3</v>
      </c>
      <c r="D2" s="32" t="s">
        <v>93</v>
      </c>
      <c r="E2" s="40" t="s">
        <v>4</v>
      </c>
      <c r="F2" s="40" t="s">
        <v>106</v>
      </c>
      <c r="G2" s="40" t="s">
        <v>5</v>
      </c>
      <c r="H2" s="54" t="s">
        <v>183</v>
      </c>
      <c r="I2" s="40" t="s">
        <v>6</v>
      </c>
      <c r="J2" s="40" t="s">
        <v>7</v>
      </c>
      <c r="K2" s="40" t="s">
        <v>107</v>
      </c>
      <c r="L2" s="41" t="s">
        <v>8</v>
      </c>
      <c r="M2" s="41" t="s">
        <v>9</v>
      </c>
      <c r="N2" s="41" t="s">
        <v>10</v>
      </c>
      <c r="O2" s="41" t="s">
        <v>11</v>
      </c>
      <c r="P2" s="41" t="s">
        <v>105</v>
      </c>
      <c r="Q2" s="41" t="s">
        <v>12</v>
      </c>
      <c r="R2" s="41" t="s">
        <v>13</v>
      </c>
      <c r="S2" s="41" t="s">
        <v>14</v>
      </c>
      <c r="T2" s="41" t="s">
        <v>15</v>
      </c>
      <c r="U2" s="41" t="s">
        <v>16</v>
      </c>
      <c r="V2" s="41" t="s">
        <v>60</v>
      </c>
      <c r="W2" s="41" t="s">
        <v>17</v>
      </c>
      <c r="X2" s="41" t="s">
        <v>18</v>
      </c>
      <c r="Y2" s="42" t="s">
        <v>19</v>
      </c>
      <c r="Z2" s="42" t="s">
        <v>20</v>
      </c>
      <c r="AA2" s="41" t="s">
        <v>21</v>
      </c>
      <c r="AB2" s="42" t="s">
        <v>22</v>
      </c>
      <c r="AC2" s="42" t="s">
        <v>101</v>
      </c>
      <c r="AD2" s="42" t="s">
        <v>102</v>
      </c>
      <c r="AE2" s="42" t="s">
        <v>103</v>
      </c>
      <c r="AF2" s="42" t="s">
        <v>104</v>
      </c>
      <c r="AG2" s="42" t="s">
        <v>23</v>
      </c>
      <c r="AH2" s="42" t="s">
        <v>24</v>
      </c>
      <c r="AI2" s="41" t="s">
        <v>25</v>
      </c>
      <c r="AJ2" s="34" t="s">
        <v>99</v>
      </c>
      <c r="AK2" s="40" t="s">
        <v>26</v>
      </c>
      <c r="AL2" s="40" t="s">
        <v>27</v>
      </c>
      <c r="AM2" s="40" t="s">
        <v>28</v>
      </c>
      <c r="AN2" s="40" t="s">
        <v>29</v>
      </c>
      <c r="AO2" s="40" t="s">
        <v>30</v>
      </c>
      <c r="AP2" s="40" t="s">
        <v>31</v>
      </c>
      <c r="AQ2" s="40" t="s">
        <v>32</v>
      </c>
      <c r="AR2" s="40" t="s">
        <v>33</v>
      </c>
      <c r="AS2" s="41" t="s">
        <v>34</v>
      </c>
      <c r="AT2" s="41" t="s">
        <v>35</v>
      </c>
      <c r="AU2" s="41" t="s">
        <v>36</v>
      </c>
      <c r="AV2" s="41" t="s">
        <v>37</v>
      </c>
      <c r="AW2" s="41" t="s">
        <v>38</v>
      </c>
      <c r="AX2" s="41" t="s">
        <v>39</v>
      </c>
      <c r="AY2" s="41" t="s">
        <v>40</v>
      </c>
      <c r="AZ2" s="42"/>
      <c r="BA2" s="41" t="s">
        <v>41</v>
      </c>
      <c r="BB2" s="41" t="s">
        <v>42</v>
      </c>
      <c r="BC2" s="6" t="s">
        <v>43</v>
      </c>
      <c r="BD2" s="41" t="s">
        <v>44</v>
      </c>
      <c r="BE2" s="6" t="s">
        <v>45</v>
      </c>
      <c r="BF2" s="41" t="s">
        <v>46</v>
      </c>
      <c r="BG2" s="41" t="s">
        <v>47</v>
      </c>
      <c r="BH2" s="42" t="s">
        <v>48</v>
      </c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</row>
    <row r="3" spans="1:16380" s="50" customFormat="1" ht="15.75" x14ac:dyDescent="0.25">
      <c r="A3" s="8"/>
      <c r="B3" s="8" t="s">
        <v>66</v>
      </c>
      <c r="C3" s="45"/>
      <c r="D3" s="31" t="s">
        <v>150</v>
      </c>
      <c r="E3" s="10" t="s">
        <v>119</v>
      </c>
      <c r="F3" s="10" t="s">
        <v>120</v>
      </c>
      <c r="G3" s="10" t="s">
        <v>148</v>
      </c>
      <c r="H3" s="55" t="s">
        <v>148</v>
      </c>
      <c r="I3" s="10" t="s">
        <v>108</v>
      </c>
      <c r="J3" s="10">
        <f t="shared" ref="J3:J5" si="0">LEN(F3)</f>
        <v>12</v>
      </c>
      <c r="K3" s="10" t="str">
        <f t="shared" ref="K3:K5" si="1">IF(LEN(F3)&lt;=$K$1,F3,"")</f>
        <v>Ввод_функции</v>
      </c>
      <c r="L3" s="8" t="s">
        <v>169</v>
      </c>
      <c r="M3" s="27" t="s">
        <v>57</v>
      </c>
      <c r="N3" s="45" t="s">
        <v>50</v>
      </c>
      <c r="O3" s="45" t="s">
        <v>50</v>
      </c>
      <c r="P3" s="45"/>
      <c r="Q3" s="28">
        <v>0</v>
      </c>
      <c r="R3" s="28"/>
      <c r="S3" s="45" t="s">
        <v>58</v>
      </c>
      <c r="T3" s="45">
        <v>0</v>
      </c>
      <c r="U3" s="45">
        <v>1</v>
      </c>
      <c r="V3" s="45">
        <v>1</v>
      </c>
      <c r="W3" s="45"/>
      <c r="X3" s="45"/>
      <c r="Y3" s="45">
        <v>0</v>
      </c>
      <c r="Z3" s="45">
        <v>0</v>
      </c>
      <c r="AA3" s="11"/>
      <c r="AB3" s="44">
        <v>0</v>
      </c>
      <c r="AC3" s="44"/>
      <c r="AD3" s="44"/>
      <c r="AE3" s="44"/>
      <c r="AF3" s="44"/>
      <c r="AG3" s="44">
        <v>0</v>
      </c>
      <c r="AH3" s="44">
        <v>0</v>
      </c>
      <c r="AI3" s="44">
        <v>0</v>
      </c>
      <c r="AJ3" s="44"/>
      <c r="AK3" s="9"/>
      <c r="AL3" s="9"/>
      <c r="AM3" s="9"/>
      <c r="AN3" s="9"/>
      <c r="AO3" s="9"/>
      <c r="AP3" s="9"/>
      <c r="AQ3" s="9"/>
      <c r="AR3" s="9"/>
      <c r="AS3" s="9">
        <v>0</v>
      </c>
      <c r="AT3" s="9">
        <v>0</v>
      </c>
      <c r="AU3" s="9">
        <v>0</v>
      </c>
      <c r="AV3" s="9">
        <v>0</v>
      </c>
      <c r="AW3" s="9">
        <f>BIN2DEC(CONCATENATE(0,0,0,0,AS3,AT3,AU3,AV3))</f>
        <v>0</v>
      </c>
      <c r="AX3" s="9" t="s">
        <v>109</v>
      </c>
      <c r="AY3" s="9"/>
      <c r="AZ3" s="13"/>
      <c r="BA3" s="14"/>
      <c r="BB3" s="14"/>
      <c r="BC3" s="14"/>
      <c r="BD3" s="14"/>
      <c r="BE3" s="14"/>
      <c r="BF3" s="14"/>
      <c r="BG3" s="14"/>
      <c r="BH3" s="15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0" customFormat="1" ht="15.75" customHeight="1" x14ac:dyDescent="0.25">
      <c r="A4" s="8"/>
      <c r="B4" s="8" t="s">
        <v>66</v>
      </c>
      <c r="C4" s="45"/>
      <c r="D4" s="31" t="s">
        <v>150</v>
      </c>
      <c r="E4" s="10" t="s">
        <v>134</v>
      </c>
      <c r="F4" s="10" t="s">
        <v>135</v>
      </c>
      <c r="G4" s="10" t="s">
        <v>136</v>
      </c>
      <c r="H4" s="55"/>
      <c r="I4" s="10"/>
      <c r="J4" s="10">
        <f t="shared" ref="J4" si="2">LEN(F4)</f>
        <v>5</v>
      </c>
      <c r="K4" s="10" t="str">
        <f>IF(LEN(F4)&lt;=$K$1,F4,"")</f>
        <v>3U0ср</v>
      </c>
      <c r="L4" s="8" t="s">
        <v>171</v>
      </c>
      <c r="M4" s="19" t="s">
        <v>59</v>
      </c>
      <c r="N4" s="45" t="s">
        <v>50</v>
      </c>
      <c r="O4" s="45" t="s">
        <v>50</v>
      </c>
      <c r="P4" s="45"/>
      <c r="Q4" s="28">
        <v>0</v>
      </c>
      <c r="R4" s="28"/>
      <c r="S4" s="45" t="s">
        <v>98</v>
      </c>
      <c r="T4" s="45" t="s">
        <v>137</v>
      </c>
      <c r="U4" s="45">
        <v>150</v>
      </c>
      <c r="V4" s="45" t="s">
        <v>121</v>
      </c>
      <c r="W4" s="45"/>
      <c r="X4" s="45"/>
      <c r="Y4" s="45">
        <v>6</v>
      </c>
      <c r="Z4" s="45">
        <v>0</v>
      </c>
      <c r="AA4" s="11"/>
      <c r="AB4" s="44">
        <v>0</v>
      </c>
      <c r="AC4" s="44"/>
      <c r="AD4" s="44"/>
      <c r="AE4" s="44"/>
      <c r="AF4" s="44"/>
      <c r="AG4" s="44">
        <v>0</v>
      </c>
      <c r="AH4" s="44">
        <v>0</v>
      </c>
      <c r="AI4" s="44">
        <v>0</v>
      </c>
      <c r="AJ4" s="35" t="s">
        <v>159</v>
      </c>
      <c r="AK4" s="9" t="s">
        <v>177</v>
      </c>
      <c r="AL4" s="9" t="s">
        <v>67</v>
      </c>
      <c r="AM4" s="9" t="s">
        <v>68</v>
      </c>
      <c r="AN4" s="9" t="s">
        <v>59</v>
      </c>
      <c r="AO4" s="9"/>
      <c r="AP4" s="9" t="s">
        <v>160</v>
      </c>
      <c r="AQ4" s="12" t="str">
        <f t="shared" ref="AQ4" si="3">CONCATENATE(AK4, ".", AM4)</f>
        <v>ZSPTOV1.StrVal3U0.setMag.f</v>
      </c>
      <c r="AR4" s="9" t="s">
        <v>55</v>
      </c>
      <c r="AS4" s="9">
        <v>0</v>
      </c>
      <c r="AT4" s="9">
        <v>0</v>
      </c>
      <c r="AU4" s="9">
        <v>0</v>
      </c>
      <c r="AV4" s="9">
        <v>0</v>
      </c>
      <c r="AW4" s="9">
        <f t="shared" ref="AW4" si="4">BIN2DEC(CONCATENATE(0,0,0,0,AS4,AT4,AU4,AV4))</f>
        <v>0</v>
      </c>
      <c r="AX4" s="9"/>
      <c r="AY4" s="9"/>
      <c r="AZ4" s="13"/>
      <c r="BA4" s="14"/>
      <c r="BB4" s="14"/>
      <c r="BC4" s="14"/>
      <c r="BD4" s="14"/>
      <c r="BE4" s="14"/>
      <c r="BF4" s="14"/>
      <c r="BG4" s="14"/>
      <c r="BH4" s="15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"3U0ср", note: "Напряжение срабатывания НП", group: "setting", minValue: 2.0, maxValue: 150, step: 0.1, units: "В", defaultValue: 6, eventRegistration: 0</v>
      </c>
    </row>
    <row r="5" spans="1:16380" s="50" customFormat="1" ht="15.75" customHeight="1" x14ac:dyDescent="0.25">
      <c r="A5" s="8"/>
      <c r="B5" s="8" t="s">
        <v>66</v>
      </c>
      <c r="C5" s="45"/>
      <c r="D5" s="31" t="s">
        <v>150</v>
      </c>
      <c r="E5" s="10" t="s">
        <v>132</v>
      </c>
      <c r="F5" s="10" t="s">
        <v>133</v>
      </c>
      <c r="G5" s="10" t="s">
        <v>149</v>
      </c>
      <c r="H5" s="55" t="s">
        <v>149</v>
      </c>
      <c r="I5" s="10" t="s">
        <v>146</v>
      </c>
      <c r="J5" s="10">
        <f t="shared" si="0"/>
        <v>7</v>
      </c>
      <c r="K5" s="10" t="str">
        <f t="shared" si="1"/>
        <v>Реж_БНН</v>
      </c>
      <c r="L5" s="8" t="s">
        <v>170</v>
      </c>
      <c r="M5" s="27" t="s">
        <v>57</v>
      </c>
      <c r="N5" s="45" t="s">
        <v>50</v>
      </c>
      <c r="O5" s="45" t="s">
        <v>50</v>
      </c>
      <c r="P5" s="45"/>
      <c r="Q5" s="28">
        <v>0</v>
      </c>
      <c r="R5" s="28"/>
      <c r="S5" s="45" t="s">
        <v>58</v>
      </c>
      <c r="T5" s="45">
        <v>0</v>
      </c>
      <c r="U5" s="45">
        <v>1</v>
      </c>
      <c r="V5" s="45">
        <v>1</v>
      </c>
      <c r="W5" s="45"/>
      <c r="X5" s="45"/>
      <c r="Y5" s="45">
        <v>0</v>
      </c>
      <c r="Z5" s="45">
        <v>0</v>
      </c>
      <c r="AA5" s="11"/>
      <c r="AB5" s="44">
        <v>0</v>
      </c>
      <c r="AC5" s="44"/>
      <c r="AD5" s="44"/>
      <c r="AE5" s="44"/>
      <c r="AF5" s="44"/>
      <c r="AG5" s="44">
        <v>0</v>
      </c>
      <c r="AH5" s="44">
        <v>0</v>
      </c>
      <c r="AI5" s="44">
        <v>0</v>
      </c>
      <c r="AJ5" s="35"/>
      <c r="AK5" s="9"/>
      <c r="AL5" s="9"/>
      <c r="AM5" s="9"/>
      <c r="AN5" s="9"/>
      <c r="AO5" s="9"/>
      <c r="AP5" s="9"/>
      <c r="AQ5" s="12"/>
      <c r="AR5" s="9"/>
      <c r="AS5" s="9">
        <v>0</v>
      </c>
      <c r="AT5" s="9">
        <v>0</v>
      </c>
      <c r="AU5" s="9">
        <v>0</v>
      </c>
      <c r="AV5" s="9">
        <v>0</v>
      </c>
      <c r="AW5" s="9">
        <f t="shared" ref="AW5" si="5">BIN2DEC(CONCATENATE(0,0,0,0,AS5,AT5,AU5,AV5))</f>
        <v>0</v>
      </c>
      <c r="AX5" s="9" t="s">
        <v>147</v>
      </c>
      <c r="AY5" s="9"/>
      <c r="AZ5" s="13"/>
      <c r="BA5" s="14"/>
      <c r="BB5" s="14"/>
      <c r="BC5" s="14"/>
      <c r="BD5" s="14"/>
      <c r="BE5" s="14"/>
      <c r="BF5" s="14"/>
      <c r="BG5" s="14"/>
      <c r="BH5" s="15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"Реж_БНН", note: "Режим контроля от БНН", group: "setting", minValue: 0, maxValue: 1, step: 1, units: "null", defaultValue: 0, eventRegistration: 0</v>
      </c>
    </row>
    <row r="6" spans="1:16380" s="50" customFormat="1" ht="15.75" customHeight="1" x14ac:dyDescent="0.25">
      <c r="A6" s="8"/>
      <c r="B6" s="8" t="s">
        <v>66</v>
      </c>
      <c r="C6" s="45"/>
      <c r="D6" s="31" t="s">
        <v>150</v>
      </c>
      <c r="E6" s="10" t="s">
        <v>138</v>
      </c>
      <c r="F6" s="10" t="s">
        <v>139</v>
      </c>
      <c r="G6" s="10" t="s">
        <v>140</v>
      </c>
      <c r="H6" s="55" t="s">
        <v>140</v>
      </c>
      <c r="I6" s="10"/>
      <c r="J6" s="10">
        <f t="shared" ref="J6" si="6">LEN(F6)</f>
        <v>3</v>
      </c>
      <c r="K6" s="10" t="str">
        <f>IF(LEN(F6)&lt;=$K$1,F6,"")</f>
        <v>Tср</v>
      </c>
      <c r="L6" s="8" t="s">
        <v>172</v>
      </c>
      <c r="M6" s="27" t="s">
        <v>141</v>
      </c>
      <c r="N6" s="45" t="s">
        <v>50</v>
      </c>
      <c r="O6" s="45" t="s">
        <v>50</v>
      </c>
      <c r="P6" s="45"/>
      <c r="Q6" s="28">
        <v>2</v>
      </c>
      <c r="R6" s="28" t="s">
        <v>142</v>
      </c>
      <c r="S6" s="45" t="s">
        <v>143</v>
      </c>
      <c r="T6" s="45">
        <v>0</v>
      </c>
      <c r="U6" s="45">
        <v>100000</v>
      </c>
      <c r="V6" s="45">
        <v>10</v>
      </c>
      <c r="W6" s="45"/>
      <c r="X6" s="45"/>
      <c r="Y6" s="45">
        <v>0</v>
      </c>
      <c r="Z6" s="45">
        <v>0</v>
      </c>
      <c r="AA6" s="11"/>
      <c r="AB6" s="44">
        <v>0</v>
      </c>
      <c r="AC6" s="44"/>
      <c r="AD6" s="44"/>
      <c r="AE6" s="44"/>
      <c r="AF6" s="44"/>
      <c r="AG6" s="44">
        <v>0</v>
      </c>
      <c r="AH6" s="44">
        <v>0</v>
      </c>
      <c r="AI6" s="44">
        <v>0</v>
      </c>
      <c r="AJ6" s="35" t="s">
        <v>159</v>
      </c>
      <c r="AK6" s="9" t="s">
        <v>178</v>
      </c>
      <c r="AL6" s="9" t="s">
        <v>144</v>
      </c>
      <c r="AM6" s="9" t="s">
        <v>145</v>
      </c>
      <c r="AN6" s="9" t="s">
        <v>141</v>
      </c>
      <c r="AO6" s="9"/>
      <c r="AP6" s="9" t="s">
        <v>160</v>
      </c>
      <c r="AQ6" s="12" t="str">
        <f t="shared" ref="AQ6" si="7">CONCATENATE(AK6, ".", AM6)</f>
        <v>ZSPTOV1.OpDlTmms.setVal</v>
      </c>
      <c r="AR6" s="9" t="s">
        <v>55</v>
      </c>
      <c r="AS6" s="9">
        <v>0</v>
      </c>
      <c r="AT6" s="9">
        <v>0</v>
      </c>
      <c r="AU6" s="9">
        <v>0</v>
      </c>
      <c r="AV6" s="9">
        <v>0</v>
      </c>
      <c r="AW6" s="9">
        <f t="shared" ref="AW6" si="8">BIN2DEC(CONCATENATE(0,0,0,0,AS6,AT6,AU6,AV6))</f>
        <v>0</v>
      </c>
      <c r="AX6" s="9"/>
      <c r="AY6" s="9"/>
      <c r="AZ6" s="13"/>
      <c r="BA6" s="14"/>
      <c r="BB6" s="14"/>
      <c r="BC6" s="14"/>
      <c r="BD6" s="14"/>
      <c r="BE6" s="14"/>
      <c r="BF6" s="14"/>
      <c r="BG6" s="14"/>
      <c r="BH6" s="15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"Tср", note: "Выдержка времени срабатывания", group: "setting", minValue: 0, maxValue: 100000, step: 10, units: "мс", defaultValue: 0, eventRegistration: 0</v>
      </c>
    </row>
    <row r="7" spans="1:16380" s="37" customFormat="1" ht="15.75" x14ac:dyDescent="0.25">
      <c r="A7" s="36"/>
      <c r="B7" s="36"/>
      <c r="C7" s="36"/>
      <c r="D7" s="36"/>
      <c r="S7" s="1"/>
      <c r="T7" s="38"/>
      <c r="U7" s="38"/>
      <c r="V7" s="38"/>
      <c r="W7" s="38"/>
      <c r="X7" s="38"/>
      <c r="Y7" s="38"/>
      <c r="Z7" s="38"/>
      <c r="AA7" s="36"/>
      <c r="AB7" s="38"/>
      <c r="AC7" s="38"/>
      <c r="AD7" s="38"/>
      <c r="AE7" s="38"/>
      <c r="AF7" s="38"/>
      <c r="AG7" s="38"/>
      <c r="AH7" s="38"/>
      <c r="AI7" s="36"/>
      <c r="AJ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26"/>
      <c r="BD7" s="38"/>
      <c r="BE7" s="26"/>
      <c r="BF7" s="38"/>
      <c r="BG7" s="38"/>
      <c r="BH7" s="36"/>
      <c r="BI7" s="36"/>
    </row>
    <row r="8" spans="1:16380" s="37" customFormat="1" ht="15.75" x14ac:dyDescent="0.25">
      <c r="A8" s="36"/>
      <c r="B8" s="36"/>
      <c r="C8" s="36"/>
      <c r="D8" s="36"/>
      <c r="S8" s="1"/>
      <c r="T8" s="38"/>
      <c r="U8" s="38"/>
      <c r="V8" s="38"/>
      <c r="W8" s="38"/>
      <c r="X8" s="38"/>
      <c r="Y8" s="38"/>
      <c r="Z8" s="38"/>
      <c r="AA8" s="36"/>
      <c r="AB8" s="38"/>
      <c r="AC8" s="38"/>
      <c r="AD8" s="38"/>
      <c r="AE8" s="38"/>
      <c r="AF8" s="38"/>
      <c r="AG8" s="38"/>
      <c r="AH8" s="38"/>
      <c r="AI8" s="36"/>
      <c r="AJ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26"/>
      <c r="BD8" s="38"/>
      <c r="BE8" s="26"/>
      <c r="BF8" s="38"/>
      <c r="BG8" s="38"/>
      <c r="BH8" s="36"/>
      <c r="BI8" s="36"/>
    </row>
    <row r="9" spans="1:16380" s="37" customFormat="1" ht="15.75" x14ac:dyDescent="0.25">
      <c r="A9" s="36"/>
      <c r="B9" s="36"/>
      <c r="C9" s="36"/>
      <c r="D9" s="36"/>
      <c r="S9" s="1"/>
      <c r="T9" s="38"/>
      <c r="U9" s="38"/>
      <c r="V9" s="38"/>
      <c r="W9" s="38"/>
      <c r="X9" s="38"/>
      <c r="Y9" s="38"/>
      <c r="Z9" s="38"/>
      <c r="AA9" s="36"/>
      <c r="AB9" s="38"/>
      <c r="AC9" s="38"/>
      <c r="AD9" s="38"/>
      <c r="AE9" s="38"/>
      <c r="AF9" s="38"/>
      <c r="AG9" s="38"/>
      <c r="AH9" s="38"/>
      <c r="AI9" s="36"/>
      <c r="AJ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26"/>
      <c r="BD9" s="38"/>
      <c r="BE9" s="26"/>
      <c r="BF9" s="38"/>
      <c r="BG9" s="38"/>
      <c r="BH9" s="36"/>
      <c r="BI9" s="36"/>
    </row>
    <row r="10" spans="1:16380" s="37" customFormat="1" ht="15.75" x14ac:dyDescent="0.25">
      <c r="A10" s="36"/>
      <c r="B10" s="36"/>
      <c r="C10" s="36"/>
      <c r="D10" s="36"/>
      <c r="S10" s="1"/>
      <c r="T10" s="38"/>
      <c r="U10" s="38"/>
      <c r="V10" s="38"/>
      <c r="W10" s="38"/>
      <c r="X10" s="38"/>
      <c r="Y10" s="38"/>
      <c r="Z10" s="38"/>
      <c r="AA10" s="36"/>
      <c r="AB10" s="38"/>
      <c r="AC10" s="38"/>
      <c r="AD10" s="38"/>
      <c r="AE10" s="38"/>
      <c r="AF10" s="38"/>
      <c r="AG10" s="38"/>
      <c r="AH10" s="38"/>
      <c r="AI10" s="36"/>
      <c r="AJ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26"/>
      <c r="BD10" s="38"/>
      <c r="BE10" s="26"/>
      <c r="BF10" s="38"/>
      <c r="BG10" s="38"/>
      <c r="BH10" s="36"/>
      <c r="BI10" s="36"/>
    </row>
    <row r="11" spans="1:16380" s="37" customFormat="1" ht="15.75" x14ac:dyDescent="0.25">
      <c r="A11" s="36"/>
      <c r="B11" s="36"/>
      <c r="C11" s="36"/>
      <c r="D11" s="36"/>
      <c r="S11" s="1"/>
      <c r="T11" s="38"/>
      <c r="U11" s="38"/>
      <c r="V11" s="38"/>
      <c r="W11" s="38"/>
      <c r="X11" s="38"/>
      <c r="Y11" s="38"/>
      <c r="Z11" s="38"/>
      <c r="AA11" s="36"/>
      <c r="AB11" s="38"/>
      <c r="AC11" s="38"/>
      <c r="AD11" s="38"/>
      <c r="AE11" s="38"/>
      <c r="AF11" s="38"/>
      <c r="AG11" s="38"/>
      <c r="AH11" s="38"/>
      <c r="AI11" s="36"/>
      <c r="AJ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26"/>
      <c r="BD11" s="38"/>
      <c r="BE11" s="26"/>
      <c r="BF11" s="38"/>
      <c r="BG11" s="38"/>
      <c r="BH11" s="36"/>
      <c r="BI11" s="36"/>
    </row>
    <row r="12" spans="1:16380" s="37" customFormat="1" ht="15.75" x14ac:dyDescent="0.25">
      <c r="A12" s="36"/>
      <c r="B12" s="36"/>
      <c r="C12" s="36"/>
      <c r="D12" s="36"/>
      <c r="S12" s="1"/>
      <c r="T12" s="38"/>
      <c r="U12" s="38"/>
      <c r="V12" s="38"/>
      <c r="W12" s="38"/>
      <c r="X12" s="38"/>
      <c r="Y12" s="38"/>
      <c r="Z12" s="38"/>
      <c r="AA12" s="36"/>
      <c r="AB12" s="38"/>
      <c r="AC12" s="38"/>
      <c r="AD12" s="38"/>
      <c r="AE12" s="38"/>
      <c r="AF12" s="38"/>
      <c r="AG12" s="38"/>
      <c r="AH12" s="38"/>
      <c r="AI12" s="36"/>
      <c r="AJ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26"/>
      <c r="BD12" s="38"/>
      <c r="BE12" s="26"/>
      <c r="BF12" s="38"/>
      <c r="BG12" s="38"/>
      <c r="BH12" s="36"/>
      <c r="BI12" s="36"/>
    </row>
    <row r="13" spans="1:16380" s="37" customFormat="1" ht="15.75" x14ac:dyDescent="0.25">
      <c r="A13" s="36"/>
      <c r="B13" s="36"/>
      <c r="C13" s="36"/>
      <c r="D13" s="36"/>
      <c r="S13" s="1"/>
      <c r="T13" s="38"/>
      <c r="U13" s="38"/>
      <c r="V13" s="38"/>
      <c r="W13" s="38"/>
      <c r="X13" s="38"/>
      <c r="Y13" s="38"/>
      <c r="Z13" s="38"/>
      <c r="AA13" s="36"/>
      <c r="AB13" s="38"/>
      <c r="AC13" s="38"/>
      <c r="AD13" s="38"/>
      <c r="AE13" s="38"/>
      <c r="AF13" s="38"/>
      <c r="AG13" s="38"/>
      <c r="AH13" s="38"/>
      <c r="AI13" s="36"/>
      <c r="AJ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26"/>
      <c r="BD13" s="38"/>
      <c r="BE13" s="26"/>
      <c r="BF13" s="38"/>
      <c r="BG13" s="38"/>
      <c r="BH13" s="36"/>
      <c r="BI13" s="36"/>
    </row>
    <row r="14" spans="1:16380" s="37" customFormat="1" ht="15.75" x14ac:dyDescent="0.25">
      <c r="A14" s="36"/>
      <c r="B14" s="36"/>
      <c r="C14" s="36"/>
      <c r="D14" s="36"/>
      <c r="S14" s="1"/>
      <c r="T14" s="38"/>
      <c r="U14" s="38"/>
      <c r="V14" s="38"/>
      <c r="W14" s="38"/>
      <c r="X14" s="38"/>
      <c r="Y14" s="38"/>
      <c r="Z14" s="38"/>
      <c r="AA14" s="36"/>
      <c r="AB14" s="38"/>
      <c r="AC14" s="38"/>
      <c r="AD14" s="38"/>
      <c r="AE14" s="38"/>
      <c r="AF14" s="38"/>
      <c r="AG14" s="38"/>
      <c r="AH14" s="38"/>
      <c r="AI14" s="36"/>
      <c r="AJ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26"/>
      <c r="BD14" s="38"/>
      <c r="BE14" s="26"/>
      <c r="BF14" s="38"/>
      <c r="BG14" s="38"/>
      <c r="BH14" s="36"/>
      <c r="BI14" s="36"/>
    </row>
    <row r="15" spans="1:16380" s="37" customFormat="1" ht="15.75" x14ac:dyDescent="0.25">
      <c r="A15" s="36"/>
      <c r="B15" s="36"/>
      <c r="C15" s="36"/>
      <c r="D15" s="36"/>
      <c r="S15" s="1"/>
      <c r="T15" s="38"/>
      <c r="U15" s="38"/>
      <c r="V15" s="38"/>
      <c r="W15" s="38"/>
      <c r="X15" s="38"/>
      <c r="Y15" s="38"/>
      <c r="Z15" s="38"/>
      <c r="AA15" s="36"/>
      <c r="AB15" s="38"/>
      <c r="AC15" s="38"/>
      <c r="AD15" s="38"/>
      <c r="AE15" s="38"/>
      <c r="AF15" s="38"/>
      <c r="AG15" s="38"/>
      <c r="AH15" s="38"/>
      <c r="AI15" s="36"/>
      <c r="AJ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26"/>
      <c r="BD15" s="38"/>
      <c r="BE15" s="26"/>
      <c r="BF15" s="38"/>
      <c r="BG15" s="38"/>
      <c r="BH15" s="36"/>
      <c r="BI15" s="36"/>
    </row>
    <row r="16" spans="1:16380" s="37" customFormat="1" ht="15.75" x14ac:dyDescent="0.25">
      <c r="A16" s="36"/>
      <c r="B16" s="36"/>
      <c r="C16" s="36"/>
      <c r="D16" s="36"/>
      <c r="S16" s="1"/>
      <c r="T16" s="38"/>
      <c r="U16" s="38"/>
      <c r="V16" s="38"/>
      <c r="W16" s="38"/>
      <c r="X16" s="38"/>
      <c r="Y16" s="38"/>
      <c r="Z16" s="38"/>
      <c r="AA16" s="36"/>
      <c r="AB16" s="38"/>
      <c r="AC16" s="38"/>
      <c r="AD16" s="38"/>
      <c r="AE16" s="38"/>
      <c r="AF16" s="38"/>
      <c r="AG16" s="38"/>
      <c r="AH16" s="38"/>
      <c r="AI16" s="36"/>
      <c r="AJ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26"/>
      <c r="BD16" s="38"/>
      <c r="BE16" s="26"/>
      <c r="BF16" s="38"/>
      <c r="BG16" s="38"/>
      <c r="BH16" s="36"/>
      <c r="BI16" s="36"/>
    </row>
    <row r="17" spans="1:61" s="37" customFormat="1" ht="15.75" x14ac:dyDescent="0.25">
      <c r="A17" s="36"/>
      <c r="B17" s="36"/>
      <c r="C17" s="36"/>
      <c r="D17" s="36"/>
      <c r="S17" s="1"/>
      <c r="T17" s="38"/>
      <c r="U17" s="38"/>
      <c r="V17" s="38"/>
      <c r="W17" s="38"/>
      <c r="X17" s="38"/>
      <c r="Y17" s="38"/>
      <c r="Z17" s="38"/>
      <c r="AA17" s="36"/>
      <c r="AB17" s="38"/>
      <c r="AC17" s="38"/>
      <c r="AD17" s="38"/>
      <c r="AE17" s="38"/>
      <c r="AF17" s="38"/>
      <c r="AG17" s="38"/>
      <c r="AH17" s="38"/>
      <c r="AI17" s="36"/>
      <c r="AJ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26"/>
      <c r="BD17" s="38"/>
      <c r="BE17" s="26"/>
      <c r="BF17" s="38"/>
      <c r="BG17" s="38"/>
      <c r="BH17" s="36"/>
      <c r="BI17" s="36"/>
    </row>
    <row r="18" spans="1:61" s="37" customFormat="1" ht="15.75" x14ac:dyDescent="0.25">
      <c r="A18" s="36"/>
      <c r="B18" s="36"/>
      <c r="C18" s="36"/>
      <c r="D18" s="36"/>
      <c r="S18" s="1"/>
      <c r="T18" s="38"/>
      <c r="U18" s="38"/>
      <c r="V18" s="38"/>
      <c r="W18" s="38"/>
      <c r="X18" s="38"/>
      <c r="Y18" s="38"/>
      <c r="Z18" s="38"/>
      <c r="AA18" s="36"/>
      <c r="AB18" s="38"/>
      <c r="AC18" s="38"/>
      <c r="AD18" s="38"/>
      <c r="AE18" s="38"/>
      <c r="AF18" s="38"/>
      <c r="AG18" s="38"/>
      <c r="AH18" s="38"/>
      <c r="AI18" s="36"/>
      <c r="AJ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26"/>
      <c r="BD18" s="38"/>
      <c r="BE18" s="26"/>
      <c r="BF18" s="38"/>
      <c r="BG18" s="38"/>
      <c r="BH18" s="36"/>
      <c r="BI18" s="36"/>
    </row>
    <row r="19" spans="1:61" s="37" customFormat="1" ht="15.75" x14ac:dyDescent="0.25">
      <c r="A19" s="36"/>
      <c r="B19" s="36"/>
      <c r="C19" s="36"/>
      <c r="D19" s="36"/>
      <c r="S19" s="1"/>
      <c r="T19" s="38"/>
      <c r="U19" s="38"/>
      <c r="V19" s="38"/>
      <c r="W19" s="38"/>
      <c r="X19" s="38"/>
      <c r="Y19" s="38"/>
      <c r="Z19" s="38"/>
      <c r="AA19" s="36"/>
      <c r="AB19" s="38"/>
      <c r="AC19" s="38"/>
      <c r="AD19" s="38"/>
      <c r="AE19" s="38"/>
      <c r="AF19" s="38"/>
      <c r="AG19" s="38"/>
      <c r="AH19" s="38"/>
      <c r="AI19" s="36"/>
      <c r="AJ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26"/>
      <c r="BD19" s="38"/>
      <c r="BE19" s="26"/>
      <c r="BF19" s="38"/>
      <c r="BG19" s="38"/>
      <c r="BH19" s="36"/>
      <c r="BI19" s="36"/>
    </row>
    <row r="20" spans="1:61" s="37" customFormat="1" ht="15.75" x14ac:dyDescent="0.25">
      <c r="A20" s="36"/>
      <c r="B20" s="36"/>
      <c r="C20" s="36"/>
      <c r="D20" s="36"/>
      <c r="S20" s="1"/>
      <c r="T20" s="38"/>
      <c r="U20" s="38"/>
      <c r="V20" s="38"/>
      <c r="W20" s="38"/>
      <c r="X20" s="38"/>
      <c r="Y20" s="38"/>
      <c r="Z20" s="38"/>
      <c r="AA20" s="36"/>
      <c r="AB20" s="38"/>
      <c r="AC20" s="38"/>
      <c r="AD20" s="38"/>
      <c r="AE20" s="38"/>
      <c r="AF20" s="38"/>
      <c r="AG20" s="38"/>
      <c r="AH20" s="38"/>
      <c r="AI20" s="36"/>
      <c r="AJ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26"/>
      <c r="BD20" s="38"/>
      <c r="BE20" s="26"/>
      <c r="BF20" s="38"/>
      <c r="BG20" s="38"/>
      <c r="BH20" s="36"/>
      <c r="BI20" s="36"/>
    </row>
    <row r="21" spans="1:61" s="37" customFormat="1" ht="15.75" x14ac:dyDescent="0.25">
      <c r="A21" s="36"/>
      <c r="B21" s="36"/>
      <c r="C21" s="36"/>
      <c r="D21" s="36"/>
      <c r="S21" s="1"/>
      <c r="T21" s="38"/>
      <c r="U21" s="38"/>
      <c r="V21" s="38"/>
      <c r="W21" s="38"/>
      <c r="X21" s="38"/>
      <c r="Y21" s="38"/>
      <c r="Z21" s="38"/>
      <c r="AA21" s="36"/>
      <c r="AB21" s="38"/>
      <c r="AC21" s="38"/>
      <c r="AD21" s="38"/>
      <c r="AE21" s="38"/>
      <c r="AF21" s="38"/>
      <c r="AG21" s="38"/>
      <c r="AH21" s="38"/>
      <c r="AI21" s="36"/>
      <c r="AJ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26"/>
      <c r="BD21" s="38"/>
      <c r="BE21" s="26"/>
      <c r="BF21" s="38"/>
      <c r="BG21" s="38"/>
      <c r="BH21" s="36"/>
      <c r="BI21" s="36"/>
    </row>
    <row r="22" spans="1:61" s="37" customFormat="1" ht="15.75" x14ac:dyDescent="0.25">
      <c r="A22" s="36"/>
      <c r="B22" s="36"/>
      <c r="C22" s="36"/>
      <c r="D22" s="36"/>
      <c r="S22" s="1"/>
      <c r="T22" s="38"/>
      <c r="U22" s="38"/>
      <c r="V22" s="38"/>
      <c r="W22" s="38"/>
      <c r="X22" s="38"/>
      <c r="Y22" s="38"/>
      <c r="Z22" s="38"/>
      <c r="AA22" s="36"/>
      <c r="AB22" s="38"/>
      <c r="AC22" s="38"/>
      <c r="AD22" s="38"/>
      <c r="AE22" s="38"/>
      <c r="AF22" s="38"/>
      <c r="AG22" s="38"/>
      <c r="AH22" s="38"/>
      <c r="AI22" s="36"/>
      <c r="AJ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26"/>
      <c r="BD22" s="38"/>
      <c r="BE22" s="26"/>
      <c r="BF22" s="38"/>
      <c r="BG22" s="38"/>
      <c r="BH22" s="36"/>
      <c r="BI22" s="36"/>
    </row>
    <row r="23" spans="1:61" s="37" customFormat="1" ht="15.75" x14ac:dyDescent="0.25">
      <c r="A23" s="36"/>
      <c r="B23" s="36"/>
      <c r="C23" s="36"/>
      <c r="D23" s="36"/>
      <c r="S23" s="1"/>
      <c r="T23" s="38"/>
      <c r="U23" s="38"/>
      <c r="V23" s="38"/>
      <c r="W23" s="38"/>
      <c r="X23" s="38"/>
      <c r="Y23" s="38"/>
      <c r="Z23" s="38"/>
      <c r="AA23" s="36"/>
      <c r="AB23" s="38"/>
      <c r="AC23" s="38"/>
      <c r="AD23" s="38"/>
      <c r="AE23" s="38"/>
      <c r="AF23" s="38"/>
      <c r="AG23" s="38"/>
      <c r="AH23" s="38"/>
      <c r="AI23" s="36"/>
      <c r="AJ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26"/>
      <c r="BD23" s="38"/>
      <c r="BE23" s="26"/>
      <c r="BF23" s="38"/>
      <c r="BG23" s="38"/>
      <c r="BH23" s="36"/>
      <c r="BI23" s="36"/>
    </row>
    <row r="24" spans="1:61" s="37" customFormat="1" ht="15.75" x14ac:dyDescent="0.25">
      <c r="A24" s="36"/>
      <c r="B24" s="36"/>
      <c r="C24" s="36"/>
      <c r="D24" s="36"/>
      <c r="S24" s="1"/>
      <c r="T24" s="38"/>
      <c r="U24" s="38"/>
      <c r="V24" s="38"/>
      <c r="W24" s="38"/>
      <c r="X24" s="38"/>
      <c r="Y24" s="38"/>
      <c r="Z24" s="38"/>
      <c r="AA24" s="36"/>
      <c r="AB24" s="38"/>
      <c r="AC24" s="38"/>
      <c r="AD24" s="38"/>
      <c r="AE24" s="38"/>
      <c r="AF24" s="38"/>
      <c r="AG24" s="38"/>
      <c r="AH24" s="38"/>
      <c r="AI24" s="36"/>
      <c r="AJ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26"/>
      <c r="BD24" s="38"/>
      <c r="BE24" s="26"/>
      <c r="BF24" s="38"/>
      <c r="BG24" s="38"/>
      <c r="BH24" s="36"/>
      <c r="BI24" s="36"/>
    </row>
    <row r="25" spans="1:61" s="37" customFormat="1" ht="15.75" x14ac:dyDescent="0.25">
      <c r="A25" s="36"/>
      <c r="B25" s="36"/>
      <c r="C25" s="36"/>
      <c r="D25" s="36"/>
      <c r="S25" s="1"/>
      <c r="T25" s="38"/>
      <c r="U25" s="38"/>
      <c r="V25" s="38"/>
      <c r="W25" s="38"/>
      <c r="X25" s="38"/>
      <c r="Y25" s="38"/>
      <c r="Z25" s="38"/>
      <c r="AA25" s="36"/>
      <c r="AB25" s="38"/>
      <c r="AC25" s="38"/>
      <c r="AD25" s="38"/>
      <c r="AE25" s="38"/>
      <c r="AF25" s="38"/>
      <c r="AG25" s="38"/>
      <c r="AH25" s="38"/>
      <c r="AI25" s="36"/>
      <c r="AJ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26"/>
      <c r="BD25" s="38"/>
      <c r="BE25" s="26"/>
      <c r="BF25" s="38"/>
      <c r="BG25" s="38"/>
      <c r="BH25" s="36"/>
      <c r="BI25" s="36"/>
    </row>
    <row r="26" spans="1:61" s="37" customFormat="1" ht="15.75" x14ac:dyDescent="0.25">
      <c r="A26" s="36"/>
      <c r="B26" s="36"/>
      <c r="C26" s="36"/>
      <c r="D26" s="36"/>
      <c r="S26" s="1"/>
      <c r="T26" s="38"/>
      <c r="U26" s="38"/>
      <c r="V26" s="38"/>
      <c r="W26" s="38"/>
      <c r="X26" s="38"/>
      <c r="Y26" s="38"/>
      <c r="Z26" s="38"/>
      <c r="AA26" s="36"/>
      <c r="AB26" s="38"/>
      <c r="AC26" s="38"/>
      <c r="AD26" s="38"/>
      <c r="AE26" s="38"/>
      <c r="AF26" s="38"/>
      <c r="AG26" s="38"/>
      <c r="AH26" s="38"/>
      <c r="AI26" s="36"/>
      <c r="AJ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26"/>
      <c r="BD26" s="38"/>
      <c r="BE26" s="26"/>
      <c r="BF26" s="38"/>
      <c r="BG26" s="38"/>
      <c r="BH26" s="36"/>
      <c r="BI26" s="36"/>
    </row>
    <row r="27" spans="1:61" s="37" customFormat="1" ht="15.75" x14ac:dyDescent="0.25">
      <c r="A27" s="36"/>
      <c r="B27" s="36"/>
      <c r="C27" s="36"/>
      <c r="D27" s="36"/>
      <c r="S27" s="1"/>
      <c r="T27" s="38"/>
      <c r="U27" s="38"/>
      <c r="V27" s="38"/>
      <c r="W27" s="38"/>
      <c r="X27" s="38"/>
      <c r="Y27" s="38"/>
      <c r="Z27" s="38"/>
      <c r="AA27" s="36"/>
      <c r="AB27" s="38"/>
      <c r="AC27" s="38"/>
      <c r="AD27" s="38"/>
      <c r="AE27" s="38"/>
      <c r="AF27" s="38"/>
      <c r="AG27" s="38"/>
      <c r="AH27" s="38"/>
      <c r="AI27" s="36"/>
      <c r="AJ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26"/>
      <c r="BD27" s="38"/>
      <c r="BE27" s="26"/>
      <c r="BF27" s="38"/>
      <c r="BG27" s="38"/>
      <c r="BH27" s="36"/>
      <c r="BI27" s="36"/>
    </row>
    <row r="28" spans="1:61" s="37" customFormat="1" ht="15.75" x14ac:dyDescent="0.25">
      <c r="A28" s="36"/>
      <c r="B28" s="36"/>
      <c r="C28" s="36"/>
      <c r="D28" s="36"/>
      <c r="S28" s="1"/>
      <c r="T28" s="38"/>
      <c r="U28" s="38"/>
      <c r="V28" s="38"/>
      <c r="W28" s="38"/>
      <c r="X28" s="38"/>
      <c r="Y28" s="38"/>
      <c r="Z28" s="38"/>
      <c r="AA28" s="36"/>
      <c r="AB28" s="38"/>
      <c r="AC28" s="38"/>
      <c r="AD28" s="38"/>
      <c r="AE28" s="38"/>
      <c r="AF28" s="38"/>
      <c r="AG28" s="38"/>
      <c r="AH28" s="38"/>
      <c r="AI28" s="36"/>
      <c r="AJ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26"/>
      <c r="BD28" s="38"/>
      <c r="BE28" s="26"/>
      <c r="BF28" s="38"/>
      <c r="BG28" s="38"/>
      <c r="BH28" s="36"/>
      <c r="BI28" s="36"/>
    </row>
    <row r="29" spans="1:61" s="37" customFormat="1" ht="15.75" x14ac:dyDescent="0.25">
      <c r="A29" s="36"/>
      <c r="B29" s="36"/>
      <c r="C29" s="36"/>
      <c r="D29" s="36"/>
      <c r="S29" s="1"/>
      <c r="T29" s="38"/>
      <c r="U29" s="38"/>
      <c r="V29" s="38"/>
      <c r="W29" s="38"/>
      <c r="X29" s="38"/>
      <c r="Y29" s="38"/>
      <c r="Z29" s="38"/>
      <c r="AA29" s="36"/>
      <c r="AB29" s="38"/>
      <c r="AC29" s="38"/>
      <c r="AD29" s="38"/>
      <c r="AE29" s="38"/>
      <c r="AF29" s="38"/>
      <c r="AG29" s="38"/>
      <c r="AH29" s="38"/>
      <c r="AI29" s="36"/>
      <c r="AJ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26"/>
      <c r="BD29" s="38"/>
      <c r="BE29" s="26"/>
      <c r="BF29" s="38"/>
      <c r="BG29" s="38"/>
      <c r="BH29" s="36"/>
      <c r="BI29" s="36"/>
    </row>
    <row r="30" spans="1:61" s="37" customFormat="1" ht="15.75" x14ac:dyDescent="0.25">
      <c r="A30" s="36"/>
      <c r="B30" s="36"/>
      <c r="C30" s="36"/>
      <c r="D30" s="36"/>
      <c r="S30" s="1"/>
      <c r="T30" s="38"/>
      <c r="U30" s="38"/>
      <c r="V30" s="38"/>
      <c r="W30" s="38"/>
      <c r="X30" s="38"/>
      <c r="Y30" s="38"/>
      <c r="Z30" s="38"/>
      <c r="AA30" s="36"/>
      <c r="AB30" s="38"/>
      <c r="AC30" s="38"/>
      <c r="AD30" s="38"/>
      <c r="AE30" s="38"/>
      <c r="AF30" s="38"/>
      <c r="AG30" s="38"/>
      <c r="AH30" s="38"/>
      <c r="AI30" s="36"/>
      <c r="AJ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26"/>
      <c r="BD30" s="38"/>
      <c r="BE30" s="26"/>
      <c r="BF30" s="38"/>
      <c r="BG30" s="38"/>
      <c r="BH30" s="36"/>
      <c r="BI30" s="36"/>
    </row>
    <row r="31" spans="1:61" s="37" customFormat="1" ht="15.75" x14ac:dyDescent="0.25">
      <c r="A31" s="36"/>
      <c r="B31" s="36"/>
      <c r="C31" s="36"/>
      <c r="D31" s="36"/>
      <c r="S31" s="1"/>
      <c r="T31" s="38"/>
      <c r="U31" s="38"/>
      <c r="V31" s="38"/>
      <c r="W31" s="38"/>
      <c r="X31" s="38"/>
      <c r="Y31" s="38"/>
      <c r="Z31" s="38"/>
      <c r="AA31" s="36"/>
      <c r="AB31" s="38"/>
      <c r="AC31" s="38"/>
      <c r="AD31" s="38"/>
      <c r="AE31" s="38"/>
      <c r="AF31" s="38"/>
      <c r="AG31" s="38"/>
      <c r="AH31" s="38"/>
      <c r="AI31" s="36"/>
      <c r="AJ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26"/>
      <c r="BD31" s="38"/>
      <c r="BE31" s="26"/>
      <c r="BF31" s="38"/>
      <c r="BG31" s="38"/>
      <c r="BH31" s="36"/>
      <c r="BI31" s="36"/>
    </row>
    <row r="32" spans="1:61" s="37" customFormat="1" ht="15.75" x14ac:dyDescent="0.25">
      <c r="A32" s="36"/>
      <c r="B32" s="36"/>
      <c r="C32" s="36"/>
      <c r="D32" s="36"/>
      <c r="S32" s="1"/>
      <c r="T32" s="38"/>
      <c r="U32" s="38"/>
      <c r="V32" s="38"/>
      <c r="W32" s="38"/>
      <c r="X32" s="38"/>
      <c r="Y32" s="38"/>
      <c r="Z32" s="38"/>
      <c r="AA32" s="36"/>
      <c r="AB32" s="38"/>
      <c r="AC32" s="38"/>
      <c r="AD32" s="38"/>
      <c r="AE32" s="38"/>
      <c r="AF32" s="38"/>
      <c r="AG32" s="38"/>
      <c r="AH32" s="38"/>
      <c r="AI32" s="36"/>
      <c r="AJ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26"/>
      <c r="BD32" s="38"/>
      <c r="BE32" s="26"/>
      <c r="BF32" s="38"/>
      <c r="BG32" s="38"/>
      <c r="BH32" s="36"/>
      <c r="BI32" s="36"/>
    </row>
    <row r="33" spans="1:61" s="37" customFormat="1" ht="15.75" x14ac:dyDescent="0.25">
      <c r="A33" s="36"/>
      <c r="B33" s="36"/>
      <c r="C33" s="36"/>
      <c r="D33" s="36"/>
      <c r="S33" s="1"/>
      <c r="T33" s="38"/>
      <c r="U33" s="38"/>
      <c r="V33" s="38"/>
      <c r="W33" s="38"/>
      <c r="X33" s="38"/>
      <c r="Y33" s="38"/>
      <c r="Z33" s="38"/>
      <c r="AA33" s="36"/>
      <c r="AB33" s="38"/>
      <c r="AC33" s="38"/>
      <c r="AD33" s="38"/>
      <c r="AE33" s="38"/>
      <c r="AF33" s="38"/>
      <c r="AG33" s="38"/>
      <c r="AH33" s="38"/>
      <c r="AI33" s="36"/>
      <c r="AJ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26"/>
      <c r="BD33" s="38"/>
      <c r="BE33" s="26"/>
      <c r="BF33" s="38"/>
      <c r="BG33" s="38"/>
      <c r="BH33" s="36"/>
      <c r="BI33" s="36"/>
    </row>
    <row r="34" spans="1:61" s="37" customFormat="1" ht="15.75" x14ac:dyDescent="0.25">
      <c r="A34" s="36"/>
      <c r="B34" s="36"/>
      <c r="C34" s="36"/>
      <c r="D34" s="36"/>
      <c r="S34" s="1"/>
      <c r="T34" s="38"/>
      <c r="U34" s="38"/>
      <c r="V34" s="38"/>
      <c r="W34" s="38"/>
      <c r="X34" s="38"/>
      <c r="Y34" s="38"/>
      <c r="Z34" s="38"/>
      <c r="AA34" s="36"/>
      <c r="AB34" s="38"/>
      <c r="AC34" s="38"/>
      <c r="AD34" s="38"/>
      <c r="AE34" s="38"/>
      <c r="AF34" s="38"/>
      <c r="AG34" s="38"/>
      <c r="AH34" s="38"/>
      <c r="AI34" s="36"/>
      <c r="AJ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26"/>
      <c r="BD34" s="38"/>
      <c r="BE34" s="26"/>
      <c r="BF34" s="38"/>
      <c r="BG34" s="38"/>
      <c r="BH34" s="36"/>
      <c r="BI34" s="36"/>
    </row>
    <row r="35" spans="1:61" s="37" customFormat="1" ht="15.75" x14ac:dyDescent="0.25">
      <c r="A35" s="36"/>
      <c r="B35" s="36"/>
      <c r="C35" s="36"/>
      <c r="D35" s="36"/>
      <c r="S35" s="1"/>
      <c r="T35" s="38"/>
      <c r="U35" s="38"/>
      <c r="V35" s="38"/>
      <c r="W35" s="38"/>
      <c r="X35" s="38"/>
      <c r="Y35" s="38"/>
      <c r="Z35" s="38"/>
      <c r="AA35" s="36"/>
      <c r="AB35" s="38"/>
      <c r="AC35" s="38"/>
      <c r="AD35" s="38"/>
      <c r="AE35" s="38"/>
      <c r="AF35" s="38"/>
      <c r="AG35" s="38"/>
      <c r="AH35" s="38"/>
      <c r="AI35" s="36"/>
      <c r="AJ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26"/>
      <c r="BD35" s="38"/>
      <c r="BE35" s="26"/>
      <c r="BF35" s="38"/>
      <c r="BG35" s="38"/>
      <c r="BH35" s="36"/>
      <c r="BI35" s="36"/>
    </row>
    <row r="36" spans="1:61" s="37" customFormat="1" ht="15.75" x14ac:dyDescent="0.25">
      <c r="A36" s="36"/>
      <c r="B36" s="36"/>
      <c r="C36" s="36"/>
      <c r="D36" s="36"/>
      <c r="S36" s="1"/>
      <c r="T36" s="38"/>
      <c r="U36" s="38"/>
      <c r="V36" s="38"/>
      <c r="W36" s="38"/>
      <c r="X36" s="38"/>
      <c r="Y36" s="38"/>
      <c r="Z36" s="38"/>
      <c r="AA36" s="36"/>
      <c r="AB36" s="38"/>
      <c r="AC36" s="38"/>
      <c r="AD36" s="38"/>
      <c r="AE36" s="38"/>
      <c r="AF36" s="38"/>
      <c r="AG36" s="38"/>
      <c r="AH36" s="38"/>
      <c r="AI36" s="36"/>
      <c r="AJ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26"/>
      <c r="BD36" s="38"/>
      <c r="BE36" s="26"/>
      <c r="BF36" s="38"/>
      <c r="BG36" s="38"/>
      <c r="BH36" s="36"/>
      <c r="BI36" s="36"/>
    </row>
    <row r="37" spans="1:61" s="37" customFormat="1" ht="15.75" x14ac:dyDescent="0.25">
      <c r="A37" s="36"/>
      <c r="B37" s="36"/>
      <c r="C37" s="36"/>
      <c r="D37" s="36"/>
      <c r="S37" s="1"/>
      <c r="T37" s="38"/>
      <c r="U37" s="38"/>
      <c r="V37" s="38"/>
      <c r="W37" s="38"/>
      <c r="X37" s="38"/>
      <c r="Y37" s="38"/>
      <c r="Z37" s="38"/>
      <c r="AA37" s="36"/>
      <c r="AB37" s="38"/>
      <c r="AC37" s="38"/>
      <c r="AD37" s="38"/>
      <c r="AE37" s="38"/>
      <c r="AF37" s="38"/>
      <c r="AG37" s="38"/>
      <c r="AH37" s="38"/>
      <c r="AI37" s="36"/>
      <c r="AJ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26"/>
      <c r="BD37" s="38"/>
      <c r="BE37" s="26"/>
      <c r="BF37" s="38"/>
      <c r="BG37" s="38"/>
      <c r="BH37" s="36"/>
      <c r="BI37" s="36"/>
    </row>
    <row r="38" spans="1:61" s="37" customFormat="1" ht="15.75" x14ac:dyDescent="0.25">
      <c r="A38" s="36"/>
      <c r="B38" s="36"/>
      <c r="C38" s="36"/>
      <c r="D38" s="36"/>
      <c r="S38" s="1"/>
      <c r="T38" s="38"/>
      <c r="U38" s="38"/>
      <c r="V38" s="38"/>
      <c r="W38" s="38"/>
      <c r="X38" s="38"/>
      <c r="Y38" s="38"/>
      <c r="Z38" s="38"/>
      <c r="AA38" s="36"/>
      <c r="AB38" s="38"/>
      <c r="AC38" s="38"/>
      <c r="AD38" s="38"/>
      <c r="AE38" s="38"/>
      <c r="AF38" s="38"/>
      <c r="AG38" s="38"/>
      <c r="AH38" s="38"/>
      <c r="AI38" s="36"/>
      <c r="AJ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26"/>
      <c r="BD38" s="38"/>
      <c r="BE38" s="26"/>
      <c r="BF38" s="38"/>
      <c r="BG38" s="38"/>
      <c r="BH38" s="36"/>
      <c r="BI38" s="36"/>
    </row>
    <row r="39" spans="1:61" s="37" customFormat="1" ht="15.75" x14ac:dyDescent="0.25">
      <c r="A39" s="36"/>
      <c r="B39" s="36"/>
      <c r="C39" s="36"/>
      <c r="D39" s="36"/>
      <c r="S39" s="1"/>
      <c r="T39" s="38"/>
      <c r="U39" s="38"/>
      <c r="V39" s="38"/>
      <c r="W39" s="38"/>
      <c r="X39" s="38"/>
      <c r="Y39" s="38"/>
      <c r="Z39" s="38"/>
      <c r="AA39" s="36"/>
      <c r="AB39" s="38"/>
      <c r="AC39" s="38"/>
      <c r="AD39" s="38"/>
      <c r="AE39" s="38"/>
      <c r="AF39" s="38"/>
      <c r="AG39" s="38"/>
      <c r="AH39" s="38"/>
      <c r="AI39" s="36"/>
      <c r="AJ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26"/>
      <c r="BD39" s="38"/>
      <c r="BE39" s="26"/>
      <c r="BF39" s="38"/>
      <c r="BG39" s="38"/>
      <c r="BH39" s="36"/>
      <c r="BI39" s="36"/>
    </row>
    <row r="40" spans="1:61" s="37" customFormat="1" ht="15.75" x14ac:dyDescent="0.25">
      <c r="A40" s="36"/>
      <c r="B40" s="36"/>
      <c r="C40" s="36"/>
      <c r="D40" s="36"/>
      <c r="S40" s="1"/>
      <c r="T40" s="38"/>
      <c r="U40" s="38"/>
      <c r="V40" s="38"/>
      <c r="W40" s="38"/>
      <c r="X40" s="38"/>
      <c r="Y40" s="38"/>
      <c r="Z40" s="38"/>
      <c r="AA40" s="36"/>
      <c r="AB40" s="38"/>
      <c r="AC40" s="38"/>
      <c r="AD40" s="38"/>
      <c r="AE40" s="38"/>
      <c r="AF40" s="38"/>
      <c r="AG40" s="38"/>
      <c r="AH40" s="38"/>
      <c r="AI40" s="36"/>
      <c r="AJ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26"/>
      <c r="BD40" s="38"/>
      <c r="BE40" s="26"/>
      <c r="BF40" s="38"/>
      <c r="BG40" s="38"/>
      <c r="BH40" s="36"/>
      <c r="BI40" s="36"/>
    </row>
    <row r="41" spans="1:61" s="37" customFormat="1" ht="15.75" x14ac:dyDescent="0.25">
      <c r="A41" s="36"/>
      <c r="B41" s="36"/>
      <c r="C41" s="36"/>
      <c r="D41" s="36"/>
      <c r="S41" s="1"/>
      <c r="T41" s="38"/>
      <c r="U41" s="38"/>
      <c r="V41" s="38"/>
      <c r="W41" s="38"/>
      <c r="X41" s="38"/>
      <c r="Y41" s="38"/>
      <c r="Z41" s="38"/>
      <c r="AA41" s="36"/>
      <c r="AB41" s="38"/>
      <c r="AC41" s="38"/>
      <c r="AD41" s="38"/>
      <c r="AE41" s="38"/>
      <c r="AF41" s="38"/>
      <c r="AG41" s="38"/>
      <c r="AH41" s="38"/>
      <c r="AI41" s="36"/>
      <c r="AJ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26"/>
      <c r="BD41" s="38"/>
      <c r="BE41" s="26"/>
      <c r="BF41" s="38"/>
      <c r="BG41" s="38"/>
      <c r="BH41" s="36"/>
      <c r="BI41" s="36"/>
    </row>
    <row r="42" spans="1:61" s="37" customFormat="1" ht="15.75" x14ac:dyDescent="0.25">
      <c r="A42" s="36"/>
      <c r="B42" s="36"/>
      <c r="C42" s="36"/>
      <c r="D42" s="36"/>
      <c r="S42" s="1"/>
      <c r="T42" s="38"/>
      <c r="U42" s="38"/>
      <c r="V42" s="38"/>
      <c r="W42" s="38"/>
      <c r="X42" s="38"/>
      <c r="Y42" s="38"/>
      <c r="Z42" s="38"/>
      <c r="AA42" s="36"/>
      <c r="AB42" s="38"/>
      <c r="AC42" s="38"/>
      <c r="AD42" s="38"/>
      <c r="AE42" s="38"/>
      <c r="AF42" s="38"/>
      <c r="AG42" s="38"/>
      <c r="AH42" s="38"/>
      <c r="AI42" s="36"/>
      <c r="AJ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26"/>
      <c r="BD42" s="38"/>
      <c r="BE42" s="26"/>
      <c r="BF42" s="38"/>
      <c r="BG42" s="38"/>
      <c r="BH42" s="36"/>
      <c r="BI42" s="36"/>
    </row>
    <row r="43" spans="1:61" s="37" customFormat="1" ht="15.75" x14ac:dyDescent="0.25">
      <c r="A43" s="36"/>
      <c r="B43" s="36"/>
      <c r="C43" s="36"/>
      <c r="D43" s="36"/>
      <c r="S43" s="1"/>
      <c r="T43" s="38"/>
      <c r="U43" s="38"/>
      <c r="V43" s="38"/>
      <c r="W43" s="38"/>
      <c r="X43" s="38"/>
      <c r="Y43" s="38"/>
      <c r="Z43" s="38"/>
      <c r="AA43" s="36"/>
      <c r="AB43" s="38"/>
      <c r="AC43" s="38"/>
      <c r="AD43" s="38"/>
      <c r="AE43" s="38"/>
      <c r="AF43" s="38"/>
      <c r="AG43" s="38"/>
      <c r="AH43" s="38"/>
      <c r="AI43" s="36"/>
      <c r="AJ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26"/>
      <c r="BD43" s="38"/>
      <c r="BE43" s="26"/>
      <c r="BF43" s="38"/>
      <c r="BG43" s="38"/>
      <c r="BH43" s="36"/>
      <c r="BI43" s="36"/>
    </row>
    <row r="44" spans="1:61" s="37" customFormat="1" ht="15.75" x14ac:dyDescent="0.25">
      <c r="A44" s="36"/>
      <c r="B44" s="36"/>
      <c r="C44" s="36"/>
      <c r="D44" s="36"/>
      <c r="S44" s="1"/>
      <c r="T44" s="38"/>
      <c r="U44" s="38"/>
      <c r="V44" s="38"/>
      <c r="W44" s="38"/>
      <c r="X44" s="38"/>
      <c r="Y44" s="38"/>
      <c r="Z44" s="38"/>
      <c r="AA44" s="36"/>
      <c r="AB44" s="38"/>
      <c r="AC44" s="38"/>
      <c r="AD44" s="38"/>
      <c r="AE44" s="38"/>
      <c r="AF44" s="38"/>
      <c r="AG44" s="38"/>
      <c r="AH44" s="38"/>
      <c r="AI44" s="36"/>
      <c r="AJ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26"/>
      <c r="BD44" s="38"/>
      <c r="BE44" s="26"/>
      <c r="BF44" s="38"/>
      <c r="BG44" s="38"/>
      <c r="BH44" s="36"/>
      <c r="BI44" s="36"/>
    </row>
    <row r="45" spans="1:61" s="37" customFormat="1" ht="15.75" x14ac:dyDescent="0.25">
      <c r="A45" s="36"/>
      <c r="B45" s="36"/>
      <c r="C45" s="36"/>
      <c r="D45" s="36"/>
      <c r="S45" s="1"/>
      <c r="T45" s="38"/>
      <c r="U45" s="38"/>
      <c r="V45" s="38"/>
      <c r="W45" s="38"/>
      <c r="X45" s="38"/>
      <c r="Y45" s="38"/>
      <c r="Z45" s="38"/>
      <c r="AA45" s="36"/>
      <c r="AB45" s="38"/>
      <c r="AC45" s="38"/>
      <c r="AD45" s="38"/>
      <c r="AE45" s="38"/>
      <c r="AF45" s="38"/>
      <c r="AG45" s="38"/>
      <c r="AH45" s="38"/>
      <c r="AI45" s="36"/>
      <c r="AJ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26"/>
      <c r="BD45" s="38"/>
      <c r="BE45" s="26"/>
      <c r="BF45" s="38"/>
      <c r="BG45" s="38"/>
      <c r="BH45" s="36"/>
      <c r="BI45" s="36"/>
    </row>
    <row r="46" spans="1:61" s="37" customFormat="1" ht="15.75" x14ac:dyDescent="0.25">
      <c r="A46" s="36"/>
      <c r="B46" s="36"/>
      <c r="C46" s="36"/>
      <c r="D46" s="36"/>
      <c r="S46" s="1"/>
      <c r="T46" s="38"/>
      <c r="U46" s="38"/>
      <c r="V46" s="38"/>
      <c r="W46" s="38"/>
      <c r="X46" s="38"/>
      <c r="Y46" s="38"/>
      <c r="Z46" s="38"/>
      <c r="AA46" s="36"/>
      <c r="AB46" s="38"/>
      <c r="AC46" s="38"/>
      <c r="AD46" s="38"/>
      <c r="AE46" s="38"/>
      <c r="AF46" s="38"/>
      <c r="AG46" s="38"/>
      <c r="AH46" s="38"/>
      <c r="AI46" s="36"/>
      <c r="AJ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26"/>
      <c r="BD46" s="38"/>
      <c r="BE46" s="26"/>
      <c r="BF46" s="38"/>
      <c r="BG46" s="38"/>
      <c r="BH46" s="36"/>
      <c r="BI46" s="36"/>
    </row>
    <row r="47" spans="1:61" s="37" customFormat="1" ht="15.75" x14ac:dyDescent="0.25">
      <c r="A47" s="36"/>
      <c r="B47" s="36"/>
      <c r="C47" s="36"/>
      <c r="D47" s="36"/>
      <c r="S47" s="1"/>
      <c r="T47" s="38"/>
      <c r="U47" s="38"/>
      <c r="V47" s="38"/>
      <c r="W47" s="38"/>
      <c r="X47" s="38"/>
      <c r="Y47" s="38"/>
      <c r="Z47" s="38"/>
      <c r="AA47" s="36"/>
      <c r="AB47" s="38"/>
      <c r="AC47" s="38"/>
      <c r="AD47" s="38"/>
      <c r="AE47" s="38"/>
      <c r="AF47" s="38"/>
      <c r="AG47" s="38"/>
      <c r="AH47" s="38"/>
      <c r="AI47" s="36"/>
      <c r="AJ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26"/>
      <c r="BD47" s="38"/>
      <c r="BE47" s="26"/>
      <c r="BF47" s="38"/>
      <c r="BG47" s="38"/>
      <c r="BH47" s="36"/>
      <c r="BI47" s="36"/>
    </row>
    <row r="48" spans="1:61" s="37" customFormat="1" ht="15.75" x14ac:dyDescent="0.25">
      <c r="A48" s="36"/>
      <c r="B48" s="36"/>
      <c r="C48" s="36"/>
      <c r="D48" s="36"/>
      <c r="S48" s="1"/>
      <c r="T48" s="38"/>
      <c r="U48" s="38"/>
      <c r="V48" s="38"/>
      <c r="W48" s="38"/>
      <c r="X48" s="38"/>
      <c r="Y48" s="38"/>
      <c r="Z48" s="38"/>
      <c r="AA48" s="36"/>
      <c r="AB48" s="38"/>
      <c r="AC48" s="38"/>
      <c r="AD48" s="38"/>
      <c r="AE48" s="38"/>
      <c r="AF48" s="38"/>
      <c r="AG48" s="38"/>
      <c r="AH48" s="38"/>
      <c r="AI48" s="36"/>
      <c r="AJ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26"/>
      <c r="BD48" s="38"/>
      <c r="BE48" s="26"/>
      <c r="BF48" s="38"/>
      <c r="BG48" s="38"/>
      <c r="BH48" s="36"/>
      <c r="BI48" s="36"/>
    </row>
    <row r="49" spans="1:61" s="37" customFormat="1" ht="15.75" x14ac:dyDescent="0.25">
      <c r="A49" s="36"/>
      <c r="B49" s="36"/>
      <c r="C49" s="36"/>
      <c r="D49" s="36"/>
      <c r="S49" s="1"/>
      <c r="T49" s="38"/>
      <c r="U49" s="38"/>
      <c r="V49" s="38"/>
      <c r="W49" s="38"/>
      <c r="X49" s="38"/>
      <c r="Y49" s="38"/>
      <c r="Z49" s="38"/>
      <c r="AA49" s="36"/>
      <c r="AB49" s="38"/>
      <c r="AC49" s="38"/>
      <c r="AD49" s="38"/>
      <c r="AE49" s="38"/>
      <c r="AF49" s="38"/>
      <c r="AG49" s="38"/>
      <c r="AH49" s="38"/>
      <c r="AI49" s="36"/>
      <c r="AJ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26"/>
      <c r="BD49" s="38"/>
      <c r="BE49" s="26"/>
      <c r="BF49" s="38"/>
      <c r="BG49" s="38"/>
      <c r="BH49" s="36"/>
      <c r="BI49" s="36"/>
    </row>
    <row r="50" spans="1:61" s="37" customFormat="1" ht="15.75" x14ac:dyDescent="0.25">
      <c r="A50" s="36"/>
      <c r="B50" s="36"/>
      <c r="C50" s="36"/>
      <c r="D50" s="36"/>
      <c r="S50" s="1"/>
      <c r="T50" s="38"/>
      <c r="U50" s="38"/>
      <c r="V50" s="38"/>
      <c r="W50" s="38"/>
      <c r="X50" s="38"/>
      <c r="Y50" s="38"/>
      <c r="Z50" s="38"/>
      <c r="AA50" s="36"/>
      <c r="AB50" s="38"/>
      <c r="AC50" s="38"/>
      <c r="AD50" s="38"/>
      <c r="AE50" s="38"/>
      <c r="AF50" s="38"/>
      <c r="AG50" s="38"/>
      <c r="AH50" s="38"/>
      <c r="AI50" s="36"/>
      <c r="AJ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26"/>
      <c r="BD50" s="38"/>
      <c r="BE50" s="26"/>
      <c r="BF50" s="38"/>
      <c r="BG50" s="38"/>
      <c r="BH50" s="36"/>
      <c r="BI50" s="36"/>
    </row>
    <row r="51" spans="1:61" s="37" customFormat="1" ht="15.75" x14ac:dyDescent="0.25">
      <c r="A51" s="36"/>
      <c r="B51" s="36"/>
      <c r="C51" s="36"/>
      <c r="D51" s="36"/>
      <c r="S51" s="1"/>
      <c r="T51" s="38"/>
      <c r="U51" s="38"/>
      <c r="V51" s="38"/>
      <c r="W51" s="38"/>
      <c r="X51" s="38"/>
      <c r="Y51" s="38"/>
      <c r="Z51" s="38"/>
      <c r="AA51" s="36"/>
      <c r="AB51" s="38"/>
      <c r="AC51" s="38"/>
      <c r="AD51" s="38"/>
      <c r="AE51" s="38"/>
      <c r="AF51" s="38"/>
      <c r="AG51" s="38"/>
      <c r="AH51" s="38"/>
      <c r="AI51" s="36"/>
      <c r="AJ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26"/>
      <c r="BD51" s="38"/>
      <c r="BE51" s="26"/>
      <c r="BF51" s="38"/>
      <c r="BG51" s="38"/>
      <c r="BH51" s="36"/>
      <c r="BI51" s="36"/>
    </row>
    <row r="52" spans="1:61" s="37" customFormat="1" ht="15.75" x14ac:dyDescent="0.25">
      <c r="A52" s="36"/>
      <c r="B52" s="36"/>
      <c r="C52" s="36"/>
      <c r="D52" s="36"/>
      <c r="S52" s="1"/>
      <c r="T52" s="38"/>
      <c r="U52" s="38"/>
      <c r="V52" s="38"/>
      <c r="W52" s="38"/>
      <c r="X52" s="38"/>
      <c r="Y52" s="38"/>
      <c r="Z52" s="38"/>
      <c r="AA52" s="36"/>
      <c r="AB52" s="38"/>
      <c r="AC52" s="38"/>
      <c r="AD52" s="38"/>
      <c r="AE52" s="38"/>
      <c r="AF52" s="38"/>
      <c r="AG52" s="38"/>
      <c r="AH52" s="38"/>
      <c r="AI52" s="36"/>
      <c r="AJ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26"/>
      <c r="BD52" s="38"/>
      <c r="BE52" s="26"/>
      <c r="BF52" s="38"/>
      <c r="BG52" s="38"/>
      <c r="BH52" s="36"/>
      <c r="BI52" s="36"/>
    </row>
    <row r="53" spans="1:61" s="37" customFormat="1" ht="15.75" x14ac:dyDescent="0.25">
      <c r="A53" s="36"/>
      <c r="B53" s="36"/>
      <c r="C53" s="36"/>
      <c r="D53" s="36"/>
      <c r="S53" s="1"/>
      <c r="T53" s="38"/>
      <c r="U53" s="38"/>
      <c r="V53" s="38"/>
      <c r="W53" s="38"/>
      <c r="X53" s="38"/>
      <c r="Y53" s="38"/>
      <c r="Z53" s="38"/>
      <c r="AA53" s="36"/>
      <c r="AB53" s="38"/>
      <c r="AC53" s="38"/>
      <c r="AD53" s="38"/>
      <c r="AE53" s="38"/>
      <c r="AF53" s="38"/>
      <c r="AG53" s="38"/>
      <c r="AH53" s="38"/>
      <c r="AI53" s="36"/>
      <c r="AJ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26"/>
      <c r="BD53" s="38"/>
      <c r="BE53" s="26"/>
      <c r="BF53" s="38"/>
      <c r="BG53" s="38"/>
      <c r="BH53" s="36"/>
      <c r="BI53" s="36"/>
    </row>
    <row r="54" spans="1:61" s="37" customFormat="1" ht="15.75" x14ac:dyDescent="0.25">
      <c r="A54" s="36"/>
      <c r="B54" s="36"/>
      <c r="C54" s="36"/>
      <c r="D54" s="36"/>
      <c r="S54" s="1"/>
      <c r="T54" s="38"/>
      <c r="U54" s="38"/>
      <c r="V54" s="38"/>
      <c r="W54" s="38"/>
      <c r="X54" s="38"/>
      <c r="Y54" s="38"/>
      <c r="Z54" s="38"/>
      <c r="AA54" s="36"/>
      <c r="AB54" s="38"/>
      <c r="AC54" s="38"/>
      <c r="AD54" s="38"/>
      <c r="AE54" s="38"/>
      <c r="AF54" s="38"/>
      <c r="AG54" s="38"/>
      <c r="AH54" s="38"/>
      <c r="AI54" s="36"/>
      <c r="AJ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26"/>
      <c r="BD54" s="38"/>
      <c r="BE54" s="26"/>
      <c r="BF54" s="38"/>
      <c r="BG54" s="38"/>
      <c r="BH54" s="36"/>
      <c r="BI54" s="36"/>
    </row>
    <row r="55" spans="1:61" s="37" customFormat="1" ht="15.75" x14ac:dyDescent="0.25">
      <c r="A55" s="36"/>
      <c r="B55" s="36"/>
      <c r="C55" s="36"/>
      <c r="D55" s="36"/>
      <c r="S55" s="1"/>
      <c r="T55" s="38"/>
      <c r="U55" s="38"/>
      <c r="V55" s="38"/>
      <c r="W55" s="38"/>
      <c r="X55" s="38"/>
      <c r="Y55" s="38"/>
      <c r="Z55" s="38"/>
      <c r="AA55" s="36"/>
      <c r="AB55" s="38"/>
      <c r="AC55" s="38"/>
      <c r="AD55" s="38"/>
      <c r="AE55" s="38"/>
      <c r="AF55" s="38"/>
      <c r="AG55" s="38"/>
      <c r="AH55" s="38"/>
      <c r="AI55" s="36"/>
      <c r="AJ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26"/>
      <c r="BD55" s="38"/>
      <c r="BE55" s="26"/>
      <c r="BF55" s="38"/>
      <c r="BG55" s="38"/>
      <c r="BH55" s="36"/>
      <c r="BI55" s="36"/>
    </row>
    <row r="56" spans="1:61" s="37" customFormat="1" ht="15.75" x14ac:dyDescent="0.25">
      <c r="A56" s="36"/>
      <c r="B56" s="36"/>
      <c r="C56" s="36"/>
      <c r="D56" s="36"/>
      <c r="S56" s="1"/>
      <c r="T56" s="38"/>
      <c r="U56" s="38"/>
      <c r="V56" s="38"/>
      <c r="W56" s="38"/>
      <c r="X56" s="38"/>
      <c r="Y56" s="38"/>
      <c r="Z56" s="38"/>
      <c r="AA56" s="36"/>
      <c r="AB56" s="38"/>
      <c r="AC56" s="38"/>
      <c r="AD56" s="38"/>
      <c r="AE56" s="38"/>
      <c r="AF56" s="38"/>
      <c r="AG56" s="38"/>
      <c r="AH56" s="38"/>
      <c r="AI56" s="36"/>
      <c r="AJ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26"/>
      <c r="BD56" s="38"/>
      <c r="BE56" s="26"/>
      <c r="BF56" s="38"/>
      <c r="BG56" s="38"/>
      <c r="BH56" s="36"/>
      <c r="BI56" s="36"/>
    </row>
    <row r="57" spans="1:61" s="37" customFormat="1" ht="15.75" x14ac:dyDescent="0.25">
      <c r="A57" s="36"/>
      <c r="B57" s="36"/>
      <c r="C57" s="36"/>
      <c r="D57" s="36"/>
      <c r="S57" s="1"/>
      <c r="T57" s="38"/>
      <c r="U57" s="38"/>
      <c r="V57" s="38"/>
      <c r="W57" s="38"/>
      <c r="X57" s="38"/>
      <c r="Y57" s="38"/>
      <c r="Z57" s="38"/>
      <c r="AA57" s="36"/>
      <c r="AB57" s="38"/>
      <c r="AC57" s="38"/>
      <c r="AD57" s="38"/>
      <c r="AE57" s="38"/>
      <c r="AF57" s="38"/>
      <c r="AG57" s="38"/>
      <c r="AH57" s="38"/>
      <c r="AI57" s="36"/>
      <c r="AJ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26"/>
      <c r="BD57" s="38"/>
      <c r="BE57" s="26"/>
      <c r="BF57" s="38"/>
      <c r="BG57" s="38"/>
      <c r="BH57" s="36"/>
      <c r="BI57" s="36"/>
    </row>
    <row r="58" spans="1:61" s="37" customFormat="1" ht="15.75" x14ac:dyDescent="0.25">
      <c r="A58" s="36"/>
      <c r="B58" s="36"/>
      <c r="C58" s="36"/>
      <c r="D58" s="36"/>
      <c r="S58" s="1"/>
      <c r="T58" s="38"/>
      <c r="U58" s="38"/>
      <c r="V58" s="38"/>
      <c r="W58" s="38"/>
      <c r="X58" s="38"/>
      <c r="Y58" s="38"/>
      <c r="Z58" s="38"/>
      <c r="AA58" s="36"/>
      <c r="AB58" s="38"/>
      <c r="AC58" s="38"/>
      <c r="AD58" s="38"/>
      <c r="AE58" s="38"/>
      <c r="AF58" s="38"/>
      <c r="AG58" s="38"/>
      <c r="AH58" s="38"/>
      <c r="AI58" s="36"/>
      <c r="AJ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26"/>
      <c r="BD58" s="38"/>
      <c r="BE58" s="26"/>
      <c r="BF58" s="38"/>
      <c r="BG58" s="38"/>
      <c r="BH58" s="36"/>
      <c r="BI58" s="36"/>
    </row>
    <row r="59" spans="1:61" s="37" customFormat="1" ht="15.75" x14ac:dyDescent="0.25">
      <c r="A59" s="36"/>
      <c r="B59" s="36"/>
      <c r="C59" s="36"/>
      <c r="D59" s="36"/>
      <c r="S59" s="1"/>
      <c r="T59" s="38"/>
      <c r="U59" s="38"/>
      <c r="V59" s="38"/>
      <c r="W59" s="38"/>
      <c r="X59" s="38"/>
      <c r="Y59" s="38"/>
      <c r="Z59" s="38"/>
      <c r="AA59" s="36"/>
      <c r="AB59" s="38"/>
      <c r="AC59" s="38"/>
      <c r="AD59" s="38"/>
      <c r="AE59" s="38"/>
      <c r="AF59" s="38"/>
      <c r="AG59" s="38"/>
      <c r="AH59" s="38"/>
      <c r="AI59" s="36"/>
      <c r="AJ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26"/>
      <c r="BD59" s="38"/>
      <c r="BE59" s="26"/>
      <c r="BF59" s="38"/>
      <c r="BG59" s="38"/>
      <c r="BH59" s="36"/>
      <c r="BI59" s="36"/>
    </row>
    <row r="60" spans="1:61" s="37" customFormat="1" ht="15.75" x14ac:dyDescent="0.25">
      <c r="A60" s="36"/>
      <c r="B60" s="36"/>
      <c r="C60" s="36"/>
      <c r="D60" s="36"/>
      <c r="S60" s="1"/>
      <c r="T60" s="38"/>
      <c r="U60" s="38"/>
      <c r="V60" s="38"/>
      <c r="W60" s="38"/>
      <c r="X60" s="38"/>
      <c r="Y60" s="38"/>
      <c r="Z60" s="38"/>
      <c r="AA60" s="36"/>
      <c r="AB60" s="38"/>
      <c r="AC60" s="38"/>
      <c r="AD60" s="38"/>
      <c r="AE60" s="38"/>
      <c r="AF60" s="38"/>
      <c r="AG60" s="38"/>
      <c r="AH60" s="38"/>
      <c r="AI60" s="36"/>
      <c r="AJ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26"/>
      <c r="BD60" s="38"/>
      <c r="BE60" s="26"/>
      <c r="BF60" s="38"/>
      <c r="BG60" s="38"/>
      <c r="BH60" s="36"/>
      <c r="BI60" s="36"/>
    </row>
    <row r="61" spans="1:61" s="37" customFormat="1" ht="15.75" x14ac:dyDescent="0.25">
      <c r="A61" s="36"/>
      <c r="B61" s="36"/>
      <c r="C61" s="36"/>
      <c r="D61" s="36"/>
      <c r="S61" s="1"/>
      <c r="T61" s="38"/>
      <c r="U61" s="38"/>
      <c r="V61" s="38"/>
      <c r="W61" s="38"/>
      <c r="X61" s="38"/>
      <c r="Y61" s="38"/>
      <c r="Z61" s="38"/>
      <c r="AA61" s="36"/>
      <c r="AB61" s="38"/>
      <c r="AC61" s="38"/>
      <c r="AD61" s="38"/>
      <c r="AE61" s="38"/>
      <c r="AF61" s="38"/>
      <c r="AG61" s="38"/>
      <c r="AH61" s="38"/>
      <c r="AI61" s="36"/>
      <c r="AJ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26"/>
      <c r="BD61" s="38"/>
      <c r="BE61" s="26"/>
      <c r="BF61" s="38"/>
      <c r="BG61" s="38"/>
      <c r="BH61" s="36"/>
      <c r="BI61" s="36"/>
    </row>
    <row r="62" spans="1:61" s="37" customFormat="1" ht="15.75" x14ac:dyDescent="0.25">
      <c r="A62" s="36"/>
      <c r="B62" s="36"/>
      <c r="C62" s="36"/>
      <c r="D62" s="36"/>
      <c r="S62" s="1"/>
      <c r="T62" s="38"/>
      <c r="U62" s="38"/>
      <c r="V62" s="38"/>
      <c r="W62" s="38"/>
      <c r="X62" s="38"/>
      <c r="Y62" s="38"/>
      <c r="Z62" s="38"/>
      <c r="AA62" s="36"/>
      <c r="AB62" s="38"/>
      <c r="AC62" s="38"/>
      <c r="AD62" s="38"/>
      <c r="AE62" s="38"/>
      <c r="AF62" s="38"/>
      <c r="AG62" s="38"/>
      <c r="AH62" s="38"/>
      <c r="AI62" s="36"/>
      <c r="AJ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26"/>
      <c r="BD62" s="38"/>
      <c r="BE62" s="26"/>
      <c r="BF62" s="38"/>
      <c r="BG62" s="38"/>
      <c r="BH62" s="36"/>
      <c r="BI62" s="36"/>
    </row>
    <row r="63" spans="1:61" s="37" customFormat="1" ht="15.75" x14ac:dyDescent="0.25">
      <c r="A63" s="36"/>
      <c r="B63" s="36"/>
      <c r="C63" s="36"/>
      <c r="D63" s="36"/>
      <c r="S63" s="1"/>
      <c r="T63" s="38"/>
      <c r="U63" s="38"/>
      <c r="V63" s="38"/>
      <c r="W63" s="38"/>
      <c r="X63" s="38"/>
      <c r="Y63" s="38"/>
      <c r="Z63" s="38"/>
      <c r="AA63" s="36"/>
      <c r="AB63" s="38"/>
      <c r="AC63" s="38"/>
      <c r="AD63" s="38"/>
      <c r="AE63" s="38"/>
      <c r="AF63" s="38"/>
      <c r="AG63" s="38"/>
      <c r="AH63" s="38"/>
      <c r="AI63" s="36"/>
      <c r="AJ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26"/>
      <c r="BD63" s="38"/>
      <c r="BE63" s="26"/>
      <c r="BF63" s="38"/>
      <c r="BG63" s="38"/>
      <c r="BH63" s="36"/>
      <c r="BI63" s="36"/>
    </row>
    <row r="64" spans="1:61" s="37" customFormat="1" ht="15.75" x14ac:dyDescent="0.25">
      <c r="A64" s="36"/>
      <c r="B64" s="36"/>
      <c r="C64" s="36"/>
      <c r="D64" s="36"/>
      <c r="S64" s="1"/>
      <c r="T64" s="38"/>
      <c r="U64" s="38"/>
      <c r="V64" s="38"/>
      <c r="W64" s="38"/>
      <c r="X64" s="38"/>
      <c r="Y64" s="38"/>
      <c r="Z64" s="38"/>
      <c r="AA64" s="36"/>
      <c r="AB64" s="38"/>
      <c r="AC64" s="38"/>
      <c r="AD64" s="38"/>
      <c r="AE64" s="38"/>
      <c r="AF64" s="38"/>
      <c r="AG64" s="38"/>
      <c r="AH64" s="38"/>
      <c r="AI64" s="36"/>
      <c r="AJ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26"/>
      <c r="BD64" s="38"/>
      <c r="BE64" s="26"/>
      <c r="BF64" s="38"/>
      <c r="BG64" s="38"/>
      <c r="BH64" s="36"/>
      <c r="BI64" s="36"/>
    </row>
    <row r="65" spans="1:61" s="37" customFormat="1" ht="15.75" x14ac:dyDescent="0.25">
      <c r="A65" s="36"/>
      <c r="B65" s="36"/>
      <c r="C65" s="36"/>
      <c r="D65" s="36"/>
      <c r="S65" s="1"/>
      <c r="T65" s="38"/>
      <c r="U65" s="38"/>
      <c r="V65" s="38"/>
      <c r="W65" s="38"/>
      <c r="X65" s="38"/>
      <c r="Y65" s="38"/>
      <c r="Z65" s="38"/>
      <c r="AA65" s="36"/>
      <c r="AB65" s="38"/>
      <c r="AC65" s="38"/>
      <c r="AD65" s="38"/>
      <c r="AE65" s="38"/>
      <c r="AF65" s="38"/>
      <c r="AG65" s="38"/>
      <c r="AH65" s="38"/>
      <c r="AI65" s="36"/>
      <c r="AJ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26"/>
      <c r="BD65" s="38"/>
      <c r="BE65" s="26"/>
      <c r="BF65" s="38"/>
      <c r="BG65" s="38"/>
      <c r="BH65" s="36"/>
      <c r="BI65" s="36"/>
    </row>
    <row r="66" spans="1:61" s="37" customFormat="1" ht="15.75" x14ac:dyDescent="0.25">
      <c r="A66" s="36"/>
      <c r="B66" s="36"/>
      <c r="C66" s="36"/>
      <c r="D66" s="36"/>
      <c r="S66" s="1"/>
      <c r="T66" s="38"/>
      <c r="U66" s="38"/>
      <c r="V66" s="38"/>
      <c r="W66" s="38"/>
      <c r="X66" s="38"/>
      <c r="Y66" s="38"/>
      <c r="Z66" s="38"/>
      <c r="AA66" s="36"/>
      <c r="AB66" s="38"/>
      <c r="AC66" s="38"/>
      <c r="AD66" s="38"/>
      <c r="AE66" s="38"/>
      <c r="AF66" s="38"/>
      <c r="AG66" s="38"/>
      <c r="AH66" s="38"/>
      <c r="AI66" s="36"/>
      <c r="AJ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26"/>
      <c r="BD66" s="38"/>
      <c r="BE66" s="26"/>
      <c r="BF66" s="38"/>
      <c r="BG66" s="38"/>
      <c r="BH66" s="36"/>
      <c r="BI66" s="36"/>
    </row>
    <row r="67" spans="1:61" s="37" customFormat="1" ht="15.75" x14ac:dyDescent="0.25">
      <c r="A67" s="36"/>
      <c r="B67" s="36"/>
      <c r="C67" s="36"/>
      <c r="D67" s="36"/>
      <c r="S67" s="1"/>
      <c r="T67" s="38"/>
      <c r="U67" s="38"/>
      <c r="V67" s="38"/>
      <c r="W67" s="38"/>
      <c r="X67" s="38"/>
      <c r="Y67" s="38"/>
      <c r="Z67" s="38"/>
      <c r="AA67" s="36"/>
      <c r="AB67" s="38"/>
      <c r="AC67" s="38"/>
      <c r="AD67" s="38"/>
      <c r="AE67" s="38"/>
      <c r="AF67" s="38"/>
      <c r="AG67" s="38"/>
      <c r="AH67" s="38"/>
      <c r="AI67" s="36"/>
      <c r="AJ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26"/>
      <c r="BD67" s="38"/>
      <c r="BE67" s="26"/>
      <c r="BF67" s="38"/>
      <c r="BG67" s="38"/>
      <c r="BH67" s="36"/>
      <c r="BI67" s="36"/>
    </row>
    <row r="68" spans="1:61" s="37" customFormat="1" ht="15.75" x14ac:dyDescent="0.25">
      <c r="A68" s="36"/>
      <c r="B68" s="36"/>
      <c r="C68" s="36"/>
      <c r="D68" s="36"/>
      <c r="S68" s="1"/>
      <c r="T68" s="38"/>
      <c r="U68" s="38"/>
      <c r="V68" s="38"/>
      <c r="W68" s="38"/>
      <c r="X68" s="38"/>
      <c r="Y68" s="38"/>
      <c r="Z68" s="38"/>
      <c r="AA68" s="36"/>
      <c r="AB68" s="38"/>
      <c r="AC68" s="38"/>
      <c r="AD68" s="38"/>
      <c r="AE68" s="38"/>
      <c r="AF68" s="38"/>
      <c r="AG68" s="38"/>
      <c r="AH68" s="38"/>
      <c r="AI68" s="36"/>
      <c r="AJ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26"/>
      <c r="BD68" s="38"/>
      <c r="BE68" s="26"/>
      <c r="BF68" s="38"/>
      <c r="BG68" s="38"/>
      <c r="BH68" s="36"/>
      <c r="BI68" s="36"/>
    </row>
    <row r="69" spans="1:61" s="37" customFormat="1" ht="15.75" x14ac:dyDescent="0.25">
      <c r="A69" s="36"/>
      <c r="B69" s="36"/>
      <c r="C69" s="36"/>
      <c r="D69" s="36"/>
      <c r="S69" s="1"/>
      <c r="T69" s="38"/>
      <c r="U69" s="38"/>
      <c r="V69" s="38"/>
      <c r="W69" s="38"/>
      <c r="X69" s="38"/>
      <c r="Y69" s="38"/>
      <c r="Z69" s="38"/>
      <c r="AA69" s="36"/>
      <c r="AB69" s="38"/>
      <c r="AC69" s="38"/>
      <c r="AD69" s="38"/>
      <c r="AE69" s="38"/>
      <c r="AF69" s="38"/>
      <c r="AG69" s="38"/>
      <c r="AH69" s="38"/>
      <c r="AI69" s="36"/>
      <c r="AJ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26"/>
      <c r="BD69" s="38"/>
      <c r="BE69" s="26"/>
      <c r="BF69" s="38"/>
      <c r="BG69" s="38"/>
      <c r="BH69" s="36"/>
      <c r="BI69" s="36"/>
    </row>
    <row r="70" spans="1:61" s="37" customFormat="1" ht="15.75" x14ac:dyDescent="0.25">
      <c r="A70" s="36"/>
      <c r="B70" s="36"/>
      <c r="C70" s="36"/>
      <c r="D70" s="36"/>
      <c r="S70" s="1"/>
      <c r="T70" s="38"/>
      <c r="U70" s="38"/>
      <c r="V70" s="38"/>
      <c r="W70" s="38"/>
      <c r="X70" s="38"/>
      <c r="Y70" s="38"/>
      <c r="Z70" s="38"/>
      <c r="AA70" s="36"/>
      <c r="AB70" s="38"/>
      <c r="AC70" s="38"/>
      <c r="AD70" s="38"/>
      <c r="AE70" s="38"/>
      <c r="AF70" s="38"/>
      <c r="AG70" s="38"/>
      <c r="AH70" s="38"/>
      <c r="AI70" s="36"/>
      <c r="AJ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26"/>
      <c r="BD70" s="38"/>
      <c r="BE70" s="26"/>
      <c r="BF70" s="38"/>
      <c r="BG70" s="38"/>
      <c r="BH70" s="36"/>
      <c r="BI70" s="36"/>
    </row>
    <row r="71" spans="1:61" s="37" customFormat="1" ht="15.75" x14ac:dyDescent="0.25">
      <c r="A71" s="36"/>
      <c r="B71" s="36"/>
      <c r="C71" s="36"/>
      <c r="D71" s="36"/>
      <c r="S71" s="1"/>
      <c r="T71" s="38"/>
      <c r="U71" s="38"/>
      <c r="V71" s="38"/>
      <c r="W71" s="38"/>
      <c r="X71" s="38"/>
      <c r="Y71" s="38"/>
      <c r="Z71" s="38"/>
      <c r="AA71" s="36"/>
      <c r="AB71" s="38"/>
      <c r="AC71" s="38"/>
      <c r="AD71" s="38"/>
      <c r="AE71" s="38"/>
      <c r="AF71" s="38"/>
      <c r="AG71" s="38"/>
      <c r="AH71" s="38"/>
      <c r="AI71" s="36"/>
      <c r="AJ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26"/>
      <c r="BD71" s="38"/>
      <c r="BE71" s="26"/>
      <c r="BF71" s="38"/>
      <c r="BG71" s="38"/>
      <c r="BH71" s="36"/>
      <c r="BI71" s="36"/>
    </row>
    <row r="72" spans="1:61" s="37" customFormat="1" ht="15.75" x14ac:dyDescent="0.25">
      <c r="A72" s="36"/>
      <c r="B72" s="36"/>
      <c r="C72" s="36"/>
      <c r="D72" s="36"/>
      <c r="S72" s="1"/>
      <c r="T72" s="38"/>
      <c r="U72" s="38"/>
      <c r="V72" s="38"/>
      <c r="W72" s="38"/>
      <c r="X72" s="38"/>
      <c r="Y72" s="38"/>
      <c r="Z72" s="38"/>
      <c r="AA72" s="36"/>
      <c r="AB72" s="38"/>
      <c r="AC72" s="38"/>
      <c r="AD72" s="38"/>
      <c r="AE72" s="38"/>
      <c r="AF72" s="38"/>
      <c r="AG72" s="38"/>
      <c r="AH72" s="38"/>
      <c r="AI72" s="36"/>
      <c r="AJ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26"/>
      <c r="BD72" s="38"/>
      <c r="BE72" s="26"/>
      <c r="BF72" s="38"/>
      <c r="BG72" s="38"/>
      <c r="BH72" s="36"/>
      <c r="BI72" s="36"/>
    </row>
    <row r="73" spans="1:61" s="37" customFormat="1" ht="15.75" x14ac:dyDescent="0.25">
      <c r="A73" s="36"/>
      <c r="B73" s="36"/>
      <c r="C73" s="36"/>
      <c r="D73" s="36"/>
      <c r="S73" s="1"/>
      <c r="T73" s="38"/>
      <c r="U73" s="38"/>
      <c r="V73" s="38"/>
      <c r="W73" s="38"/>
      <c r="X73" s="38"/>
      <c r="Y73" s="38"/>
      <c r="Z73" s="38"/>
      <c r="AA73" s="36"/>
      <c r="AB73" s="38"/>
      <c r="AC73" s="38"/>
      <c r="AD73" s="38"/>
      <c r="AE73" s="38"/>
      <c r="AF73" s="38"/>
      <c r="AG73" s="38"/>
      <c r="AH73" s="38"/>
      <c r="AI73" s="36"/>
      <c r="AJ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26"/>
      <c r="BD73" s="38"/>
      <c r="BE73" s="26"/>
      <c r="BF73" s="38"/>
      <c r="BG73" s="38"/>
      <c r="BH73" s="36"/>
      <c r="BI73" s="36"/>
    </row>
    <row r="74" spans="1:61" s="37" customFormat="1" ht="15.75" x14ac:dyDescent="0.25">
      <c r="A74" s="36"/>
      <c r="B74" s="36"/>
      <c r="C74" s="36"/>
      <c r="D74" s="36"/>
      <c r="S74" s="1"/>
      <c r="T74" s="38"/>
      <c r="U74" s="38"/>
      <c r="V74" s="38"/>
      <c r="W74" s="38"/>
      <c r="X74" s="38"/>
      <c r="Y74" s="38"/>
      <c r="Z74" s="38"/>
      <c r="AA74" s="36"/>
      <c r="AB74" s="38"/>
      <c r="AC74" s="38"/>
      <c r="AD74" s="38"/>
      <c r="AE74" s="38"/>
      <c r="AF74" s="38"/>
      <c r="AG74" s="38"/>
      <c r="AH74" s="38"/>
      <c r="AI74" s="36"/>
      <c r="AJ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26"/>
      <c r="BD74" s="38"/>
      <c r="BE74" s="26"/>
      <c r="BF74" s="38"/>
      <c r="BG74" s="38"/>
      <c r="BH74" s="36"/>
      <c r="BI74" s="36"/>
    </row>
    <row r="75" spans="1:61" s="37" customFormat="1" ht="15.75" x14ac:dyDescent="0.25">
      <c r="A75" s="36"/>
      <c r="B75" s="36"/>
      <c r="C75" s="36"/>
      <c r="D75" s="36"/>
      <c r="S75" s="1"/>
      <c r="T75" s="38"/>
      <c r="U75" s="38"/>
      <c r="V75" s="38"/>
      <c r="W75" s="38"/>
      <c r="X75" s="38"/>
      <c r="Y75" s="38"/>
      <c r="Z75" s="38"/>
      <c r="AA75" s="36"/>
      <c r="AB75" s="38"/>
      <c r="AC75" s="38"/>
      <c r="AD75" s="38"/>
      <c r="AE75" s="38"/>
      <c r="AF75" s="38"/>
      <c r="AG75" s="38"/>
      <c r="AH75" s="38"/>
      <c r="AI75" s="36"/>
      <c r="AJ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26"/>
      <c r="BD75" s="38"/>
      <c r="BE75" s="26"/>
      <c r="BF75" s="38"/>
      <c r="BG75" s="38"/>
      <c r="BH75" s="36"/>
      <c r="BI75" s="36"/>
    </row>
    <row r="76" spans="1:61" s="37" customFormat="1" ht="15.75" x14ac:dyDescent="0.25">
      <c r="A76" s="36"/>
      <c r="B76" s="36"/>
      <c r="C76" s="36"/>
      <c r="D76" s="36"/>
      <c r="S76" s="1"/>
      <c r="T76" s="38"/>
      <c r="U76" s="38"/>
      <c r="V76" s="38"/>
      <c r="W76" s="38"/>
      <c r="X76" s="38"/>
      <c r="Y76" s="38"/>
      <c r="Z76" s="38"/>
      <c r="AA76" s="36"/>
      <c r="AB76" s="38"/>
      <c r="AC76" s="38"/>
      <c r="AD76" s="38"/>
      <c r="AE76" s="38"/>
      <c r="AF76" s="38"/>
      <c r="AG76" s="38"/>
      <c r="AH76" s="38"/>
      <c r="AI76" s="36"/>
      <c r="AJ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26"/>
      <c r="BD76" s="38"/>
      <c r="BE76" s="26"/>
      <c r="BF76" s="38"/>
      <c r="BG76" s="38"/>
      <c r="BH76" s="36"/>
      <c r="BI76" s="36"/>
    </row>
    <row r="77" spans="1:61" s="37" customFormat="1" ht="15.75" x14ac:dyDescent="0.25">
      <c r="A77" s="36"/>
      <c r="B77" s="36"/>
      <c r="C77" s="36"/>
      <c r="D77" s="36"/>
      <c r="S77" s="1"/>
      <c r="T77" s="38"/>
      <c r="U77" s="38"/>
      <c r="V77" s="38"/>
      <c r="W77" s="38"/>
      <c r="X77" s="38"/>
      <c r="Y77" s="38"/>
      <c r="Z77" s="38"/>
      <c r="AA77" s="36"/>
      <c r="AB77" s="38"/>
      <c r="AC77" s="38"/>
      <c r="AD77" s="38"/>
      <c r="AE77" s="38"/>
      <c r="AF77" s="38"/>
      <c r="AG77" s="38"/>
      <c r="AH77" s="38"/>
      <c r="AI77" s="36"/>
      <c r="AJ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26"/>
      <c r="BD77" s="38"/>
      <c r="BE77" s="26"/>
      <c r="BF77" s="38"/>
      <c r="BG77" s="38"/>
      <c r="BH77" s="36"/>
      <c r="BI77" s="36"/>
    </row>
    <row r="78" spans="1:61" s="37" customFormat="1" ht="15.75" x14ac:dyDescent="0.25">
      <c r="A78" s="36"/>
      <c r="B78" s="36"/>
      <c r="C78" s="36"/>
      <c r="D78" s="36"/>
      <c r="S78" s="1"/>
      <c r="T78" s="38"/>
      <c r="U78" s="38"/>
      <c r="V78" s="38"/>
      <c r="W78" s="38"/>
      <c r="X78" s="38"/>
      <c r="Y78" s="38"/>
      <c r="Z78" s="38"/>
      <c r="AA78" s="36"/>
      <c r="AB78" s="38"/>
      <c r="AC78" s="38"/>
      <c r="AD78" s="38"/>
      <c r="AE78" s="38"/>
      <c r="AF78" s="38"/>
      <c r="AG78" s="38"/>
      <c r="AH78" s="38"/>
      <c r="AI78" s="36"/>
      <c r="AJ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26"/>
      <c r="BD78" s="38"/>
      <c r="BE78" s="26"/>
      <c r="BF78" s="38"/>
      <c r="BG78" s="38"/>
      <c r="BH78" s="36"/>
      <c r="BI78" s="36"/>
    </row>
    <row r="79" spans="1:61" s="37" customFormat="1" ht="15.75" x14ac:dyDescent="0.25">
      <c r="A79" s="36"/>
      <c r="B79" s="36"/>
      <c r="C79" s="36"/>
      <c r="D79" s="36"/>
      <c r="S79" s="1"/>
      <c r="T79" s="38"/>
      <c r="U79" s="38"/>
      <c r="V79" s="38"/>
      <c r="W79" s="38"/>
      <c r="X79" s="38"/>
      <c r="Y79" s="38"/>
      <c r="Z79" s="38"/>
      <c r="AA79" s="36"/>
      <c r="AB79" s="38"/>
      <c r="AC79" s="38"/>
      <c r="AD79" s="38"/>
      <c r="AE79" s="38"/>
      <c r="AF79" s="38"/>
      <c r="AG79" s="38"/>
      <c r="AH79" s="38"/>
      <c r="AI79" s="36"/>
      <c r="AJ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26"/>
      <c r="BD79" s="38"/>
      <c r="BE79" s="26"/>
      <c r="BF79" s="38"/>
      <c r="BG79" s="38"/>
      <c r="BH79" s="36"/>
      <c r="BI79" s="36"/>
    </row>
    <row r="80" spans="1:61" s="37" customFormat="1" ht="15.75" x14ac:dyDescent="0.25">
      <c r="A80" s="36"/>
      <c r="B80" s="36"/>
      <c r="C80" s="36"/>
      <c r="D80" s="36"/>
      <c r="S80" s="1"/>
      <c r="T80" s="38"/>
      <c r="U80" s="38"/>
      <c r="V80" s="38"/>
      <c r="W80" s="38"/>
      <c r="X80" s="38"/>
      <c r="Y80" s="38"/>
      <c r="Z80" s="38"/>
      <c r="AA80" s="36"/>
      <c r="AB80" s="38"/>
      <c r="AC80" s="38"/>
      <c r="AD80" s="38"/>
      <c r="AE80" s="38"/>
      <c r="AF80" s="38"/>
      <c r="AG80" s="38"/>
      <c r="AH80" s="38"/>
      <c r="AI80" s="36"/>
      <c r="AJ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26"/>
      <c r="BD80" s="38"/>
      <c r="BE80" s="26"/>
      <c r="BF80" s="38"/>
      <c r="BG80" s="38"/>
      <c r="BH80" s="36"/>
      <c r="BI80" s="36"/>
    </row>
    <row r="81" spans="1:61" s="37" customFormat="1" ht="15.75" x14ac:dyDescent="0.25">
      <c r="A81" s="36"/>
      <c r="B81" s="36"/>
      <c r="C81" s="36"/>
      <c r="D81" s="36"/>
      <c r="S81" s="1"/>
      <c r="T81" s="38"/>
      <c r="U81" s="38"/>
      <c r="V81" s="38"/>
      <c r="W81" s="38"/>
      <c r="X81" s="38"/>
      <c r="Y81" s="38"/>
      <c r="Z81" s="38"/>
      <c r="AA81" s="36"/>
      <c r="AB81" s="38"/>
      <c r="AC81" s="38"/>
      <c r="AD81" s="38"/>
      <c r="AE81" s="38"/>
      <c r="AF81" s="38"/>
      <c r="AG81" s="38"/>
      <c r="AH81" s="38"/>
      <c r="AI81" s="36"/>
      <c r="AJ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26"/>
      <c r="BD81" s="38"/>
      <c r="BE81" s="26"/>
      <c r="BF81" s="38"/>
      <c r="BG81" s="38"/>
      <c r="BH81" s="36"/>
      <c r="BI81" s="36"/>
    </row>
    <row r="82" spans="1:61" s="37" customFormat="1" ht="15.75" x14ac:dyDescent="0.25">
      <c r="A82" s="36"/>
      <c r="B82" s="36"/>
      <c r="C82" s="36"/>
      <c r="D82" s="36"/>
      <c r="S82" s="1"/>
      <c r="T82" s="38"/>
      <c r="U82" s="38"/>
      <c r="V82" s="38"/>
      <c r="W82" s="38"/>
      <c r="X82" s="38"/>
      <c r="Y82" s="38"/>
      <c r="Z82" s="38"/>
      <c r="AA82" s="36"/>
      <c r="AB82" s="38"/>
      <c r="AC82" s="38"/>
      <c r="AD82" s="38"/>
      <c r="AE82" s="38"/>
      <c r="AF82" s="38"/>
      <c r="AG82" s="38"/>
      <c r="AH82" s="38"/>
      <c r="AI82" s="36"/>
      <c r="AJ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26"/>
      <c r="BD82" s="38"/>
      <c r="BE82" s="26"/>
      <c r="BF82" s="38"/>
      <c r="BG82" s="38"/>
      <c r="BH82" s="36"/>
      <c r="BI82" s="36"/>
    </row>
    <row r="83" spans="1:61" s="37" customFormat="1" ht="15.75" x14ac:dyDescent="0.25">
      <c r="A83" s="36"/>
      <c r="B83" s="36"/>
      <c r="C83" s="36"/>
      <c r="D83" s="36"/>
      <c r="S83" s="1"/>
      <c r="T83" s="38"/>
      <c r="U83" s="38"/>
      <c r="V83" s="38"/>
      <c r="W83" s="38"/>
      <c r="X83" s="38"/>
      <c r="Y83" s="38"/>
      <c r="Z83" s="38"/>
      <c r="AA83" s="36"/>
      <c r="AB83" s="38"/>
      <c r="AC83" s="38"/>
      <c r="AD83" s="38"/>
      <c r="AE83" s="38"/>
      <c r="AF83" s="38"/>
      <c r="AG83" s="38"/>
      <c r="AH83" s="38"/>
      <c r="AI83" s="36"/>
      <c r="AJ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26"/>
      <c r="BD83" s="38"/>
      <c r="BE83" s="26"/>
      <c r="BF83" s="38"/>
      <c r="BG83" s="38"/>
      <c r="BH83" s="36"/>
      <c r="BI83" s="36"/>
    </row>
    <row r="84" spans="1:61" s="37" customFormat="1" ht="15.75" x14ac:dyDescent="0.25">
      <c r="A84" s="36"/>
      <c r="B84" s="36"/>
      <c r="C84" s="36"/>
      <c r="D84" s="36"/>
      <c r="S84" s="1"/>
      <c r="T84" s="38"/>
      <c r="U84" s="38"/>
      <c r="V84" s="38"/>
      <c r="W84" s="38"/>
      <c r="X84" s="38"/>
      <c r="Y84" s="38"/>
      <c r="Z84" s="38"/>
      <c r="AA84" s="36"/>
      <c r="AB84" s="38"/>
      <c r="AC84" s="38"/>
      <c r="AD84" s="38"/>
      <c r="AE84" s="38"/>
      <c r="AF84" s="38"/>
      <c r="AG84" s="38"/>
      <c r="AH84" s="38"/>
      <c r="AI84" s="36"/>
      <c r="AJ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26"/>
      <c r="BD84" s="38"/>
      <c r="BE84" s="26"/>
      <c r="BF84" s="38"/>
      <c r="BG84" s="38"/>
      <c r="BH84" s="36"/>
      <c r="BI84" s="36"/>
    </row>
    <row r="85" spans="1:61" s="37" customFormat="1" ht="15.75" x14ac:dyDescent="0.25">
      <c r="A85" s="36"/>
      <c r="B85" s="36"/>
      <c r="C85" s="36"/>
      <c r="D85" s="36"/>
      <c r="S85" s="1"/>
      <c r="T85" s="38"/>
      <c r="U85" s="38"/>
      <c r="V85" s="38"/>
      <c r="W85" s="38"/>
      <c r="X85" s="38"/>
      <c r="Y85" s="38"/>
      <c r="Z85" s="38"/>
      <c r="AA85" s="36"/>
      <c r="AB85" s="38"/>
      <c r="AC85" s="38"/>
      <c r="AD85" s="38"/>
      <c r="AE85" s="38"/>
      <c r="AF85" s="38"/>
      <c r="AG85" s="38"/>
      <c r="AH85" s="38"/>
      <c r="AI85" s="36"/>
      <c r="AJ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26"/>
      <c r="BD85" s="38"/>
      <c r="BE85" s="26"/>
      <c r="BF85" s="38"/>
      <c r="BG85" s="38"/>
      <c r="BH85" s="36"/>
      <c r="BI85" s="36"/>
    </row>
    <row r="86" spans="1:61" s="37" customFormat="1" ht="15.75" x14ac:dyDescent="0.25">
      <c r="A86" s="36"/>
      <c r="B86" s="36"/>
      <c r="C86" s="36"/>
      <c r="D86" s="36"/>
      <c r="S86" s="1"/>
      <c r="T86" s="38"/>
      <c r="U86" s="38"/>
      <c r="V86" s="38"/>
      <c r="W86" s="38"/>
      <c r="X86" s="38"/>
      <c r="Y86" s="38"/>
      <c r="Z86" s="38"/>
      <c r="AA86" s="36"/>
      <c r="AB86" s="38"/>
      <c r="AC86" s="38"/>
      <c r="AD86" s="38"/>
      <c r="AE86" s="38"/>
      <c r="AF86" s="38"/>
      <c r="AG86" s="38"/>
      <c r="AH86" s="38"/>
      <c r="AI86" s="36"/>
      <c r="AJ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26"/>
      <c r="BD86" s="38"/>
      <c r="BE86" s="26"/>
      <c r="BF86" s="38"/>
      <c r="BG86" s="38"/>
      <c r="BH86" s="36"/>
      <c r="BI86" s="36"/>
    </row>
    <row r="87" spans="1:61" s="37" customFormat="1" ht="15.75" x14ac:dyDescent="0.25">
      <c r="A87" s="36"/>
      <c r="B87" s="36"/>
      <c r="C87" s="36"/>
      <c r="D87" s="36"/>
      <c r="S87" s="1"/>
      <c r="T87" s="38"/>
      <c r="U87" s="38"/>
      <c r="V87" s="38"/>
      <c r="W87" s="38"/>
      <c r="X87" s="38"/>
      <c r="Y87" s="38"/>
      <c r="Z87" s="38"/>
      <c r="AA87" s="36"/>
      <c r="AB87" s="38"/>
      <c r="AC87" s="38"/>
      <c r="AD87" s="38"/>
      <c r="AE87" s="38"/>
      <c r="AF87" s="38"/>
      <c r="AG87" s="38"/>
      <c r="AH87" s="38"/>
      <c r="AI87" s="36"/>
      <c r="AJ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26"/>
      <c r="BD87" s="38"/>
      <c r="BE87" s="26"/>
      <c r="BF87" s="38"/>
      <c r="BG87" s="38"/>
      <c r="BH87" s="36"/>
      <c r="BI87" s="36"/>
    </row>
    <row r="88" spans="1:61" s="37" customFormat="1" ht="15.75" x14ac:dyDescent="0.25">
      <c r="A88" s="36"/>
      <c r="B88" s="36"/>
      <c r="C88" s="36"/>
      <c r="D88" s="36"/>
      <c r="S88" s="1"/>
      <c r="T88" s="38"/>
      <c r="U88" s="38"/>
      <c r="V88" s="38"/>
      <c r="W88" s="38"/>
      <c r="X88" s="38"/>
      <c r="Y88" s="38"/>
      <c r="Z88" s="38"/>
      <c r="AA88" s="36"/>
      <c r="AB88" s="38"/>
      <c r="AC88" s="38"/>
      <c r="AD88" s="38"/>
      <c r="AE88" s="38"/>
      <c r="AF88" s="38"/>
      <c r="AG88" s="38"/>
      <c r="AH88" s="38"/>
      <c r="AI88" s="36"/>
      <c r="AJ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26"/>
      <c r="BD88" s="38"/>
      <c r="BE88" s="26"/>
      <c r="BF88" s="38"/>
      <c r="BG88" s="38"/>
      <c r="BH88" s="36"/>
      <c r="BI88" s="36"/>
    </row>
    <row r="89" spans="1:61" s="37" customFormat="1" ht="15.75" x14ac:dyDescent="0.25">
      <c r="A89" s="36"/>
      <c r="B89" s="36"/>
      <c r="C89" s="36"/>
      <c r="D89" s="36"/>
      <c r="S89" s="1"/>
      <c r="T89" s="38"/>
      <c r="U89" s="38"/>
      <c r="V89" s="38"/>
      <c r="W89" s="38"/>
      <c r="X89" s="38"/>
      <c r="Y89" s="38"/>
      <c r="Z89" s="38"/>
      <c r="AA89" s="36"/>
      <c r="AB89" s="38"/>
      <c r="AC89" s="38"/>
      <c r="AD89" s="38"/>
      <c r="AE89" s="38"/>
      <c r="AF89" s="38"/>
      <c r="AG89" s="38"/>
      <c r="AH89" s="38"/>
      <c r="AI89" s="36"/>
      <c r="AJ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26"/>
      <c r="BD89" s="38"/>
      <c r="BE89" s="26"/>
      <c r="BF89" s="38"/>
      <c r="BG89" s="38"/>
      <c r="BH89" s="36"/>
      <c r="BI89" s="36"/>
    </row>
    <row r="90" spans="1:61" s="37" customFormat="1" ht="15.75" x14ac:dyDescent="0.25">
      <c r="A90" s="36"/>
      <c r="B90" s="36"/>
      <c r="C90" s="36"/>
      <c r="D90" s="36"/>
      <c r="S90" s="1"/>
      <c r="T90" s="38"/>
      <c r="U90" s="38"/>
      <c r="V90" s="38"/>
      <c r="W90" s="38"/>
      <c r="X90" s="38"/>
      <c r="Y90" s="38"/>
      <c r="Z90" s="38"/>
      <c r="AA90" s="36"/>
      <c r="AB90" s="38"/>
      <c r="AC90" s="38"/>
      <c r="AD90" s="38"/>
      <c r="AE90" s="38"/>
      <c r="AF90" s="38"/>
      <c r="AG90" s="38"/>
      <c r="AH90" s="38"/>
      <c r="AI90" s="36"/>
      <c r="AJ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26"/>
      <c r="BD90" s="38"/>
      <c r="BE90" s="26"/>
      <c r="BF90" s="38"/>
      <c r="BG90" s="38"/>
      <c r="BH90" s="36"/>
      <c r="BI90" s="36"/>
    </row>
    <row r="91" spans="1:61" s="37" customFormat="1" ht="15.75" x14ac:dyDescent="0.25">
      <c r="A91" s="36"/>
      <c r="B91" s="36"/>
      <c r="C91" s="36"/>
      <c r="D91" s="36"/>
      <c r="S91" s="1"/>
      <c r="T91" s="38"/>
      <c r="U91" s="38"/>
      <c r="V91" s="38"/>
      <c r="W91" s="38"/>
      <c r="X91" s="38"/>
      <c r="Y91" s="38"/>
      <c r="Z91" s="38"/>
      <c r="AA91" s="36"/>
      <c r="AB91" s="38"/>
      <c r="AC91" s="38"/>
      <c r="AD91" s="38"/>
      <c r="AE91" s="38"/>
      <c r="AF91" s="38"/>
      <c r="AG91" s="38"/>
      <c r="AH91" s="38"/>
      <c r="AI91" s="36"/>
      <c r="AJ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26"/>
      <c r="BD91" s="38"/>
      <c r="BE91" s="26"/>
      <c r="BF91" s="38"/>
      <c r="BG91" s="38"/>
      <c r="BH91" s="36"/>
      <c r="BI91" s="36"/>
    </row>
    <row r="92" spans="1:61" s="37" customFormat="1" ht="15.75" x14ac:dyDescent="0.25">
      <c r="A92" s="36"/>
      <c r="B92" s="36"/>
      <c r="C92" s="36"/>
      <c r="D92" s="36"/>
      <c r="S92" s="1"/>
      <c r="T92" s="38"/>
      <c r="U92" s="38"/>
      <c r="V92" s="38"/>
      <c r="W92" s="38"/>
      <c r="X92" s="38"/>
      <c r="Y92" s="38"/>
      <c r="Z92" s="38"/>
      <c r="AA92" s="36"/>
      <c r="AB92" s="38"/>
      <c r="AC92" s="38"/>
      <c r="AD92" s="38"/>
      <c r="AE92" s="38"/>
      <c r="AF92" s="38"/>
      <c r="AG92" s="38"/>
      <c r="AH92" s="38"/>
      <c r="AI92" s="36"/>
      <c r="AJ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26"/>
      <c r="BD92" s="38"/>
      <c r="BE92" s="26"/>
      <c r="BF92" s="38"/>
      <c r="BG92" s="38"/>
      <c r="BH92" s="36"/>
      <c r="BI92" s="36"/>
    </row>
    <row r="93" spans="1:61" s="37" customFormat="1" ht="15.75" x14ac:dyDescent="0.25">
      <c r="A93" s="36"/>
      <c r="B93" s="36"/>
      <c r="C93" s="36"/>
      <c r="D93" s="36"/>
      <c r="S93" s="1"/>
      <c r="T93" s="38"/>
      <c r="U93" s="38"/>
      <c r="V93" s="38"/>
      <c r="W93" s="38"/>
      <c r="X93" s="38"/>
      <c r="Y93" s="38"/>
      <c r="Z93" s="38"/>
      <c r="AA93" s="36"/>
      <c r="AB93" s="38"/>
      <c r="AC93" s="38"/>
      <c r="AD93" s="38"/>
      <c r="AE93" s="38"/>
      <c r="AF93" s="38"/>
      <c r="AG93" s="38"/>
      <c r="AH93" s="38"/>
      <c r="AI93" s="36"/>
      <c r="AJ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26"/>
      <c r="BD93" s="38"/>
      <c r="BE93" s="26"/>
      <c r="BF93" s="38"/>
      <c r="BG93" s="38"/>
      <c r="BH93" s="36"/>
      <c r="BI93" s="36"/>
    </row>
    <row r="94" spans="1:61" s="37" customFormat="1" ht="15.75" x14ac:dyDescent="0.25">
      <c r="A94" s="36"/>
      <c r="B94" s="36"/>
      <c r="C94" s="36"/>
      <c r="D94" s="36"/>
      <c r="S94" s="1"/>
      <c r="T94" s="38"/>
      <c r="U94" s="38"/>
      <c r="V94" s="38"/>
      <c r="W94" s="38"/>
      <c r="X94" s="38"/>
      <c r="Y94" s="38"/>
      <c r="Z94" s="38"/>
      <c r="AA94" s="36"/>
      <c r="AB94" s="38"/>
      <c r="AC94" s="38"/>
      <c r="AD94" s="38"/>
      <c r="AE94" s="38"/>
      <c r="AF94" s="38"/>
      <c r="AG94" s="38"/>
      <c r="AH94" s="38"/>
      <c r="AI94" s="36"/>
      <c r="AJ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26"/>
      <c r="BD94" s="38"/>
      <c r="BE94" s="26"/>
      <c r="BF94" s="38"/>
      <c r="BG94" s="38"/>
      <c r="BH94" s="36"/>
      <c r="BI94" s="36"/>
    </row>
    <row r="95" spans="1:61" s="37" customFormat="1" ht="15.75" x14ac:dyDescent="0.25">
      <c r="A95" s="36"/>
      <c r="B95" s="36"/>
      <c r="C95" s="36"/>
      <c r="D95" s="36"/>
      <c r="S95" s="1"/>
      <c r="T95" s="38"/>
      <c r="U95" s="38"/>
      <c r="V95" s="38"/>
      <c r="W95" s="38"/>
      <c r="X95" s="38"/>
      <c r="Y95" s="38"/>
      <c r="Z95" s="38"/>
      <c r="AA95" s="36"/>
      <c r="AB95" s="38"/>
      <c r="AC95" s="38"/>
      <c r="AD95" s="38"/>
      <c r="AE95" s="38"/>
      <c r="AF95" s="38"/>
      <c r="AG95" s="38"/>
      <c r="AH95" s="38"/>
      <c r="AI95" s="36"/>
      <c r="AJ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26"/>
      <c r="BD95" s="38"/>
      <c r="BE95" s="26"/>
      <c r="BF95" s="38"/>
      <c r="BG95" s="38"/>
      <c r="BH95" s="36"/>
      <c r="BI95" s="36"/>
    </row>
    <row r="96" spans="1:61" s="37" customFormat="1" ht="15.75" x14ac:dyDescent="0.25">
      <c r="A96" s="36"/>
      <c r="B96" s="36"/>
      <c r="C96" s="36"/>
      <c r="D96" s="36"/>
      <c r="S96" s="1"/>
      <c r="T96" s="38"/>
      <c r="U96" s="38"/>
      <c r="V96" s="38"/>
      <c r="W96" s="38"/>
      <c r="X96" s="38"/>
      <c r="Y96" s="38"/>
      <c r="Z96" s="38"/>
      <c r="AA96" s="36"/>
      <c r="AB96" s="38"/>
      <c r="AC96" s="38"/>
      <c r="AD96" s="38"/>
      <c r="AE96" s="38"/>
      <c r="AF96" s="38"/>
      <c r="AG96" s="38"/>
      <c r="AH96" s="38"/>
      <c r="AI96" s="36"/>
      <c r="AJ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26"/>
      <c r="BD96" s="38"/>
      <c r="BE96" s="26"/>
      <c r="BF96" s="38"/>
      <c r="BG96" s="38"/>
      <c r="BH96" s="36"/>
      <c r="BI96" s="36"/>
    </row>
    <row r="97" spans="1:61" s="37" customFormat="1" ht="15.75" x14ac:dyDescent="0.25">
      <c r="A97" s="36"/>
      <c r="B97" s="36"/>
      <c r="C97" s="36"/>
      <c r="D97" s="36"/>
      <c r="S97" s="1"/>
      <c r="T97" s="38"/>
      <c r="U97" s="38"/>
      <c r="V97" s="38"/>
      <c r="W97" s="38"/>
      <c r="X97" s="38"/>
      <c r="Y97" s="38"/>
      <c r="Z97" s="38"/>
      <c r="AA97" s="36"/>
      <c r="AB97" s="38"/>
      <c r="AC97" s="38"/>
      <c r="AD97" s="38"/>
      <c r="AE97" s="38"/>
      <c r="AF97" s="38"/>
      <c r="AG97" s="38"/>
      <c r="AH97" s="38"/>
      <c r="AI97" s="36"/>
      <c r="AJ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26"/>
      <c r="BD97" s="38"/>
      <c r="BE97" s="26"/>
      <c r="BF97" s="38"/>
      <c r="BG97" s="38"/>
      <c r="BH97" s="36"/>
      <c r="BI97" s="36"/>
    </row>
    <row r="98" spans="1:61" s="37" customFormat="1" ht="15.75" x14ac:dyDescent="0.25">
      <c r="A98" s="36"/>
      <c r="B98" s="36"/>
      <c r="C98" s="36"/>
      <c r="D98" s="36"/>
      <c r="S98" s="1"/>
      <c r="T98" s="38"/>
      <c r="U98" s="38"/>
      <c r="V98" s="38"/>
      <c r="W98" s="38"/>
      <c r="X98" s="38"/>
      <c r="Y98" s="38"/>
      <c r="Z98" s="38"/>
      <c r="AA98" s="36"/>
      <c r="AB98" s="38"/>
      <c r="AC98" s="38"/>
      <c r="AD98" s="38"/>
      <c r="AE98" s="38"/>
      <c r="AF98" s="38"/>
      <c r="AG98" s="38"/>
      <c r="AH98" s="38"/>
      <c r="AI98" s="36"/>
      <c r="AJ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26"/>
      <c r="BD98" s="38"/>
      <c r="BE98" s="26"/>
      <c r="BF98" s="38"/>
      <c r="BG98" s="38"/>
      <c r="BH98" s="36"/>
      <c r="BI98" s="36"/>
    </row>
    <row r="99" spans="1:61" s="37" customFormat="1" ht="15.75" x14ac:dyDescent="0.25">
      <c r="A99" s="36"/>
      <c r="B99" s="36"/>
      <c r="C99" s="36"/>
      <c r="D99" s="36"/>
      <c r="S99" s="1"/>
      <c r="T99" s="38"/>
      <c r="U99" s="38"/>
      <c r="V99" s="38"/>
      <c r="W99" s="38"/>
      <c r="X99" s="38"/>
      <c r="Y99" s="38"/>
      <c r="Z99" s="38"/>
      <c r="AA99" s="36"/>
      <c r="AB99" s="38"/>
      <c r="AC99" s="38"/>
      <c r="AD99" s="38"/>
      <c r="AE99" s="38"/>
      <c r="AF99" s="38"/>
      <c r="AG99" s="38"/>
      <c r="AH99" s="38"/>
      <c r="AI99" s="36"/>
      <c r="AJ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26"/>
      <c r="BD99" s="38"/>
      <c r="BE99" s="26"/>
      <c r="BF99" s="38"/>
      <c r="BG99" s="38"/>
      <c r="BH99" s="36"/>
      <c r="BI99" s="36"/>
    </row>
    <row r="100" spans="1:61" s="37" customFormat="1" ht="15.75" x14ac:dyDescent="0.25">
      <c r="A100" s="36"/>
      <c r="B100" s="36"/>
      <c r="C100" s="36"/>
      <c r="D100" s="36"/>
      <c r="S100" s="1"/>
      <c r="T100" s="38"/>
      <c r="U100" s="38"/>
      <c r="V100" s="38"/>
      <c r="W100" s="38"/>
      <c r="X100" s="38"/>
      <c r="Y100" s="38"/>
      <c r="Z100" s="38"/>
      <c r="AA100" s="36"/>
      <c r="AB100" s="38"/>
      <c r="AC100" s="38"/>
      <c r="AD100" s="38"/>
      <c r="AE100" s="38"/>
      <c r="AF100" s="38"/>
      <c r="AG100" s="38"/>
      <c r="AH100" s="38"/>
      <c r="AI100" s="36"/>
      <c r="AJ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26"/>
      <c r="BD100" s="38"/>
      <c r="BE100" s="26"/>
      <c r="BF100" s="38"/>
      <c r="BG100" s="38"/>
      <c r="BH100" s="36"/>
      <c r="BI100" s="36"/>
    </row>
    <row r="101" spans="1:61" s="37" customFormat="1" ht="15.75" x14ac:dyDescent="0.25">
      <c r="A101" s="36"/>
      <c r="B101" s="36"/>
      <c r="C101" s="36"/>
      <c r="D101" s="36"/>
      <c r="S101" s="1"/>
      <c r="T101" s="38"/>
      <c r="U101" s="38"/>
      <c r="V101" s="38"/>
      <c r="W101" s="38"/>
      <c r="X101" s="38"/>
      <c r="Y101" s="38"/>
      <c r="Z101" s="38"/>
      <c r="AA101" s="36"/>
      <c r="AB101" s="38"/>
      <c r="AC101" s="38"/>
      <c r="AD101" s="38"/>
      <c r="AE101" s="38"/>
      <c r="AF101" s="38"/>
      <c r="AG101" s="38"/>
      <c r="AH101" s="38"/>
      <c r="AI101" s="36"/>
      <c r="AJ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26"/>
      <c r="BD101" s="38"/>
      <c r="BE101" s="26"/>
      <c r="BF101" s="38"/>
      <c r="BG101" s="38"/>
      <c r="BH101" s="36"/>
      <c r="BI101" s="36"/>
    </row>
    <row r="102" spans="1:61" s="37" customFormat="1" ht="15.75" x14ac:dyDescent="0.25">
      <c r="A102" s="36"/>
      <c r="B102" s="36"/>
      <c r="C102" s="36"/>
      <c r="D102" s="36"/>
      <c r="S102" s="1"/>
      <c r="T102" s="38"/>
      <c r="U102" s="38"/>
      <c r="V102" s="38"/>
      <c r="W102" s="38"/>
      <c r="X102" s="38"/>
      <c r="Y102" s="38"/>
      <c r="Z102" s="38"/>
      <c r="AA102" s="36"/>
      <c r="AB102" s="38"/>
      <c r="AC102" s="38"/>
      <c r="AD102" s="38"/>
      <c r="AE102" s="38"/>
      <c r="AF102" s="38"/>
      <c r="AG102" s="38"/>
      <c r="AH102" s="38"/>
      <c r="AI102" s="36"/>
      <c r="AJ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26"/>
      <c r="BD102" s="38"/>
      <c r="BE102" s="26"/>
      <c r="BF102" s="38"/>
      <c r="BG102" s="38"/>
      <c r="BH102" s="36"/>
      <c r="BI102" s="36"/>
    </row>
    <row r="103" spans="1:61" s="37" customFormat="1" ht="15.75" x14ac:dyDescent="0.25">
      <c r="A103" s="36"/>
      <c r="B103" s="36"/>
      <c r="C103" s="36"/>
      <c r="D103" s="36"/>
      <c r="S103" s="1"/>
      <c r="T103" s="38"/>
      <c r="U103" s="38"/>
      <c r="V103" s="38"/>
      <c r="W103" s="38"/>
      <c r="X103" s="38"/>
      <c r="Y103" s="38"/>
      <c r="Z103" s="38"/>
      <c r="AA103" s="36"/>
      <c r="AB103" s="38"/>
      <c r="AC103" s="38"/>
      <c r="AD103" s="38"/>
      <c r="AE103" s="38"/>
      <c r="AF103" s="38"/>
      <c r="AG103" s="38"/>
      <c r="AH103" s="38"/>
      <c r="AI103" s="36"/>
      <c r="AJ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26"/>
      <c r="BD103" s="38"/>
      <c r="BE103" s="26"/>
      <c r="BF103" s="38"/>
      <c r="BG103" s="38"/>
      <c r="BH103" s="36"/>
      <c r="BI103" s="36"/>
    </row>
    <row r="104" spans="1:61" s="37" customFormat="1" ht="15.75" x14ac:dyDescent="0.25">
      <c r="A104" s="36"/>
      <c r="B104" s="36"/>
      <c r="C104" s="36"/>
      <c r="D104" s="36"/>
      <c r="S104" s="1"/>
      <c r="T104" s="38"/>
      <c r="U104" s="38"/>
      <c r="V104" s="38"/>
      <c r="W104" s="38"/>
      <c r="X104" s="38"/>
      <c r="Y104" s="38"/>
      <c r="Z104" s="38"/>
      <c r="AA104" s="36"/>
      <c r="AB104" s="38"/>
      <c r="AC104" s="38"/>
      <c r="AD104" s="38"/>
      <c r="AE104" s="38"/>
      <c r="AF104" s="38"/>
      <c r="AG104" s="38"/>
      <c r="AH104" s="38"/>
      <c r="AI104" s="36"/>
      <c r="AJ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26"/>
      <c r="BD104" s="38"/>
      <c r="BE104" s="26"/>
      <c r="BF104" s="38"/>
      <c r="BG104" s="38"/>
      <c r="BH104" s="36"/>
      <c r="BI104" s="36"/>
    </row>
    <row r="105" spans="1:61" s="37" customFormat="1" ht="15.75" x14ac:dyDescent="0.25">
      <c r="A105" s="36"/>
      <c r="B105" s="36"/>
      <c r="C105" s="36"/>
      <c r="D105" s="36"/>
      <c r="S105" s="1"/>
      <c r="T105" s="38"/>
      <c r="U105" s="38"/>
      <c r="V105" s="38"/>
      <c r="W105" s="38"/>
      <c r="X105" s="38"/>
      <c r="Y105" s="38"/>
      <c r="Z105" s="38"/>
      <c r="AA105" s="36"/>
      <c r="AB105" s="38"/>
      <c r="AC105" s="38"/>
      <c r="AD105" s="38"/>
      <c r="AE105" s="38"/>
      <c r="AF105" s="38"/>
      <c r="AG105" s="38"/>
      <c r="AH105" s="38"/>
      <c r="AI105" s="36"/>
      <c r="AJ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26"/>
      <c r="BD105" s="38"/>
      <c r="BE105" s="26"/>
      <c r="BF105" s="38"/>
      <c r="BG105" s="38"/>
      <c r="BH105" s="36"/>
      <c r="BI105" s="36"/>
    </row>
    <row r="106" spans="1:61" s="37" customFormat="1" ht="15.75" x14ac:dyDescent="0.25">
      <c r="A106" s="36"/>
      <c r="B106" s="36"/>
      <c r="C106" s="36"/>
      <c r="D106" s="36"/>
      <c r="S106" s="1"/>
      <c r="T106" s="38"/>
      <c r="U106" s="38"/>
      <c r="V106" s="38"/>
      <c r="W106" s="38"/>
      <c r="X106" s="38"/>
      <c r="Y106" s="38"/>
      <c r="Z106" s="38"/>
      <c r="AA106" s="36"/>
      <c r="AB106" s="38"/>
      <c r="AC106" s="38"/>
      <c r="AD106" s="38"/>
      <c r="AE106" s="38"/>
      <c r="AF106" s="38"/>
      <c r="AG106" s="38"/>
      <c r="AH106" s="38"/>
      <c r="AI106" s="36"/>
      <c r="AJ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26"/>
      <c r="BD106" s="38"/>
      <c r="BE106" s="26"/>
      <c r="BF106" s="38"/>
      <c r="BG106" s="38"/>
      <c r="BH106" s="36"/>
      <c r="BI106" s="36"/>
    </row>
    <row r="107" spans="1:61" s="37" customFormat="1" ht="15.75" x14ac:dyDescent="0.25">
      <c r="A107" s="36"/>
      <c r="B107" s="36"/>
      <c r="C107" s="36"/>
      <c r="D107" s="36"/>
      <c r="S107" s="1"/>
      <c r="T107" s="38"/>
      <c r="U107" s="38"/>
      <c r="V107" s="38"/>
      <c r="W107" s="38"/>
      <c r="X107" s="38"/>
      <c r="Y107" s="38"/>
      <c r="Z107" s="38"/>
      <c r="AA107" s="36"/>
      <c r="AB107" s="38"/>
      <c r="AC107" s="38"/>
      <c r="AD107" s="38"/>
      <c r="AE107" s="38"/>
      <c r="AF107" s="38"/>
      <c r="AG107" s="38"/>
      <c r="AH107" s="38"/>
      <c r="AI107" s="36"/>
      <c r="AJ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26"/>
      <c r="BD107" s="38"/>
      <c r="BE107" s="26"/>
      <c r="BF107" s="38"/>
      <c r="BG107" s="38"/>
      <c r="BH107" s="36"/>
      <c r="BI107" s="36"/>
    </row>
    <row r="108" spans="1:61" s="37" customFormat="1" ht="15.75" x14ac:dyDescent="0.25">
      <c r="A108" s="36"/>
      <c r="B108" s="36"/>
      <c r="C108" s="36"/>
      <c r="D108" s="36"/>
      <c r="S108" s="1"/>
      <c r="T108" s="38"/>
      <c r="U108" s="38"/>
      <c r="V108" s="38"/>
      <c r="W108" s="38"/>
      <c r="X108" s="38"/>
      <c r="Y108" s="38"/>
      <c r="Z108" s="38"/>
      <c r="AA108" s="36"/>
      <c r="AB108" s="38"/>
      <c r="AC108" s="38"/>
      <c r="AD108" s="38"/>
      <c r="AE108" s="38"/>
      <c r="AF108" s="38"/>
      <c r="AG108" s="38"/>
      <c r="AH108" s="38"/>
      <c r="AI108" s="36"/>
      <c r="AJ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26"/>
      <c r="BD108" s="38"/>
      <c r="BE108" s="26"/>
      <c r="BF108" s="38"/>
      <c r="BG108" s="38"/>
      <c r="BH108" s="36"/>
      <c r="BI108" s="36"/>
    </row>
    <row r="109" spans="1:61" s="37" customFormat="1" ht="15.75" x14ac:dyDescent="0.25">
      <c r="A109" s="36"/>
      <c r="B109" s="36"/>
      <c r="C109" s="36"/>
      <c r="D109" s="36"/>
      <c r="S109" s="1"/>
      <c r="T109" s="38"/>
      <c r="U109" s="38"/>
      <c r="V109" s="38"/>
      <c r="W109" s="38"/>
      <c r="X109" s="38"/>
      <c r="Y109" s="38"/>
      <c r="Z109" s="38"/>
      <c r="AA109" s="36"/>
      <c r="AB109" s="38"/>
      <c r="AC109" s="38"/>
      <c r="AD109" s="38"/>
      <c r="AE109" s="38"/>
      <c r="AF109" s="38"/>
      <c r="AG109" s="38"/>
      <c r="AH109" s="38"/>
      <c r="AI109" s="36"/>
      <c r="AJ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26"/>
      <c r="BD109" s="38"/>
      <c r="BE109" s="26"/>
      <c r="BF109" s="38"/>
      <c r="BG109" s="38"/>
      <c r="BH109" s="36"/>
      <c r="BI109" s="36"/>
    </row>
    <row r="110" spans="1:61" s="37" customFormat="1" ht="15.75" x14ac:dyDescent="0.25">
      <c r="A110" s="36"/>
      <c r="B110" s="36"/>
      <c r="C110" s="36"/>
      <c r="D110" s="36"/>
      <c r="S110" s="1"/>
      <c r="T110" s="38"/>
      <c r="U110" s="38"/>
      <c r="V110" s="38"/>
      <c r="W110" s="38"/>
      <c r="X110" s="38"/>
      <c r="Y110" s="38"/>
      <c r="Z110" s="38"/>
      <c r="AA110" s="36"/>
      <c r="AB110" s="38"/>
      <c r="AC110" s="38"/>
      <c r="AD110" s="38"/>
      <c r="AE110" s="38"/>
      <c r="AF110" s="38"/>
      <c r="AG110" s="38"/>
      <c r="AH110" s="38"/>
      <c r="AI110" s="36"/>
      <c r="AJ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26"/>
      <c r="BD110" s="38"/>
      <c r="BE110" s="26"/>
      <c r="BF110" s="38"/>
      <c r="BG110" s="38"/>
      <c r="BH110" s="36"/>
      <c r="BI110" s="36"/>
    </row>
    <row r="111" spans="1:61" s="37" customFormat="1" ht="15.75" x14ac:dyDescent="0.25">
      <c r="A111" s="36"/>
      <c r="B111" s="36"/>
      <c r="C111" s="36"/>
      <c r="D111" s="36"/>
      <c r="S111" s="1"/>
      <c r="T111" s="38"/>
      <c r="U111" s="38"/>
      <c r="V111" s="38"/>
      <c r="W111" s="38"/>
      <c r="X111" s="38"/>
      <c r="Y111" s="38"/>
      <c r="Z111" s="38"/>
      <c r="AA111" s="36"/>
      <c r="AB111" s="38"/>
      <c r="AC111" s="38"/>
      <c r="AD111" s="38"/>
      <c r="AE111" s="38"/>
      <c r="AF111" s="38"/>
      <c r="AG111" s="38"/>
      <c r="AH111" s="38"/>
      <c r="AI111" s="36"/>
      <c r="AJ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26"/>
      <c r="BD111" s="38"/>
      <c r="BE111" s="26"/>
      <c r="BF111" s="38"/>
      <c r="BG111" s="38"/>
      <c r="BH111" s="36"/>
      <c r="BI111" s="36"/>
    </row>
    <row r="112" spans="1:61" s="37" customFormat="1" ht="15.75" x14ac:dyDescent="0.25">
      <c r="A112" s="36"/>
      <c r="B112" s="36"/>
      <c r="C112" s="36"/>
      <c r="D112" s="36"/>
      <c r="S112" s="1"/>
      <c r="T112" s="38"/>
      <c r="U112" s="38"/>
      <c r="V112" s="38"/>
      <c r="W112" s="38"/>
      <c r="X112" s="38"/>
      <c r="Y112" s="38"/>
      <c r="Z112" s="38"/>
      <c r="AA112" s="36"/>
      <c r="AB112" s="38"/>
      <c r="AC112" s="38"/>
      <c r="AD112" s="38"/>
      <c r="AE112" s="38"/>
      <c r="AF112" s="38"/>
      <c r="AG112" s="38"/>
      <c r="AH112" s="38"/>
      <c r="AI112" s="36"/>
      <c r="AJ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26"/>
      <c r="BD112" s="38"/>
      <c r="BE112" s="26"/>
      <c r="BF112" s="38"/>
      <c r="BG112" s="38"/>
      <c r="BH112" s="36"/>
      <c r="BI112" s="36"/>
    </row>
    <row r="113" spans="1:61" s="37" customFormat="1" ht="15.75" x14ac:dyDescent="0.25">
      <c r="A113" s="36"/>
      <c r="B113" s="36"/>
      <c r="C113" s="36"/>
      <c r="D113" s="36"/>
      <c r="S113" s="1"/>
      <c r="T113" s="38"/>
      <c r="U113" s="38"/>
      <c r="V113" s="38"/>
      <c r="W113" s="38"/>
      <c r="X113" s="38"/>
      <c r="Y113" s="38"/>
      <c r="Z113" s="38"/>
      <c r="AA113" s="36"/>
      <c r="AB113" s="38"/>
      <c r="AC113" s="38"/>
      <c r="AD113" s="38"/>
      <c r="AE113" s="38"/>
      <c r="AF113" s="38"/>
      <c r="AG113" s="38"/>
      <c r="AH113" s="38"/>
      <c r="AI113" s="36"/>
      <c r="AJ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26"/>
      <c r="BD113" s="38"/>
      <c r="BE113" s="26"/>
      <c r="BF113" s="38"/>
      <c r="BG113" s="38"/>
      <c r="BH113" s="36"/>
      <c r="BI113" s="36"/>
    </row>
    <row r="114" spans="1:61" s="37" customFormat="1" ht="15.75" x14ac:dyDescent="0.25">
      <c r="A114" s="36"/>
      <c r="B114" s="36"/>
      <c r="C114" s="36"/>
      <c r="D114" s="36"/>
      <c r="S114" s="1"/>
      <c r="T114" s="38"/>
      <c r="U114" s="38"/>
      <c r="V114" s="38"/>
      <c r="W114" s="38"/>
      <c r="X114" s="38"/>
      <c r="Y114" s="38"/>
      <c r="Z114" s="38"/>
      <c r="AA114" s="36"/>
      <c r="AB114" s="38"/>
      <c r="AC114" s="38"/>
      <c r="AD114" s="38"/>
      <c r="AE114" s="38"/>
      <c r="AF114" s="38"/>
      <c r="AG114" s="38"/>
      <c r="AH114" s="38"/>
      <c r="AI114" s="36"/>
      <c r="AJ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26"/>
      <c r="BD114" s="38"/>
      <c r="BE114" s="26"/>
      <c r="BF114" s="38"/>
      <c r="BG114" s="38"/>
      <c r="BH114" s="36"/>
      <c r="BI114" s="36"/>
    </row>
    <row r="115" spans="1:61" s="37" customFormat="1" ht="15.75" x14ac:dyDescent="0.25">
      <c r="A115" s="36"/>
      <c r="B115" s="36"/>
      <c r="C115" s="36"/>
      <c r="D115" s="36"/>
      <c r="S115" s="1"/>
      <c r="T115" s="38"/>
      <c r="U115" s="38"/>
      <c r="V115" s="38"/>
      <c r="W115" s="38"/>
      <c r="X115" s="38"/>
      <c r="Y115" s="38"/>
      <c r="Z115" s="38"/>
      <c r="AA115" s="36"/>
      <c r="AB115" s="38"/>
      <c r="AC115" s="38"/>
      <c r="AD115" s="38"/>
      <c r="AE115" s="38"/>
      <c r="AF115" s="38"/>
      <c r="AG115" s="38"/>
      <c r="AH115" s="38"/>
      <c r="AI115" s="36"/>
      <c r="AJ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26"/>
      <c r="BD115" s="38"/>
      <c r="BE115" s="26"/>
      <c r="BF115" s="38"/>
      <c r="BG115" s="38"/>
      <c r="BH115" s="36"/>
      <c r="BI115" s="36"/>
    </row>
    <row r="116" spans="1:61" s="37" customFormat="1" ht="15.75" x14ac:dyDescent="0.25">
      <c r="A116" s="36"/>
      <c r="B116" s="36"/>
      <c r="C116" s="36"/>
      <c r="D116" s="36"/>
      <c r="S116" s="1"/>
      <c r="T116" s="38"/>
      <c r="U116" s="38"/>
      <c r="V116" s="38"/>
      <c r="W116" s="38"/>
      <c r="X116" s="38"/>
      <c r="Y116" s="38"/>
      <c r="Z116" s="38"/>
      <c r="AA116" s="36"/>
      <c r="AB116" s="38"/>
      <c r="AC116" s="38"/>
      <c r="AD116" s="38"/>
      <c r="AE116" s="38"/>
      <c r="AF116" s="38"/>
      <c r="AG116" s="38"/>
      <c r="AH116" s="38"/>
      <c r="AI116" s="36"/>
      <c r="AJ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26"/>
      <c r="BD116" s="38"/>
      <c r="BE116" s="26"/>
      <c r="BF116" s="38"/>
      <c r="BG116" s="38"/>
      <c r="BH116" s="36"/>
      <c r="BI116" s="36"/>
    </row>
    <row r="117" spans="1:61" s="37" customFormat="1" ht="15.75" x14ac:dyDescent="0.25">
      <c r="A117" s="36"/>
      <c r="B117" s="36"/>
      <c r="C117" s="36"/>
      <c r="D117" s="36"/>
      <c r="S117" s="1"/>
      <c r="T117" s="38"/>
      <c r="U117" s="38"/>
      <c r="V117" s="38"/>
      <c r="W117" s="38"/>
      <c r="X117" s="38"/>
      <c r="Y117" s="38"/>
      <c r="Z117" s="38"/>
      <c r="AA117" s="36"/>
      <c r="AB117" s="38"/>
      <c r="AC117" s="38"/>
      <c r="AD117" s="38"/>
      <c r="AE117" s="38"/>
      <c r="AF117" s="38"/>
      <c r="AG117" s="38"/>
      <c r="AH117" s="38"/>
      <c r="AI117" s="36"/>
      <c r="AJ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26"/>
      <c r="BD117" s="38"/>
      <c r="BE117" s="26"/>
      <c r="BF117" s="38"/>
      <c r="BG117" s="38"/>
      <c r="BH117" s="36"/>
      <c r="BI117" s="36"/>
    </row>
    <row r="118" spans="1:61" s="37" customFormat="1" ht="15.75" x14ac:dyDescent="0.25">
      <c r="A118" s="36"/>
      <c r="B118" s="36"/>
      <c r="C118" s="36"/>
      <c r="D118" s="36"/>
      <c r="S118" s="1"/>
      <c r="T118" s="38"/>
      <c r="U118" s="38"/>
      <c r="V118" s="38"/>
      <c r="W118" s="38"/>
      <c r="X118" s="38"/>
      <c r="Y118" s="38"/>
      <c r="Z118" s="38"/>
      <c r="AA118" s="36"/>
      <c r="AB118" s="38"/>
      <c r="AC118" s="38"/>
      <c r="AD118" s="38"/>
      <c r="AE118" s="38"/>
      <c r="AF118" s="38"/>
      <c r="AG118" s="38"/>
      <c r="AH118" s="38"/>
      <c r="AI118" s="36"/>
      <c r="AJ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26"/>
      <c r="BD118" s="38"/>
      <c r="BE118" s="26"/>
      <c r="BF118" s="38"/>
      <c r="BG118" s="38"/>
      <c r="BH118" s="36"/>
      <c r="BI118" s="36"/>
    </row>
    <row r="119" spans="1:61" s="37" customFormat="1" ht="15.75" x14ac:dyDescent="0.25">
      <c r="A119" s="36"/>
      <c r="B119" s="36"/>
      <c r="C119" s="36"/>
      <c r="D119" s="36"/>
      <c r="S119" s="1"/>
      <c r="T119" s="38"/>
      <c r="U119" s="38"/>
      <c r="V119" s="38"/>
      <c r="W119" s="38"/>
      <c r="X119" s="38"/>
      <c r="Y119" s="38"/>
      <c r="Z119" s="38"/>
      <c r="AA119" s="36"/>
      <c r="AB119" s="38"/>
      <c r="AC119" s="38"/>
      <c r="AD119" s="38"/>
      <c r="AE119" s="38"/>
      <c r="AF119" s="38"/>
      <c r="AG119" s="38"/>
      <c r="AH119" s="38"/>
      <c r="AI119" s="36"/>
      <c r="AJ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26"/>
      <c r="BD119" s="38"/>
      <c r="BE119" s="26"/>
      <c r="BF119" s="38"/>
      <c r="BG119" s="38"/>
      <c r="BH119" s="36"/>
      <c r="BI119" s="36"/>
    </row>
    <row r="120" spans="1:61" s="37" customFormat="1" ht="15.75" x14ac:dyDescent="0.25">
      <c r="A120" s="36"/>
      <c r="B120" s="36"/>
      <c r="C120" s="36"/>
      <c r="D120" s="36"/>
      <c r="S120" s="1"/>
      <c r="T120" s="38"/>
      <c r="U120" s="38"/>
      <c r="V120" s="38"/>
      <c r="W120" s="38"/>
      <c r="X120" s="38"/>
      <c r="Y120" s="38"/>
      <c r="Z120" s="38"/>
      <c r="AA120" s="36"/>
      <c r="AB120" s="38"/>
      <c r="AC120" s="38"/>
      <c r="AD120" s="38"/>
      <c r="AE120" s="38"/>
      <c r="AF120" s="38"/>
      <c r="AG120" s="38"/>
      <c r="AH120" s="38"/>
      <c r="AI120" s="36"/>
      <c r="AJ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26"/>
      <c r="BD120" s="38"/>
      <c r="BE120" s="26"/>
      <c r="BF120" s="38"/>
      <c r="BG120" s="38"/>
      <c r="BH120" s="36"/>
      <c r="BI120" s="36"/>
    </row>
    <row r="121" spans="1:61" s="37" customFormat="1" ht="15.75" x14ac:dyDescent="0.25">
      <c r="A121" s="36"/>
      <c r="B121" s="36"/>
      <c r="C121" s="36"/>
      <c r="D121" s="36"/>
      <c r="S121" s="1"/>
      <c r="T121" s="38"/>
      <c r="U121" s="38"/>
      <c r="V121" s="38"/>
      <c r="W121" s="38"/>
      <c r="X121" s="38"/>
      <c r="Y121" s="38"/>
      <c r="Z121" s="38"/>
      <c r="AA121" s="36"/>
      <c r="AB121" s="38"/>
      <c r="AC121" s="38"/>
      <c r="AD121" s="38"/>
      <c r="AE121" s="38"/>
      <c r="AF121" s="38"/>
      <c r="AG121" s="38"/>
      <c r="AH121" s="38"/>
      <c r="AI121" s="36"/>
      <c r="AJ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26"/>
      <c r="BD121" s="38"/>
      <c r="BE121" s="26"/>
      <c r="BF121" s="38"/>
      <c r="BG121" s="38"/>
      <c r="BH121" s="36"/>
      <c r="BI121" s="36"/>
    </row>
    <row r="122" spans="1:61" s="37" customFormat="1" ht="15.75" x14ac:dyDescent="0.25">
      <c r="A122" s="36"/>
      <c r="B122" s="36"/>
      <c r="C122" s="36"/>
      <c r="D122" s="36"/>
      <c r="S122" s="1"/>
      <c r="T122" s="38"/>
      <c r="U122" s="38"/>
      <c r="V122" s="38"/>
      <c r="W122" s="38"/>
      <c r="X122" s="38"/>
      <c r="Y122" s="38"/>
      <c r="Z122" s="38"/>
      <c r="AA122" s="36"/>
      <c r="AB122" s="38"/>
      <c r="AC122" s="38"/>
      <c r="AD122" s="38"/>
      <c r="AE122" s="38"/>
      <c r="AF122" s="38"/>
      <c r="AG122" s="38"/>
      <c r="AH122" s="38"/>
      <c r="AI122" s="36"/>
      <c r="AJ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26"/>
      <c r="BD122" s="38"/>
      <c r="BE122" s="26"/>
      <c r="BF122" s="38"/>
      <c r="BG122" s="38"/>
      <c r="BH122" s="36"/>
      <c r="BI122" s="36"/>
    </row>
    <row r="123" spans="1:61" s="37" customFormat="1" ht="15.75" x14ac:dyDescent="0.25">
      <c r="A123" s="36"/>
      <c r="B123" s="36"/>
      <c r="C123" s="36"/>
      <c r="D123" s="36"/>
      <c r="S123" s="1"/>
      <c r="T123" s="38"/>
      <c r="U123" s="38"/>
      <c r="V123" s="38"/>
      <c r="W123" s="38"/>
      <c r="X123" s="38"/>
      <c r="Y123" s="38"/>
      <c r="Z123" s="38"/>
      <c r="AA123" s="36"/>
      <c r="AB123" s="38"/>
      <c r="AC123" s="38"/>
      <c r="AD123" s="38"/>
      <c r="AE123" s="38"/>
      <c r="AF123" s="38"/>
      <c r="AG123" s="38"/>
      <c r="AH123" s="38"/>
      <c r="AI123" s="36"/>
      <c r="AJ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26"/>
      <c r="BD123" s="38"/>
      <c r="BE123" s="26"/>
      <c r="BF123" s="38"/>
      <c r="BG123" s="38"/>
      <c r="BH123" s="36"/>
      <c r="BI123" s="36"/>
    </row>
    <row r="124" spans="1:61" s="37" customFormat="1" ht="15.75" x14ac:dyDescent="0.25">
      <c r="A124" s="36"/>
      <c r="B124" s="36"/>
      <c r="C124" s="36"/>
      <c r="D124" s="36"/>
      <c r="S124" s="1"/>
      <c r="T124" s="38"/>
      <c r="U124" s="38"/>
      <c r="V124" s="38"/>
      <c r="W124" s="38"/>
      <c r="X124" s="38"/>
      <c r="Y124" s="38"/>
      <c r="Z124" s="38"/>
      <c r="AA124" s="36"/>
      <c r="AB124" s="38"/>
      <c r="AC124" s="38"/>
      <c r="AD124" s="38"/>
      <c r="AE124" s="38"/>
      <c r="AF124" s="38"/>
      <c r="AG124" s="38"/>
      <c r="AH124" s="38"/>
      <c r="AI124" s="36"/>
      <c r="AJ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26"/>
      <c r="BD124" s="38"/>
      <c r="BE124" s="26"/>
      <c r="BF124" s="38"/>
      <c r="BG124" s="38"/>
      <c r="BH124" s="36"/>
      <c r="BI124" s="36"/>
    </row>
    <row r="125" spans="1:61" s="37" customFormat="1" ht="15.75" x14ac:dyDescent="0.25">
      <c r="A125" s="36"/>
      <c r="B125" s="36"/>
      <c r="C125" s="36"/>
      <c r="D125" s="36"/>
      <c r="S125" s="1"/>
      <c r="T125" s="38"/>
      <c r="U125" s="38"/>
      <c r="V125" s="38"/>
      <c r="W125" s="38"/>
      <c r="X125" s="38"/>
      <c r="Y125" s="38"/>
      <c r="Z125" s="38"/>
      <c r="AA125" s="36"/>
      <c r="AB125" s="38"/>
      <c r="AC125" s="38"/>
      <c r="AD125" s="38"/>
      <c r="AE125" s="38"/>
      <c r="AF125" s="38"/>
      <c r="AG125" s="38"/>
      <c r="AH125" s="38"/>
      <c r="AI125" s="36"/>
      <c r="AJ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26"/>
      <c r="BD125" s="38"/>
      <c r="BE125" s="26"/>
      <c r="BF125" s="38"/>
      <c r="BG125" s="38"/>
      <c r="BH125" s="36"/>
      <c r="BI125" s="36"/>
    </row>
    <row r="126" spans="1:61" s="37" customFormat="1" ht="15.75" x14ac:dyDescent="0.25">
      <c r="A126" s="36"/>
      <c r="B126" s="36"/>
      <c r="C126" s="36"/>
      <c r="D126" s="36"/>
      <c r="S126" s="1"/>
      <c r="T126" s="38"/>
      <c r="U126" s="38"/>
      <c r="V126" s="38"/>
      <c r="W126" s="38"/>
      <c r="X126" s="38"/>
      <c r="Y126" s="38"/>
      <c r="Z126" s="38"/>
      <c r="AA126" s="36"/>
      <c r="AB126" s="38"/>
      <c r="AC126" s="38"/>
      <c r="AD126" s="38"/>
      <c r="AE126" s="38"/>
      <c r="AF126" s="38"/>
      <c r="AG126" s="38"/>
      <c r="AH126" s="38"/>
      <c r="AI126" s="36"/>
      <c r="AJ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26"/>
      <c r="BD126" s="38"/>
      <c r="BE126" s="26"/>
      <c r="BF126" s="38"/>
      <c r="BG126" s="38"/>
      <c r="BH126" s="36"/>
      <c r="BI126" s="36"/>
    </row>
    <row r="127" spans="1:61" s="37" customFormat="1" ht="15.75" x14ac:dyDescent="0.25">
      <c r="A127" s="36"/>
      <c r="B127" s="36"/>
      <c r="C127" s="36"/>
      <c r="D127" s="36"/>
      <c r="S127" s="1"/>
      <c r="T127" s="38"/>
      <c r="U127" s="38"/>
      <c r="V127" s="38"/>
      <c r="W127" s="38"/>
      <c r="X127" s="38"/>
      <c r="Y127" s="38"/>
      <c r="Z127" s="38"/>
      <c r="AA127" s="36"/>
      <c r="AB127" s="38"/>
      <c r="AC127" s="38"/>
      <c r="AD127" s="38"/>
      <c r="AE127" s="38"/>
      <c r="AF127" s="38"/>
      <c r="AG127" s="38"/>
      <c r="AH127" s="38"/>
      <c r="AI127" s="36"/>
      <c r="AJ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26"/>
      <c r="BD127" s="38"/>
      <c r="BE127" s="26"/>
      <c r="BF127" s="38"/>
      <c r="BG127" s="38"/>
      <c r="BH127" s="36"/>
      <c r="BI127" s="36"/>
    </row>
    <row r="128" spans="1:61" s="37" customFormat="1" ht="15.75" x14ac:dyDescent="0.25">
      <c r="A128" s="36"/>
      <c r="B128" s="36"/>
      <c r="C128" s="36"/>
      <c r="D128" s="36"/>
      <c r="S128" s="1"/>
      <c r="T128" s="38"/>
      <c r="U128" s="38"/>
      <c r="V128" s="38"/>
      <c r="W128" s="38"/>
      <c r="X128" s="38"/>
      <c r="Y128" s="38"/>
      <c r="Z128" s="38"/>
      <c r="AA128" s="36"/>
      <c r="AB128" s="38"/>
      <c r="AC128" s="38"/>
      <c r="AD128" s="38"/>
      <c r="AE128" s="38"/>
      <c r="AF128" s="38"/>
      <c r="AG128" s="38"/>
      <c r="AH128" s="38"/>
      <c r="AI128" s="36"/>
      <c r="AJ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26"/>
      <c r="BD128" s="38"/>
      <c r="BE128" s="26"/>
      <c r="BF128" s="38"/>
      <c r="BG128" s="38"/>
      <c r="BH128" s="36"/>
      <c r="BI128" s="36"/>
    </row>
    <row r="129" spans="1:61" s="37" customFormat="1" ht="15.75" x14ac:dyDescent="0.25">
      <c r="A129" s="36"/>
      <c r="B129" s="36"/>
      <c r="C129" s="36"/>
      <c r="D129" s="36"/>
      <c r="S129" s="1"/>
      <c r="T129" s="38"/>
      <c r="U129" s="38"/>
      <c r="V129" s="38"/>
      <c r="W129" s="38"/>
      <c r="X129" s="38"/>
      <c r="Y129" s="38"/>
      <c r="Z129" s="38"/>
      <c r="AA129" s="36"/>
      <c r="AB129" s="38"/>
      <c r="AC129" s="38"/>
      <c r="AD129" s="38"/>
      <c r="AE129" s="38"/>
      <c r="AF129" s="38"/>
      <c r="AG129" s="38"/>
      <c r="AH129" s="38"/>
      <c r="AI129" s="36"/>
      <c r="AJ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26"/>
      <c r="BD129" s="38"/>
      <c r="BE129" s="26"/>
      <c r="BF129" s="38"/>
      <c r="BG129" s="38"/>
      <c r="BH129" s="36"/>
      <c r="BI129" s="36"/>
    </row>
    <row r="130" spans="1:61" s="37" customFormat="1" ht="15.75" x14ac:dyDescent="0.25">
      <c r="A130" s="36"/>
      <c r="B130" s="36"/>
      <c r="C130" s="36"/>
      <c r="D130" s="36"/>
      <c r="S130" s="1"/>
      <c r="T130" s="38"/>
      <c r="U130" s="38"/>
      <c r="V130" s="38"/>
      <c r="W130" s="38"/>
      <c r="X130" s="38"/>
      <c r="Y130" s="38"/>
      <c r="Z130" s="38"/>
      <c r="AA130" s="36"/>
      <c r="AB130" s="38"/>
      <c r="AC130" s="38"/>
      <c r="AD130" s="38"/>
      <c r="AE130" s="38"/>
      <c r="AF130" s="38"/>
      <c r="AG130" s="38"/>
      <c r="AH130" s="38"/>
      <c r="AI130" s="36"/>
      <c r="AJ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26"/>
      <c r="BD130" s="38"/>
      <c r="BE130" s="26"/>
      <c r="BF130" s="38"/>
      <c r="BG130" s="38"/>
      <c r="BH130" s="36"/>
      <c r="BI130" s="36"/>
    </row>
    <row r="131" spans="1:61" s="37" customFormat="1" ht="15.75" x14ac:dyDescent="0.25">
      <c r="A131" s="36"/>
      <c r="B131" s="36"/>
      <c r="C131" s="36"/>
      <c r="D131" s="36"/>
      <c r="S131" s="1"/>
      <c r="T131" s="38"/>
      <c r="U131" s="38"/>
      <c r="V131" s="38"/>
      <c r="W131" s="38"/>
      <c r="X131" s="38"/>
      <c r="Y131" s="38"/>
      <c r="Z131" s="38"/>
      <c r="AA131" s="36"/>
      <c r="AB131" s="38"/>
      <c r="AC131" s="38"/>
      <c r="AD131" s="38"/>
      <c r="AE131" s="38"/>
      <c r="AF131" s="38"/>
      <c r="AG131" s="38"/>
      <c r="AH131" s="38"/>
      <c r="AI131" s="36"/>
      <c r="AJ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26"/>
      <c r="BD131" s="38"/>
      <c r="BE131" s="26"/>
      <c r="BF131" s="38"/>
      <c r="BG131" s="38"/>
      <c r="BH131" s="36"/>
      <c r="BI131" s="36"/>
    </row>
    <row r="132" spans="1:61" s="37" customFormat="1" ht="15.75" x14ac:dyDescent="0.25">
      <c r="A132" s="36"/>
      <c r="B132" s="36"/>
      <c r="C132" s="36"/>
      <c r="D132" s="36"/>
      <c r="S132" s="1"/>
      <c r="T132" s="38"/>
      <c r="U132" s="38"/>
      <c r="V132" s="38"/>
      <c r="W132" s="38"/>
      <c r="X132" s="38"/>
      <c r="Y132" s="38"/>
      <c r="Z132" s="38"/>
      <c r="AA132" s="36"/>
      <c r="AB132" s="38"/>
      <c r="AC132" s="38"/>
      <c r="AD132" s="38"/>
      <c r="AE132" s="38"/>
      <c r="AF132" s="38"/>
      <c r="AG132" s="38"/>
      <c r="AH132" s="38"/>
      <c r="AI132" s="36"/>
      <c r="AJ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26"/>
      <c r="BD132" s="38"/>
      <c r="BE132" s="26"/>
      <c r="BF132" s="38"/>
      <c r="BG132" s="38"/>
      <c r="BH132" s="36"/>
      <c r="BI132" s="36"/>
    </row>
    <row r="133" spans="1:61" s="37" customFormat="1" ht="15.75" x14ac:dyDescent="0.25">
      <c r="A133" s="36"/>
      <c r="B133" s="36"/>
      <c r="C133" s="36"/>
      <c r="D133" s="36"/>
      <c r="S133" s="1"/>
      <c r="T133" s="38"/>
      <c r="U133" s="38"/>
      <c r="V133" s="38"/>
      <c r="W133" s="38"/>
      <c r="X133" s="38"/>
      <c r="Y133" s="38"/>
      <c r="Z133" s="38"/>
      <c r="AA133" s="36"/>
      <c r="AB133" s="38"/>
      <c r="AC133" s="38"/>
      <c r="AD133" s="38"/>
      <c r="AE133" s="38"/>
      <c r="AF133" s="38"/>
      <c r="AG133" s="38"/>
      <c r="AH133" s="38"/>
      <c r="AI133" s="36"/>
      <c r="AJ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26"/>
      <c r="BD133" s="38"/>
      <c r="BE133" s="26"/>
      <c r="BF133" s="38"/>
      <c r="BG133" s="38"/>
      <c r="BH133" s="36"/>
      <c r="BI133" s="36"/>
    </row>
    <row r="134" spans="1:61" s="37" customFormat="1" ht="15.75" x14ac:dyDescent="0.25">
      <c r="A134" s="36"/>
      <c r="B134" s="36"/>
      <c r="C134" s="36"/>
      <c r="D134" s="36"/>
      <c r="S134" s="1"/>
      <c r="T134" s="38"/>
      <c r="U134" s="38"/>
      <c r="V134" s="38"/>
      <c r="W134" s="38"/>
      <c r="X134" s="38"/>
      <c r="Y134" s="38"/>
      <c r="Z134" s="38"/>
      <c r="AA134" s="36"/>
      <c r="AB134" s="38"/>
      <c r="AC134" s="38"/>
      <c r="AD134" s="38"/>
      <c r="AE134" s="38"/>
      <c r="AF134" s="38"/>
      <c r="AG134" s="38"/>
      <c r="AH134" s="38"/>
      <c r="AI134" s="36"/>
      <c r="AJ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26"/>
      <c r="BD134" s="38"/>
      <c r="BE134" s="26"/>
      <c r="BF134" s="38"/>
      <c r="BG134" s="38"/>
      <c r="BH134" s="36"/>
      <c r="BI134" s="36"/>
    </row>
    <row r="135" spans="1:61" s="37" customFormat="1" ht="15.75" x14ac:dyDescent="0.25">
      <c r="A135" s="36"/>
      <c r="B135" s="36"/>
      <c r="C135" s="36"/>
      <c r="D135" s="36"/>
      <c r="S135" s="1"/>
      <c r="T135" s="38"/>
      <c r="U135" s="38"/>
      <c r="V135" s="38"/>
      <c r="W135" s="38"/>
      <c r="X135" s="38"/>
      <c r="Y135" s="38"/>
      <c r="Z135" s="38"/>
      <c r="AA135" s="36"/>
      <c r="AB135" s="38"/>
      <c r="AC135" s="38"/>
      <c r="AD135" s="38"/>
      <c r="AE135" s="38"/>
      <c r="AF135" s="38"/>
      <c r="AG135" s="38"/>
      <c r="AH135" s="38"/>
      <c r="AI135" s="36"/>
      <c r="AJ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26"/>
      <c r="BD135" s="38"/>
      <c r="BE135" s="26"/>
      <c r="BF135" s="38"/>
      <c r="BG135" s="38"/>
      <c r="BH135" s="36"/>
      <c r="BI135" s="36"/>
    </row>
    <row r="136" spans="1:61" s="37" customFormat="1" ht="15.75" x14ac:dyDescent="0.25">
      <c r="A136" s="36"/>
      <c r="B136" s="36"/>
      <c r="C136" s="36"/>
      <c r="D136" s="36"/>
      <c r="S136" s="1"/>
      <c r="T136" s="38"/>
      <c r="U136" s="38"/>
      <c r="V136" s="38"/>
      <c r="W136" s="38"/>
      <c r="X136" s="38"/>
      <c r="Y136" s="38"/>
      <c r="Z136" s="38"/>
      <c r="AA136" s="36"/>
      <c r="AB136" s="38"/>
      <c r="AC136" s="38"/>
      <c r="AD136" s="38"/>
      <c r="AE136" s="38"/>
      <c r="AF136" s="38"/>
      <c r="AG136" s="38"/>
      <c r="AH136" s="38"/>
      <c r="AI136" s="36"/>
      <c r="AJ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26"/>
      <c r="BD136" s="38"/>
      <c r="BE136" s="26"/>
      <c r="BF136" s="38"/>
      <c r="BG136" s="38"/>
      <c r="BH136" s="36"/>
      <c r="BI136" s="36"/>
    </row>
    <row r="137" spans="1:61" s="37" customFormat="1" ht="15.75" x14ac:dyDescent="0.25">
      <c r="A137" s="36"/>
      <c r="B137" s="36"/>
      <c r="C137" s="36"/>
      <c r="D137" s="36"/>
      <c r="S137" s="1"/>
      <c r="T137" s="38"/>
      <c r="U137" s="38"/>
      <c r="V137" s="38"/>
      <c r="W137" s="38"/>
      <c r="X137" s="38"/>
      <c r="Y137" s="38"/>
      <c r="Z137" s="38"/>
      <c r="AA137" s="36"/>
      <c r="AB137" s="38"/>
      <c r="AC137" s="38"/>
      <c r="AD137" s="38"/>
      <c r="AE137" s="38"/>
      <c r="AF137" s="38"/>
      <c r="AG137" s="38"/>
      <c r="AH137" s="38"/>
      <c r="AI137" s="36"/>
      <c r="AJ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26"/>
      <c r="BD137" s="38"/>
      <c r="BE137" s="26"/>
      <c r="BF137" s="38"/>
      <c r="BG137" s="38"/>
      <c r="BH137" s="36"/>
      <c r="BI137" s="36"/>
    </row>
    <row r="138" spans="1:61" s="37" customFormat="1" ht="15.75" x14ac:dyDescent="0.25">
      <c r="A138" s="36"/>
      <c r="B138" s="36"/>
      <c r="C138" s="36"/>
      <c r="D138" s="36"/>
      <c r="S138" s="1"/>
      <c r="T138" s="38"/>
      <c r="U138" s="38"/>
      <c r="V138" s="38"/>
      <c r="W138" s="38"/>
      <c r="X138" s="38"/>
      <c r="Y138" s="38"/>
      <c r="Z138" s="38"/>
      <c r="AA138" s="36"/>
      <c r="AB138" s="38"/>
      <c r="AC138" s="38"/>
      <c r="AD138" s="38"/>
      <c r="AE138" s="38"/>
      <c r="AF138" s="38"/>
      <c r="AG138" s="38"/>
      <c r="AH138" s="38"/>
      <c r="AI138" s="36"/>
      <c r="AJ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26"/>
      <c r="BD138" s="38"/>
      <c r="BE138" s="26"/>
      <c r="BF138" s="38"/>
      <c r="BG138" s="38"/>
      <c r="BH138" s="36"/>
      <c r="BI138" s="36"/>
    </row>
    <row r="139" spans="1:61" s="37" customFormat="1" ht="15.75" x14ac:dyDescent="0.25">
      <c r="A139" s="36"/>
      <c r="B139" s="36"/>
      <c r="C139" s="36"/>
      <c r="D139" s="36"/>
      <c r="S139" s="1"/>
      <c r="T139" s="38"/>
      <c r="U139" s="38"/>
      <c r="V139" s="38"/>
      <c r="W139" s="38"/>
      <c r="X139" s="38"/>
      <c r="Y139" s="38"/>
      <c r="Z139" s="38"/>
      <c r="AA139" s="36"/>
      <c r="AB139" s="38"/>
      <c r="AC139" s="38"/>
      <c r="AD139" s="38"/>
      <c r="AE139" s="38"/>
      <c r="AF139" s="38"/>
      <c r="AG139" s="38"/>
      <c r="AH139" s="38"/>
      <c r="AI139" s="36"/>
      <c r="AJ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26"/>
      <c r="BD139" s="38"/>
      <c r="BE139" s="26"/>
      <c r="BF139" s="38"/>
      <c r="BG139" s="38"/>
      <c r="BH139" s="36"/>
      <c r="BI139" s="36"/>
    </row>
    <row r="140" spans="1:61" s="37" customFormat="1" ht="15.75" x14ac:dyDescent="0.25">
      <c r="A140" s="36"/>
      <c r="B140" s="36"/>
      <c r="C140" s="36"/>
      <c r="D140" s="36"/>
      <c r="S140" s="1"/>
      <c r="T140" s="38"/>
      <c r="U140" s="38"/>
      <c r="V140" s="38"/>
      <c r="W140" s="38"/>
      <c r="X140" s="38"/>
      <c r="Y140" s="38"/>
      <c r="Z140" s="38"/>
      <c r="AA140" s="36"/>
      <c r="AB140" s="38"/>
      <c r="AC140" s="38"/>
      <c r="AD140" s="38"/>
      <c r="AE140" s="38"/>
      <c r="AF140" s="38"/>
      <c r="AG140" s="38"/>
      <c r="AH140" s="38"/>
      <c r="AI140" s="36"/>
      <c r="AJ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26"/>
      <c r="BD140" s="38"/>
      <c r="BE140" s="26"/>
      <c r="BF140" s="38"/>
      <c r="BG140" s="38"/>
      <c r="BH140" s="36"/>
      <c r="BI140" s="36"/>
    </row>
    <row r="141" spans="1:61" s="37" customFormat="1" ht="15.75" x14ac:dyDescent="0.25">
      <c r="A141" s="36"/>
      <c r="B141" s="36"/>
      <c r="C141" s="36"/>
      <c r="D141" s="36"/>
      <c r="S141" s="1"/>
      <c r="T141" s="38"/>
      <c r="U141" s="38"/>
      <c r="V141" s="38"/>
      <c r="W141" s="38"/>
      <c r="X141" s="38"/>
      <c r="Y141" s="38"/>
      <c r="Z141" s="38"/>
      <c r="AA141" s="36"/>
      <c r="AB141" s="38"/>
      <c r="AC141" s="38"/>
      <c r="AD141" s="38"/>
      <c r="AE141" s="38"/>
      <c r="AF141" s="38"/>
      <c r="AG141" s="38"/>
      <c r="AH141" s="38"/>
      <c r="AI141" s="36"/>
      <c r="AJ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26"/>
      <c r="BD141" s="38"/>
      <c r="BE141" s="26"/>
      <c r="BF141" s="38"/>
      <c r="BG141" s="38"/>
      <c r="BH141" s="36"/>
      <c r="BI141" s="36"/>
    </row>
    <row r="142" spans="1:61" s="37" customFormat="1" ht="15.75" x14ac:dyDescent="0.25">
      <c r="A142" s="36"/>
      <c r="B142" s="36"/>
      <c r="C142" s="36"/>
      <c r="D142" s="36"/>
      <c r="S142" s="1"/>
      <c r="T142" s="38"/>
      <c r="U142" s="38"/>
      <c r="V142" s="38"/>
      <c r="W142" s="38"/>
      <c r="X142" s="38"/>
      <c r="Y142" s="38"/>
      <c r="Z142" s="38"/>
      <c r="AA142" s="36"/>
      <c r="AB142" s="38"/>
      <c r="AC142" s="38"/>
      <c r="AD142" s="38"/>
      <c r="AE142" s="38"/>
      <c r="AF142" s="38"/>
      <c r="AG142" s="38"/>
      <c r="AH142" s="38"/>
      <c r="AI142" s="36"/>
      <c r="AJ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26"/>
      <c r="BD142" s="38"/>
      <c r="BE142" s="26"/>
      <c r="BF142" s="38"/>
      <c r="BG142" s="38"/>
      <c r="BH142" s="36"/>
      <c r="BI142" s="36"/>
    </row>
    <row r="143" spans="1:61" s="37" customFormat="1" ht="15.75" x14ac:dyDescent="0.25">
      <c r="A143" s="36"/>
      <c r="B143" s="36"/>
      <c r="C143" s="36"/>
      <c r="D143" s="36"/>
      <c r="S143" s="1"/>
      <c r="T143" s="38"/>
      <c r="U143" s="38"/>
      <c r="V143" s="38"/>
      <c r="W143" s="38"/>
      <c r="X143" s="38"/>
      <c r="Y143" s="38"/>
      <c r="Z143" s="38"/>
      <c r="AA143" s="36"/>
      <c r="AB143" s="38"/>
      <c r="AC143" s="38"/>
      <c r="AD143" s="38"/>
      <c r="AE143" s="38"/>
      <c r="AF143" s="38"/>
      <c r="AG143" s="38"/>
      <c r="AH143" s="38"/>
      <c r="AI143" s="36"/>
      <c r="AJ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26"/>
      <c r="BD143" s="38"/>
      <c r="BE143" s="26"/>
      <c r="BF143" s="38"/>
      <c r="BG143" s="38"/>
      <c r="BH143" s="36"/>
      <c r="BI143" s="36"/>
    </row>
    <row r="144" spans="1:61" s="37" customFormat="1" ht="15.75" x14ac:dyDescent="0.25">
      <c r="A144" s="36"/>
      <c r="B144" s="36"/>
      <c r="C144" s="36"/>
      <c r="D144" s="36"/>
      <c r="S144" s="1"/>
      <c r="T144" s="38"/>
      <c r="U144" s="38"/>
      <c r="V144" s="38"/>
      <c r="W144" s="38"/>
      <c r="X144" s="38"/>
      <c r="Y144" s="38"/>
      <c r="Z144" s="38"/>
      <c r="AA144" s="36"/>
      <c r="AB144" s="38"/>
      <c r="AC144" s="38"/>
      <c r="AD144" s="38"/>
      <c r="AE144" s="38"/>
      <c r="AF144" s="38"/>
      <c r="AG144" s="38"/>
      <c r="AH144" s="38"/>
      <c r="AI144" s="36"/>
      <c r="AJ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26"/>
      <c r="BD144" s="38"/>
      <c r="BE144" s="26"/>
      <c r="BF144" s="38"/>
      <c r="BG144" s="38"/>
      <c r="BH144" s="36"/>
      <c r="BI144" s="36"/>
    </row>
    <row r="145" spans="1:61" s="37" customFormat="1" ht="15.75" x14ac:dyDescent="0.25">
      <c r="A145" s="36"/>
      <c r="B145" s="36"/>
      <c r="C145" s="36"/>
      <c r="D145" s="36"/>
      <c r="S145" s="1"/>
      <c r="T145" s="38"/>
      <c r="U145" s="38"/>
      <c r="V145" s="38"/>
      <c r="W145" s="38"/>
      <c r="X145" s="38"/>
      <c r="Y145" s="38"/>
      <c r="Z145" s="38"/>
      <c r="AA145" s="36"/>
      <c r="AB145" s="38"/>
      <c r="AC145" s="38"/>
      <c r="AD145" s="38"/>
      <c r="AE145" s="38"/>
      <c r="AF145" s="38"/>
      <c r="AG145" s="38"/>
      <c r="AH145" s="38"/>
      <c r="AI145" s="36"/>
      <c r="AJ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26"/>
      <c r="BD145" s="38"/>
      <c r="BE145" s="26"/>
      <c r="BF145" s="38"/>
      <c r="BG145" s="38"/>
      <c r="BH145" s="36"/>
      <c r="BI145" s="36"/>
    </row>
    <row r="146" spans="1:61" s="37" customFormat="1" ht="15.75" x14ac:dyDescent="0.25">
      <c r="A146" s="36"/>
      <c r="B146" s="36"/>
      <c r="C146" s="36"/>
      <c r="D146" s="36"/>
      <c r="S146" s="1"/>
      <c r="T146" s="38"/>
      <c r="U146" s="38"/>
      <c r="V146" s="38"/>
      <c r="W146" s="38"/>
      <c r="X146" s="38"/>
      <c r="Y146" s="38"/>
      <c r="Z146" s="38"/>
      <c r="AA146" s="36"/>
      <c r="AB146" s="38"/>
      <c r="AC146" s="38"/>
      <c r="AD146" s="38"/>
      <c r="AE146" s="38"/>
      <c r="AF146" s="38"/>
      <c r="AG146" s="38"/>
      <c r="AH146" s="38"/>
      <c r="AI146" s="36"/>
      <c r="AJ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26"/>
      <c r="BD146" s="38"/>
      <c r="BE146" s="26"/>
      <c r="BF146" s="38"/>
      <c r="BG146" s="38"/>
      <c r="BH146" s="36"/>
      <c r="BI146" s="36"/>
    </row>
    <row r="147" spans="1:61" s="37" customFormat="1" ht="15.75" x14ac:dyDescent="0.25">
      <c r="A147" s="36"/>
      <c r="B147" s="36"/>
      <c r="C147" s="36"/>
      <c r="D147" s="36"/>
      <c r="S147" s="1"/>
      <c r="T147" s="38"/>
      <c r="U147" s="38"/>
      <c r="V147" s="38"/>
      <c r="W147" s="38"/>
      <c r="X147" s="38"/>
      <c r="Y147" s="38"/>
      <c r="Z147" s="38"/>
      <c r="AA147" s="36"/>
      <c r="AB147" s="38"/>
      <c r="AC147" s="38"/>
      <c r="AD147" s="38"/>
      <c r="AE147" s="38"/>
      <c r="AF147" s="38"/>
      <c r="AG147" s="38"/>
      <c r="AH147" s="38"/>
      <c r="AI147" s="36"/>
      <c r="AJ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26"/>
      <c r="BD147" s="38"/>
      <c r="BE147" s="26"/>
      <c r="BF147" s="38"/>
      <c r="BG147" s="38"/>
      <c r="BH147" s="36"/>
      <c r="BI147" s="36"/>
    </row>
    <row r="148" spans="1:61" s="37" customFormat="1" ht="15.75" x14ac:dyDescent="0.25">
      <c r="A148" s="36"/>
      <c r="B148" s="36"/>
      <c r="C148" s="36"/>
      <c r="D148" s="36"/>
      <c r="S148" s="1"/>
      <c r="T148" s="38"/>
      <c r="U148" s="38"/>
      <c r="V148" s="38"/>
      <c r="W148" s="38"/>
      <c r="X148" s="38"/>
      <c r="Y148" s="38"/>
      <c r="Z148" s="38"/>
      <c r="AA148" s="36"/>
      <c r="AB148" s="38"/>
      <c r="AC148" s="38"/>
      <c r="AD148" s="38"/>
      <c r="AE148" s="38"/>
      <c r="AF148" s="38"/>
      <c r="AG148" s="38"/>
      <c r="AH148" s="38"/>
      <c r="AI148" s="36"/>
      <c r="AJ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26"/>
      <c r="BD148" s="38"/>
      <c r="BE148" s="26"/>
      <c r="BF148" s="38"/>
      <c r="BG148" s="38"/>
      <c r="BH148" s="36"/>
      <c r="BI148" s="36"/>
    </row>
    <row r="149" spans="1:61" s="37" customFormat="1" ht="15.75" x14ac:dyDescent="0.25">
      <c r="A149" s="36"/>
      <c r="B149" s="36"/>
      <c r="C149" s="36"/>
      <c r="D149" s="36"/>
      <c r="S149" s="1"/>
      <c r="T149" s="38"/>
      <c r="U149" s="38"/>
      <c r="V149" s="38"/>
      <c r="W149" s="38"/>
      <c r="X149" s="38"/>
      <c r="Y149" s="38"/>
      <c r="Z149" s="38"/>
      <c r="AA149" s="36"/>
      <c r="AB149" s="38"/>
      <c r="AC149" s="38"/>
      <c r="AD149" s="38"/>
      <c r="AE149" s="38"/>
      <c r="AF149" s="38"/>
      <c r="AG149" s="38"/>
      <c r="AH149" s="38"/>
      <c r="AI149" s="36"/>
      <c r="AJ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26"/>
      <c r="BD149" s="38"/>
      <c r="BE149" s="26"/>
      <c r="BF149" s="38"/>
      <c r="BG149" s="38"/>
      <c r="BH149" s="36"/>
      <c r="BI149" s="36"/>
    </row>
    <row r="150" spans="1:61" s="37" customFormat="1" ht="15.75" x14ac:dyDescent="0.25">
      <c r="A150" s="36"/>
      <c r="B150" s="36"/>
      <c r="C150" s="36"/>
      <c r="D150" s="36"/>
      <c r="S150" s="1"/>
      <c r="T150" s="38"/>
      <c r="U150" s="38"/>
      <c r="V150" s="38"/>
      <c r="W150" s="38"/>
      <c r="X150" s="38"/>
      <c r="Y150" s="38"/>
      <c r="Z150" s="38"/>
      <c r="AA150" s="36"/>
      <c r="AB150" s="38"/>
      <c r="AC150" s="38"/>
      <c r="AD150" s="38"/>
      <c r="AE150" s="38"/>
      <c r="AF150" s="38"/>
      <c r="AG150" s="38"/>
      <c r="AH150" s="38"/>
      <c r="AI150" s="36"/>
      <c r="AJ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26"/>
      <c r="BD150" s="38"/>
      <c r="BE150" s="26"/>
      <c r="BF150" s="38"/>
      <c r="BG150" s="38"/>
      <c r="BH150" s="36"/>
      <c r="BI150" s="36"/>
    </row>
    <row r="151" spans="1:61" s="37" customFormat="1" ht="15.75" x14ac:dyDescent="0.25">
      <c r="A151" s="36"/>
      <c r="B151" s="36"/>
      <c r="C151" s="36"/>
      <c r="D151" s="36"/>
      <c r="S151" s="1"/>
      <c r="T151" s="38"/>
      <c r="U151" s="38"/>
      <c r="V151" s="38"/>
      <c r="W151" s="38"/>
      <c r="X151" s="38"/>
      <c r="Y151" s="38"/>
      <c r="Z151" s="38"/>
      <c r="AA151" s="36"/>
      <c r="AB151" s="38"/>
      <c r="AC151" s="38"/>
      <c r="AD151" s="38"/>
      <c r="AE151" s="38"/>
      <c r="AF151" s="38"/>
      <c r="AG151" s="38"/>
      <c r="AH151" s="38"/>
      <c r="AI151" s="36"/>
      <c r="AJ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26"/>
      <c r="BD151" s="38"/>
      <c r="BE151" s="26"/>
      <c r="BF151" s="38"/>
      <c r="BG151" s="38"/>
      <c r="BH151" s="36"/>
      <c r="BI151" s="36"/>
    </row>
    <row r="152" spans="1:61" s="37" customFormat="1" ht="15.75" x14ac:dyDescent="0.25">
      <c r="A152" s="36"/>
      <c r="B152" s="36"/>
      <c r="C152" s="36"/>
      <c r="D152" s="36"/>
      <c r="S152" s="1"/>
      <c r="T152" s="38"/>
      <c r="U152" s="38"/>
      <c r="V152" s="38"/>
      <c r="W152" s="38"/>
      <c r="X152" s="38"/>
      <c r="Y152" s="38"/>
      <c r="Z152" s="38"/>
      <c r="AA152" s="36"/>
      <c r="AB152" s="38"/>
      <c r="AC152" s="38"/>
      <c r="AD152" s="38"/>
      <c r="AE152" s="38"/>
      <c r="AF152" s="38"/>
      <c r="AG152" s="38"/>
      <c r="AH152" s="38"/>
      <c r="AI152" s="36"/>
      <c r="AJ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26"/>
      <c r="BD152" s="38"/>
      <c r="BE152" s="26"/>
      <c r="BF152" s="38"/>
      <c r="BG152" s="38"/>
      <c r="BH152" s="36"/>
      <c r="BI152" s="36"/>
    </row>
    <row r="153" spans="1:61" s="37" customFormat="1" ht="15.75" x14ac:dyDescent="0.25">
      <c r="A153" s="36"/>
      <c r="B153" s="36"/>
      <c r="C153" s="36"/>
      <c r="D153" s="36"/>
      <c r="S153" s="1"/>
      <c r="T153" s="38"/>
      <c r="U153" s="38"/>
      <c r="V153" s="38"/>
      <c r="W153" s="38"/>
      <c r="X153" s="38"/>
      <c r="Y153" s="38"/>
      <c r="Z153" s="38"/>
      <c r="AA153" s="36"/>
      <c r="AB153" s="38"/>
      <c r="AC153" s="38"/>
      <c r="AD153" s="38"/>
      <c r="AE153" s="38"/>
      <c r="AF153" s="38"/>
      <c r="AG153" s="38"/>
      <c r="AH153" s="38"/>
      <c r="AI153" s="36"/>
      <c r="AJ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26"/>
      <c r="BD153" s="38"/>
      <c r="BE153" s="26"/>
      <c r="BF153" s="38"/>
      <c r="BG153" s="38"/>
      <c r="BH153" s="36"/>
      <c r="BI153" s="36"/>
    </row>
    <row r="154" spans="1:61" s="37" customFormat="1" ht="15.75" x14ac:dyDescent="0.25">
      <c r="A154" s="36"/>
      <c r="B154" s="36"/>
      <c r="C154" s="36"/>
      <c r="D154" s="36"/>
      <c r="S154" s="1"/>
      <c r="T154" s="38"/>
      <c r="U154" s="38"/>
      <c r="V154" s="38"/>
      <c r="W154" s="38"/>
      <c r="X154" s="38"/>
      <c r="Y154" s="38"/>
      <c r="Z154" s="38"/>
      <c r="AA154" s="36"/>
      <c r="AB154" s="38"/>
      <c r="AC154" s="38"/>
      <c r="AD154" s="38"/>
      <c r="AE154" s="38"/>
      <c r="AF154" s="38"/>
      <c r="AG154" s="38"/>
      <c r="AH154" s="38"/>
      <c r="AI154" s="36"/>
      <c r="AJ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26"/>
      <c r="BD154" s="38"/>
      <c r="BE154" s="26"/>
      <c r="BF154" s="38"/>
      <c r="BG154" s="38"/>
      <c r="BH154" s="36"/>
      <c r="BI154" s="36"/>
    </row>
    <row r="155" spans="1:61" s="37" customFormat="1" ht="15.75" x14ac:dyDescent="0.25">
      <c r="A155" s="36"/>
      <c r="B155" s="36"/>
      <c r="C155" s="36"/>
      <c r="D155" s="36"/>
      <c r="S155" s="1"/>
      <c r="T155" s="38"/>
      <c r="U155" s="38"/>
      <c r="V155" s="38"/>
      <c r="W155" s="38"/>
      <c r="X155" s="38"/>
      <c r="Y155" s="38"/>
      <c r="Z155" s="38"/>
      <c r="AA155" s="36"/>
      <c r="AB155" s="38"/>
      <c r="AC155" s="38"/>
      <c r="AD155" s="38"/>
      <c r="AE155" s="38"/>
      <c r="AF155" s="38"/>
      <c r="AG155" s="38"/>
      <c r="AH155" s="38"/>
      <c r="AI155" s="36"/>
      <c r="AJ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26"/>
      <c r="BD155" s="38"/>
      <c r="BE155" s="26"/>
      <c r="BF155" s="38"/>
      <c r="BG155" s="38"/>
      <c r="BH155" s="36"/>
      <c r="BI155" s="36"/>
    </row>
    <row r="156" spans="1:61" s="37" customFormat="1" ht="15.75" x14ac:dyDescent="0.25">
      <c r="A156" s="36"/>
      <c r="B156" s="36"/>
      <c r="C156" s="36"/>
      <c r="D156" s="36"/>
      <c r="S156" s="1"/>
      <c r="T156" s="38"/>
      <c r="U156" s="38"/>
      <c r="V156" s="38"/>
      <c r="W156" s="38"/>
      <c r="X156" s="38"/>
      <c r="Y156" s="38"/>
      <c r="Z156" s="38"/>
      <c r="AA156" s="36"/>
      <c r="AB156" s="38"/>
      <c r="AC156" s="38"/>
      <c r="AD156" s="38"/>
      <c r="AE156" s="38"/>
      <c r="AF156" s="38"/>
      <c r="AG156" s="38"/>
      <c r="AH156" s="38"/>
      <c r="AI156" s="36"/>
      <c r="AJ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26"/>
      <c r="BD156" s="38"/>
      <c r="BE156" s="26"/>
      <c r="BF156" s="38"/>
      <c r="BG156" s="38"/>
      <c r="BH156" s="36"/>
      <c r="BI156" s="36"/>
    </row>
    <row r="157" spans="1:61" s="37" customFormat="1" ht="15.75" x14ac:dyDescent="0.25">
      <c r="A157" s="36"/>
      <c r="B157" s="36"/>
      <c r="C157" s="36"/>
      <c r="D157" s="36"/>
      <c r="S157" s="1"/>
      <c r="T157" s="38"/>
      <c r="U157" s="38"/>
      <c r="V157" s="38"/>
      <c r="W157" s="38"/>
      <c r="X157" s="38"/>
      <c r="Y157" s="38"/>
      <c r="Z157" s="38"/>
      <c r="AA157" s="36"/>
      <c r="AB157" s="38"/>
      <c r="AC157" s="38"/>
      <c r="AD157" s="38"/>
      <c r="AE157" s="38"/>
      <c r="AF157" s="38"/>
      <c r="AG157" s="38"/>
      <c r="AH157" s="38"/>
      <c r="AI157" s="36"/>
      <c r="AJ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26"/>
      <c r="BD157" s="38"/>
      <c r="BE157" s="26"/>
      <c r="BF157" s="38"/>
      <c r="BG157" s="38"/>
      <c r="BH157" s="36"/>
      <c r="BI157" s="36"/>
    </row>
    <row r="158" spans="1:61" s="37" customFormat="1" ht="15.75" x14ac:dyDescent="0.25">
      <c r="A158" s="36"/>
      <c r="B158" s="36"/>
      <c r="C158" s="36"/>
      <c r="D158" s="36"/>
      <c r="S158" s="1"/>
      <c r="T158" s="38"/>
      <c r="U158" s="38"/>
      <c r="V158" s="38"/>
      <c r="W158" s="38"/>
      <c r="X158" s="38"/>
      <c r="Y158" s="38"/>
      <c r="Z158" s="38"/>
      <c r="AA158" s="36"/>
      <c r="AB158" s="38"/>
      <c r="AC158" s="38"/>
      <c r="AD158" s="38"/>
      <c r="AE158" s="38"/>
      <c r="AF158" s="38"/>
      <c r="AG158" s="38"/>
      <c r="AH158" s="38"/>
      <c r="AI158" s="36"/>
      <c r="AJ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26"/>
      <c r="BD158" s="38"/>
      <c r="BE158" s="26"/>
      <c r="BF158" s="38"/>
      <c r="BG158" s="38"/>
      <c r="BH158" s="36"/>
      <c r="BI158" s="36"/>
    </row>
    <row r="159" spans="1:61" s="37" customFormat="1" ht="15.75" x14ac:dyDescent="0.25">
      <c r="A159" s="36"/>
      <c r="B159" s="36"/>
      <c r="C159" s="36"/>
      <c r="D159" s="36"/>
      <c r="S159" s="1"/>
      <c r="T159" s="38"/>
      <c r="U159" s="38"/>
      <c r="V159" s="38"/>
      <c r="W159" s="38"/>
      <c r="X159" s="38"/>
      <c r="Y159" s="38"/>
      <c r="Z159" s="38"/>
      <c r="AA159" s="36"/>
      <c r="AB159" s="38"/>
      <c r="AC159" s="38"/>
      <c r="AD159" s="38"/>
      <c r="AE159" s="38"/>
      <c r="AF159" s="38"/>
      <c r="AG159" s="38"/>
      <c r="AH159" s="38"/>
      <c r="AI159" s="36"/>
      <c r="AJ159" s="38"/>
      <c r="AS159" s="36"/>
      <c r="AT159" s="36"/>
      <c r="AU159" s="36"/>
      <c r="AV159" s="36"/>
      <c r="AW159" s="36"/>
      <c r="AX159" s="36"/>
      <c r="AY159" s="36"/>
      <c r="AZ159" s="38"/>
      <c r="BA159" s="38"/>
      <c r="BB159" s="38"/>
      <c r="BC159" s="26"/>
      <c r="BD159" s="38"/>
      <c r="BE159" s="26"/>
      <c r="BF159" s="38"/>
      <c r="BG159" s="38"/>
      <c r="BH159" s="36"/>
      <c r="BI159" s="36"/>
    </row>
    <row r="160" spans="1:61" s="37" customFormat="1" ht="15.75" x14ac:dyDescent="0.25">
      <c r="A160" s="36"/>
      <c r="B160" s="36"/>
      <c r="C160" s="36"/>
      <c r="D160" s="36"/>
      <c r="S160" s="1"/>
      <c r="T160" s="38"/>
      <c r="U160" s="38"/>
      <c r="V160" s="38"/>
      <c r="W160" s="38"/>
      <c r="X160" s="38"/>
      <c r="Y160" s="38"/>
      <c r="Z160" s="38"/>
      <c r="AA160" s="36"/>
      <c r="AB160" s="38"/>
      <c r="AC160" s="38"/>
      <c r="AD160" s="38"/>
      <c r="AE160" s="38"/>
      <c r="AF160" s="38"/>
      <c r="AG160" s="38"/>
      <c r="AH160" s="38"/>
      <c r="AI160" s="36"/>
      <c r="AJ160" s="36"/>
      <c r="AS160" s="36"/>
      <c r="AT160" s="36"/>
      <c r="AU160" s="36"/>
      <c r="AV160" s="36"/>
      <c r="AW160" s="36"/>
      <c r="AX160" s="36"/>
      <c r="AY160" s="36"/>
      <c r="AZ160" s="38"/>
      <c r="BA160" s="38"/>
      <c r="BB160" s="38"/>
      <c r="BC160" s="26"/>
      <c r="BD160" s="38"/>
      <c r="BE160" s="26"/>
      <c r="BF160" s="38"/>
      <c r="BG160" s="38"/>
      <c r="BH160" s="36"/>
      <c r="BI160" s="36"/>
    </row>
    <row r="161" spans="1:61" s="37" customFormat="1" ht="15.75" x14ac:dyDescent="0.25">
      <c r="A161" s="36"/>
      <c r="B161" s="36"/>
      <c r="C161" s="36"/>
      <c r="D161" s="36"/>
      <c r="S161" s="1"/>
      <c r="T161" s="38"/>
      <c r="U161" s="38"/>
      <c r="V161" s="38"/>
      <c r="W161" s="38"/>
      <c r="X161" s="38"/>
      <c r="Y161" s="38"/>
      <c r="Z161" s="38"/>
      <c r="AA161" s="36"/>
      <c r="AB161" s="38"/>
      <c r="AC161" s="38"/>
      <c r="AD161" s="38"/>
      <c r="AE161" s="38"/>
      <c r="AF161" s="38"/>
      <c r="AG161" s="38"/>
      <c r="AH161" s="38"/>
      <c r="AI161" s="36"/>
      <c r="AJ161" s="36"/>
      <c r="AS161" s="36"/>
      <c r="AT161" s="36"/>
      <c r="AU161" s="36"/>
      <c r="AV161" s="36"/>
      <c r="AW161" s="36"/>
      <c r="AX161" s="36"/>
      <c r="AY161" s="36"/>
      <c r="AZ161" s="38"/>
      <c r="BA161" s="38"/>
      <c r="BB161" s="38"/>
      <c r="BC161" s="26"/>
      <c r="BD161" s="38"/>
      <c r="BE161" s="26"/>
      <c r="BF161" s="38"/>
      <c r="BG161" s="38"/>
      <c r="BH161" s="36"/>
      <c r="BI161" s="36"/>
    </row>
    <row r="162" spans="1:61" s="37" customFormat="1" ht="15.75" x14ac:dyDescent="0.25">
      <c r="A162" s="36"/>
      <c r="B162" s="36"/>
      <c r="C162" s="36"/>
      <c r="D162" s="36"/>
      <c r="S162" s="1"/>
      <c r="T162" s="38"/>
      <c r="U162" s="38"/>
      <c r="V162" s="38"/>
      <c r="W162" s="38"/>
      <c r="X162" s="38"/>
      <c r="Y162" s="38"/>
      <c r="Z162" s="38"/>
      <c r="AA162" s="36"/>
      <c r="AB162" s="38"/>
      <c r="AC162" s="38"/>
      <c r="AD162" s="38"/>
      <c r="AE162" s="38"/>
      <c r="AF162" s="38"/>
      <c r="AG162" s="38"/>
      <c r="AH162" s="38"/>
      <c r="AI162" s="36"/>
      <c r="AJ162" s="36"/>
      <c r="AS162" s="36"/>
      <c r="AT162" s="36"/>
      <c r="AU162" s="36"/>
      <c r="AV162" s="36"/>
      <c r="AW162" s="36"/>
      <c r="AX162" s="36"/>
      <c r="AY162" s="36"/>
      <c r="AZ162" s="38"/>
      <c r="BA162" s="38"/>
      <c r="BB162" s="38"/>
      <c r="BC162" s="26"/>
      <c r="BD162" s="38"/>
      <c r="BE162" s="26"/>
      <c r="BF162" s="38"/>
      <c r="BG162" s="38"/>
      <c r="BH162" s="36"/>
      <c r="BI162" s="36"/>
    </row>
    <row r="163" spans="1:61" s="37" customFormat="1" ht="15.75" x14ac:dyDescent="0.25">
      <c r="A163" s="36"/>
      <c r="B163" s="36"/>
      <c r="C163" s="36"/>
      <c r="D163" s="36"/>
      <c r="S163" s="1"/>
      <c r="T163" s="38"/>
      <c r="U163" s="38"/>
      <c r="V163" s="38"/>
      <c r="W163" s="38"/>
      <c r="X163" s="38"/>
      <c r="Y163" s="38"/>
      <c r="Z163" s="38"/>
      <c r="AA163" s="36"/>
      <c r="AB163" s="38"/>
      <c r="AC163" s="38"/>
      <c r="AD163" s="38"/>
      <c r="AE163" s="38"/>
      <c r="AF163" s="38"/>
      <c r="AG163" s="38"/>
      <c r="AH163" s="38"/>
      <c r="AI163" s="36"/>
      <c r="AJ163" s="36"/>
      <c r="AS163" s="36"/>
      <c r="AT163" s="36"/>
      <c r="AU163" s="36"/>
      <c r="AV163" s="36"/>
      <c r="AW163" s="36"/>
      <c r="AX163" s="36"/>
      <c r="AY163" s="36"/>
      <c r="AZ163" s="38"/>
      <c r="BA163" s="38"/>
      <c r="BB163" s="38"/>
      <c r="BC163" s="26"/>
      <c r="BD163" s="38"/>
      <c r="BE163" s="26"/>
      <c r="BF163" s="38"/>
      <c r="BG163" s="38"/>
      <c r="BH163" s="36"/>
      <c r="BI163" s="36"/>
    </row>
    <row r="164" spans="1:61" s="37" customFormat="1" ht="15.75" x14ac:dyDescent="0.25">
      <c r="A164" s="36"/>
      <c r="B164" s="36"/>
      <c r="C164" s="36"/>
      <c r="D164" s="36"/>
      <c r="S164" s="1"/>
      <c r="T164" s="38"/>
      <c r="U164" s="38"/>
      <c r="V164" s="38"/>
      <c r="W164" s="38"/>
      <c r="X164" s="38"/>
      <c r="Y164" s="38"/>
      <c r="Z164" s="38"/>
      <c r="AA164" s="36"/>
      <c r="AB164" s="38"/>
      <c r="AC164" s="38"/>
      <c r="AD164" s="38"/>
      <c r="AE164" s="38"/>
      <c r="AF164" s="38"/>
      <c r="AG164" s="38"/>
      <c r="AH164" s="38"/>
      <c r="AI164" s="36"/>
      <c r="AJ164" s="36"/>
      <c r="AS164" s="36"/>
      <c r="AT164" s="36"/>
      <c r="AU164" s="36"/>
      <c r="AV164" s="36"/>
      <c r="AW164" s="36"/>
      <c r="AX164" s="36"/>
      <c r="AY164" s="36"/>
      <c r="AZ164" s="38"/>
      <c r="BA164" s="38"/>
      <c r="BB164" s="38"/>
      <c r="BC164" s="26"/>
      <c r="BD164" s="38"/>
      <c r="BE164" s="26"/>
      <c r="BF164" s="38"/>
      <c r="BG164" s="38"/>
      <c r="BH164" s="36"/>
      <c r="BI164" s="36"/>
    </row>
    <row r="165" spans="1:61" s="37" customFormat="1" ht="15.75" x14ac:dyDescent="0.25">
      <c r="A165" s="36"/>
      <c r="B165" s="36"/>
      <c r="C165" s="36"/>
      <c r="D165" s="36"/>
      <c r="S165" s="1"/>
      <c r="T165" s="38"/>
      <c r="U165" s="38"/>
      <c r="V165" s="38"/>
      <c r="W165" s="38"/>
      <c r="X165" s="38"/>
      <c r="Y165" s="38"/>
      <c r="Z165" s="38"/>
      <c r="AA165" s="36"/>
      <c r="AB165" s="38"/>
      <c r="AC165" s="38"/>
      <c r="AD165" s="38"/>
      <c r="AE165" s="38"/>
      <c r="AF165" s="38"/>
      <c r="AG165" s="38"/>
      <c r="AH165" s="38"/>
      <c r="AI165" s="36"/>
      <c r="AJ165" s="36"/>
      <c r="AS165" s="36"/>
      <c r="AT165" s="36"/>
      <c r="AU165" s="36"/>
      <c r="AV165" s="36"/>
      <c r="AW165" s="36"/>
      <c r="AX165" s="36"/>
      <c r="AY165" s="36"/>
      <c r="AZ165" s="38"/>
      <c r="BA165" s="38"/>
      <c r="BB165" s="38"/>
      <c r="BC165" s="26"/>
      <c r="BD165" s="38"/>
      <c r="BE165" s="26"/>
      <c r="BF165" s="38"/>
      <c r="BG165" s="38"/>
      <c r="BH165" s="36"/>
      <c r="BI165" s="36"/>
    </row>
    <row r="166" spans="1:61" s="37" customFormat="1" ht="15.75" x14ac:dyDescent="0.25">
      <c r="A166" s="36"/>
      <c r="B166" s="36"/>
      <c r="C166" s="36"/>
      <c r="D166" s="36"/>
      <c r="S166" s="1"/>
      <c r="T166" s="38"/>
      <c r="U166" s="38"/>
      <c r="V166" s="38"/>
      <c r="W166" s="38"/>
      <c r="X166" s="38"/>
      <c r="Y166" s="38"/>
      <c r="Z166" s="38"/>
      <c r="AA166" s="36"/>
      <c r="AB166" s="38"/>
      <c r="AC166" s="38"/>
      <c r="AD166" s="38"/>
      <c r="AE166" s="38"/>
      <c r="AF166" s="38"/>
      <c r="AG166" s="38"/>
      <c r="AH166" s="38"/>
      <c r="AI166" s="36"/>
      <c r="AJ166" s="36"/>
      <c r="AS166" s="36"/>
      <c r="AT166" s="36"/>
      <c r="AU166" s="36"/>
      <c r="AV166" s="36"/>
      <c r="AW166" s="36"/>
      <c r="AX166" s="36"/>
      <c r="AY166" s="36"/>
      <c r="AZ166" s="38"/>
      <c r="BA166" s="38"/>
      <c r="BB166" s="38"/>
      <c r="BC166" s="26"/>
      <c r="BD166" s="38"/>
      <c r="BE166" s="26"/>
      <c r="BF166" s="38"/>
      <c r="BG166" s="38"/>
      <c r="BH166" s="36"/>
      <c r="BI166" s="36"/>
    </row>
    <row r="167" spans="1:61" s="37" customFormat="1" ht="15.75" x14ac:dyDescent="0.25">
      <c r="A167" s="36"/>
      <c r="B167" s="36"/>
      <c r="C167" s="36"/>
      <c r="D167" s="36"/>
      <c r="S167" s="1"/>
      <c r="T167" s="38"/>
      <c r="U167" s="38"/>
      <c r="V167" s="38"/>
      <c r="W167" s="38"/>
      <c r="X167" s="38"/>
      <c r="Y167" s="38"/>
      <c r="Z167" s="38"/>
      <c r="AA167" s="36"/>
      <c r="AB167" s="38"/>
      <c r="AC167" s="38"/>
      <c r="AD167" s="38"/>
      <c r="AE167" s="38"/>
      <c r="AF167" s="38"/>
      <c r="AG167" s="38"/>
      <c r="AH167" s="38"/>
      <c r="AI167" s="36"/>
      <c r="AJ167" s="36"/>
      <c r="AS167" s="36"/>
      <c r="AT167" s="36"/>
      <c r="AU167" s="36"/>
      <c r="AV167" s="36"/>
      <c r="AW167" s="36"/>
      <c r="AX167" s="36"/>
      <c r="AY167" s="36"/>
      <c r="AZ167" s="38"/>
      <c r="BA167" s="38"/>
      <c r="BB167" s="38"/>
      <c r="BC167" s="26"/>
      <c r="BD167" s="38"/>
      <c r="BE167" s="26"/>
      <c r="BF167" s="38"/>
      <c r="BG167" s="38"/>
      <c r="BH167" s="36"/>
      <c r="BI167" s="36"/>
    </row>
    <row r="168" spans="1:61" s="37" customFormat="1" ht="15.75" x14ac:dyDescent="0.25">
      <c r="A168" s="36"/>
      <c r="B168" s="36"/>
      <c r="C168" s="36"/>
      <c r="D168" s="36"/>
      <c r="S168" s="1"/>
      <c r="T168" s="38"/>
      <c r="U168" s="38"/>
      <c r="V168" s="38"/>
      <c r="W168" s="38"/>
      <c r="X168" s="38"/>
      <c r="Y168" s="38"/>
      <c r="Z168" s="38"/>
      <c r="AA168" s="36"/>
      <c r="AB168" s="38"/>
      <c r="AC168" s="38"/>
      <c r="AD168" s="38"/>
      <c r="AE168" s="38"/>
      <c r="AF168" s="38"/>
      <c r="AG168" s="38"/>
      <c r="AH168" s="38"/>
      <c r="AI168" s="36"/>
      <c r="AJ168" s="36"/>
      <c r="AS168" s="36"/>
      <c r="AT168" s="36"/>
      <c r="AU168" s="36"/>
      <c r="AV168" s="36"/>
      <c r="AW168" s="36"/>
      <c r="AX168" s="36"/>
      <c r="AY168" s="36"/>
      <c r="AZ168" s="38"/>
      <c r="BA168" s="38"/>
      <c r="BB168" s="38"/>
      <c r="BC168" s="26"/>
      <c r="BD168" s="38"/>
      <c r="BE168" s="26"/>
      <c r="BF168" s="38"/>
      <c r="BG168" s="38"/>
      <c r="BH168" s="36"/>
      <c r="BI168" s="36"/>
    </row>
    <row r="169" spans="1:61" s="37" customFormat="1" ht="15.75" x14ac:dyDescent="0.25">
      <c r="A169" s="36"/>
      <c r="B169" s="36"/>
      <c r="C169" s="36"/>
      <c r="D169" s="36"/>
      <c r="S169" s="1"/>
      <c r="T169" s="38"/>
      <c r="U169" s="38"/>
      <c r="V169" s="38"/>
      <c r="W169" s="38"/>
      <c r="X169" s="38"/>
      <c r="Y169" s="38"/>
      <c r="Z169" s="38"/>
      <c r="AA169" s="36"/>
      <c r="AB169" s="38"/>
      <c r="AC169" s="38"/>
      <c r="AD169" s="38"/>
      <c r="AE169" s="38"/>
      <c r="AF169" s="38"/>
      <c r="AG169" s="38"/>
      <c r="AH169" s="38"/>
      <c r="AI169" s="36"/>
      <c r="AJ169" s="36"/>
      <c r="AS169" s="36"/>
      <c r="AT169" s="36"/>
      <c r="AU169" s="36"/>
      <c r="AV169" s="36"/>
      <c r="AW169" s="36"/>
      <c r="AX169" s="36"/>
      <c r="AY169" s="36"/>
      <c r="AZ169" s="38"/>
      <c r="BA169" s="38"/>
      <c r="BB169" s="38"/>
      <c r="BC169" s="26"/>
      <c r="BD169" s="38"/>
      <c r="BE169" s="26"/>
      <c r="BF169" s="38"/>
      <c r="BG169" s="38"/>
      <c r="BH169" s="36"/>
      <c r="BI169" s="36"/>
    </row>
    <row r="170" spans="1:61" s="37" customFormat="1" ht="15.75" x14ac:dyDescent="0.25">
      <c r="A170" s="36"/>
      <c r="B170" s="36"/>
      <c r="C170" s="36"/>
      <c r="D170" s="36"/>
      <c r="S170" s="1"/>
      <c r="T170" s="38"/>
      <c r="U170" s="38"/>
      <c r="V170" s="38"/>
      <c r="W170" s="38"/>
      <c r="X170" s="38"/>
      <c r="Y170" s="38"/>
      <c r="Z170" s="38"/>
      <c r="AA170" s="36"/>
      <c r="AB170" s="38"/>
      <c r="AC170" s="38"/>
      <c r="AD170" s="38"/>
      <c r="AE170" s="38"/>
      <c r="AF170" s="38"/>
      <c r="AG170" s="38"/>
      <c r="AH170" s="38"/>
      <c r="AI170" s="36"/>
      <c r="AJ170" s="36"/>
      <c r="AS170" s="36"/>
      <c r="AT170" s="36"/>
      <c r="AU170" s="36"/>
      <c r="AV170" s="36"/>
      <c r="AW170" s="36"/>
      <c r="AX170" s="36"/>
      <c r="AY170" s="36"/>
      <c r="AZ170" s="38"/>
      <c r="BA170" s="38"/>
      <c r="BB170" s="38"/>
      <c r="BC170" s="26"/>
      <c r="BD170" s="38"/>
      <c r="BE170" s="26"/>
      <c r="BF170" s="38"/>
      <c r="BG170" s="38"/>
      <c r="BH170" s="36"/>
      <c r="BI170" s="36"/>
    </row>
    <row r="171" spans="1:61" s="37" customFormat="1" ht="15.75" x14ac:dyDescent="0.25">
      <c r="A171" s="36"/>
      <c r="B171" s="36"/>
      <c r="C171" s="36"/>
      <c r="D171" s="36"/>
      <c r="S171" s="1"/>
      <c r="T171" s="38"/>
      <c r="U171" s="38"/>
      <c r="V171" s="38"/>
      <c r="W171" s="38"/>
      <c r="X171" s="38"/>
      <c r="Y171" s="38"/>
      <c r="Z171" s="38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S171" s="36"/>
      <c r="AT171" s="36"/>
      <c r="AU171" s="36"/>
      <c r="AV171" s="36"/>
      <c r="AW171" s="36"/>
      <c r="AX171" s="36"/>
      <c r="AY171" s="36"/>
      <c r="AZ171" s="38"/>
      <c r="BA171" s="38"/>
      <c r="BB171" s="38"/>
      <c r="BC171" s="26"/>
      <c r="BD171" s="38"/>
      <c r="BE171" s="26"/>
      <c r="BF171" s="38"/>
      <c r="BG171" s="38"/>
      <c r="BH171" s="36"/>
      <c r="BI171" s="36"/>
    </row>
    <row r="172" spans="1:61" s="37" customFormat="1" ht="15.75" x14ac:dyDescent="0.25">
      <c r="A172" s="36"/>
      <c r="B172" s="36"/>
      <c r="C172" s="36"/>
      <c r="D172" s="36"/>
      <c r="S172" s="1"/>
      <c r="T172" s="38"/>
      <c r="U172" s="38"/>
      <c r="V172" s="38"/>
      <c r="W172" s="38"/>
      <c r="X172" s="38"/>
      <c r="Y172" s="38"/>
      <c r="Z172" s="38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S172" s="36"/>
      <c r="AT172" s="36"/>
      <c r="AU172" s="36"/>
      <c r="AV172" s="36"/>
      <c r="AW172" s="36"/>
      <c r="AX172" s="36"/>
      <c r="AY172" s="36"/>
      <c r="AZ172" s="38"/>
      <c r="BA172" s="38"/>
      <c r="BB172" s="38"/>
      <c r="BC172" s="26"/>
      <c r="BD172" s="38"/>
      <c r="BE172" s="26"/>
      <c r="BF172" s="38"/>
      <c r="BG172" s="38"/>
      <c r="BH172" s="36"/>
      <c r="BI172" s="36"/>
    </row>
    <row r="173" spans="1:61" s="37" customFormat="1" ht="15.75" x14ac:dyDescent="0.25">
      <c r="A173" s="36"/>
      <c r="B173" s="36"/>
      <c r="C173" s="36"/>
      <c r="D173" s="36"/>
      <c r="S173" s="1"/>
      <c r="T173" s="38"/>
      <c r="U173" s="38"/>
      <c r="V173" s="38"/>
      <c r="W173" s="38"/>
      <c r="X173" s="38"/>
      <c r="Y173" s="38"/>
      <c r="Z173" s="38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S173" s="36"/>
      <c r="AT173" s="36"/>
      <c r="AU173" s="36"/>
      <c r="AV173" s="36"/>
      <c r="AW173" s="36"/>
      <c r="AX173" s="36"/>
      <c r="AY173" s="36"/>
      <c r="AZ173" s="38"/>
      <c r="BA173" s="38"/>
      <c r="BB173" s="38"/>
      <c r="BC173" s="26"/>
      <c r="BD173" s="38"/>
      <c r="BE173" s="26"/>
      <c r="BF173" s="38"/>
      <c r="BG173" s="38"/>
      <c r="BH173" s="36"/>
      <c r="BI173" s="36"/>
    </row>
    <row r="174" spans="1:61" s="37" customFormat="1" ht="15.75" x14ac:dyDescent="0.25">
      <c r="A174" s="36"/>
      <c r="B174" s="36"/>
      <c r="C174" s="36"/>
      <c r="D174" s="36"/>
      <c r="S174" s="1"/>
      <c r="T174" s="38"/>
      <c r="U174" s="38"/>
      <c r="V174" s="38"/>
      <c r="W174" s="38"/>
      <c r="X174" s="38"/>
      <c r="Y174" s="38"/>
      <c r="Z174" s="38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S174" s="36"/>
      <c r="AT174" s="36"/>
      <c r="AU174" s="36"/>
      <c r="AV174" s="36"/>
      <c r="AW174" s="36"/>
      <c r="AX174" s="36"/>
      <c r="AY174" s="36"/>
      <c r="AZ174" s="38"/>
      <c r="BA174" s="38"/>
      <c r="BB174" s="38"/>
      <c r="BC174" s="26"/>
      <c r="BD174" s="38"/>
      <c r="BE174" s="26"/>
      <c r="BF174" s="38"/>
      <c r="BG174" s="38"/>
      <c r="BH174" s="36"/>
      <c r="BI174" s="36"/>
    </row>
    <row r="175" spans="1:61" s="37" customFormat="1" ht="15.75" x14ac:dyDescent="0.25">
      <c r="A175" s="36"/>
      <c r="B175" s="36"/>
      <c r="C175" s="36"/>
      <c r="D175" s="36"/>
      <c r="S175" s="1"/>
      <c r="T175" s="38"/>
      <c r="U175" s="38"/>
      <c r="V175" s="38"/>
      <c r="W175" s="38"/>
      <c r="X175" s="38"/>
      <c r="Y175" s="38"/>
      <c r="Z175" s="38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S175" s="36"/>
      <c r="AT175" s="36"/>
      <c r="AU175" s="36"/>
      <c r="AV175" s="36"/>
      <c r="AW175" s="36"/>
      <c r="AX175" s="36"/>
      <c r="AY175" s="36"/>
      <c r="AZ175" s="38"/>
      <c r="BA175" s="38"/>
      <c r="BB175" s="38"/>
      <c r="BC175" s="26"/>
      <c r="BD175" s="38"/>
      <c r="BE175" s="26"/>
      <c r="BF175" s="38"/>
      <c r="BG175" s="38"/>
      <c r="BH175" s="36"/>
      <c r="BI175" s="36"/>
    </row>
    <row r="176" spans="1:61" s="37" customFormat="1" ht="15.75" x14ac:dyDescent="0.25">
      <c r="A176" s="36"/>
      <c r="B176" s="36"/>
      <c r="C176" s="36"/>
      <c r="D176" s="36"/>
      <c r="S176" s="1"/>
      <c r="T176" s="38"/>
      <c r="U176" s="38"/>
      <c r="V176" s="38"/>
      <c r="W176" s="38"/>
      <c r="X176" s="38"/>
      <c r="Y176" s="38"/>
      <c r="Z176" s="38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S176" s="36"/>
      <c r="AT176" s="36"/>
      <c r="AU176" s="36"/>
      <c r="AV176" s="36"/>
      <c r="AW176" s="36"/>
      <c r="AX176" s="36"/>
      <c r="AY176" s="36"/>
      <c r="AZ176" s="38"/>
      <c r="BA176" s="38"/>
      <c r="BB176" s="38"/>
      <c r="BC176" s="26"/>
      <c r="BD176" s="38"/>
      <c r="BE176" s="26"/>
      <c r="BF176" s="38"/>
      <c r="BG176" s="38"/>
      <c r="BH176" s="36"/>
      <c r="BI176" s="36"/>
    </row>
    <row r="177" spans="1:61" s="37" customFormat="1" ht="15.75" x14ac:dyDescent="0.25">
      <c r="A177" s="36"/>
      <c r="B177" s="36"/>
      <c r="C177" s="36"/>
      <c r="D177" s="36"/>
      <c r="S177" s="1"/>
      <c r="T177" s="38"/>
      <c r="U177" s="38"/>
      <c r="V177" s="38"/>
      <c r="W177" s="38"/>
      <c r="X177" s="38"/>
      <c r="Y177" s="38"/>
      <c r="Z177" s="38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S177" s="36"/>
      <c r="AT177" s="36"/>
      <c r="AU177" s="36"/>
      <c r="AV177" s="36"/>
      <c r="AW177" s="36"/>
      <c r="AX177" s="36"/>
      <c r="AY177" s="36"/>
      <c r="AZ177" s="38"/>
      <c r="BA177" s="38"/>
      <c r="BB177" s="38"/>
      <c r="BC177" s="26"/>
      <c r="BD177" s="38"/>
      <c r="BE177" s="26"/>
      <c r="BF177" s="38"/>
      <c r="BG177" s="38"/>
      <c r="BH177" s="36"/>
      <c r="BI177" s="36"/>
    </row>
    <row r="178" spans="1:61" s="37" customFormat="1" ht="15.75" x14ac:dyDescent="0.25">
      <c r="A178" s="36"/>
      <c r="B178" s="36"/>
      <c r="C178" s="36"/>
      <c r="D178" s="36"/>
      <c r="S178" s="1"/>
      <c r="T178" s="38"/>
      <c r="U178" s="38"/>
      <c r="V178" s="38"/>
      <c r="W178" s="38"/>
      <c r="X178" s="38"/>
      <c r="Y178" s="38"/>
      <c r="Z178" s="38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S178" s="36"/>
      <c r="AT178" s="36"/>
      <c r="AU178" s="36"/>
      <c r="AV178" s="36"/>
      <c r="AW178" s="36"/>
      <c r="AX178" s="36"/>
      <c r="AY178" s="36"/>
      <c r="AZ178" s="38"/>
      <c r="BA178" s="38"/>
      <c r="BB178" s="38"/>
      <c r="BC178" s="26"/>
      <c r="BD178" s="38"/>
      <c r="BE178" s="26"/>
      <c r="BF178" s="38"/>
      <c r="BG178" s="38"/>
      <c r="BH178" s="36"/>
      <c r="BI178" s="36"/>
    </row>
    <row r="179" spans="1:61" s="37" customFormat="1" ht="15.75" x14ac:dyDescent="0.25">
      <c r="A179" s="36"/>
      <c r="B179" s="36"/>
      <c r="C179" s="36"/>
      <c r="D179" s="36"/>
      <c r="S179" s="1"/>
      <c r="T179" s="38"/>
      <c r="U179" s="38"/>
      <c r="V179" s="38"/>
      <c r="W179" s="38"/>
      <c r="X179" s="38"/>
      <c r="Y179" s="38"/>
      <c r="Z179" s="38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S179" s="36"/>
      <c r="AT179" s="36"/>
      <c r="AU179" s="36"/>
      <c r="AV179" s="36"/>
      <c r="AW179" s="36"/>
      <c r="AX179" s="36"/>
      <c r="AY179" s="36"/>
      <c r="AZ179" s="38"/>
      <c r="BA179" s="38"/>
      <c r="BB179" s="38"/>
      <c r="BC179" s="26"/>
      <c r="BD179" s="38"/>
      <c r="BE179" s="26"/>
      <c r="BF179" s="38"/>
      <c r="BG179" s="38"/>
      <c r="BH179" s="36"/>
      <c r="BI179" s="36"/>
    </row>
    <row r="180" spans="1:61" s="37" customFormat="1" ht="15.75" x14ac:dyDescent="0.25">
      <c r="A180" s="36"/>
      <c r="B180" s="36"/>
      <c r="C180" s="36"/>
      <c r="D180" s="36"/>
      <c r="S180" s="1"/>
      <c r="T180" s="38"/>
      <c r="U180" s="38"/>
      <c r="V180" s="38"/>
      <c r="W180" s="38"/>
      <c r="X180" s="38"/>
      <c r="Y180" s="38"/>
      <c r="Z180" s="38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S180" s="36"/>
      <c r="AT180" s="36"/>
      <c r="AU180" s="36"/>
      <c r="AV180" s="36"/>
      <c r="AW180" s="36"/>
      <c r="AX180" s="36"/>
      <c r="AY180" s="36"/>
      <c r="AZ180" s="38"/>
      <c r="BA180" s="38"/>
      <c r="BB180" s="38"/>
      <c r="BC180" s="26"/>
      <c r="BD180" s="38"/>
      <c r="BE180" s="26"/>
      <c r="BF180" s="38"/>
      <c r="BG180" s="38"/>
      <c r="BH180" s="36"/>
      <c r="BI180" s="36"/>
    </row>
    <row r="181" spans="1:61" s="37" customFormat="1" ht="15.75" x14ac:dyDescent="0.25">
      <c r="A181" s="36"/>
      <c r="B181" s="36"/>
      <c r="C181" s="36"/>
      <c r="D181" s="36"/>
      <c r="S181" s="1"/>
      <c r="T181" s="38"/>
      <c r="U181" s="38"/>
      <c r="V181" s="38"/>
      <c r="W181" s="38"/>
      <c r="X181" s="38"/>
      <c r="Y181" s="38"/>
      <c r="Z181" s="38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S181" s="36"/>
      <c r="AT181" s="36"/>
      <c r="AU181" s="36"/>
      <c r="AV181" s="36"/>
      <c r="AW181" s="36"/>
      <c r="AX181" s="36"/>
      <c r="AY181" s="36"/>
      <c r="AZ181" s="38"/>
      <c r="BA181" s="38"/>
      <c r="BB181" s="38"/>
      <c r="BC181" s="26"/>
      <c r="BD181" s="38"/>
      <c r="BE181" s="26"/>
      <c r="BF181" s="38"/>
      <c r="BG181" s="38"/>
      <c r="BH181" s="36"/>
      <c r="BI181" s="36"/>
    </row>
    <row r="182" spans="1:61" s="37" customFormat="1" ht="15.75" x14ac:dyDescent="0.25">
      <c r="A182" s="36"/>
      <c r="B182" s="36"/>
      <c r="C182" s="36"/>
      <c r="D182" s="36"/>
      <c r="S182" s="1"/>
      <c r="T182" s="38"/>
      <c r="U182" s="38"/>
      <c r="V182" s="38"/>
      <c r="W182" s="38"/>
      <c r="X182" s="38"/>
      <c r="Y182" s="38"/>
      <c r="Z182" s="38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S182" s="36"/>
      <c r="AT182" s="36"/>
      <c r="AU182" s="36"/>
      <c r="AV182" s="36"/>
      <c r="AW182" s="36"/>
      <c r="AX182" s="36"/>
      <c r="AY182" s="36"/>
      <c r="AZ182" s="38"/>
      <c r="BA182" s="38"/>
      <c r="BB182" s="38"/>
      <c r="BC182" s="26"/>
      <c r="BD182" s="38"/>
      <c r="BE182" s="26"/>
      <c r="BF182" s="38"/>
      <c r="BG182" s="38"/>
      <c r="BH182" s="36"/>
      <c r="BI182" s="36"/>
    </row>
    <row r="183" spans="1:61" s="37" customFormat="1" ht="15.75" x14ac:dyDescent="0.25">
      <c r="A183" s="36"/>
      <c r="B183" s="36"/>
      <c r="C183" s="36"/>
      <c r="D183" s="36"/>
      <c r="S183" s="1"/>
      <c r="T183" s="38"/>
      <c r="U183" s="38"/>
      <c r="V183" s="38"/>
      <c r="W183" s="38"/>
      <c r="X183" s="38"/>
      <c r="Y183" s="38"/>
      <c r="Z183" s="38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S183" s="36"/>
      <c r="AT183" s="36"/>
      <c r="AU183" s="36"/>
      <c r="AV183" s="36"/>
      <c r="AW183" s="36"/>
      <c r="AX183" s="36"/>
      <c r="AY183" s="36"/>
      <c r="AZ183" s="38"/>
      <c r="BA183" s="38"/>
      <c r="BB183" s="38"/>
      <c r="BC183" s="26"/>
      <c r="BD183" s="38"/>
      <c r="BE183" s="26"/>
      <c r="BF183" s="38"/>
      <c r="BG183" s="38"/>
      <c r="BH183" s="36"/>
      <c r="BI183" s="36"/>
    </row>
    <row r="184" spans="1:61" s="37" customFormat="1" ht="15.75" x14ac:dyDescent="0.25">
      <c r="A184" s="36"/>
      <c r="B184" s="36"/>
      <c r="C184" s="36"/>
      <c r="D184" s="36"/>
      <c r="S184" s="1"/>
      <c r="T184" s="38"/>
      <c r="U184" s="38"/>
      <c r="V184" s="38"/>
      <c r="W184" s="38"/>
      <c r="X184" s="38"/>
      <c r="Y184" s="38"/>
      <c r="Z184" s="38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S184" s="36"/>
      <c r="AT184" s="36"/>
      <c r="AU184" s="36"/>
      <c r="AV184" s="36"/>
      <c r="AW184" s="36"/>
      <c r="AX184" s="36"/>
      <c r="AY184" s="36"/>
      <c r="AZ184" s="38"/>
      <c r="BA184" s="38"/>
      <c r="BB184" s="38"/>
      <c r="BC184" s="26"/>
      <c r="BD184" s="38"/>
      <c r="BE184" s="26"/>
      <c r="BF184" s="38"/>
      <c r="BG184" s="38"/>
      <c r="BH184" s="36"/>
      <c r="BI184" s="36"/>
    </row>
    <row r="185" spans="1:61" s="37" customFormat="1" ht="15.75" x14ac:dyDescent="0.25">
      <c r="A185" s="36"/>
      <c r="B185" s="36"/>
      <c r="C185" s="36"/>
      <c r="D185" s="36"/>
      <c r="S185" s="1"/>
      <c r="T185" s="38"/>
      <c r="U185" s="38"/>
      <c r="V185" s="38"/>
      <c r="W185" s="38"/>
      <c r="X185" s="38"/>
      <c r="Y185" s="38"/>
      <c r="Z185" s="38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S185" s="36"/>
      <c r="AT185" s="36"/>
      <c r="AU185" s="36"/>
      <c r="AV185" s="36"/>
      <c r="AW185" s="36"/>
      <c r="AX185" s="36"/>
      <c r="AY185" s="36"/>
      <c r="AZ185" s="38"/>
      <c r="BA185" s="38"/>
      <c r="BB185" s="38"/>
      <c r="BC185" s="26"/>
      <c r="BD185" s="38"/>
      <c r="BE185" s="26"/>
      <c r="BF185" s="38"/>
      <c r="BG185" s="38"/>
      <c r="BH185" s="36"/>
      <c r="BI185" s="36"/>
    </row>
    <row r="186" spans="1:61" s="37" customFormat="1" ht="15.75" x14ac:dyDescent="0.25">
      <c r="A186" s="36"/>
      <c r="B186" s="36"/>
      <c r="C186" s="36"/>
      <c r="D186" s="36"/>
      <c r="S186" s="1"/>
      <c r="T186" s="38"/>
      <c r="U186" s="38"/>
      <c r="V186" s="38"/>
      <c r="W186" s="38"/>
      <c r="X186" s="38"/>
      <c r="Y186" s="38"/>
      <c r="Z186" s="38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S186" s="36"/>
      <c r="AT186" s="36"/>
      <c r="AU186" s="36"/>
      <c r="AV186" s="36"/>
      <c r="AW186" s="36"/>
      <c r="AX186" s="36"/>
      <c r="AY186" s="36"/>
      <c r="AZ186" s="38"/>
      <c r="BA186" s="38"/>
      <c r="BB186" s="38"/>
      <c r="BC186" s="26"/>
      <c r="BD186" s="38"/>
      <c r="BE186" s="26"/>
      <c r="BF186" s="38"/>
      <c r="BG186" s="38"/>
      <c r="BH186" s="36"/>
      <c r="BI186" s="36"/>
    </row>
    <row r="187" spans="1:61" s="37" customFormat="1" ht="15.75" x14ac:dyDescent="0.25">
      <c r="A187" s="36"/>
      <c r="B187" s="36"/>
      <c r="C187" s="36"/>
      <c r="D187" s="36"/>
      <c r="S187" s="1"/>
      <c r="T187" s="38"/>
      <c r="U187" s="38"/>
      <c r="V187" s="38"/>
      <c r="W187" s="38"/>
      <c r="X187" s="38"/>
      <c r="Y187" s="38"/>
      <c r="Z187" s="38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S187" s="36"/>
      <c r="AT187" s="36"/>
      <c r="AU187" s="36"/>
      <c r="AV187" s="36"/>
      <c r="AW187" s="36"/>
      <c r="AX187" s="36"/>
      <c r="AY187" s="36"/>
      <c r="AZ187" s="38"/>
      <c r="BA187" s="38"/>
      <c r="BB187" s="38"/>
      <c r="BC187" s="26"/>
      <c r="BD187" s="38"/>
      <c r="BE187" s="26"/>
      <c r="BF187" s="38"/>
      <c r="BG187" s="38"/>
      <c r="BH187" s="36"/>
      <c r="BI187" s="36"/>
    </row>
    <row r="188" spans="1:61" s="37" customFormat="1" ht="15.75" x14ac:dyDescent="0.25">
      <c r="A188" s="36"/>
      <c r="B188" s="36"/>
      <c r="C188" s="36"/>
      <c r="D188" s="36"/>
      <c r="S188" s="1"/>
      <c r="T188" s="38"/>
      <c r="U188" s="38"/>
      <c r="V188" s="38"/>
      <c r="W188" s="38"/>
      <c r="X188" s="38"/>
      <c r="Y188" s="38"/>
      <c r="Z188" s="38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S188" s="36"/>
      <c r="AT188" s="36"/>
      <c r="AU188" s="36"/>
      <c r="AV188" s="36"/>
      <c r="AW188" s="36"/>
      <c r="AX188" s="36"/>
      <c r="AY188" s="36"/>
      <c r="AZ188" s="38"/>
      <c r="BA188" s="38"/>
      <c r="BB188" s="38"/>
      <c r="BC188" s="26"/>
      <c r="BD188" s="38"/>
      <c r="BE188" s="26"/>
      <c r="BF188" s="38"/>
      <c r="BG188" s="38"/>
      <c r="BH188" s="36"/>
      <c r="BI188" s="36"/>
    </row>
    <row r="189" spans="1:61" s="37" customFormat="1" ht="15.75" x14ac:dyDescent="0.25">
      <c r="A189" s="36"/>
      <c r="B189" s="36"/>
      <c r="C189" s="36"/>
      <c r="D189" s="36"/>
      <c r="S189" s="1"/>
      <c r="T189" s="38"/>
      <c r="U189" s="38"/>
      <c r="V189" s="38"/>
      <c r="W189" s="38"/>
      <c r="X189" s="38"/>
      <c r="Y189" s="38"/>
      <c r="Z189" s="38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S189" s="36"/>
      <c r="AT189" s="36"/>
      <c r="AU189" s="36"/>
      <c r="AV189" s="36"/>
      <c r="AW189" s="36"/>
      <c r="AX189" s="36"/>
      <c r="AY189" s="36"/>
      <c r="AZ189" s="38"/>
      <c r="BA189" s="38"/>
      <c r="BB189" s="38"/>
      <c r="BC189" s="26"/>
      <c r="BD189" s="38"/>
      <c r="BE189" s="26"/>
      <c r="BF189" s="38"/>
      <c r="BG189" s="38"/>
      <c r="BH189" s="36"/>
      <c r="BI189" s="36"/>
    </row>
    <row r="190" spans="1:61" s="37" customFormat="1" ht="15.75" x14ac:dyDescent="0.25">
      <c r="A190" s="36"/>
      <c r="B190" s="36"/>
      <c r="C190" s="36"/>
      <c r="D190" s="36"/>
      <c r="S190" s="1"/>
      <c r="T190" s="38"/>
      <c r="U190" s="38"/>
      <c r="V190" s="38"/>
      <c r="W190" s="38"/>
      <c r="X190" s="38"/>
      <c r="Y190" s="38"/>
      <c r="Z190" s="38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S190" s="36"/>
      <c r="AT190" s="36"/>
      <c r="AU190" s="36"/>
      <c r="AV190" s="36"/>
      <c r="AW190" s="36"/>
      <c r="AX190" s="36"/>
      <c r="AY190" s="36"/>
      <c r="AZ190" s="38"/>
      <c r="BA190" s="38"/>
      <c r="BB190" s="38"/>
      <c r="BC190" s="26"/>
      <c r="BD190" s="38"/>
      <c r="BE190" s="26"/>
      <c r="BF190" s="38"/>
      <c r="BG190" s="38"/>
      <c r="BH190" s="36"/>
      <c r="BI190" s="36"/>
    </row>
    <row r="191" spans="1:61" s="37" customFormat="1" ht="15.75" x14ac:dyDescent="0.25">
      <c r="A191" s="36"/>
      <c r="B191" s="36"/>
      <c r="C191" s="36"/>
      <c r="D191" s="36"/>
      <c r="S191" s="1"/>
      <c r="T191" s="38"/>
      <c r="U191" s="38"/>
      <c r="V191" s="38"/>
      <c r="W191" s="38"/>
      <c r="X191" s="38"/>
      <c r="Y191" s="38"/>
      <c r="Z191" s="38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S191" s="36"/>
      <c r="AT191" s="36"/>
      <c r="AU191" s="36"/>
      <c r="AV191" s="36"/>
      <c r="AW191" s="36"/>
      <c r="AX191" s="36"/>
      <c r="AY191" s="36"/>
      <c r="AZ191" s="38"/>
      <c r="BA191" s="38"/>
      <c r="BB191" s="38"/>
      <c r="BC191" s="26"/>
      <c r="BD191" s="38"/>
      <c r="BE191" s="26"/>
      <c r="BF191" s="38"/>
      <c r="BG191" s="38"/>
      <c r="BH191" s="36"/>
      <c r="BI191" s="36"/>
    </row>
    <row r="192" spans="1:61" s="37" customFormat="1" ht="15.75" x14ac:dyDescent="0.25">
      <c r="A192" s="36"/>
      <c r="B192" s="36"/>
      <c r="C192" s="36"/>
      <c r="D192" s="36"/>
      <c r="S192" s="1"/>
      <c r="T192" s="38"/>
      <c r="U192" s="38"/>
      <c r="V192" s="38"/>
      <c r="W192" s="38"/>
      <c r="X192" s="38"/>
      <c r="Y192" s="38"/>
      <c r="Z192" s="38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S192" s="36"/>
      <c r="AT192" s="36"/>
      <c r="AU192" s="36"/>
      <c r="AV192" s="36"/>
      <c r="AW192" s="36"/>
      <c r="AX192" s="36"/>
      <c r="AY192" s="36"/>
      <c r="AZ192" s="38"/>
      <c r="BA192" s="38"/>
      <c r="BB192" s="38"/>
      <c r="BC192" s="26"/>
      <c r="BD192" s="38"/>
      <c r="BE192" s="26"/>
      <c r="BF192" s="38"/>
      <c r="BG192" s="38"/>
      <c r="BH192" s="36"/>
      <c r="BI192" s="36"/>
    </row>
    <row r="193" spans="1:61" s="37" customFormat="1" ht="15.75" x14ac:dyDescent="0.25">
      <c r="A193" s="36"/>
      <c r="B193" s="36"/>
      <c r="C193" s="36"/>
      <c r="D193" s="36"/>
      <c r="S193" s="1"/>
      <c r="T193" s="38"/>
      <c r="U193" s="38"/>
      <c r="V193" s="38"/>
      <c r="W193" s="38"/>
      <c r="X193" s="38"/>
      <c r="Y193" s="38"/>
      <c r="Z193" s="38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S193" s="36"/>
      <c r="AT193" s="36"/>
      <c r="AU193" s="36"/>
      <c r="AV193" s="36"/>
      <c r="AW193" s="36"/>
      <c r="AX193" s="36"/>
      <c r="AY193" s="36"/>
      <c r="AZ193" s="38"/>
      <c r="BA193" s="38"/>
      <c r="BB193" s="38"/>
      <c r="BC193" s="26"/>
      <c r="BD193" s="38"/>
      <c r="BE193" s="26"/>
      <c r="BF193" s="38"/>
      <c r="BG193" s="38"/>
      <c r="BH193" s="36"/>
      <c r="BI193" s="36"/>
    </row>
    <row r="194" spans="1:61" s="37" customFormat="1" ht="15.75" x14ac:dyDescent="0.25">
      <c r="A194" s="36"/>
      <c r="B194" s="36"/>
      <c r="C194" s="36"/>
      <c r="D194" s="36"/>
      <c r="S194" s="1"/>
      <c r="T194" s="38"/>
      <c r="U194" s="38"/>
      <c r="V194" s="38"/>
      <c r="W194" s="38"/>
      <c r="X194" s="38"/>
      <c r="Y194" s="38"/>
      <c r="Z194" s="38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S194" s="36"/>
      <c r="AT194" s="36"/>
      <c r="AU194" s="36"/>
      <c r="AV194" s="36"/>
      <c r="AW194" s="36"/>
      <c r="AX194" s="36"/>
      <c r="AY194" s="36"/>
      <c r="AZ194" s="38"/>
      <c r="BA194" s="38"/>
      <c r="BB194" s="38"/>
      <c r="BC194" s="26"/>
      <c r="BD194" s="38"/>
      <c r="BE194" s="26"/>
      <c r="BF194" s="38"/>
      <c r="BG194" s="38"/>
      <c r="BH194" s="36"/>
      <c r="BI194" s="36"/>
    </row>
    <row r="195" spans="1:61" s="37" customFormat="1" ht="15.75" x14ac:dyDescent="0.25">
      <c r="A195" s="36"/>
      <c r="B195" s="36"/>
      <c r="C195" s="36"/>
      <c r="D195" s="36"/>
      <c r="S195" s="1"/>
      <c r="T195" s="38"/>
      <c r="U195" s="38"/>
      <c r="V195" s="38"/>
      <c r="W195" s="38"/>
      <c r="X195" s="38"/>
      <c r="Y195" s="38"/>
      <c r="Z195" s="38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S195" s="36"/>
      <c r="AT195" s="36"/>
      <c r="AU195" s="36"/>
      <c r="AV195" s="36"/>
      <c r="AW195" s="36"/>
      <c r="AX195" s="36"/>
      <c r="AY195" s="36"/>
      <c r="AZ195" s="38"/>
      <c r="BA195" s="38"/>
      <c r="BB195" s="38"/>
      <c r="BC195" s="26"/>
      <c r="BD195" s="38"/>
      <c r="BE195" s="26"/>
      <c r="BF195" s="38"/>
      <c r="BG195" s="38"/>
      <c r="BH195" s="36"/>
      <c r="BI195" s="36"/>
    </row>
    <row r="196" spans="1:61" s="37" customFormat="1" ht="15.75" x14ac:dyDescent="0.25">
      <c r="A196" s="36"/>
      <c r="B196" s="36"/>
      <c r="C196" s="36"/>
      <c r="D196" s="36"/>
      <c r="S196" s="1"/>
      <c r="T196" s="38"/>
      <c r="U196" s="38"/>
      <c r="V196" s="38"/>
      <c r="W196" s="38"/>
      <c r="X196" s="38"/>
      <c r="Y196" s="38"/>
      <c r="Z196" s="38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S196" s="36"/>
      <c r="AT196" s="36"/>
      <c r="AU196" s="36"/>
      <c r="AV196" s="36"/>
      <c r="AW196" s="36"/>
      <c r="AX196" s="36"/>
      <c r="AY196" s="36"/>
      <c r="AZ196" s="38"/>
      <c r="BA196" s="38"/>
      <c r="BB196" s="38"/>
      <c r="BC196" s="26"/>
      <c r="BD196" s="38"/>
      <c r="BE196" s="26"/>
      <c r="BF196" s="38"/>
      <c r="BG196" s="38"/>
      <c r="BH196" s="36"/>
      <c r="BI196" s="36"/>
    </row>
    <row r="197" spans="1:61" s="37" customFormat="1" ht="15.75" x14ac:dyDescent="0.25">
      <c r="A197" s="36"/>
      <c r="B197" s="36"/>
      <c r="C197" s="36"/>
      <c r="D197" s="36"/>
      <c r="S197" s="1"/>
      <c r="T197" s="38"/>
      <c r="U197" s="38"/>
      <c r="V197" s="38"/>
      <c r="W197" s="38"/>
      <c r="X197" s="38"/>
      <c r="Y197" s="38"/>
      <c r="Z197" s="38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S197" s="36"/>
      <c r="AT197" s="36"/>
      <c r="AU197" s="36"/>
      <c r="AV197" s="36"/>
      <c r="AW197" s="36"/>
      <c r="AX197" s="36"/>
      <c r="AY197" s="36"/>
      <c r="AZ197" s="38"/>
      <c r="BA197" s="38"/>
      <c r="BB197" s="38"/>
      <c r="BC197" s="26"/>
      <c r="BD197" s="38"/>
      <c r="BE197" s="26"/>
      <c r="BF197" s="38"/>
      <c r="BG197" s="38"/>
      <c r="BH197" s="36"/>
      <c r="BI197" s="36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6" sqref="B16"/>
    </sheetView>
  </sheetViews>
  <sheetFormatPr defaultRowHeight="15.75" x14ac:dyDescent="0.25"/>
  <cols>
    <col min="1" max="1" width="22.42578125" style="50" customWidth="1"/>
    <col min="2" max="2" width="33.28515625" style="50" customWidth="1"/>
    <col min="3" max="16384" width="9.140625" style="50"/>
  </cols>
  <sheetData>
    <row r="2" spans="1:2" x14ac:dyDescent="0.25">
      <c r="A2" s="40" t="s">
        <v>70</v>
      </c>
      <c r="B2" s="40" t="s">
        <v>71</v>
      </c>
    </row>
    <row r="3" spans="1:2" x14ac:dyDescent="0.25">
      <c r="A3" s="23" t="s">
        <v>72</v>
      </c>
      <c r="B3" s="29" t="s">
        <v>150</v>
      </c>
    </row>
    <row r="4" spans="1:2" x14ac:dyDescent="0.25">
      <c r="A4" s="23" t="s">
        <v>73</v>
      </c>
      <c r="B4" s="30">
        <v>330</v>
      </c>
    </row>
    <row r="5" spans="1:2" x14ac:dyDescent="0.25">
      <c r="A5" s="23" t="s">
        <v>82</v>
      </c>
      <c r="B5" s="29" t="s">
        <v>50</v>
      </c>
    </row>
    <row r="6" spans="1:2" x14ac:dyDescent="0.25">
      <c r="A6" s="23" t="s">
        <v>97</v>
      </c>
      <c r="B6" s="51" t="s">
        <v>179</v>
      </c>
    </row>
    <row r="7" spans="1:2" x14ac:dyDescent="0.25">
      <c r="A7" s="23" t="s">
        <v>161</v>
      </c>
      <c r="B7" s="29">
        <v>1</v>
      </c>
    </row>
    <row r="8" spans="1:2" x14ac:dyDescent="0.25">
      <c r="A8" s="52" t="s">
        <v>180</v>
      </c>
      <c r="B8" s="52" t="s">
        <v>182</v>
      </c>
    </row>
    <row r="9" spans="1:2" x14ac:dyDescent="0.25">
      <c r="A9" s="52" t="s">
        <v>181</v>
      </c>
      <c r="B9" s="52"/>
    </row>
    <row r="10" spans="1:2" x14ac:dyDescent="0.25">
      <c r="A10" s="53" t="s">
        <v>150</v>
      </c>
      <c r="B10" s="50" t="s">
        <v>182</v>
      </c>
    </row>
    <row r="11" spans="1:2" x14ac:dyDescent="0.25">
      <c r="A11" s="52" t="s">
        <v>181</v>
      </c>
      <c r="B11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2025-09-18T06:49:26Z</dcterms:modified>
</cp:coreProperties>
</file>